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rbasak\Desktop\Hk06\NATM\NATM Tutanakları\Nisan 2026 NATM Tutanakları\Nisan 2026 NATM Tutanakları\Barbaros\"/>
    </mc:Choice>
  </mc:AlternateContent>
  <xr:revisionPtr revIDLastSave="0" documentId="13_ncr:1_{75F3A3BD-55E9-44A6-9BBB-34796812FE10}" xr6:coauthVersionLast="47" xr6:coauthVersionMax="47" xr10:uidLastSave="{00000000-0000-0000-0000-000000000000}"/>
  <bookViews>
    <workbookView xWindow="-108" yWindow="-108" windowWidth="23256" windowHeight="13896" tabRatio="770" xr2:uid="{00000000-000D-0000-FFFF-FFFF00000000}"/>
  </bookViews>
  <sheets>
    <sheet name="TUTANAK" sheetId="2" r:id="rId1"/>
    <sheet name="KAZI-İKSA" sheetId="6" state="hidden" r:id="rId2"/>
    <sheet name="BULON" sheetId="9" r:id="rId3"/>
    <sheet name="UMBRELLA ARCH" sheetId="10" state="hidden" r:id="rId4"/>
    <sheet name="ZEMİN ÇİVİSİ" sheetId="11" state="hidden" r:id="rId5"/>
    <sheet name="AYNA" sheetId="4" state="hidden" r:id="rId6"/>
    <sheet name="DATA" sheetId="1" r:id="rId7"/>
    <sheet name="AYNA TAKİP" sheetId="12" r:id="rId8"/>
    <sheet name="Kontrol" sheetId="13" r:id="rId9"/>
  </sheets>
  <externalReferences>
    <externalReference r:id="rId10"/>
    <externalReference r:id="rId11"/>
  </externalReferences>
  <definedNames>
    <definedName name="Dilimleyici_Kazı_Boyu_için_Kullan">#N/A</definedName>
    <definedName name="Dilimleyici_Ø_14__lük_Zemin_Çivisi">#N/A</definedName>
    <definedName name="Dilimleyici_Ø_26__lık_Zemin_Çivisi">#N/A</definedName>
    <definedName name="Dilimleyici_Tip">#N/A</definedName>
    <definedName name="Dilimleyici_Tip1">#N/A</definedName>
    <definedName name="Dilimleyici_Tip11">#N/A</definedName>
    <definedName name="Dilimleyici_Tutanak_Genel_No__Elle">#N/A</definedName>
    <definedName name="Dilimleyici_Tutanak_Genel_No__Elle1">#N/A</definedName>
    <definedName name="Dilimleyici_Tutanak_Genel_No__Elle2">#N/A</definedName>
    <definedName name="Dilimleyici_Tutanak_Genel_No__Elle3">#N/A</definedName>
    <definedName name="Dilimleyici_Tutanak_Özel_No__Elle">#N/A</definedName>
    <definedName name="Dilimleyici_Tutanak_Özel_No__Elle1">#N/A</definedName>
    <definedName name="Dilimleyici_Tutanak_Özel_No__Elle11">#N/A</definedName>
    <definedName name="Dilimleyici_Tutanak_Özel_No__Elle2">#N/A</definedName>
    <definedName name="Dilimleyici_Umbrella_Arch">#N/A</definedName>
    <definedName name="Dilimleyici_Yeri">#N/A</definedName>
    <definedName name="Dilimleyici_Yeri1">#N/A</definedName>
    <definedName name="Dilimleyici_Yeri11">#N/A</definedName>
    <definedName name="_xlnm.Print_Area" localSheetId="5">AYNA!$A$1:$H$44</definedName>
    <definedName name="_xlnm.Print_Area" localSheetId="2">BULON!$C$1:$I$54</definedName>
    <definedName name="_xlnm.Print_Area" localSheetId="1">'KAZI-İKSA'!$A$1:$I$57</definedName>
    <definedName name="_xlnm.Print_Area" localSheetId="0">TUTANAK!$A$1:$I$46</definedName>
    <definedName name="_xlnm.Print_Area" localSheetId="3">'UMBRELLA ARCH'!$C$1:$H$48</definedName>
    <definedName name="_xlnm.Print_Area" localSheetId="4">'ZEMİN ÇİVİSİ'!$C$1:$H$49</definedName>
  </definedNames>
  <calcPr calcId="191029"/>
  <pivotCaches>
    <pivotCache cacheId="0" r:id="rId12"/>
    <pivotCache cacheId="1" r:id="rId13"/>
    <pivotCache cacheId="2" r:id="rId14"/>
    <pivotCache cacheId="3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C26" i="1"/>
  <c r="E24" i="1"/>
  <c r="E23" i="1"/>
  <c r="E22" i="1"/>
  <c r="E21" i="1"/>
  <c r="E20" i="1"/>
  <c r="E19" i="1"/>
  <c r="E18" i="1"/>
  <c r="E17" i="1"/>
  <c r="E16" i="1"/>
  <c r="E15" i="1"/>
  <c r="C15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H5" i="13" l="1"/>
  <c r="H32" i="13"/>
  <c r="H8" i="13"/>
  <c r="F3" i="13"/>
  <c r="G32" i="13"/>
  <c r="F32" i="13"/>
  <c r="F31" i="13"/>
  <c r="E31" i="13" s="1"/>
  <c r="F30" i="13"/>
  <c r="E30" i="13" s="1"/>
  <c r="G18" i="13"/>
  <c r="F18" i="13"/>
  <c r="E18" i="13" s="1"/>
  <c r="E17" i="13"/>
  <c r="E15" i="13"/>
  <c r="E14" i="13"/>
  <c r="E13" i="13"/>
  <c r="E12" i="13"/>
  <c r="E11" i="13"/>
  <c r="G3" i="13"/>
  <c r="G2" i="13"/>
  <c r="G8" i="13" s="1"/>
  <c r="F2" i="13"/>
  <c r="E7" i="13"/>
  <c r="E6" i="13"/>
  <c r="L37" i="12"/>
  <c r="L34" i="12"/>
  <c r="L29" i="12"/>
  <c r="L27" i="12"/>
  <c r="L19" i="12"/>
  <c r="L12" i="12"/>
  <c r="L39" i="12"/>
  <c r="E32" i="13" l="1"/>
  <c r="F8" i="13"/>
  <c r="E8" i="13" s="1"/>
  <c r="F5" i="13"/>
  <c r="G5" i="13"/>
  <c r="L31" i="12"/>
  <c r="L22" i="12"/>
  <c r="L15" i="12"/>
  <c r="L8" i="12"/>
  <c r="L5" i="12"/>
  <c r="E5" i="13" l="1"/>
  <c r="C28" i="12" l="1"/>
  <c r="C29" i="12"/>
  <c r="C30" i="12"/>
  <c r="C31" i="12"/>
  <c r="C32" i="12"/>
  <c r="C33" i="12"/>
  <c r="C34" i="12"/>
  <c r="C35" i="12"/>
  <c r="C36" i="12"/>
  <c r="C37" i="12"/>
  <c r="C38" i="12"/>
  <c r="C39" i="12"/>
  <c r="C3" i="12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D4" i="2"/>
  <c r="M3" i="2" l="1" a="1"/>
  <c r="M3" i="2" s="1"/>
  <c r="A29" i="2"/>
  <c r="C10" i="4" l="1"/>
  <c r="C8" i="4"/>
  <c r="C7" i="4"/>
  <c r="D11" i="2"/>
  <c r="D12" i="2" s="1"/>
  <c r="D10" i="11"/>
  <c r="D8" i="11"/>
  <c r="D7" i="11"/>
  <c r="E10" i="10"/>
  <c r="E8" i="10"/>
  <c r="E7" i="10"/>
  <c r="A5" i="6"/>
  <c r="D7" i="9"/>
  <c r="D8" i="9"/>
  <c r="D10" i="9"/>
  <c r="B10" i="6"/>
  <c r="B8" i="6"/>
  <c r="B7" i="6"/>
  <c r="E19" i="13" l="1"/>
  <c r="E16" i="13"/>
  <c r="E35" i="13" s="1"/>
  <c r="H6" i="10"/>
  <c r="I6" i="6"/>
  <c r="I6" i="9"/>
  <c r="H6" i="11"/>
  <c r="C9" i="4"/>
  <c r="M4" i="2" a="1"/>
  <c r="M4" i="2" s="1"/>
  <c r="A4" i="4" l="1"/>
  <c r="A25" i="2"/>
  <c r="C4" i="10"/>
  <c r="H6" i="4"/>
  <c r="D9" i="11"/>
  <c r="E9" i="10"/>
  <c r="D9" i="9"/>
  <c r="B9" i="6"/>
  <c r="C4" i="11"/>
  <c r="C4" i="9"/>
  <c r="A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Sinan UZER</author>
  </authors>
  <commentList>
    <comment ref="F8" authorId="0" shapeId="0" xr:uid="{131305A1-3F8D-4394-95D8-2FCC8E918EC0}">
      <text>
        <r>
          <rPr>
            <b/>
            <sz val="9"/>
            <color indexed="81"/>
            <rFont val="Tahoma"/>
            <family val="2"/>
            <charset val="162"/>
          </rPr>
          <t>Sinan UZER:</t>
        </r>
        <r>
          <rPr>
            <sz val="9"/>
            <color indexed="81"/>
            <rFont val="Tahoma"/>
            <family val="2"/>
            <charset val="162"/>
          </rPr>
          <t xml:space="preserve">
Kontak kesintili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<sst xmlns="http://schemas.openxmlformats.org/spreadsheetml/2006/main" count="630" uniqueCount="192">
  <si>
    <t>Kazı Boyu için Kullan</t>
  </si>
  <si>
    <t>Ödeme</t>
  </si>
  <si>
    <t>Tip</t>
  </si>
  <si>
    <t>Şantiye Adı Yeri</t>
  </si>
  <si>
    <t>Tünel Adı</t>
  </si>
  <si>
    <t>Tünel Tipi</t>
  </si>
  <si>
    <t>Yeri</t>
  </si>
  <si>
    <t>Tarih</t>
  </si>
  <si>
    <t>Kilometre</t>
  </si>
  <si>
    <t>Açıklama</t>
  </si>
  <si>
    <t>Kazı</t>
  </si>
  <si>
    <t>Çelik Hasır</t>
  </si>
  <si>
    <t xml:space="preserve">Püskürtme Betonu </t>
  </si>
  <si>
    <t>3 mt Kaya Bulonu</t>
  </si>
  <si>
    <t>4 mt Kaya Bulonu</t>
  </si>
  <si>
    <t>5 mt Kaya Bulonu</t>
  </si>
  <si>
    <t>Ø 14 'lük Zemin Çivisi</t>
  </si>
  <si>
    <t>Ø 26 'lık Zemin Çivisi</t>
  </si>
  <si>
    <t>6 mt Kaya Bulonu</t>
  </si>
  <si>
    <t>8 mt Kaya Bulonu</t>
  </si>
  <si>
    <t>Çelik İksa HEB160</t>
  </si>
  <si>
    <t>Çelik İksa HEB200</t>
  </si>
  <si>
    <t>Umbrella Arch</t>
  </si>
  <si>
    <t>Boru Süren</t>
  </si>
  <si>
    <t>P1</t>
  </si>
  <si>
    <t>Açıklama-2</t>
  </si>
  <si>
    <t>Üst Yarı</t>
  </si>
  <si>
    <t>ATF No</t>
  </si>
  <si>
    <t>KALICI</t>
  </si>
  <si>
    <t>Umbrella-1</t>
  </si>
  <si>
    <t>Tamamlandı</t>
  </si>
  <si>
    <t>30 cm atıldı</t>
  </si>
  <si>
    <t>AYNA İMALATLARI</t>
  </si>
  <si>
    <t>Sıra No</t>
  </si>
  <si>
    <t>Püskürtme Betonu</t>
  </si>
  <si>
    <t>5 cm atıldı</t>
  </si>
  <si>
    <t>15 cm atıldı</t>
  </si>
  <si>
    <t>Q221/221 Tek Kat</t>
  </si>
  <si>
    <t>Km</t>
  </si>
  <si>
    <t>Pah Donatısı</t>
  </si>
  <si>
    <t>TUTANAK</t>
  </si>
  <si>
    <t>Tutanak No</t>
  </si>
  <si>
    <t>Genel</t>
  </si>
  <si>
    <t>:</t>
  </si>
  <si>
    <t>Özel</t>
  </si>
  <si>
    <t>Tutanak Tarihi</t>
  </si>
  <si>
    <t>Tutanak Konusu</t>
  </si>
  <si>
    <t>NATM Tünel İmalatı</t>
  </si>
  <si>
    <t>Tutanak Ekleri</t>
  </si>
  <si>
    <t>İşin Adı</t>
  </si>
  <si>
    <t>Kirazlı-Halkalı Üniversite Metro Hattı İnşaat Ve Elektromekanik İşler İle M1 Hattı Elektromekanik Sistemleri Yapım İşi</t>
  </si>
  <si>
    <t>Yüklenicinin Adı</t>
  </si>
  <si>
    <t>Kalyon-Özgün Metro İnşaatı Adi Ortaklığı Ticari İşletmesi</t>
  </si>
  <si>
    <t>Sözleşme Tarihi</t>
  </si>
  <si>
    <t>İşe Başlama Tarihi</t>
  </si>
  <si>
    <t>Sözleşmeye Göre İşin Süresi</t>
  </si>
  <si>
    <t>1440 Gün</t>
  </si>
  <si>
    <t>Sözleşmeye Göre İşin Bitiş Tarihi</t>
  </si>
  <si>
    <t>Aşama</t>
  </si>
  <si>
    <t>Tutanak Tarihi-1</t>
  </si>
  <si>
    <t>Tutanak Tarihi-2</t>
  </si>
  <si>
    <r>
      <t>Tutanak Özel No</t>
    </r>
    <r>
      <rPr>
        <b/>
        <sz val="11"/>
        <color rgb="FFFF0000"/>
        <rFont val="Calibri"/>
        <family val="2"/>
        <charset val="162"/>
        <scheme val="minor"/>
      </rPr>
      <t xml:space="preserve"> (Elle)</t>
    </r>
  </si>
  <si>
    <t>Genel Toplam</t>
  </si>
  <si>
    <t>Umbrella-2</t>
  </si>
  <si>
    <t>Umbrella-3</t>
  </si>
  <si>
    <t>Umbrella-4</t>
  </si>
  <si>
    <t>Umbrella-5</t>
  </si>
  <si>
    <t>Umbrella-6</t>
  </si>
  <si>
    <t>İksa Tipi</t>
  </si>
  <si>
    <t>Tutanak Genel No:</t>
  </si>
  <si>
    <t>Tutanak Özel No:</t>
  </si>
  <si>
    <t>Tutanak Tarihi:</t>
  </si>
  <si>
    <t>İmalatın Yeri:</t>
  </si>
  <si>
    <t>Tutanak Ek No:</t>
  </si>
  <si>
    <t>S</t>
  </si>
  <si>
    <t>Bulon İcmali</t>
  </si>
  <si>
    <t>Umbrella Arch İcmali</t>
  </si>
  <si>
    <t>KİRAZLI-HALKALI ÜNİVERSİTE METRO HATTI İNŞAAT VE ELEKTROMEKANİK İŞLER İLE</t>
  </si>
  <si>
    <t>M1 HATTI ELEKTROMEKANİK SİSTEMLERİ YAPIM İŞİ</t>
  </si>
  <si>
    <t>Elle</t>
  </si>
  <si>
    <r>
      <t xml:space="preserve">Tutanak Genel No </t>
    </r>
    <r>
      <rPr>
        <b/>
        <sz val="11"/>
        <color rgb="FFFF0000"/>
        <rFont val="Calibri"/>
        <family val="2"/>
        <charset val="162"/>
        <scheme val="minor"/>
      </rPr>
      <t>(Elle)</t>
    </r>
  </si>
  <si>
    <t>15 cm atıldı 8 m²</t>
  </si>
  <si>
    <t>Dönemi</t>
  </si>
  <si>
    <t>Hk No</t>
  </si>
  <si>
    <t>15 cm atıldı 6 m²</t>
  </si>
  <si>
    <t>Q589/589 Çift Kat</t>
  </si>
  <si>
    <t>Kalınlık</t>
  </si>
  <si>
    <t>Alan</t>
  </si>
  <si>
    <t>Hasır</t>
  </si>
  <si>
    <t>KM1</t>
  </si>
  <si>
    <t>KM2</t>
  </si>
  <si>
    <t>İş Kalemi No</t>
  </si>
  <si>
    <t>Birimi</t>
  </si>
  <si>
    <t>Birim Fiyat</t>
  </si>
  <si>
    <t>Toplam</t>
  </si>
  <si>
    <t>Kalıcı</t>
  </si>
  <si>
    <t>Geçici</t>
  </si>
  <si>
    <t>Ayna</t>
  </si>
  <si>
    <t>018</t>
  </si>
  <si>
    <t>Geleneksel (NATM) Tünel Kazısı</t>
  </si>
  <si>
    <t>m³</t>
  </si>
  <si>
    <t>019.A</t>
  </si>
  <si>
    <t>Kazıdan çıkan veya Ariyetten alınan malzeme ile geri dolgu yapılması</t>
  </si>
  <si>
    <t>019.B</t>
  </si>
  <si>
    <t>Kum, Çakıl, Kırma Tas ve Benzeri Malzeme ile Dolgu Yapılması</t>
  </si>
  <si>
    <t>020</t>
  </si>
  <si>
    <t>Püskürtme Beton (Tünel ve Şaftlarda)</t>
  </si>
  <si>
    <t>021.A</t>
  </si>
  <si>
    <t>Delgi boyu =&lt; 30m</t>
  </si>
  <si>
    <t>m</t>
  </si>
  <si>
    <t>021.B</t>
  </si>
  <si>
    <t>Delgi boyu &gt; 30m</t>
  </si>
  <si>
    <t>022.A</t>
  </si>
  <si>
    <t>L=3 m Kaya Bulonu</t>
  </si>
  <si>
    <t>adet</t>
  </si>
  <si>
    <t>022.B</t>
  </si>
  <si>
    <t>L=4 m Kaya Bulonu</t>
  </si>
  <si>
    <t>022.C</t>
  </si>
  <si>
    <t>L=5 m Kaya Bulonu</t>
  </si>
  <si>
    <t>022.D</t>
  </si>
  <si>
    <t>L=6 m Kaya Bulonu</t>
  </si>
  <si>
    <t>022.E</t>
  </si>
  <si>
    <t>L=8 m Kaya Bulonu</t>
  </si>
  <si>
    <t>023.A</t>
  </si>
  <si>
    <t>125 mm Delik İçine 14 mm Kalınlığında S420a ile Zemin Çivisi Teşkili</t>
  </si>
  <si>
    <t>023.B</t>
  </si>
  <si>
    <t>125 mm Delik İçine 26 mm Kalınlığında S420a ile Zemin Çivisi Teşkili</t>
  </si>
  <si>
    <t>024</t>
  </si>
  <si>
    <t>Çelik İksa (Tünel ve Şaftlarda)</t>
  </si>
  <si>
    <t>ton</t>
  </si>
  <si>
    <t>025</t>
  </si>
  <si>
    <t>Umbrella Arch Yapılması</t>
  </si>
  <si>
    <t>026.A</t>
  </si>
  <si>
    <t>Tünel ve şaftlarda su yalıtımı, birim ağırlığı &gt;=500 g/metrekare geotekstil keçe</t>
  </si>
  <si>
    <t>m²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</si>
  <si>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</si>
  <si>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</si>
  <si>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</si>
  <si>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</si>
  <si>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</si>
  <si>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</si>
  <si>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</si>
  <si>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</si>
  <si>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</si>
  <si>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</si>
  <si>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</si>
  <si>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</si>
  <si>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</si>
  <si>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</si>
  <si>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</si>
  <si>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</si>
  <si>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</si>
  <si>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</si>
  <si>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</si>
  <si>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</si>
  <si>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</si>
  <si>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</si>
  <si>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</si>
  <si>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</si>
  <si>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</si>
  <si>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</si>
  <si>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</si>
  <si>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</si>
  <si>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</si>
  <si>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Aynadan dolayı ilave ilerleme var</t>
  </si>
  <si>
    <t>Geçici İnvert Çelik İksa HEB160</t>
  </si>
  <si>
    <t xml:space="preserve"> Kalıcı Çelik İksa HEB200</t>
  </si>
  <si>
    <t xml:space="preserve">KİRAZLI-HALKALI ÜNİVERSİTE METRO HATTI İNŞAAT VE ELEKTROMEKANİK İŞLER İLE </t>
  </si>
  <si>
    <t xml:space="preserve"> 4 mt Kaya Bulonu
(adet)</t>
  </si>
  <si>
    <t xml:space="preserve"> 6 mt Kaya Bulonu
(adet)</t>
  </si>
  <si>
    <t xml:space="preserve"> 8 mt Kaya Bulonu
(adet)</t>
  </si>
  <si>
    <t>Genel Toplam (adet)</t>
  </si>
  <si>
    <t xml:space="preserve"> Ø 14 'lük Zemin Çivisi
(metre)</t>
  </si>
  <si>
    <t xml:space="preserve"> Ø 26 'lık Zemin Çivisi
(metre)</t>
  </si>
  <si>
    <t xml:space="preserve"> Umbrella Arch (metre)</t>
  </si>
  <si>
    <t>Genel Toplam (metre)</t>
  </si>
  <si>
    <t>2026.01-017</t>
  </si>
  <si>
    <t>S06.H2.B1.BAĞ2-P2.-A-001</t>
  </si>
  <si>
    <t>S06-Barbaros İstasyonu</t>
  </si>
  <si>
    <t>Hat-2</t>
  </si>
  <si>
    <t>B1</t>
  </si>
  <si>
    <t>Bağlantı -2 P2 Yönü</t>
  </si>
  <si>
    <t>Alt Yarı</t>
  </si>
  <si>
    <t>TBT-NATM-S06-141</t>
  </si>
  <si>
    <t>KDT-NATM-S06-899</t>
  </si>
  <si>
    <t>Q377/377-Çift Kat</t>
  </si>
  <si>
    <t>KDT-NATM-S06-890</t>
  </si>
  <si>
    <t>KDO-NATM-S06-883</t>
  </si>
  <si>
    <t>Q377/377 Çift Kat</t>
  </si>
  <si>
    <t>2026.04-010</t>
  </si>
  <si>
    <t>S06.H2.B1.BAĞ2-P2.-A-002</t>
  </si>
  <si>
    <t>TBT-NATM-S06-251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</si>
</sst>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\+000.00"/>
    <numFmt numFmtId="165" formatCode="&quot;Tip-&quot;#\ &quot; İksa&quot;"/>
    <numFmt numFmtId="166" formatCode="#&quot;-&quot;"/>
    <numFmt numFmtId="167" formatCode="&quot;S07.H1.HY.P1.A1.00&quot;#"/>
    <numFmt numFmtId="168" formatCode="@\ &quot;TİPİ TÜNEL&quot;"/>
    <numFmt numFmtId="169" formatCode="0.000"/>
    <numFmt numFmtId="170" formatCode="_-* #,##0.000_-;\-* #,##0.0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4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4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0" fillId="0" borderId="0" xfId="0" applyAlignment="1">
      <alignment horizontal="left" indent="2"/>
    </xf>
    <xf numFmtId="14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4" fillId="0" borderId="1" xfId="0" pivotButton="1" applyFont="1" applyBorder="1" applyAlignment="1">
      <alignment horizontal="center" vertical="center"/>
    </xf>
    <xf numFmtId="16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indent="2"/>
    </xf>
    <xf numFmtId="0" fontId="7" fillId="0" borderId="0" xfId="0" applyFont="1" applyAlignment="1">
      <alignment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pivotButton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9" xfId="0" applyBorder="1"/>
    <xf numFmtId="168" fontId="4" fillId="0" borderId="0" xfId="0" applyNumberFormat="1" applyFont="1"/>
    <xf numFmtId="0" fontId="6" fillId="0" borderId="0" xfId="0" applyFont="1"/>
    <xf numFmtId="0" fontId="0" fillId="0" borderId="10" xfId="0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 indent="3"/>
    </xf>
    <xf numFmtId="0" fontId="1" fillId="0" borderId="0" xfId="0" applyFont="1" applyAlignment="1">
      <alignment horizontal="left" vertical="center"/>
    </xf>
    <xf numFmtId="17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69" fontId="0" fillId="0" borderId="0" xfId="0" applyNumberFormat="1"/>
    <xf numFmtId="2" fontId="0" fillId="0" borderId="0" xfId="0" applyNumberFormat="1"/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43" fontId="0" fillId="0" borderId="5" xfId="1" applyFont="1" applyFill="1" applyBorder="1" applyAlignment="1">
      <alignment vertical="center"/>
    </xf>
    <xf numFmtId="170" fontId="0" fillId="0" borderId="1" xfId="1" applyNumberFormat="1" applyFont="1" applyFill="1" applyBorder="1" applyAlignment="1">
      <alignment vertical="center"/>
    </xf>
    <xf numFmtId="0" fontId="11" fillId="0" borderId="1" xfId="0" applyFont="1" applyBorder="1"/>
    <xf numFmtId="43" fontId="0" fillId="0" borderId="1" xfId="1" applyFont="1" applyFill="1" applyBorder="1" applyAlignment="1">
      <alignment vertical="center"/>
    </xf>
    <xf numFmtId="169" fontId="0" fillId="0" borderId="1" xfId="0" applyNumberFormat="1" applyBorder="1"/>
    <xf numFmtId="43" fontId="0" fillId="0" borderId="0" xfId="1" applyFont="1"/>
    <xf numFmtId="164" fontId="11" fillId="0" borderId="1" xfId="0" applyNumberFormat="1" applyFont="1" applyBorder="1"/>
    <xf numFmtId="0" fontId="11" fillId="0" borderId="0" xfId="0" applyFont="1"/>
    <xf numFmtId="167" fontId="0" fillId="0" borderId="0" xfId="0" applyNumberFormat="1" applyAlignment="1">
      <alignment horizontal="left"/>
    </xf>
    <xf numFmtId="0" fontId="4" fillId="0" borderId="1" xfId="0" applyFont="1" applyBorder="1" applyAlignment="1">
      <alignment horizontal="right"/>
    </xf>
    <xf numFmtId="0" fontId="0" fillId="8" borderId="3" xfId="0" applyFill="1" applyBorder="1" applyAlignment="1">
      <alignment horizontal="center" vertical="center"/>
    </xf>
    <xf numFmtId="0" fontId="4" fillId="0" borderId="1" xfId="0" applyFont="1" applyBorder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  <xf numFmtId="0" fontId="7" fillId="0" borderId="0" xfId="0" applyFont="1" applyAlignment="1">
      <alignment horizontal="center" vertical="top" wrapText="1"/>
    </xf>
    <xf numFmtId="167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8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Virgül" xfId="1" builtinId="3"/>
  </cellStyles>
  <dxfs count="71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right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  <charset val="162"/>
      </font>
    </dxf>
    <dxf>
      <font>
        <b/>
        <charset val="162"/>
      </font>
    </dxf>
    <dxf>
      <border>
        <vertical/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border>
        <top style="thin">
          <color indexed="64"/>
        </top>
      </border>
    </dxf>
    <dxf>
      <font>
        <b/>
        <charset val="162"/>
      </font>
    </dxf>
    <dxf>
      <font>
        <b/>
        <charset val="162"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ill>
        <patternFill patternType="none">
          <bgColor auto="1"/>
        </patternFill>
      </fill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microsoft.com/office/2007/relationships/slicerCache" Target="slicerCaches/slicerCache3.xml"/><Relationship Id="rId26" Type="http://schemas.microsoft.com/office/2007/relationships/slicerCache" Target="slicerCaches/slicerCache11.xml"/><Relationship Id="rId21" Type="http://schemas.microsoft.com/office/2007/relationships/slicerCache" Target="slicerCaches/slicerCache6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2.xml"/><Relationship Id="rId25" Type="http://schemas.microsoft.com/office/2007/relationships/slicerCache" Target="slicerCaches/slicerCache10.xml"/><Relationship Id="rId33" Type="http://schemas.microsoft.com/office/2007/relationships/slicerCache" Target="slicerCaches/slicerCache18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microsoft.com/office/2007/relationships/slicerCache" Target="slicerCaches/slicerCache5.xml"/><Relationship Id="rId29" Type="http://schemas.microsoft.com/office/2007/relationships/slicerCache" Target="slicerCaches/slicerCache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microsoft.com/office/2007/relationships/slicerCache" Target="slicerCaches/slicerCache9.xml"/><Relationship Id="rId32" Type="http://schemas.microsoft.com/office/2007/relationships/slicerCache" Target="slicerCaches/slicerCache17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microsoft.com/office/2007/relationships/slicerCache" Target="slicerCaches/slicerCache8.xml"/><Relationship Id="rId28" Type="http://schemas.microsoft.com/office/2007/relationships/slicerCache" Target="slicerCaches/slicerCache13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microsoft.com/office/2007/relationships/slicerCache" Target="slicerCaches/slicerCache4.xml"/><Relationship Id="rId31" Type="http://schemas.microsoft.com/office/2007/relationships/slicerCache" Target="slicerCaches/slicerCache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microsoft.com/office/2007/relationships/slicerCache" Target="slicerCaches/slicerCache7.xml"/><Relationship Id="rId27" Type="http://schemas.microsoft.com/office/2007/relationships/slicerCache" Target="slicerCaches/slicerCache12.xml"/><Relationship Id="rId30" Type="http://schemas.microsoft.com/office/2007/relationships/slicerCache" Target="slicerCaches/slicerCache15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860219</xdr:colOff>
      <xdr:row>8</xdr:row>
      <xdr:rowOff>160970</xdr:rowOff>
    </xdr:from>
    <xdr:to>
      <xdr:col>12</xdr:col>
      <xdr:colOff>377620</xdr:colOff>
      <xdr:row>18</xdr:row>
      <xdr:rowOff>173820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">
              <a:extLst>
                <a:ext uri="{FF2B5EF4-FFF2-40B4-BE49-F238E27FC236}">
                  <a16:creationId xmlns:a16="http://schemas.microsoft.com/office/drawing/2014/main" id="{A0792146-77F9-8842-1A7F-4EF45F1A06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37076" y="1532570"/>
              <a:ext cx="1825172" cy="2537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865992</xdr:colOff>
      <xdr:row>20</xdr:row>
      <xdr:rowOff>159164</xdr:rowOff>
    </xdr:from>
    <xdr:to>
      <xdr:col>12</xdr:col>
      <xdr:colOff>383393</xdr:colOff>
      <xdr:row>34</xdr:row>
      <xdr:rowOff>19975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">
              <a:extLst>
                <a:ext uri="{FF2B5EF4-FFF2-40B4-BE49-F238E27FC236}">
                  <a16:creationId xmlns:a16="http://schemas.microsoft.com/office/drawing/2014/main" id="{55D6591D-C387-A071-B0BA-F50285560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2849" y="4448135"/>
              <a:ext cx="1825172" cy="2536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1000451</xdr:colOff>
      <xdr:row>28</xdr:row>
      <xdr:rowOff>128186</xdr:rowOff>
    </xdr:from>
    <xdr:to>
      <xdr:col>13</xdr:col>
      <xdr:colOff>1181128</xdr:colOff>
      <xdr:row>42</xdr:row>
      <xdr:rowOff>665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">
              <a:extLst>
                <a:ext uri="{FF2B5EF4-FFF2-40B4-BE49-F238E27FC236}">
                  <a16:creationId xmlns:a16="http://schemas.microsoft.com/office/drawing/2014/main" id="{776145AA-8E01-1B08-9E55-A91EA9FD28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8474" y="5757349"/>
              <a:ext cx="1859654" cy="2471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842651</xdr:colOff>
      <xdr:row>1</xdr:row>
      <xdr:rowOff>6628</xdr:rowOff>
    </xdr:from>
    <xdr:to>
      <xdr:col>13</xdr:col>
      <xdr:colOff>1006002</xdr:colOff>
      <xdr:row>12</xdr:row>
      <xdr:rowOff>380825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Kazı Boyu için Kullan">
              <a:extLst>
                <a:ext uri="{FF2B5EF4-FFF2-40B4-BE49-F238E27FC236}">
                  <a16:creationId xmlns:a16="http://schemas.microsoft.com/office/drawing/2014/main" id="{C775F60C-4BA4-7EB0-3D19-459AA043D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zı Boyu için Kul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60674" y="199033"/>
              <a:ext cx="1838518" cy="24716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695325</xdr:colOff>
      <xdr:row>13</xdr:row>
      <xdr:rowOff>58607</xdr:rowOff>
    </xdr:from>
    <xdr:to>
      <xdr:col>13</xdr:col>
      <xdr:colOff>854113</xdr:colOff>
      <xdr:row>26</xdr:row>
      <xdr:rowOff>136152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3">
              <a:extLst>
                <a:ext uri="{FF2B5EF4-FFF2-40B4-BE49-F238E27FC236}">
                  <a16:creationId xmlns:a16="http://schemas.microsoft.com/office/drawing/2014/main" id="{D5270FFE-60F1-D45E-B2B6-DA35E835A9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13348" y="2889885"/>
              <a:ext cx="1841575" cy="2486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213359</xdr:colOff>
      <xdr:row>0</xdr:row>
      <xdr:rowOff>82732</xdr:rowOff>
    </xdr:from>
    <xdr:to>
      <xdr:col>13</xdr:col>
      <xdr:colOff>895893</xdr:colOff>
      <xdr:row>12</xdr:row>
      <xdr:rowOff>197849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utanak Özel No (Elle) 1">
              <a:extLst>
                <a:ext uri="{FF2B5EF4-FFF2-40B4-BE49-F238E27FC236}">
                  <a16:creationId xmlns:a16="http://schemas.microsoft.com/office/drawing/2014/main" id="{E17A270A-F8E5-5926-1531-98D60908FD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95216" y="82732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279764</xdr:colOff>
      <xdr:row>14</xdr:row>
      <xdr:rowOff>14151</xdr:rowOff>
    </xdr:from>
    <xdr:to>
      <xdr:col>11</xdr:col>
      <xdr:colOff>954679</xdr:colOff>
      <xdr:row>26</xdr:row>
      <xdr:rowOff>180431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ip 1">
              <a:extLst>
                <a:ext uri="{FF2B5EF4-FFF2-40B4-BE49-F238E27FC236}">
                  <a16:creationId xmlns:a16="http://schemas.microsoft.com/office/drawing/2014/main" id="{9AC3B5AC-0137-E1A9-B7C9-FDA5EDC61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3850" y="2953294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346166</xdr:colOff>
      <xdr:row>13</xdr:row>
      <xdr:rowOff>47896</xdr:rowOff>
    </xdr:from>
    <xdr:to>
      <xdr:col>13</xdr:col>
      <xdr:colOff>1011555</xdr:colOff>
      <xdr:row>26</xdr:row>
      <xdr:rowOff>29118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Yeri 1">
              <a:extLst>
                <a:ext uri="{FF2B5EF4-FFF2-40B4-BE49-F238E27FC236}">
                  <a16:creationId xmlns:a16="http://schemas.microsoft.com/office/drawing/2014/main" id="{4141D6F1-8469-0F12-5ADF-68CA29D07F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28023" y="2791096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596538</xdr:colOff>
      <xdr:row>0</xdr:row>
      <xdr:rowOff>51163</xdr:rowOff>
    </xdr:from>
    <xdr:to>
      <xdr:col>11</xdr:col>
      <xdr:colOff>117567</xdr:colOff>
      <xdr:row>12</xdr:row>
      <xdr:rowOff>170634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2">
              <a:extLst>
                <a:ext uri="{FF2B5EF4-FFF2-40B4-BE49-F238E27FC236}">
                  <a16:creationId xmlns:a16="http://schemas.microsoft.com/office/drawing/2014/main" id="{ED3D1799-9214-1DF9-ACE7-4BDD3C8419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3538" y="5116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822958</xdr:colOff>
      <xdr:row>1</xdr:row>
      <xdr:rowOff>28304</xdr:rowOff>
    </xdr:from>
    <xdr:to>
      <xdr:col>12</xdr:col>
      <xdr:colOff>343988</xdr:colOff>
      <xdr:row>13</xdr:row>
      <xdr:rowOff>2451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2">
              <a:extLst>
                <a:ext uri="{FF2B5EF4-FFF2-40B4-BE49-F238E27FC236}">
                  <a16:creationId xmlns:a16="http://schemas.microsoft.com/office/drawing/2014/main" id="{44747CBA-BF1E-49E6-8771-4998498CB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83044" y="224247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7622</xdr:colOff>
      <xdr:row>16</xdr:row>
      <xdr:rowOff>68580</xdr:rowOff>
    </xdr:from>
    <xdr:to>
      <xdr:col>10</xdr:col>
      <xdr:colOff>682536</xdr:colOff>
      <xdr:row>29</xdr:row>
      <xdr:rowOff>78649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 2">
              <a:extLst>
                <a:ext uri="{FF2B5EF4-FFF2-40B4-BE49-F238E27FC236}">
                  <a16:creationId xmlns:a16="http://schemas.microsoft.com/office/drawing/2014/main" id="{F0033424-3486-4AFF-9682-DDC695DEF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3822" y="2964180"/>
              <a:ext cx="1828800" cy="2459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890451</xdr:colOff>
      <xdr:row>16</xdr:row>
      <xdr:rowOff>91439</xdr:rowOff>
    </xdr:from>
    <xdr:to>
      <xdr:col>12</xdr:col>
      <xdr:colOff>401956</xdr:colOff>
      <xdr:row>29</xdr:row>
      <xdr:rowOff>93888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 2">
              <a:extLst>
                <a:ext uri="{FF2B5EF4-FFF2-40B4-BE49-F238E27FC236}">
                  <a16:creationId xmlns:a16="http://schemas.microsoft.com/office/drawing/2014/main" id="{B4FB2DCE-3662-4327-9F46-BFCF193E6F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0537" y="2987039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1121228</xdr:colOff>
      <xdr:row>0</xdr:row>
      <xdr:rowOff>192678</xdr:rowOff>
    </xdr:from>
    <xdr:to>
      <xdr:col>10</xdr:col>
      <xdr:colOff>380998</xdr:colOff>
      <xdr:row>12</xdr:row>
      <xdr:rowOff>174444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Umbrella Arch">
              <a:extLst>
                <a:ext uri="{FF2B5EF4-FFF2-40B4-BE49-F238E27FC236}">
                  <a16:creationId xmlns:a16="http://schemas.microsoft.com/office/drawing/2014/main" id="{F9C709CB-8BCB-336E-AD42-F9DD41C1E0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mbrella Arc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2285" y="192678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43544</xdr:colOff>
      <xdr:row>40</xdr:row>
      <xdr:rowOff>62048</xdr:rowOff>
    </xdr:from>
    <xdr:to>
      <xdr:col>10</xdr:col>
      <xdr:colOff>703218</xdr:colOff>
      <xdr:row>53</xdr:row>
      <xdr:rowOff>22043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1">
              <a:extLst>
                <a:ext uri="{FF2B5EF4-FFF2-40B4-BE49-F238E27FC236}">
                  <a16:creationId xmlns:a16="http://schemas.microsoft.com/office/drawing/2014/main" id="{206987F5-4371-1234-C2C4-E74B4F25DA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6270" y="5664381"/>
              <a:ext cx="1827712" cy="2395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745671</xdr:colOff>
      <xdr:row>20</xdr:row>
      <xdr:rowOff>132806</xdr:rowOff>
    </xdr:from>
    <xdr:to>
      <xdr:col>12</xdr:col>
      <xdr:colOff>266699</xdr:colOff>
      <xdr:row>33</xdr:row>
      <xdr:rowOff>60144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">
              <a:extLst>
                <a:ext uri="{FF2B5EF4-FFF2-40B4-BE49-F238E27FC236}">
                  <a16:creationId xmlns:a16="http://schemas.microsoft.com/office/drawing/2014/main" id="{CA66BE0F-69FE-CBAA-F9E1-AE028DCB2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4861" y="3892187"/>
              <a:ext cx="1838052" cy="2396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910046</xdr:colOff>
      <xdr:row>20</xdr:row>
      <xdr:rowOff>166553</xdr:rowOff>
    </xdr:from>
    <xdr:to>
      <xdr:col>10</xdr:col>
      <xdr:colOff>210095</xdr:colOff>
      <xdr:row>33</xdr:row>
      <xdr:rowOff>91986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3">
              <a:extLst>
                <a:ext uri="{FF2B5EF4-FFF2-40B4-BE49-F238E27FC236}">
                  <a16:creationId xmlns:a16="http://schemas.microsoft.com/office/drawing/2014/main" id="{166A98B2-BDA7-733E-3274-AB5FF163D0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6605" y="3925934"/>
              <a:ext cx="1842680" cy="2394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889364</xdr:colOff>
      <xdr:row>5</xdr:row>
      <xdr:rowOff>47898</xdr:rowOff>
    </xdr:from>
    <xdr:to>
      <xdr:col>12</xdr:col>
      <xdr:colOff>398962</xdr:colOff>
      <xdr:row>17</xdr:row>
      <xdr:rowOff>16873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Ø 14 'lük Zemin Çivisi">
              <a:extLst>
                <a:ext uri="{FF2B5EF4-FFF2-40B4-BE49-F238E27FC236}">
                  <a16:creationId xmlns:a16="http://schemas.microsoft.com/office/drawing/2014/main" id="{7AD3E3F7-F7B3-0DEB-A9B6-6DF42D2169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14 'lü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6174" y="1002303"/>
              <a:ext cx="1828527" cy="2386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1260565</xdr:colOff>
      <xdr:row>7</xdr:row>
      <xdr:rowOff>146957</xdr:rowOff>
    </xdr:from>
    <xdr:to>
      <xdr:col>10</xdr:col>
      <xdr:colOff>552994</xdr:colOff>
      <xdr:row>19</xdr:row>
      <xdr:rowOff>130628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Ø 26 'lık Zemin Çivisi">
              <a:extLst>
                <a:ext uri="{FF2B5EF4-FFF2-40B4-BE49-F238E27FC236}">
                  <a16:creationId xmlns:a16="http://schemas.microsoft.com/office/drawing/2014/main" id="{3EBDF5B8-C3F2-2C0C-AA40-901FBCB51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26 'lı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9029" y="1478552"/>
              <a:ext cx="1833155" cy="23853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yeni%20tutanak/Ocak%202026%20NATM%20Tutanaklar&#305;/Barbaros/S07-%20Barbaros%20Hat%20-2%20B1.BA&#286;LANTI%202-%20P2%20Y&#214;N&#220;%20-%20Altyar&#305;%20(B1-103)%2001.2026+.xlsx" TargetMode="External"/><Relationship Id="rId2" Type="http://schemas.openxmlformats.org/officeDocument/2006/relationships/externalLinkPath" Target="file:///C:\Users\rbasak\Desktop\yeni%20tutanak\Ocak%202026%20NATM%20Tutanaklar&#305;\Barbaros\S07-%20Barbaros%20Hat%20-2%20B1.BA&#286;LANTI%202-%20P2%20Y&#214;N&#220;%20-%20Altyar&#305;%20(B1-103)%2001.2026+.xlsx" TargetMode="External"/><Relationship Id="rId1" Type="http://schemas.openxmlformats.org/officeDocument/2006/relationships/externalLinkPath" Target="/Users/rbasak/Desktop/yeni%20tutanak/Ocak%202026%20NATM%20Tutanaklar&#305;/Barbaros/S07-%20Barbaros%20Hat%20-2%20B1.BA&#286;LANTI%202-%20P2%20Y&#214;N&#220;%20-%20Altyar&#305;%20(B1-103)%2001.2026+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03.12.2025/r00-Ekim2025%20D&#246;nemi/NATM%20DATA/ATF/10.2025%20ATF/MALAZG&#304;RT/S07-%20Malazgirt%20Hat%20-1%20B1.BA&#286;LANTI%202-%20P2%20Y&#214;N&#220;%20-%20&#220;styar&#305;.xlsx" TargetMode="External"/><Relationship Id="rId2" Type="http://schemas.openxmlformats.org/officeDocument/2006/relationships/externalLinkPath" Target="file:///C:\Users\rbasak\Desktop\Ekim%202025%20&#231;al&#305;&#351;ma%20devam%20ediyoe\r00-Ekim2025%20D&#246;nemi\NATM%20DATA\ATF\MALAZG&#304;RT\S07-%20Malazgirt%20Hat%20-1%20B1.BA&#286;LANTI%202-%20P2%20Y&#214;N&#220;%20-%20&#220;styar&#305;.xlsx" TargetMode="External"/><Relationship Id="rId1" Type="http://schemas.openxmlformats.org/officeDocument/2006/relationships/externalLinkPath" Target="/Users/rbasak/Desktop/03.12.2025/r00-Ekim2025%20D&#246;nemi/NATM%20DATA/ATF/10.2025%20ATF/MALAZG&#304;RT/S07-%20Malazgirt%20Hat%20-1%20B1.BA&#286;LANTI%202-%20P2%20Y&#214;N&#220;%20-%20&#220;styar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UTANAK"/>
      <sheetName val="KAZI-İKSA"/>
      <sheetName val="BULON"/>
      <sheetName val="UMBRELLA ARCH"/>
      <sheetName val="ZEMİN ÇİVİSİ"/>
      <sheetName val="AYNA"/>
      <sheetName val="DATA"/>
      <sheetName val="AYNA TAKİP"/>
      <sheetName val="Kontrol"/>
    </sheetNames>
    <sheetDataSet>
      <sheetData sheetId="0">
        <row r="6">
          <cell r="D6" t="str">
            <v>2026.01-017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UTANAK"/>
      <sheetName val="KAZI-İKSA"/>
      <sheetName val="BULON"/>
      <sheetName val="UMBRELLA ARCH"/>
      <sheetName val="ZEMİN ÇİVİSİ"/>
      <sheetName val="AYNA"/>
      <sheetName val="DATA"/>
      <sheetName val="AYNA TAKİP"/>
      <sheetName val="Kontrol"/>
    </sheetNames>
    <sheetDataSet>
      <sheetData sheetId="0" refreshError="1">
        <row r="6">
          <cell r="D6" t="str">
            <v>2025.10-019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27.524665740741" createdVersion="8" refreshedVersion="8" minRefreshableVersion="3" recordCount="116" xr:uid="{C612734E-4F16-4456-8066-D2CFB1F79CC3}">
  <cacheSource type="worksheet">
    <worksheetSource ref="A1:T1048576" sheet="DATA"/>
  </cacheSource>
  <cacheFields count="22">
    <cacheField name="Tutanak Genel No (Elle)" numFmtId="0">
      <sharedItems containsBlank="1" count="5">
        <s v="2026.01-017"/>
        <m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5">
        <s v="S06.H2.B1.BAĞ2-P2.-A-001"/>
        <m/>
        <n v="1" u="1"/>
        <n v="2" u="1"/>
        <n v="3" u="1"/>
      </sharedItems>
    </cacheField>
    <cacheField name="Kazı Boyu için Kullan" numFmtId="0">
      <sharedItems containsBlank="1" count="3">
        <b v="0"/>
        <m/>
        <b v="1" u="1"/>
      </sharedItems>
    </cacheField>
    <cacheField name="Ödeme" numFmtId="0">
      <sharedItems containsNonDate="0" containsString="0" containsBlank="1"/>
    </cacheField>
    <cacheField name="Tip" numFmtId="0">
      <sharedItems containsBlank="1" count="7">
        <b v="0"/>
        <s v="KAZI-PÜS-H.ÇELİK"/>
        <m/>
        <s v="SÜREN" u="1"/>
        <s v="ZEMİN ÇİVİSİ" u="1"/>
        <s v="BULON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73">
        <s v="TBT-NATM-S06-141"/>
        <s v="KDT-NATM-S06-899"/>
        <s v="KDT-NATM-S06-890"/>
        <s v="KDO-NATM-S06-883"/>
        <m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  <s v="KDO-NATM-S07-1" u="1"/>
        <s v="KDO-NATM-S07-3" u="1"/>
        <s v="KDO-NATM-S07-4" u="1"/>
        <s v="KDO-NATM-S07-7" u="1"/>
        <s v="KDO-NATM-S07-8" u="1"/>
        <s v="KDO-NATM-S07-12" u="1"/>
        <s v="KDO-NATM-S07-19" u="1"/>
        <s v="KDO-NATM-S07-20" u="1"/>
        <s v="KDO-NATM-S07-23" u="1"/>
        <s v="KDO-NATM-S07-32" u="1"/>
        <s v="KDO-NATM-S07-36" u="1"/>
        <s v="KDO-NATM-S07-39" u="1"/>
      </sharedItems>
    </cacheField>
    <cacheField name="Tarih" numFmtId="0">
      <sharedItems containsNonDate="0" containsDate="1" containsString="0" containsBlank="1" minDate="2025-06-20T00:00:00" maxDate="2026-01-28T00:00:00" count="50">
        <d v="2026-01-24T00:00:00"/>
        <d v="2026-01-27T00:00:00"/>
        <d v="2026-01-26T00:00:00"/>
        <d v="2026-01-25T00:00:00"/>
        <m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  <d v="2025-07-11T00:00:00" u="1"/>
      </sharedItems>
      <fieldGroup par="21"/>
    </cacheField>
    <cacheField name="Kilometre" numFmtId="0">
      <sharedItems containsString="0" containsBlank="1" containsNumber="1" minValue="49.69" maxValue="2124.9299999999998" count="91">
        <n v="57"/>
        <n v="56.69"/>
        <n v="56.19"/>
        <n v="55.69"/>
        <n v="54.94"/>
        <n v="54.19"/>
        <n v="53.44"/>
        <n v="52.69"/>
        <n v="51.94"/>
        <n v="51.19"/>
        <n v="50.44"/>
        <n v="49.69"/>
        <m/>
        <n v="56.44"/>
        <n v="55.94"/>
        <n v="55.32"/>
        <n v="54.57"/>
        <n v="53.82"/>
        <n v="53.07"/>
        <n v="52.32"/>
        <n v="51.57"/>
        <n v="50.82"/>
        <n v="50.07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/>
    </cacheField>
    <cacheField name="Açıklama-2" numFmtId="0">
      <sharedItems containsBlank="1" containsMixedTypes="1" containsNumber="1" containsInteger="1" minValue="1" maxValue="6" count="13">
        <m/>
        <s v="Umbrella-2"/>
        <s v="Umbrella-3"/>
        <s v="Umbrella-4"/>
        <s v="Umbrella-5"/>
        <s v="Umbrella-6"/>
        <s v="Umbrella-1"/>
        <n v="1" u="1"/>
        <n v="2" u="1"/>
        <n v="3" u="1"/>
        <n v="4" u="1"/>
        <n v="5" u="1"/>
        <n v="6" u="1"/>
      </sharedItems>
    </cacheField>
    <cacheField name="Kazı" numFmtId="0">
      <sharedItems containsBlank="1"/>
    </cacheField>
    <cacheField name="Çelik Hasır" numFmtId="0">
      <sharedItems containsBlank="1" count="6">
        <m/>
        <s v="Q377/377-Çift Kat"/>
        <s v="Q589/589-Çift Kat" u="1"/>
        <s v="3xQ221/221-Çift Kat" u="1"/>
        <s v="Ø589/589-Çift Kat" u="1"/>
        <s v="Ø221/221-Üç Kat" u="1"/>
      </sharedItems>
    </cacheField>
    <cacheField name="Püskürtme Betonu " numFmtId="0">
      <sharedItems containsBlank="1" count="3">
        <m/>
        <s v="30 cm atıldı"/>
        <s v="25 cm atıldı" u="1"/>
      </sharedItems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NonDate="0" containsString="0" containsBlank="1"/>
    </cacheField>
    <cacheField name="Gün (Tarih)" numFmtId="0" databaseField="0">
      <fieldGroup base="11">
        <rangePr groupBy="days" startDate="2026-01-24T00:00:00" endDate="2026-01-28T00:00:00"/>
        <groupItems count="368">
          <s v="&lt;24.01.2026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1.2026"/>
        </groupItems>
      </fieldGroup>
    </cacheField>
    <cacheField name="Ay (Tarih)" numFmtId="0" databaseField="0">
      <fieldGroup base="11">
        <rangePr groupBy="months" startDate="2026-01-24T00:00:00" endDate="2026-01-28T00:00:00"/>
        <groupItems count="14">
          <s v="&lt;24.01.2026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1.2026"/>
        </groupItems>
      </fieldGroup>
    </cacheField>
  </cacheFields>
  <extLst>
    <ext xmlns:x14="http://schemas.microsoft.com/office/spreadsheetml/2009/9/main" uri="{725AE2AE-9491-48be-B2B4-4EB974FC3084}">
      <x14:pivotCacheDefinition pivotCacheId="156263344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27.525027546297" createdVersion="8" refreshedVersion="8" minRefreshableVersion="3" recordCount="116" xr:uid="{CE81669E-9CE4-40BB-ACD9-08F740C63FC4}">
  <cacheSource type="worksheet">
    <worksheetSource ref="A1:V1048576" sheet="DATA"/>
  </cacheSource>
  <cacheFields count="24">
    <cacheField name="Tutanak Genel No (Elle)" numFmtId="0">
      <sharedItems containsBlank="1" count="5">
        <s v="2026.01-017"/>
        <m/>
        <s v="2025.06-002" u="1"/>
        <s v="2025.07-007" u="1"/>
        <s v="2025.08-007" u="1"/>
      </sharedItems>
    </cacheField>
    <cacheField name="Tutanak Özel No (Elle)" numFmtId="0">
      <sharedItems containsBlank="1"/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57">
        <s v="TBT-NATM-S06-141"/>
        <s v="KDT-NATM-S06-899"/>
        <s v="KDT-NATM-S06-890"/>
        <s v="KDO-NATM-S06-883"/>
        <m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</sharedItems>
    </cacheField>
    <cacheField name="Tarih" numFmtId="0">
      <sharedItems containsNonDate="0" containsDate="1" containsString="0" containsBlank="1" minDate="2025-06-20T00:00:00" maxDate="2026-01-28T00:00:00" count="49">
        <d v="2026-01-24T00:00:00"/>
        <d v="2026-01-27T00:00:00"/>
        <d v="2026-01-26T00:00:00"/>
        <d v="2026-01-25T00:00:00"/>
        <m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  <fieldGroup par="23"/>
    </cacheField>
    <cacheField name="Kilometre" numFmtId="0">
      <sharedItems containsString="0" containsBlank="1" containsNumber="1" minValue="49.69" maxValue="2124.48" count="90">
        <n v="57"/>
        <n v="56.69"/>
        <n v="56.19"/>
        <n v="55.69"/>
        <n v="54.94"/>
        <n v="54.19"/>
        <n v="53.44"/>
        <n v="52.69"/>
        <n v="51.94"/>
        <n v="51.19"/>
        <n v="50.44"/>
        <n v="49.69"/>
        <m/>
        <n v="56.44"/>
        <n v="55.94"/>
        <n v="55.32"/>
        <n v="54.57"/>
        <n v="53.82"/>
        <n v="53.07"/>
        <n v="52.32"/>
        <n v="51.57"/>
        <n v="50.82"/>
        <n v="50.07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NonDate="0" containsString="0" containsBlank="1"/>
    </cacheField>
    <cacheField name="S" numFmtId="0">
      <sharedItems containsNonDate="0" containsString="0" containsBlank="1"/>
    </cacheField>
    <cacheField name="Umbrella Arch" numFmtId="0">
      <sharedItems containsNonDate="0" containsString="0" containsBlank="1" containsNumber="1" containsInteger="1" minValue="414" maxValue="522" count="5">
        <m/>
        <n v="414" u="1"/>
        <n v="423" u="1"/>
        <n v="522" u="1"/>
        <n v="468" u="1"/>
      </sharedItems>
    </cacheField>
    <cacheField name="Gün (Tarih)" numFmtId="0" databaseField="0">
      <fieldGroup base="11">
        <rangePr groupBy="days" startDate="2026-01-24T00:00:00" endDate="2026-01-28T00:00:00"/>
        <groupItems count="368">
          <s v="&lt;24.01.2026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1.2026"/>
        </groupItems>
      </fieldGroup>
    </cacheField>
    <cacheField name="Ay (Tarih)" numFmtId="0" databaseField="0">
      <fieldGroup base="11">
        <rangePr groupBy="months" startDate="2026-01-24T00:00:00" endDate="2026-01-28T00:00:00"/>
        <groupItems count="14">
          <s v="&lt;24.01.2026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1.2026"/>
        </groupItems>
      </fieldGroup>
    </cacheField>
  </cacheFields>
  <extLst>
    <ext xmlns:x14="http://schemas.microsoft.com/office/spreadsheetml/2009/9/main" uri="{725AE2AE-9491-48be-B2B4-4EB974FC3084}">
      <x14:pivotCacheDefinition pivotCacheId="103294372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27.525190162036" createdVersion="8" refreshedVersion="8" minRefreshableVersion="3" recordCount="116" xr:uid="{27173BB5-B9AF-4EBA-ABBB-078A14BCB575}">
  <cacheSource type="worksheet">
    <worksheetSource ref="A1:AF1048576" sheet="DATA"/>
  </cacheSource>
  <cacheFields count="34">
    <cacheField name="Tutanak Genel No (Elle)" numFmtId="0">
      <sharedItems containsBlank="1" count="6">
        <s v="2026.01-017"/>
        <m/>
        <s v="2025.06-002" u="1"/>
        <s v="2025.07-007" u="1"/>
        <s v="2025.08-007" u="1"/>
        <s v="2025.08-002" u="1"/>
      </sharedItems>
    </cacheField>
    <cacheField name="Tutanak Özel No (Elle)" numFmtId="0">
      <sharedItems containsBlank="1" containsMixedTypes="1" containsNumber="1" containsInteger="1" minValue="1" maxValue="3" count="5">
        <s v="S06.H2.B1.BAĞ2-P2.-A-001"/>
        <m/>
        <n v="1" u="1"/>
        <n v="2" u="1"/>
        <n v="3" u="1"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43">
        <s v="TBT-NATM-S06-141"/>
        <s v="KDT-NATM-S06-899"/>
        <s v="KDT-NATM-S06-890"/>
        <s v="KDO-NATM-S06-883"/>
        <m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</sharedItems>
    </cacheField>
    <cacheField name="Tarih" numFmtId="0">
      <sharedItems containsNonDate="0" containsDate="1" containsString="0" containsBlank="1" minDate="2025-06-22T00:00:00" maxDate="2026-01-28T00:00:00" count="36">
        <d v="2026-01-24T00:00:00"/>
        <d v="2026-01-27T00:00:00"/>
        <d v="2026-01-26T00:00:00"/>
        <d v="2026-01-25T00:00:00"/>
        <m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</sharedItems>
      <fieldGroup par="33"/>
    </cacheField>
    <cacheField name="Kilometre" numFmtId="0">
      <sharedItems containsString="0" containsBlank="1" containsNumber="1" minValue="49.69" maxValue="2124.48" count="90">
        <n v="57"/>
        <n v="56.69"/>
        <n v="56.19"/>
        <n v="55.69"/>
        <n v="54.94"/>
        <n v="54.19"/>
        <n v="53.44"/>
        <n v="52.69"/>
        <n v="51.94"/>
        <n v="51.19"/>
        <n v="50.44"/>
        <n v="49.69"/>
        <m/>
        <n v="56.44"/>
        <n v="55.94"/>
        <n v="55.32"/>
        <n v="54.57"/>
        <n v="53.82"/>
        <n v="53.07"/>
        <n v="52.32"/>
        <n v="51.57"/>
        <n v="50.82"/>
        <n v="50.07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NonDate="0" containsString="0" containsBlank="1"/>
    </cacheField>
    <cacheField name="S" numFmtId="0">
      <sharedItems containsNonDate="0" containsString="0" containsBlank="1"/>
    </cacheField>
    <cacheField name="Umbrella Arch" numFmtId="0">
      <sharedItems containsNonDate="0" containsString="0" containsBlank="1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NonDate="0" containsString="0" containsBlank="1"/>
    </cacheField>
    <cacheField name="S3" numFmtId="0">
      <sharedItems containsNonDate="0" containsString="0" containsBlank="1"/>
    </cacheField>
    <cacheField name="Ø 14 'lük Zemin Çivisi" numFmtId="0">
      <sharedItems containsNonDate="0" containsString="0" containsBlank="1" containsNumber="1" containsInteger="1" minValue="162" maxValue="162" count="2">
        <m/>
        <n v="162" u="1"/>
      </sharedItems>
    </cacheField>
    <cacheField name="Ø 26 'lık Zemin Çivisi" numFmtId="0">
      <sharedItems containsNonDate="0" containsString="0" containsBlank="1" count="1">
        <m/>
      </sharedItems>
    </cacheField>
    <cacheField name="Gün (Tarih)" numFmtId="0" databaseField="0">
      <fieldGroup base="11">
        <rangePr groupBy="days" startDate="2026-01-24T00:00:00" endDate="2026-01-28T00:00:00"/>
        <groupItems count="368">
          <s v="&lt;24.01.2026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1.2026"/>
        </groupItems>
      </fieldGroup>
    </cacheField>
    <cacheField name="Ay (Tarih)" numFmtId="0" databaseField="0">
      <fieldGroup base="11">
        <rangePr groupBy="months" startDate="2026-01-24T00:00:00" endDate="2026-01-28T00:00:00"/>
        <groupItems count="14">
          <s v="&lt;24.01.2026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1.2026"/>
        </groupItems>
      </fieldGroup>
    </cacheField>
  </cacheFields>
  <extLst>
    <ext xmlns:x14="http://schemas.microsoft.com/office/spreadsheetml/2009/9/main" uri="{725AE2AE-9491-48be-B2B4-4EB974FC3084}">
      <x14:pivotCacheDefinition pivotCacheId="212227944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50.419615162034" createdVersion="8" refreshedVersion="8" minRefreshableVersion="3" recordCount="26" xr:uid="{372B731E-8D71-47E9-A977-C1EC11F4E601}">
  <cacheSource type="worksheet">
    <worksheetSource ref="A1:AC1048576" sheet="DATA"/>
  </cacheSource>
  <cacheFields count="31">
    <cacheField name="Tutanak Genel No (Elle)" numFmtId="0">
      <sharedItems containsBlank="1" count="6">
        <s v="2026.01-017"/>
        <m/>
        <s v="2026.04-010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6">
        <s v="S06.H2.B1.BAĞ2-P2.-A-001"/>
        <m/>
        <s v="S06.H2.B1.BAĞ2-P2.-A-002"/>
        <n v="1" u="1"/>
        <n v="2" u="1"/>
        <n v="3" u="1"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 count="7">
        <b v="0"/>
        <s v="KAZI-PÜS-H.ÇELİK"/>
        <m/>
        <s v="BULON"/>
        <s v="SÜREN" u="1"/>
        <s v="ZEMİN ÇİVİSİ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62">
        <s v="TBT-NATM-S06-141"/>
        <s v="KDT-NATM-S06-899"/>
        <s v="KDT-NATM-S06-890"/>
        <s v="KDO-NATM-S06-883"/>
        <m/>
        <s v="TBT-NATM-S06-251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</sharedItems>
    </cacheField>
    <cacheField name="Tarih" numFmtId="0">
      <sharedItems containsNonDate="0" containsDate="1" containsString="0" containsBlank="1" minDate="2025-06-20T00:00:00" maxDate="2026-04-09T00:00:00" count="51">
        <d v="2026-01-24T00:00:00"/>
        <d v="2026-01-27T00:00:00"/>
        <d v="2026-01-26T00:00:00"/>
        <d v="2026-01-25T00:00:00"/>
        <m/>
        <d v="2026-04-08T00:00:00"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  <d v="2025-07-11T00:00:00" u="1"/>
      </sharedItems>
      <fieldGroup par="30"/>
    </cacheField>
    <cacheField name="Kilometre" numFmtId="0">
      <sharedItems containsString="0" containsBlank="1" containsNumber="1" minValue="49.69" maxValue="2124.9299999999998" count="91">
        <n v="57"/>
        <n v="56.69"/>
        <n v="56.19"/>
        <n v="55.69"/>
        <n v="54.94"/>
        <n v="54.19"/>
        <n v="53.44"/>
        <n v="52.69"/>
        <n v="51.94"/>
        <n v="51.19"/>
        <n v="50.44"/>
        <n v="49.69"/>
        <m/>
        <n v="56.44"/>
        <n v="55.94"/>
        <n v="55.32"/>
        <n v="54.57"/>
        <n v="53.82"/>
        <n v="53.07"/>
        <n v="52.32"/>
        <n v="51.57"/>
        <n v="50.82"/>
        <n v="50.07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NonDate="0" containsString="0" containsBlank="1"/>
    </cacheField>
    <cacheField name="S" numFmtId="0">
      <sharedItems containsNonDate="0" containsString="0" containsBlank="1"/>
    </cacheField>
    <cacheField name="Umbrella Arch" numFmtId="0">
      <sharedItems containsNonDate="0" containsString="0" containsBlank="1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20" maxValue="20"/>
    </cacheField>
    <cacheField name="Gün (Tarih)" numFmtId="0" databaseField="0">
      <fieldGroup base="11">
        <rangePr groupBy="days" startDate="2026-01-24T00:00:00" endDate="2026-04-09T00:00:00"/>
        <groupItems count="368">
          <s v="&lt;24.01.2026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9.04.2026"/>
        </groupItems>
      </fieldGroup>
    </cacheField>
    <cacheField name="Ay (Tarih)" numFmtId="0" databaseField="0">
      <fieldGroup base="11">
        <rangePr groupBy="months" startDate="2026-01-24T00:00:00" endDate="2026-04-09T00:00:00"/>
        <groupItems count="14">
          <s v="&lt;24.01.2026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9.04.2026"/>
        </groupItems>
      </fieldGroup>
    </cacheField>
  </cacheFields>
  <extLst>
    <ext xmlns:x14="http://schemas.microsoft.com/office/spreadsheetml/2009/9/main" uri="{725AE2AE-9491-48be-B2B4-4EB974FC3084}">
      <x14:pivotCacheDefinition pivotCacheId="4857546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x v="0"/>
    <m/>
    <x v="0"/>
    <s v="S06-Barbaros İstasyonu"/>
    <s v="Hat-2"/>
    <s v="B1"/>
    <s v="Bağlantı -2 P2 Yönü"/>
    <x v="0"/>
    <x v="0"/>
    <x v="0"/>
    <x v="0"/>
    <m/>
    <x v="0"/>
    <m/>
    <x v="0"/>
    <x v="0"/>
    <m/>
    <m/>
  </r>
  <r>
    <x v="0"/>
    <x v="0"/>
    <x v="0"/>
    <m/>
    <x v="1"/>
    <s v="S06-Barbaros İstasyonu"/>
    <s v="Hat-2"/>
    <s v="B1"/>
    <s v="Bağlantı -2 P2 Yönü"/>
    <x v="0"/>
    <x v="1"/>
    <x v="1"/>
    <x v="1"/>
    <s v="KALICI"/>
    <x v="1"/>
    <s v="Tamamlandı"/>
    <x v="1"/>
    <x v="1"/>
    <n v="1"/>
    <m/>
  </r>
  <r>
    <x v="0"/>
    <x v="0"/>
    <x v="0"/>
    <m/>
    <x v="1"/>
    <s v="S06-Barbaros İstasyonu"/>
    <s v="Hat-2"/>
    <s v="B1"/>
    <s v="Bağlantı -2 P2 Yönü"/>
    <x v="0"/>
    <x v="1"/>
    <x v="1"/>
    <x v="2"/>
    <s v="KALICI"/>
    <x v="2"/>
    <s v="Tamamlandı"/>
    <x v="1"/>
    <x v="1"/>
    <n v="1"/>
    <m/>
  </r>
  <r>
    <x v="0"/>
    <x v="0"/>
    <x v="0"/>
    <m/>
    <x v="1"/>
    <s v="S06-Barbaros İstasyonu"/>
    <s v="Hat-2"/>
    <s v="B1"/>
    <s v="Bağlantı -2 P2 Yönü"/>
    <x v="0"/>
    <x v="1"/>
    <x v="1"/>
    <x v="3"/>
    <s v="KALICI"/>
    <x v="3"/>
    <s v="Tamamlandı"/>
    <x v="1"/>
    <x v="1"/>
    <n v="1"/>
    <m/>
  </r>
  <r>
    <x v="0"/>
    <x v="0"/>
    <x v="0"/>
    <m/>
    <x v="1"/>
    <s v="S06-Barbaros İstasyonu"/>
    <s v="Hat-2"/>
    <s v="B1"/>
    <s v="Bağlantı -2 P2 Yönü"/>
    <x v="0"/>
    <x v="2"/>
    <x v="2"/>
    <x v="4"/>
    <s v="KALICI"/>
    <x v="4"/>
    <s v="Tamamlandı"/>
    <x v="1"/>
    <x v="1"/>
    <n v="1"/>
    <m/>
  </r>
  <r>
    <x v="0"/>
    <x v="0"/>
    <x v="0"/>
    <m/>
    <x v="1"/>
    <s v="S06-Barbaros İstasyonu"/>
    <s v="Hat-2"/>
    <s v="B1"/>
    <s v="Bağlantı -2 P2 Yönü"/>
    <x v="0"/>
    <x v="2"/>
    <x v="2"/>
    <x v="5"/>
    <s v="KALICI"/>
    <x v="5"/>
    <s v="Tamamlandı"/>
    <x v="1"/>
    <x v="1"/>
    <n v="1"/>
    <m/>
  </r>
  <r>
    <x v="0"/>
    <x v="0"/>
    <x v="0"/>
    <m/>
    <x v="1"/>
    <s v="S06-Barbaros İstasyonu"/>
    <s v="Hat-2"/>
    <s v="B1"/>
    <s v="Bağlantı -2 P2 Yönü"/>
    <x v="0"/>
    <x v="2"/>
    <x v="2"/>
    <x v="6"/>
    <s v="KALICI"/>
    <x v="6"/>
    <s v="Tamamlandı"/>
    <x v="1"/>
    <x v="1"/>
    <n v="1"/>
    <m/>
  </r>
  <r>
    <x v="0"/>
    <x v="0"/>
    <x v="0"/>
    <m/>
    <x v="1"/>
    <s v="S06-Barbaros İstasyonu"/>
    <s v="Hat-2"/>
    <s v="B1"/>
    <s v="Bağlantı -2 P2 Yönü"/>
    <x v="0"/>
    <x v="2"/>
    <x v="2"/>
    <x v="7"/>
    <s v="KALICI"/>
    <x v="1"/>
    <s v="Tamamlandı"/>
    <x v="1"/>
    <x v="1"/>
    <n v="1"/>
    <m/>
  </r>
  <r>
    <x v="0"/>
    <x v="0"/>
    <x v="0"/>
    <m/>
    <x v="1"/>
    <s v="S06-Barbaros İstasyonu"/>
    <s v="Hat-2"/>
    <s v="B1"/>
    <s v="Bağlantı -2 P2 Yönü"/>
    <x v="0"/>
    <x v="3"/>
    <x v="3"/>
    <x v="8"/>
    <s v="KALICI"/>
    <x v="2"/>
    <s v="Tamamlandı"/>
    <x v="1"/>
    <x v="1"/>
    <n v="1"/>
    <m/>
  </r>
  <r>
    <x v="0"/>
    <x v="0"/>
    <x v="0"/>
    <m/>
    <x v="1"/>
    <s v="S06-Barbaros İstasyonu"/>
    <s v="Hat-2"/>
    <s v="B1"/>
    <s v="Bağlantı -2 P2 Yönü"/>
    <x v="0"/>
    <x v="3"/>
    <x v="3"/>
    <x v="9"/>
    <s v="KALICI"/>
    <x v="3"/>
    <s v="Tamamlandı"/>
    <x v="1"/>
    <x v="1"/>
    <n v="1"/>
    <m/>
  </r>
  <r>
    <x v="0"/>
    <x v="0"/>
    <x v="0"/>
    <m/>
    <x v="1"/>
    <s v="S06-Barbaros İstasyonu"/>
    <s v="Hat-2"/>
    <s v="B1"/>
    <s v="Bağlantı -2 P2 Yönü"/>
    <x v="0"/>
    <x v="3"/>
    <x v="3"/>
    <x v="10"/>
    <s v="KALICI"/>
    <x v="4"/>
    <s v="Tamamlandı"/>
    <x v="1"/>
    <x v="1"/>
    <n v="1"/>
    <m/>
  </r>
  <r>
    <x v="0"/>
    <x v="0"/>
    <x v="0"/>
    <m/>
    <x v="1"/>
    <s v="S06-Barbaros İstasyonu"/>
    <s v="Hat-2"/>
    <s v="B1"/>
    <s v="Bağlantı -2 P2 Yönü"/>
    <x v="0"/>
    <x v="3"/>
    <x v="3"/>
    <x v="11"/>
    <s v="KALICI"/>
    <x v="5"/>
    <s v="Tamamlandı"/>
    <x v="1"/>
    <x v="1"/>
    <n v="1"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0"/>
    <x v="0"/>
    <x v="0"/>
    <m/>
    <x v="0"/>
    <s v="S06-Barbaros İstasyonu"/>
    <s v="Hat-2"/>
    <s v="B1"/>
    <s v="Bağlantı -2 P2 Yönü"/>
    <x v="0"/>
    <x v="0"/>
    <x v="0"/>
    <x v="13"/>
    <m/>
    <x v="0"/>
    <m/>
    <x v="0"/>
    <x v="0"/>
    <m/>
    <m/>
  </r>
  <r>
    <x v="0"/>
    <x v="0"/>
    <x v="0"/>
    <m/>
    <x v="0"/>
    <s v="S06-Barbaros İstasyonu"/>
    <s v="Hat-2"/>
    <s v="B1"/>
    <s v="Bağlantı -2 P2 Yönü"/>
    <x v="0"/>
    <x v="0"/>
    <x v="0"/>
    <x v="14"/>
    <m/>
    <x v="0"/>
    <m/>
    <x v="0"/>
    <x v="0"/>
    <m/>
    <m/>
  </r>
  <r>
    <x v="0"/>
    <x v="0"/>
    <x v="0"/>
    <m/>
    <x v="0"/>
    <s v="S06-Barbaros İstasyonu"/>
    <s v="Hat-2"/>
    <s v="B1"/>
    <s v="Bağlantı -2 P2 Yönü"/>
    <x v="0"/>
    <x v="0"/>
    <x v="0"/>
    <x v="15"/>
    <m/>
    <x v="0"/>
    <m/>
    <x v="0"/>
    <x v="0"/>
    <m/>
    <m/>
  </r>
  <r>
    <x v="0"/>
    <x v="0"/>
    <x v="0"/>
    <m/>
    <x v="0"/>
    <s v="S06-Barbaros İstasyonu"/>
    <s v="Hat-2"/>
    <s v="B1"/>
    <s v="Bağlantı -2 P2 Yönü"/>
    <x v="0"/>
    <x v="0"/>
    <x v="0"/>
    <x v="16"/>
    <m/>
    <x v="0"/>
    <m/>
    <x v="0"/>
    <x v="0"/>
    <m/>
    <m/>
  </r>
  <r>
    <x v="0"/>
    <x v="0"/>
    <x v="0"/>
    <m/>
    <x v="0"/>
    <s v="S06-Barbaros İstasyonu"/>
    <s v="Hat-2"/>
    <s v="B1"/>
    <s v="Bağlantı -2 P2 Yönü"/>
    <x v="0"/>
    <x v="0"/>
    <x v="0"/>
    <x v="17"/>
    <m/>
    <x v="0"/>
    <m/>
    <x v="0"/>
    <x v="0"/>
    <m/>
    <m/>
  </r>
  <r>
    <x v="0"/>
    <x v="0"/>
    <x v="0"/>
    <m/>
    <x v="0"/>
    <s v="S06-Barbaros İstasyonu"/>
    <s v="Hat-2"/>
    <s v="B1"/>
    <s v="Bağlantı -2 P2 Yönü"/>
    <x v="0"/>
    <x v="0"/>
    <x v="0"/>
    <x v="18"/>
    <m/>
    <x v="0"/>
    <m/>
    <x v="0"/>
    <x v="0"/>
    <m/>
    <m/>
  </r>
  <r>
    <x v="0"/>
    <x v="0"/>
    <x v="0"/>
    <m/>
    <x v="0"/>
    <s v="S06-Barbaros İstasyonu"/>
    <s v="Hat-2"/>
    <s v="B1"/>
    <s v="Bağlantı -2 P2 Yönü"/>
    <x v="0"/>
    <x v="0"/>
    <x v="0"/>
    <x v="19"/>
    <m/>
    <x v="0"/>
    <m/>
    <x v="0"/>
    <x v="0"/>
    <m/>
    <m/>
  </r>
  <r>
    <x v="0"/>
    <x v="0"/>
    <x v="0"/>
    <m/>
    <x v="0"/>
    <s v="S06-Barbaros İstasyonu"/>
    <s v="Hat-2"/>
    <s v="B1"/>
    <s v="Bağlantı -2 P2 Yönü"/>
    <x v="0"/>
    <x v="0"/>
    <x v="0"/>
    <x v="20"/>
    <m/>
    <x v="0"/>
    <m/>
    <x v="0"/>
    <x v="0"/>
    <m/>
    <m/>
  </r>
  <r>
    <x v="0"/>
    <x v="0"/>
    <x v="0"/>
    <m/>
    <x v="0"/>
    <s v="S06-Barbaros İstasyonu"/>
    <s v="Hat-2"/>
    <s v="B1"/>
    <s v="Bağlantı -2 P2 Yönü"/>
    <x v="0"/>
    <x v="0"/>
    <x v="0"/>
    <x v="21"/>
    <m/>
    <x v="0"/>
    <m/>
    <x v="0"/>
    <x v="0"/>
    <m/>
    <m/>
  </r>
  <r>
    <x v="0"/>
    <x v="0"/>
    <x v="0"/>
    <m/>
    <x v="0"/>
    <s v="S06-Barbaros İstasyonu"/>
    <s v="Hat-2"/>
    <s v="B1"/>
    <s v="Bağlantı -2 P2 Yönü"/>
    <x v="0"/>
    <x v="0"/>
    <x v="0"/>
    <x v="2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  <r>
    <x v="1"/>
    <x v="1"/>
    <x v="1"/>
    <m/>
    <x v="2"/>
    <m/>
    <m/>
    <m/>
    <m/>
    <x v="1"/>
    <x v="4"/>
    <x v="4"/>
    <x v="12"/>
    <m/>
    <x v="0"/>
    <m/>
    <x v="0"/>
    <x v="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s v="S06.H2.B1.BAĞ2-P2.-A-001"/>
    <b v="0"/>
    <m/>
    <b v="0"/>
    <s v="S06-Barbaros İstasyonu"/>
    <s v="Hat-2"/>
    <s v="B1"/>
    <s v="Bağlantı -2 P2 Yönü"/>
    <s v="Alt Yarı"/>
    <x v="0"/>
    <x v="0"/>
    <x v="0"/>
    <m/>
    <m/>
    <m/>
    <m/>
    <m/>
    <m/>
    <m/>
    <m/>
    <x v="0"/>
  </r>
  <r>
    <x v="0"/>
    <s v="S06.H2.B1.BAĞ2-P2.-A-001"/>
    <b v="0"/>
    <m/>
    <s v="KAZI-PÜS-H.ÇELİK"/>
    <s v="S06-Barbaros İstasyonu"/>
    <s v="Hat-2"/>
    <s v="B1"/>
    <s v="Bağlantı -2 P2 Yönü"/>
    <s v="Alt Yarı"/>
    <x v="1"/>
    <x v="1"/>
    <x v="1"/>
    <s v="KALICI"/>
    <s v="Umbrella-2"/>
    <s v="Tamamlandı"/>
    <s v="Q377/377-Çift Kat"/>
    <s v="30 cm atıldı"/>
    <n v="1"/>
    <m/>
    <m/>
    <x v="0"/>
  </r>
  <r>
    <x v="0"/>
    <s v="S06.H2.B1.BAĞ2-P2.-A-001"/>
    <b v="0"/>
    <m/>
    <s v="KAZI-PÜS-H.ÇELİK"/>
    <s v="S06-Barbaros İstasyonu"/>
    <s v="Hat-2"/>
    <s v="B1"/>
    <s v="Bağlantı -2 P2 Yönü"/>
    <s v="Alt Yarı"/>
    <x v="1"/>
    <x v="1"/>
    <x v="2"/>
    <s v="KALICI"/>
    <s v="Umbrella-3"/>
    <s v="Tamamlandı"/>
    <s v="Q377/377-Çift Kat"/>
    <s v="30 cm atıldı"/>
    <n v="1"/>
    <m/>
    <m/>
    <x v="0"/>
  </r>
  <r>
    <x v="0"/>
    <s v="S06.H2.B1.BAĞ2-P2.-A-001"/>
    <b v="0"/>
    <m/>
    <s v="KAZI-PÜS-H.ÇELİK"/>
    <s v="S06-Barbaros İstasyonu"/>
    <s v="Hat-2"/>
    <s v="B1"/>
    <s v="Bağlantı -2 P2 Yönü"/>
    <s v="Alt Yarı"/>
    <x v="1"/>
    <x v="1"/>
    <x v="3"/>
    <s v="KALICI"/>
    <s v="Umbrella-4"/>
    <s v="Tamamlandı"/>
    <s v="Q377/377-Çift Kat"/>
    <s v="30 cm atıldı"/>
    <n v="1"/>
    <m/>
    <m/>
    <x v="0"/>
  </r>
  <r>
    <x v="0"/>
    <s v="S06.H2.B1.BAĞ2-P2.-A-001"/>
    <b v="0"/>
    <m/>
    <s v="KAZI-PÜS-H.ÇELİK"/>
    <s v="S06-Barbaros İstasyonu"/>
    <s v="Hat-2"/>
    <s v="B1"/>
    <s v="Bağlantı -2 P2 Yönü"/>
    <s v="Alt Yarı"/>
    <x v="2"/>
    <x v="2"/>
    <x v="4"/>
    <s v="KALICI"/>
    <s v="Umbrella-5"/>
    <s v="Tamamlandı"/>
    <s v="Q377/377-Çift Kat"/>
    <s v="30 cm atıldı"/>
    <n v="1"/>
    <m/>
    <m/>
    <x v="0"/>
  </r>
  <r>
    <x v="0"/>
    <s v="S06.H2.B1.BAĞ2-P2.-A-001"/>
    <b v="0"/>
    <m/>
    <s v="KAZI-PÜS-H.ÇELİK"/>
    <s v="S06-Barbaros İstasyonu"/>
    <s v="Hat-2"/>
    <s v="B1"/>
    <s v="Bağlantı -2 P2 Yönü"/>
    <s v="Alt Yarı"/>
    <x v="2"/>
    <x v="2"/>
    <x v="5"/>
    <s v="KALICI"/>
    <s v="Umbrella-6"/>
    <s v="Tamamlandı"/>
    <s v="Q377/377-Çift Kat"/>
    <s v="30 cm atıldı"/>
    <n v="1"/>
    <m/>
    <m/>
    <x v="0"/>
  </r>
  <r>
    <x v="0"/>
    <s v="S06.H2.B1.BAĞ2-P2.-A-001"/>
    <b v="0"/>
    <m/>
    <s v="KAZI-PÜS-H.ÇELİK"/>
    <s v="S06-Barbaros İstasyonu"/>
    <s v="Hat-2"/>
    <s v="B1"/>
    <s v="Bağlantı -2 P2 Yönü"/>
    <s v="Alt Yarı"/>
    <x v="2"/>
    <x v="2"/>
    <x v="6"/>
    <s v="KALICI"/>
    <s v="Umbrella-1"/>
    <s v="Tamamlandı"/>
    <s v="Q377/377-Çift Kat"/>
    <s v="30 cm atıldı"/>
    <n v="1"/>
    <m/>
    <m/>
    <x v="0"/>
  </r>
  <r>
    <x v="0"/>
    <s v="S06.H2.B1.BAĞ2-P2.-A-001"/>
    <b v="0"/>
    <m/>
    <s v="KAZI-PÜS-H.ÇELİK"/>
    <s v="S06-Barbaros İstasyonu"/>
    <s v="Hat-2"/>
    <s v="B1"/>
    <s v="Bağlantı -2 P2 Yönü"/>
    <s v="Alt Yarı"/>
    <x v="2"/>
    <x v="2"/>
    <x v="7"/>
    <s v="KALICI"/>
    <s v="Umbrella-2"/>
    <s v="Tamamlandı"/>
    <s v="Q377/377-Çift Kat"/>
    <s v="30 cm atıldı"/>
    <n v="1"/>
    <m/>
    <m/>
    <x v="0"/>
  </r>
  <r>
    <x v="0"/>
    <s v="S06.H2.B1.BAĞ2-P2.-A-001"/>
    <b v="0"/>
    <m/>
    <s v="KAZI-PÜS-H.ÇELİK"/>
    <s v="S06-Barbaros İstasyonu"/>
    <s v="Hat-2"/>
    <s v="B1"/>
    <s v="Bağlantı -2 P2 Yönü"/>
    <s v="Alt Yarı"/>
    <x v="3"/>
    <x v="3"/>
    <x v="8"/>
    <s v="KALICI"/>
    <s v="Umbrella-3"/>
    <s v="Tamamlandı"/>
    <s v="Q377/377-Çift Kat"/>
    <s v="30 cm atıldı"/>
    <n v="1"/>
    <m/>
    <m/>
    <x v="0"/>
  </r>
  <r>
    <x v="0"/>
    <s v="S06.H2.B1.BAĞ2-P2.-A-001"/>
    <b v="0"/>
    <m/>
    <s v="KAZI-PÜS-H.ÇELİK"/>
    <s v="S06-Barbaros İstasyonu"/>
    <s v="Hat-2"/>
    <s v="B1"/>
    <s v="Bağlantı -2 P2 Yönü"/>
    <s v="Alt Yarı"/>
    <x v="3"/>
    <x v="3"/>
    <x v="9"/>
    <s v="KALICI"/>
    <s v="Umbrella-4"/>
    <s v="Tamamlandı"/>
    <s v="Q377/377-Çift Kat"/>
    <s v="30 cm atıldı"/>
    <n v="1"/>
    <m/>
    <m/>
    <x v="0"/>
  </r>
  <r>
    <x v="0"/>
    <s v="S06.H2.B1.BAĞ2-P2.-A-001"/>
    <b v="0"/>
    <m/>
    <s v="KAZI-PÜS-H.ÇELİK"/>
    <s v="S06-Barbaros İstasyonu"/>
    <s v="Hat-2"/>
    <s v="B1"/>
    <s v="Bağlantı -2 P2 Yönü"/>
    <s v="Alt Yarı"/>
    <x v="3"/>
    <x v="3"/>
    <x v="10"/>
    <s v="KALICI"/>
    <s v="Umbrella-5"/>
    <s v="Tamamlandı"/>
    <s v="Q377/377-Çift Kat"/>
    <s v="30 cm atıldı"/>
    <n v="1"/>
    <m/>
    <m/>
    <x v="0"/>
  </r>
  <r>
    <x v="0"/>
    <s v="S06.H2.B1.BAĞ2-P2.-A-001"/>
    <b v="0"/>
    <m/>
    <s v="KAZI-PÜS-H.ÇELİK"/>
    <s v="S06-Barbaros İstasyonu"/>
    <s v="Hat-2"/>
    <s v="B1"/>
    <s v="Bağlantı -2 P2 Yönü"/>
    <s v="Alt Yarı"/>
    <x v="3"/>
    <x v="3"/>
    <x v="11"/>
    <s v="KALICI"/>
    <s v="Umbrella-6"/>
    <s v="Tamamlandı"/>
    <s v="Q377/377-Çift Kat"/>
    <s v="30 cm atıldı"/>
    <n v="1"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0"/>
    <s v="S06.H2.B1.BAĞ2-P2.-A-001"/>
    <b v="0"/>
    <m/>
    <b v="0"/>
    <s v="S06-Barbaros İstasyonu"/>
    <s v="Hat-2"/>
    <s v="B1"/>
    <s v="Bağlantı -2 P2 Yönü"/>
    <s v="Alt Yarı"/>
    <x v="0"/>
    <x v="0"/>
    <x v="13"/>
    <m/>
    <m/>
    <m/>
    <m/>
    <m/>
    <m/>
    <m/>
    <m/>
    <x v="0"/>
  </r>
  <r>
    <x v="0"/>
    <s v="S06.H2.B1.BAĞ2-P2.-A-001"/>
    <b v="0"/>
    <m/>
    <b v="0"/>
    <s v="S06-Barbaros İstasyonu"/>
    <s v="Hat-2"/>
    <s v="B1"/>
    <s v="Bağlantı -2 P2 Yönü"/>
    <s v="Alt Yarı"/>
    <x v="0"/>
    <x v="0"/>
    <x v="14"/>
    <m/>
    <m/>
    <m/>
    <m/>
    <m/>
    <m/>
    <m/>
    <m/>
    <x v="0"/>
  </r>
  <r>
    <x v="0"/>
    <s v="S06.H2.B1.BAĞ2-P2.-A-001"/>
    <b v="0"/>
    <m/>
    <b v="0"/>
    <s v="S06-Barbaros İstasyonu"/>
    <s v="Hat-2"/>
    <s v="B1"/>
    <s v="Bağlantı -2 P2 Yönü"/>
    <s v="Alt Yarı"/>
    <x v="0"/>
    <x v="0"/>
    <x v="15"/>
    <m/>
    <m/>
    <m/>
    <m/>
    <m/>
    <m/>
    <m/>
    <m/>
    <x v="0"/>
  </r>
  <r>
    <x v="0"/>
    <s v="S06.H2.B1.BAĞ2-P2.-A-001"/>
    <b v="0"/>
    <m/>
    <b v="0"/>
    <s v="S06-Barbaros İstasyonu"/>
    <s v="Hat-2"/>
    <s v="B1"/>
    <s v="Bağlantı -2 P2 Yönü"/>
    <s v="Alt Yarı"/>
    <x v="0"/>
    <x v="0"/>
    <x v="16"/>
    <m/>
    <m/>
    <m/>
    <m/>
    <m/>
    <m/>
    <m/>
    <m/>
    <x v="0"/>
  </r>
  <r>
    <x v="0"/>
    <s v="S06.H2.B1.BAĞ2-P2.-A-001"/>
    <b v="0"/>
    <m/>
    <b v="0"/>
    <s v="S06-Barbaros İstasyonu"/>
    <s v="Hat-2"/>
    <s v="B1"/>
    <s v="Bağlantı -2 P2 Yönü"/>
    <s v="Alt Yarı"/>
    <x v="0"/>
    <x v="0"/>
    <x v="17"/>
    <m/>
    <m/>
    <m/>
    <m/>
    <m/>
    <m/>
    <m/>
    <m/>
    <x v="0"/>
  </r>
  <r>
    <x v="0"/>
    <s v="S06.H2.B1.BAĞ2-P2.-A-001"/>
    <b v="0"/>
    <m/>
    <b v="0"/>
    <s v="S06-Barbaros İstasyonu"/>
    <s v="Hat-2"/>
    <s v="B1"/>
    <s v="Bağlantı -2 P2 Yönü"/>
    <s v="Alt Yarı"/>
    <x v="0"/>
    <x v="0"/>
    <x v="18"/>
    <m/>
    <m/>
    <m/>
    <m/>
    <m/>
    <m/>
    <m/>
    <m/>
    <x v="0"/>
  </r>
  <r>
    <x v="0"/>
    <s v="S06.H2.B1.BAĞ2-P2.-A-001"/>
    <b v="0"/>
    <m/>
    <b v="0"/>
    <s v="S06-Barbaros İstasyonu"/>
    <s v="Hat-2"/>
    <s v="B1"/>
    <s v="Bağlantı -2 P2 Yönü"/>
    <s v="Alt Yarı"/>
    <x v="0"/>
    <x v="0"/>
    <x v="19"/>
    <m/>
    <m/>
    <m/>
    <m/>
    <m/>
    <m/>
    <m/>
    <m/>
    <x v="0"/>
  </r>
  <r>
    <x v="0"/>
    <s v="S06.H2.B1.BAĞ2-P2.-A-001"/>
    <b v="0"/>
    <m/>
    <b v="0"/>
    <s v="S06-Barbaros İstasyonu"/>
    <s v="Hat-2"/>
    <s v="B1"/>
    <s v="Bağlantı -2 P2 Yönü"/>
    <s v="Alt Yarı"/>
    <x v="0"/>
    <x v="0"/>
    <x v="20"/>
    <m/>
    <m/>
    <m/>
    <m/>
    <m/>
    <m/>
    <m/>
    <m/>
    <x v="0"/>
  </r>
  <r>
    <x v="0"/>
    <s v="S06.H2.B1.BAĞ2-P2.-A-001"/>
    <b v="0"/>
    <m/>
    <b v="0"/>
    <s v="S06-Barbaros İstasyonu"/>
    <s v="Hat-2"/>
    <s v="B1"/>
    <s v="Bağlantı -2 P2 Yönü"/>
    <s v="Alt Yarı"/>
    <x v="0"/>
    <x v="0"/>
    <x v="21"/>
    <m/>
    <m/>
    <m/>
    <m/>
    <m/>
    <m/>
    <m/>
    <m/>
    <x v="0"/>
  </r>
  <r>
    <x v="0"/>
    <s v="S06.H2.B1.BAĞ2-P2.-A-001"/>
    <b v="0"/>
    <m/>
    <b v="0"/>
    <s v="S06-Barbaros İstasyonu"/>
    <s v="Hat-2"/>
    <s v="B1"/>
    <s v="Bağlantı -2 P2 Yönü"/>
    <s v="Alt Yarı"/>
    <x v="0"/>
    <x v="0"/>
    <x v="2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  <r>
    <x v="1"/>
    <m/>
    <m/>
    <m/>
    <m/>
    <m/>
    <m/>
    <m/>
    <m/>
    <m/>
    <x v="4"/>
    <x v="4"/>
    <x v="12"/>
    <m/>
    <m/>
    <m/>
    <m/>
    <m/>
    <m/>
    <m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b v="0"/>
    <m/>
    <b v="0"/>
    <s v="S06-Barbaros İstasyonu"/>
    <s v="Hat-2"/>
    <s v="B1"/>
    <s v="Bağlantı -2 P2 Yönü"/>
    <s v="Alt Yarı"/>
    <x v="0"/>
    <x v="0"/>
    <x v="0"/>
    <m/>
    <m/>
    <m/>
    <m/>
    <m/>
    <m/>
    <m/>
    <m/>
    <m/>
    <m/>
    <m/>
    <m/>
    <m/>
    <m/>
    <m/>
    <m/>
    <m/>
    <x v="0"/>
    <x v="0"/>
  </r>
  <r>
    <x v="0"/>
    <x v="0"/>
    <b v="0"/>
    <m/>
    <s v="KAZI-PÜS-H.ÇELİK"/>
    <s v="S06-Barbaros İstasyonu"/>
    <s v="Hat-2"/>
    <s v="B1"/>
    <s v="Bağlantı -2 P2 Yönü"/>
    <s v="Alt Yarı"/>
    <x v="1"/>
    <x v="1"/>
    <x v="1"/>
    <s v="KALICI"/>
    <s v="Umbrella-2"/>
    <s v="Tamamlandı"/>
    <s v="Q377/377-Çift Kat"/>
    <s v="30 cm atıldı"/>
    <n v="1"/>
    <m/>
    <m/>
    <m/>
    <m/>
    <m/>
    <m/>
    <m/>
    <m/>
    <m/>
    <m/>
    <m/>
    <x v="0"/>
    <x v="0"/>
  </r>
  <r>
    <x v="0"/>
    <x v="0"/>
    <b v="0"/>
    <m/>
    <s v="KAZI-PÜS-H.ÇELİK"/>
    <s v="S06-Barbaros İstasyonu"/>
    <s v="Hat-2"/>
    <s v="B1"/>
    <s v="Bağlantı -2 P2 Yönü"/>
    <s v="Alt Yarı"/>
    <x v="1"/>
    <x v="1"/>
    <x v="2"/>
    <s v="KALICI"/>
    <s v="Umbrella-3"/>
    <s v="Tamamlandı"/>
    <s v="Q377/377-Çift Kat"/>
    <s v="30 cm atıldı"/>
    <n v="1"/>
    <m/>
    <m/>
    <m/>
    <m/>
    <m/>
    <m/>
    <m/>
    <m/>
    <m/>
    <m/>
    <m/>
    <x v="0"/>
    <x v="0"/>
  </r>
  <r>
    <x v="0"/>
    <x v="0"/>
    <b v="0"/>
    <m/>
    <s v="KAZI-PÜS-H.ÇELİK"/>
    <s v="S06-Barbaros İstasyonu"/>
    <s v="Hat-2"/>
    <s v="B1"/>
    <s v="Bağlantı -2 P2 Yönü"/>
    <s v="Alt Yarı"/>
    <x v="1"/>
    <x v="1"/>
    <x v="3"/>
    <s v="KALICI"/>
    <s v="Umbrella-4"/>
    <s v="Tamamlandı"/>
    <s v="Q377/377-Çift Kat"/>
    <s v="30 cm atıldı"/>
    <n v="1"/>
    <m/>
    <m/>
    <m/>
    <m/>
    <m/>
    <m/>
    <m/>
    <m/>
    <m/>
    <m/>
    <m/>
    <x v="0"/>
    <x v="0"/>
  </r>
  <r>
    <x v="0"/>
    <x v="0"/>
    <b v="0"/>
    <m/>
    <s v="KAZI-PÜS-H.ÇELİK"/>
    <s v="S06-Barbaros İstasyonu"/>
    <s v="Hat-2"/>
    <s v="B1"/>
    <s v="Bağlantı -2 P2 Yönü"/>
    <s v="Alt Yarı"/>
    <x v="2"/>
    <x v="2"/>
    <x v="4"/>
    <s v="KALICI"/>
    <s v="Umbrella-5"/>
    <s v="Tamamlandı"/>
    <s v="Q377/377-Çift Kat"/>
    <s v="30 cm atıldı"/>
    <n v="1"/>
    <m/>
    <m/>
    <m/>
    <m/>
    <m/>
    <m/>
    <m/>
    <m/>
    <m/>
    <m/>
    <m/>
    <x v="0"/>
    <x v="0"/>
  </r>
  <r>
    <x v="0"/>
    <x v="0"/>
    <b v="0"/>
    <m/>
    <s v="KAZI-PÜS-H.ÇELİK"/>
    <s v="S06-Barbaros İstasyonu"/>
    <s v="Hat-2"/>
    <s v="B1"/>
    <s v="Bağlantı -2 P2 Yönü"/>
    <s v="Alt Yarı"/>
    <x v="2"/>
    <x v="2"/>
    <x v="5"/>
    <s v="KALICI"/>
    <s v="Umbrella-6"/>
    <s v="Tamamlandı"/>
    <s v="Q377/377-Çift Kat"/>
    <s v="30 cm atıldı"/>
    <n v="1"/>
    <m/>
    <m/>
    <m/>
    <m/>
    <m/>
    <m/>
    <m/>
    <m/>
    <m/>
    <m/>
    <m/>
    <x v="0"/>
    <x v="0"/>
  </r>
  <r>
    <x v="0"/>
    <x v="0"/>
    <b v="0"/>
    <m/>
    <s v="KAZI-PÜS-H.ÇELİK"/>
    <s v="S06-Barbaros İstasyonu"/>
    <s v="Hat-2"/>
    <s v="B1"/>
    <s v="Bağlantı -2 P2 Yönü"/>
    <s v="Alt Yarı"/>
    <x v="2"/>
    <x v="2"/>
    <x v="6"/>
    <s v="KALICI"/>
    <s v="Umbrella-1"/>
    <s v="Tamamlandı"/>
    <s v="Q377/377-Çift Kat"/>
    <s v="30 cm atıldı"/>
    <n v="1"/>
    <m/>
    <m/>
    <m/>
    <m/>
    <m/>
    <m/>
    <m/>
    <m/>
    <m/>
    <m/>
    <m/>
    <x v="0"/>
    <x v="0"/>
  </r>
  <r>
    <x v="0"/>
    <x v="0"/>
    <b v="0"/>
    <m/>
    <s v="KAZI-PÜS-H.ÇELİK"/>
    <s v="S06-Barbaros İstasyonu"/>
    <s v="Hat-2"/>
    <s v="B1"/>
    <s v="Bağlantı -2 P2 Yönü"/>
    <s v="Alt Yarı"/>
    <x v="2"/>
    <x v="2"/>
    <x v="7"/>
    <s v="KALICI"/>
    <s v="Umbrella-2"/>
    <s v="Tamamlandı"/>
    <s v="Q377/377-Çift Kat"/>
    <s v="30 cm atıldı"/>
    <n v="1"/>
    <m/>
    <m/>
    <m/>
    <m/>
    <m/>
    <m/>
    <m/>
    <m/>
    <m/>
    <m/>
    <m/>
    <x v="0"/>
    <x v="0"/>
  </r>
  <r>
    <x v="0"/>
    <x v="0"/>
    <b v="0"/>
    <m/>
    <s v="KAZI-PÜS-H.ÇELİK"/>
    <s v="S06-Barbaros İstasyonu"/>
    <s v="Hat-2"/>
    <s v="B1"/>
    <s v="Bağlantı -2 P2 Yönü"/>
    <s v="Alt Yarı"/>
    <x v="3"/>
    <x v="3"/>
    <x v="8"/>
    <s v="KALICI"/>
    <s v="Umbrella-3"/>
    <s v="Tamamlandı"/>
    <s v="Q377/377-Çift Kat"/>
    <s v="30 cm atıldı"/>
    <n v="1"/>
    <m/>
    <m/>
    <m/>
    <m/>
    <m/>
    <m/>
    <m/>
    <m/>
    <m/>
    <m/>
    <m/>
    <x v="0"/>
    <x v="0"/>
  </r>
  <r>
    <x v="0"/>
    <x v="0"/>
    <b v="0"/>
    <m/>
    <s v="KAZI-PÜS-H.ÇELİK"/>
    <s v="S06-Barbaros İstasyonu"/>
    <s v="Hat-2"/>
    <s v="B1"/>
    <s v="Bağlantı -2 P2 Yönü"/>
    <s v="Alt Yarı"/>
    <x v="3"/>
    <x v="3"/>
    <x v="9"/>
    <s v="KALICI"/>
    <s v="Umbrella-4"/>
    <s v="Tamamlandı"/>
    <s v="Q377/377-Çift Kat"/>
    <s v="30 cm atıldı"/>
    <n v="1"/>
    <m/>
    <m/>
    <m/>
    <m/>
    <m/>
    <m/>
    <m/>
    <m/>
    <m/>
    <m/>
    <m/>
    <x v="0"/>
    <x v="0"/>
  </r>
  <r>
    <x v="0"/>
    <x v="0"/>
    <b v="0"/>
    <m/>
    <s v="KAZI-PÜS-H.ÇELİK"/>
    <s v="S06-Barbaros İstasyonu"/>
    <s v="Hat-2"/>
    <s v="B1"/>
    <s v="Bağlantı -2 P2 Yönü"/>
    <s v="Alt Yarı"/>
    <x v="3"/>
    <x v="3"/>
    <x v="10"/>
    <s v="KALICI"/>
    <s v="Umbrella-5"/>
    <s v="Tamamlandı"/>
    <s v="Q377/377-Çift Kat"/>
    <s v="30 cm atıldı"/>
    <n v="1"/>
    <m/>
    <m/>
    <m/>
    <m/>
    <m/>
    <m/>
    <m/>
    <m/>
    <m/>
    <m/>
    <m/>
    <x v="0"/>
    <x v="0"/>
  </r>
  <r>
    <x v="0"/>
    <x v="0"/>
    <b v="0"/>
    <m/>
    <s v="KAZI-PÜS-H.ÇELİK"/>
    <s v="S06-Barbaros İstasyonu"/>
    <s v="Hat-2"/>
    <s v="B1"/>
    <s v="Bağlantı -2 P2 Yönü"/>
    <s v="Alt Yarı"/>
    <x v="3"/>
    <x v="3"/>
    <x v="11"/>
    <s v="KALICI"/>
    <s v="Umbrella-6"/>
    <s v="Tamamlandı"/>
    <s v="Q377/377-Çift Kat"/>
    <s v="30 cm atıldı"/>
    <n v="1"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0"/>
    <x v="0"/>
    <b v="0"/>
    <m/>
    <b v="0"/>
    <s v="S06-Barbaros İstasyonu"/>
    <s v="Hat-2"/>
    <s v="B1"/>
    <s v="Bağlantı -2 P2 Yönü"/>
    <s v="Alt Yarı"/>
    <x v="0"/>
    <x v="0"/>
    <x v="13"/>
    <m/>
    <m/>
    <m/>
    <m/>
    <m/>
    <m/>
    <m/>
    <m/>
    <m/>
    <m/>
    <m/>
    <m/>
    <m/>
    <m/>
    <m/>
    <m/>
    <m/>
    <x v="0"/>
    <x v="0"/>
  </r>
  <r>
    <x v="0"/>
    <x v="0"/>
    <b v="0"/>
    <m/>
    <b v="0"/>
    <s v="S06-Barbaros İstasyonu"/>
    <s v="Hat-2"/>
    <s v="B1"/>
    <s v="Bağlantı -2 P2 Yönü"/>
    <s v="Alt Yarı"/>
    <x v="0"/>
    <x v="0"/>
    <x v="14"/>
    <m/>
    <m/>
    <m/>
    <m/>
    <m/>
    <m/>
    <m/>
    <m/>
    <m/>
    <m/>
    <m/>
    <m/>
    <m/>
    <m/>
    <m/>
    <m/>
    <m/>
    <x v="0"/>
    <x v="0"/>
  </r>
  <r>
    <x v="0"/>
    <x v="0"/>
    <b v="0"/>
    <m/>
    <b v="0"/>
    <s v="S06-Barbaros İstasyonu"/>
    <s v="Hat-2"/>
    <s v="B1"/>
    <s v="Bağlantı -2 P2 Yönü"/>
    <s v="Alt Yarı"/>
    <x v="0"/>
    <x v="0"/>
    <x v="15"/>
    <m/>
    <m/>
    <m/>
    <m/>
    <m/>
    <m/>
    <m/>
    <m/>
    <m/>
    <m/>
    <m/>
    <m/>
    <m/>
    <m/>
    <m/>
    <m/>
    <m/>
    <x v="0"/>
    <x v="0"/>
  </r>
  <r>
    <x v="0"/>
    <x v="0"/>
    <b v="0"/>
    <m/>
    <b v="0"/>
    <s v="S06-Barbaros İstasyonu"/>
    <s v="Hat-2"/>
    <s v="B1"/>
    <s v="Bağlantı -2 P2 Yönü"/>
    <s v="Alt Yarı"/>
    <x v="0"/>
    <x v="0"/>
    <x v="16"/>
    <m/>
    <m/>
    <m/>
    <m/>
    <m/>
    <m/>
    <m/>
    <m/>
    <m/>
    <m/>
    <m/>
    <m/>
    <m/>
    <m/>
    <m/>
    <m/>
    <m/>
    <x v="0"/>
    <x v="0"/>
  </r>
  <r>
    <x v="0"/>
    <x v="0"/>
    <b v="0"/>
    <m/>
    <b v="0"/>
    <s v="S06-Barbaros İstasyonu"/>
    <s v="Hat-2"/>
    <s v="B1"/>
    <s v="Bağlantı -2 P2 Yönü"/>
    <s v="Alt Yarı"/>
    <x v="0"/>
    <x v="0"/>
    <x v="17"/>
    <m/>
    <m/>
    <m/>
    <m/>
    <m/>
    <m/>
    <m/>
    <m/>
    <m/>
    <m/>
    <m/>
    <m/>
    <m/>
    <m/>
    <m/>
    <m/>
    <m/>
    <x v="0"/>
    <x v="0"/>
  </r>
  <r>
    <x v="0"/>
    <x v="0"/>
    <b v="0"/>
    <m/>
    <b v="0"/>
    <s v="S06-Barbaros İstasyonu"/>
    <s v="Hat-2"/>
    <s v="B1"/>
    <s v="Bağlantı -2 P2 Yönü"/>
    <s v="Alt Yarı"/>
    <x v="0"/>
    <x v="0"/>
    <x v="18"/>
    <m/>
    <m/>
    <m/>
    <m/>
    <m/>
    <m/>
    <m/>
    <m/>
    <m/>
    <m/>
    <m/>
    <m/>
    <m/>
    <m/>
    <m/>
    <m/>
    <m/>
    <x v="0"/>
    <x v="0"/>
  </r>
  <r>
    <x v="0"/>
    <x v="0"/>
    <b v="0"/>
    <m/>
    <b v="0"/>
    <s v="S06-Barbaros İstasyonu"/>
    <s v="Hat-2"/>
    <s v="B1"/>
    <s v="Bağlantı -2 P2 Yönü"/>
    <s v="Alt Yarı"/>
    <x v="0"/>
    <x v="0"/>
    <x v="19"/>
    <m/>
    <m/>
    <m/>
    <m/>
    <m/>
    <m/>
    <m/>
    <m/>
    <m/>
    <m/>
    <m/>
    <m/>
    <m/>
    <m/>
    <m/>
    <m/>
    <m/>
    <x v="0"/>
    <x v="0"/>
  </r>
  <r>
    <x v="0"/>
    <x v="0"/>
    <b v="0"/>
    <m/>
    <b v="0"/>
    <s v="S06-Barbaros İstasyonu"/>
    <s v="Hat-2"/>
    <s v="B1"/>
    <s v="Bağlantı -2 P2 Yönü"/>
    <s v="Alt Yarı"/>
    <x v="0"/>
    <x v="0"/>
    <x v="20"/>
    <m/>
    <m/>
    <m/>
    <m/>
    <m/>
    <m/>
    <m/>
    <m/>
    <m/>
    <m/>
    <m/>
    <m/>
    <m/>
    <m/>
    <m/>
    <m/>
    <m/>
    <x v="0"/>
    <x v="0"/>
  </r>
  <r>
    <x v="0"/>
    <x v="0"/>
    <b v="0"/>
    <m/>
    <b v="0"/>
    <s v="S06-Barbaros İstasyonu"/>
    <s v="Hat-2"/>
    <s v="B1"/>
    <s v="Bağlantı -2 P2 Yönü"/>
    <s v="Alt Yarı"/>
    <x v="0"/>
    <x v="0"/>
    <x v="21"/>
    <m/>
    <m/>
    <m/>
    <m/>
    <m/>
    <m/>
    <m/>
    <m/>
    <m/>
    <m/>
    <m/>
    <m/>
    <m/>
    <m/>
    <m/>
    <m/>
    <m/>
    <x v="0"/>
    <x v="0"/>
  </r>
  <r>
    <x v="0"/>
    <x v="0"/>
    <b v="0"/>
    <m/>
    <b v="0"/>
    <s v="S06-Barbaros İstasyonu"/>
    <s v="Hat-2"/>
    <s v="B1"/>
    <s v="Bağlantı -2 P2 Yönü"/>
    <s v="Alt Yarı"/>
    <x v="0"/>
    <x v="0"/>
    <x v="2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  <r>
    <x v="1"/>
    <x v="1"/>
    <m/>
    <m/>
    <m/>
    <m/>
    <m/>
    <m/>
    <m/>
    <m/>
    <x v="4"/>
    <x v="4"/>
    <x v="12"/>
    <m/>
    <m/>
    <m/>
    <m/>
    <m/>
    <m/>
    <m/>
    <m/>
    <m/>
    <m/>
    <m/>
    <m/>
    <m/>
    <m/>
    <m/>
    <m/>
    <m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b v="0"/>
    <m/>
    <x v="0"/>
    <s v="S06-Barbaros İstasyonu"/>
    <s v="Hat-2"/>
    <s v="B1"/>
    <s v="Bağlantı -2 P2 Yönü"/>
    <x v="0"/>
    <x v="0"/>
    <x v="0"/>
    <x v="0"/>
    <m/>
    <m/>
    <m/>
    <m/>
    <m/>
    <m/>
    <m/>
    <m/>
    <m/>
    <m/>
    <m/>
    <m/>
    <m/>
    <m/>
    <m/>
    <m/>
  </r>
  <r>
    <x v="0"/>
    <x v="0"/>
    <b v="0"/>
    <m/>
    <x v="1"/>
    <s v="S06-Barbaros İstasyonu"/>
    <s v="Hat-2"/>
    <s v="B1"/>
    <s v="Bağlantı -2 P2 Yönü"/>
    <x v="0"/>
    <x v="1"/>
    <x v="1"/>
    <x v="1"/>
    <s v="KALICI"/>
    <s v="Umbrella-2"/>
    <s v="Tamamlandı"/>
    <s v="Q377/377-Çift Kat"/>
    <s v="30 cm atıldı"/>
    <n v="1"/>
    <m/>
    <m/>
    <m/>
    <m/>
    <m/>
    <m/>
    <m/>
    <m/>
    <m/>
    <m/>
  </r>
  <r>
    <x v="0"/>
    <x v="0"/>
    <b v="0"/>
    <m/>
    <x v="1"/>
    <s v="S06-Barbaros İstasyonu"/>
    <s v="Hat-2"/>
    <s v="B1"/>
    <s v="Bağlantı -2 P2 Yönü"/>
    <x v="0"/>
    <x v="1"/>
    <x v="1"/>
    <x v="2"/>
    <s v="KALICI"/>
    <s v="Umbrella-3"/>
    <s v="Tamamlandı"/>
    <s v="Q377/377-Çift Kat"/>
    <s v="30 cm atıldı"/>
    <n v="1"/>
    <m/>
    <m/>
    <m/>
    <m/>
    <m/>
    <m/>
    <m/>
    <m/>
    <m/>
    <m/>
  </r>
  <r>
    <x v="0"/>
    <x v="0"/>
    <b v="0"/>
    <m/>
    <x v="1"/>
    <s v="S06-Barbaros İstasyonu"/>
    <s v="Hat-2"/>
    <s v="B1"/>
    <s v="Bağlantı -2 P2 Yönü"/>
    <x v="0"/>
    <x v="1"/>
    <x v="1"/>
    <x v="3"/>
    <s v="KALICI"/>
    <s v="Umbrella-4"/>
    <s v="Tamamlandı"/>
    <s v="Q377/377-Çift Kat"/>
    <s v="30 cm atıldı"/>
    <n v="1"/>
    <m/>
    <m/>
    <m/>
    <m/>
    <m/>
    <m/>
    <m/>
    <m/>
    <m/>
    <m/>
  </r>
  <r>
    <x v="0"/>
    <x v="0"/>
    <b v="0"/>
    <m/>
    <x v="1"/>
    <s v="S06-Barbaros İstasyonu"/>
    <s v="Hat-2"/>
    <s v="B1"/>
    <s v="Bağlantı -2 P2 Yönü"/>
    <x v="0"/>
    <x v="2"/>
    <x v="2"/>
    <x v="4"/>
    <s v="KALICI"/>
    <s v="Umbrella-5"/>
    <s v="Tamamlandı"/>
    <s v="Q377/377-Çift Kat"/>
    <s v="30 cm atıldı"/>
    <n v="1"/>
    <m/>
    <m/>
    <m/>
    <m/>
    <m/>
    <m/>
    <m/>
    <m/>
    <m/>
    <m/>
  </r>
  <r>
    <x v="0"/>
    <x v="0"/>
    <b v="0"/>
    <m/>
    <x v="1"/>
    <s v="S06-Barbaros İstasyonu"/>
    <s v="Hat-2"/>
    <s v="B1"/>
    <s v="Bağlantı -2 P2 Yönü"/>
    <x v="0"/>
    <x v="2"/>
    <x v="2"/>
    <x v="5"/>
    <s v="KALICI"/>
    <s v="Umbrella-6"/>
    <s v="Tamamlandı"/>
    <s v="Q377/377-Çift Kat"/>
    <s v="30 cm atıldı"/>
    <n v="1"/>
    <m/>
    <m/>
    <m/>
    <m/>
    <m/>
    <m/>
    <m/>
    <m/>
    <m/>
    <m/>
  </r>
  <r>
    <x v="0"/>
    <x v="0"/>
    <b v="0"/>
    <m/>
    <x v="1"/>
    <s v="S06-Barbaros İstasyonu"/>
    <s v="Hat-2"/>
    <s v="B1"/>
    <s v="Bağlantı -2 P2 Yönü"/>
    <x v="0"/>
    <x v="2"/>
    <x v="2"/>
    <x v="6"/>
    <s v="KALICI"/>
    <s v="Umbrella-1"/>
    <s v="Tamamlandı"/>
    <s v="Q377/377-Çift Kat"/>
    <s v="30 cm atıldı"/>
    <n v="1"/>
    <m/>
    <m/>
    <m/>
    <m/>
    <m/>
    <m/>
    <m/>
    <m/>
    <m/>
    <m/>
  </r>
  <r>
    <x v="0"/>
    <x v="0"/>
    <b v="0"/>
    <m/>
    <x v="1"/>
    <s v="S06-Barbaros İstasyonu"/>
    <s v="Hat-2"/>
    <s v="B1"/>
    <s v="Bağlantı -2 P2 Yönü"/>
    <x v="0"/>
    <x v="2"/>
    <x v="2"/>
    <x v="7"/>
    <s v="KALICI"/>
    <s v="Umbrella-2"/>
    <s v="Tamamlandı"/>
    <s v="Q377/377-Çift Kat"/>
    <s v="30 cm atıldı"/>
    <n v="1"/>
    <m/>
    <m/>
    <m/>
    <m/>
    <m/>
    <m/>
    <m/>
    <m/>
    <m/>
    <m/>
  </r>
  <r>
    <x v="0"/>
    <x v="0"/>
    <b v="0"/>
    <m/>
    <x v="1"/>
    <s v="S06-Barbaros İstasyonu"/>
    <s v="Hat-2"/>
    <s v="B1"/>
    <s v="Bağlantı -2 P2 Yönü"/>
    <x v="0"/>
    <x v="3"/>
    <x v="3"/>
    <x v="8"/>
    <s v="KALICI"/>
    <s v="Umbrella-3"/>
    <s v="Tamamlandı"/>
    <s v="Q377/377-Çift Kat"/>
    <s v="30 cm atıldı"/>
    <n v="1"/>
    <m/>
    <m/>
    <m/>
    <m/>
    <m/>
    <m/>
    <m/>
    <m/>
    <m/>
    <m/>
  </r>
  <r>
    <x v="0"/>
    <x v="0"/>
    <b v="0"/>
    <m/>
    <x v="1"/>
    <s v="S06-Barbaros İstasyonu"/>
    <s v="Hat-2"/>
    <s v="B1"/>
    <s v="Bağlantı -2 P2 Yönü"/>
    <x v="0"/>
    <x v="3"/>
    <x v="3"/>
    <x v="9"/>
    <s v="KALICI"/>
    <s v="Umbrella-4"/>
    <s v="Tamamlandı"/>
    <s v="Q377/377-Çift Kat"/>
    <s v="30 cm atıldı"/>
    <n v="1"/>
    <m/>
    <m/>
    <m/>
    <m/>
    <m/>
    <m/>
    <m/>
    <m/>
    <m/>
    <m/>
  </r>
  <r>
    <x v="0"/>
    <x v="0"/>
    <b v="0"/>
    <m/>
    <x v="1"/>
    <s v="S06-Barbaros İstasyonu"/>
    <s v="Hat-2"/>
    <s v="B1"/>
    <s v="Bağlantı -2 P2 Yönü"/>
    <x v="0"/>
    <x v="3"/>
    <x v="3"/>
    <x v="10"/>
    <s v="KALICI"/>
    <s v="Umbrella-5"/>
    <s v="Tamamlandı"/>
    <s v="Q377/377-Çift Kat"/>
    <s v="30 cm atıldı"/>
    <n v="1"/>
    <m/>
    <m/>
    <m/>
    <m/>
    <m/>
    <m/>
    <m/>
    <m/>
    <m/>
    <m/>
  </r>
  <r>
    <x v="0"/>
    <x v="0"/>
    <b v="0"/>
    <m/>
    <x v="1"/>
    <s v="S06-Barbaros İstasyonu"/>
    <s v="Hat-2"/>
    <s v="B1"/>
    <s v="Bağlantı -2 P2 Yönü"/>
    <x v="0"/>
    <x v="3"/>
    <x v="3"/>
    <x v="11"/>
    <s v="KALICI"/>
    <s v="Umbrella-6"/>
    <s v="Tamamlandı"/>
    <s v="Q377/377-Çift Kat"/>
    <s v="30 cm atıldı"/>
    <n v="1"/>
    <m/>
    <m/>
    <m/>
    <m/>
    <m/>
    <m/>
    <m/>
    <m/>
    <m/>
    <m/>
  </r>
  <r>
    <x v="1"/>
    <x v="1"/>
    <m/>
    <m/>
    <x v="2"/>
    <m/>
    <m/>
    <m/>
    <m/>
    <x v="1"/>
    <x v="4"/>
    <x v="4"/>
    <x v="12"/>
    <m/>
    <m/>
    <m/>
    <m/>
    <m/>
    <m/>
    <m/>
    <m/>
    <m/>
    <m/>
    <m/>
    <m/>
    <m/>
    <m/>
    <m/>
    <m/>
  </r>
  <r>
    <x v="0"/>
    <x v="0"/>
    <b v="0"/>
    <m/>
    <x v="0"/>
    <s v="S06-Barbaros İstasyonu"/>
    <s v="Hat-2"/>
    <s v="B1"/>
    <s v="Bağlantı -2 P2 Yönü"/>
    <x v="0"/>
    <x v="0"/>
    <x v="0"/>
    <x v="13"/>
    <m/>
    <m/>
    <m/>
    <m/>
    <m/>
    <m/>
    <m/>
    <m/>
    <m/>
    <m/>
    <m/>
    <m/>
    <m/>
    <m/>
    <m/>
    <m/>
  </r>
  <r>
    <x v="0"/>
    <x v="0"/>
    <b v="0"/>
    <m/>
    <x v="0"/>
    <s v="S06-Barbaros İstasyonu"/>
    <s v="Hat-2"/>
    <s v="B1"/>
    <s v="Bağlantı -2 P2 Yönü"/>
    <x v="0"/>
    <x v="0"/>
    <x v="0"/>
    <x v="14"/>
    <m/>
    <m/>
    <m/>
    <m/>
    <m/>
    <m/>
    <m/>
    <m/>
    <m/>
    <m/>
    <m/>
    <m/>
    <m/>
    <m/>
    <m/>
    <m/>
  </r>
  <r>
    <x v="0"/>
    <x v="0"/>
    <b v="0"/>
    <m/>
    <x v="0"/>
    <s v="S06-Barbaros İstasyonu"/>
    <s v="Hat-2"/>
    <s v="B1"/>
    <s v="Bağlantı -2 P2 Yönü"/>
    <x v="0"/>
    <x v="0"/>
    <x v="0"/>
    <x v="15"/>
    <m/>
    <m/>
    <m/>
    <m/>
    <m/>
    <m/>
    <m/>
    <m/>
    <m/>
    <m/>
    <m/>
    <m/>
    <m/>
    <m/>
    <m/>
    <m/>
  </r>
  <r>
    <x v="0"/>
    <x v="0"/>
    <b v="0"/>
    <m/>
    <x v="0"/>
    <s v="S06-Barbaros İstasyonu"/>
    <s v="Hat-2"/>
    <s v="B1"/>
    <s v="Bağlantı -2 P2 Yönü"/>
    <x v="0"/>
    <x v="0"/>
    <x v="0"/>
    <x v="16"/>
    <m/>
    <m/>
    <m/>
    <m/>
    <m/>
    <m/>
    <m/>
    <m/>
    <m/>
    <m/>
    <m/>
    <m/>
    <m/>
    <m/>
    <m/>
    <m/>
  </r>
  <r>
    <x v="0"/>
    <x v="0"/>
    <b v="0"/>
    <m/>
    <x v="0"/>
    <s v="S06-Barbaros İstasyonu"/>
    <s v="Hat-2"/>
    <s v="B1"/>
    <s v="Bağlantı -2 P2 Yönü"/>
    <x v="0"/>
    <x v="0"/>
    <x v="0"/>
    <x v="17"/>
    <m/>
    <m/>
    <m/>
    <m/>
    <m/>
    <m/>
    <m/>
    <m/>
    <m/>
    <m/>
    <m/>
    <m/>
    <m/>
    <m/>
    <m/>
    <m/>
  </r>
  <r>
    <x v="0"/>
    <x v="0"/>
    <b v="0"/>
    <m/>
    <x v="0"/>
    <s v="S06-Barbaros İstasyonu"/>
    <s v="Hat-2"/>
    <s v="B1"/>
    <s v="Bağlantı -2 P2 Yönü"/>
    <x v="0"/>
    <x v="0"/>
    <x v="0"/>
    <x v="18"/>
    <m/>
    <m/>
    <m/>
    <m/>
    <m/>
    <m/>
    <m/>
    <m/>
    <m/>
    <m/>
    <m/>
    <m/>
    <m/>
    <m/>
    <m/>
    <m/>
  </r>
  <r>
    <x v="0"/>
    <x v="0"/>
    <b v="0"/>
    <m/>
    <x v="0"/>
    <s v="S06-Barbaros İstasyonu"/>
    <s v="Hat-2"/>
    <s v="B1"/>
    <s v="Bağlantı -2 P2 Yönü"/>
    <x v="0"/>
    <x v="0"/>
    <x v="0"/>
    <x v="19"/>
    <m/>
    <m/>
    <m/>
    <m/>
    <m/>
    <m/>
    <m/>
    <m/>
    <m/>
    <m/>
    <m/>
    <m/>
    <m/>
    <m/>
    <m/>
    <m/>
  </r>
  <r>
    <x v="0"/>
    <x v="0"/>
    <b v="0"/>
    <m/>
    <x v="0"/>
    <s v="S06-Barbaros İstasyonu"/>
    <s v="Hat-2"/>
    <s v="B1"/>
    <s v="Bağlantı -2 P2 Yönü"/>
    <x v="0"/>
    <x v="0"/>
    <x v="0"/>
    <x v="20"/>
    <m/>
    <m/>
    <m/>
    <m/>
    <m/>
    <m/>
    <m/>
    <m/>
    <m/>
    <m/>
    <m/>
    <m/>
    <m/>
    <m/>
    <m/>
    <m/>
  </r>
  <r>
    <x v="0"/>
    <x v="0"/>
    <b v="0"/>
    <m/>
    <x v="0"/>
    <s v="S06-Barbaros İstasyonu"/>
    <s v="Hat-2"/>
    <s v="B1"/>
    <s v="Bağlantı -2 P2 Yönü"/>
    <x v="0"/>
    <x v="0"/>
    <x v="0"/>
    <x v="21"/>
    <m/>
    <m/>
    <m/>
    <m/>
    <m/>
    <m/>
    <m/>
    <m/>
    <m/>
    <m/>
    <m/>
    <m/>
    <m/>
    <m/>
    <m/>
    <m/>
  </r>
  <r>
    <x v="0"/>
    <x v="0"/>
    <b v="0"/>
    <m/>
    <x v="0"/>
    <s v="S06-Barbaros İstasyonu"/>
    <s v="Hat-2"/>
    <s v="B1"/>
    <s v="Bağlantı -2 P2 Yönü"/>
    <x v="0"/>
    <x v="0"/>
    <x v="0"/>
    <x v="22"/>
    <m/>
    <m/>
    <m/>
    <m/>
    <m/>
    <m/>
    <m/>
    <m/>
    <m/>
    <m/>
    <m/>
    <m/>
    <m/>
    <m/>
    <m/>
    <m/>
  </r>
  <r>
    <x v="1"/>
    <x v="1"/>
    <m/>
    <m/>
    <x v="2"/>
    <m/>
    <m/>
    <m/>
    <m/>
    <x v="1"/>
    <x v="4"/>
    <x v="4"/>
    <x v="12"/>
    <m/>
    <m/>
    <m/>
    <m/>
    <m/>
    <m/>
    <m/>
    <m/>
    <m/>
    <m/>
    <m/>
    <m/>
    <m/>
    <m/>
    <m/>
    <m/>
  </r>
  <r>
    <x v="2"/>
    <x v="2"/>
    <b v="0"/>
    <m/>
    <x v="3"/>
    <s v="S06-Barbaros İstasyonu"/>
    <s v="Hat-2"/>
    <s v="B1"/>
    <s v="Bağlantı -2 P2 Yönü"/>
    <x v="0"/>
    <x v="5"/>
    <x v="5"/>
    <x v="0"/>
    <m/>
    <m/>
    <m/>
    <m/>
    <m/>
    <m/>
    <m/>
    <m/>
    <m/>
    <m/>
    <m/>
    <m/>
    <m/>
    <m/>
    <m/>
    <n v="20"/>
  </r>
  <r>
    <x v="1"/>
    <x v="1"/>
    <m/>
    <m/>
    <x v="2"/>
    <m/>
    <m/>
    <m/>
    <m/>
    <x v="1"/>
    <x v="4"/>
    <x v="4"/>
    <x v="12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9148F-C858-4DF1-B586-884AB5F20A7F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>
  <location ref="A13:H25" firstHeaderRow="0" firstDataRow="1" firstDataCol="6"/>
  <pivotFields count="22">
    <pivotField compact="0" outline="0" showAll="0">
      <items count="6">
        <item m="1" x="2"/>
        <item m="1" x="3"/>
        <item m="1" x="4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6">
        <item m="1" x="2"/>
        <item m="1" x="3"/>
        <item m="1" x="4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8">
        <item h="1" m="1" x="5"/>
        <item x="1"/>
        <item h="1" m="1" x="3"/>
        <item h="1" m="1" x="6"/>
        <item h="1" m="1" x="4"/>
        <item h="1" x="0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TF No" axis="axisRow" compact="0" outline="0" showAll="0" sortType="ascending" defaultSubtotal="0">
      <items count="73">
        <item x="3"/>
        <item m="1" x="43"/>
        <item m="1" x="5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"/>
        <item m="1" x="7"/>
        <item m="1" x="8"/>
        <item m="1" x="9"/>
        <item m="1" x="10"/>
        <item m="1" x="11"/>
        <item m="1" x="13"/>
        <item m="1" x="14"/>
        <item m="1" x="15"/>
        <item m="1" x="16"/>
        <item m="1" x="17"/>
        <item m="1" x="18"/>
        <item m="1" x="61"/>
        <item m="1" x="20"/>
        <item m="1" x="21"/>
        <item m="1" x="22"/>
        <item m="1" x="23"/>
        <item m="1" x="24"/>
        <item m="1" x="66"/>
        <item m="1" x="25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67"/>
        <item m="1" x="38"/>
        <item m="1" x="68"/>
        <item m="1" x="39"/>
        <item m="1" x="40"/>
        <item m="1" x="69"/>
        <item m="1" x="42"/>
        <item m="1" x="62"/>
        <item m="1" x="70"/>
        <item m="1" x="71"/>
        <item m="1" x="72"/>
        <item m="1" x="63"/>
        <item m="1" x="64"/>
        <item m="1" x="65"/>
        <item x="2"/>
        <item x="1"/>
        <item x="0"/>
        <item m="1" x="12"/>
        <item m="1" x="19"/>
        <item m="1" x="26"/>
        <item m="1" x="36"/>
        <item m="1" x="4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50">
        <item m="1" x="36"/>
        <item m="1" x="5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6"/>
        <item m="1" x="7"/>
        <item m="1" x="8"/>
        <item m="1" x="49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x="0"/>
        <item x="3"/>
        <item x="2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91">
        <item x="11"/>
        <item x="22"/>
        <item x="10"/>
        <item x="21"/>
        <item x="9"/>
        <item x="20"/>
        <item x="8"/>
        <item x="19"/>
        <item x="7"/>
        <item x="18"/>
        <item x="6"/>
        <item x="17"/>
        <item x="5"/>
        <item x="16"/>
        <item x="4"/>
        <item x="15"/>
        <item x="3"/>
        <item x="14"/>
        <item x="2"/>
        <item x="13"/>
        <item x="1"/>
        <item x="0"/>
        <item m="1" x="32"/>
        <item m="1" x="33"/>
        <item m="1" x="23"/>
        <item m="1" x="34"/>
        <item m="1" x="24"/>
        <item m="1" x="35"/>
        <item m="1" x="25"/>
        <item m="1" x="36"/>
        <item m="1" x="26"/>
        <item m="1" x="43"/>
        <item m="1" x="27"/>
        <item m="1" x="44"/>
        <item m="1" x="28"/>
        <item m="1" x="45"/>
        <item m="1" x="29"/>
        <item m="1" x="46"/>
        <item m="1" x="30"/>
        <item m="1" x="47"/>
        <item m="1" x="31"/>
        <item m="1" x="48"/>
        <item m="1" x="37"/>
        <item m="1" x="55"/>
        <item m="1" x="38"/>
        <item m="1" x="56"/>
        <item m="1" x="39"/>
        <item m="1" x="57"/>
        <item m="1" x="40"/>
        <item m="1" x="58"/>
        <item m="1" x="41"/>
        <item m="1" x="59"/>
        <item m="1" x="42"/>
        <item m="1" x="60"/>
        <item m="1" x="49"/>
        <item m="1" x="61"/>
        <item m="1" x="50"/>
        <item m="1" x="71"/>
        <item m="1" x="51"/>
        <item m="1" x="72"/>
        <item m="1" x="52"/>
        <item m="1" x="73"/>
        <item m="1" x="53"/>
        <item m="1" x="74"/>
        <item m="1" x="54"/>
        <item m="1" x="75"/>
        <item m="1" x="62"/>
        <item m="1" x="76"/>
        <item m="1" x="63"/>
        <item m="1" x="80"/>
        <item m="1" x="64"/>
        <item m="1" x="67"/>
        <item m="1" x="81"/>
        <item m="1" x="65"/>
        <item m="1" x="82"/>
        <item m="1" x="66"/>
        <item m="1" x="83"/>
        <item m="1" x="68"/>
        <item m="1" x="84"/>
        <item m="1" x="69"/>
        <item m="1" x="85"/>
        <item m="1" x="70"/>
        <item m="1" x="86"/>
        <item m="1" x="77"/>
        <item m="1" x="87"/>
        <item m="1" x="78"/>
        <item m="1" x="88"/>
        <item m="1" x="79"/>
        <item m="1" x="89"/>
        <item m="1" x="9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İksa Tipi" axis="axisRow" compact="0" outline="0" showAll="0" defaultSubtotal="0">
      <items count="13">
        <item m="1" x="7"/>
        <item m="1" x="8"/>
        <item m="1" x="9"/>
        <item m="1" x="10"/>
        <item m="1" x="11"/>
        <item m="1" x="12"/>
        <item x="0"/>
        <item x="6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m="1" x="5"/>
        <item m="1" x="4"/>
        <item x="0"/>
        <item m="1" x="2"/>
        <item m="1"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0"/>
    <field x="11"/>
    <field x="12"/>
    <field x="16"/>
    <field x="17"/>
    <field x="14"/>
  </rowFields>
  <rowItems count="12">
    <i>
      <x/>
      <x v="46"/>
      <x/>
      <x v="5"/>
      <x v="1"/>
      <x v="12"/>
    </i>
    <i r="2">
      <x v="2"/>
      <x v="5"/>
      <x v="1"/>
      <x v="11"/>
    </i>
    <i r="2">
      <x v="4"/>
      <x v="5"/>
      <x v="1"/>
      <x v="10"/>
    </i>
    <i r="2">
      <x v="6"/>
      <x v="5"/>
      <x v="1"/>
      <x v="9"/>
    </i>
    <i>
      <x v="64"/>
      <x v="47"/>
      <x v="8"/>
      <x v="5"/>
      <x v="1"/>
      <x v="8"/>
    </i>
    <i r="2">
      <x v="10"/>
      <x v="5"/>
      <x v="1"/>
      <x v="7"/>
    </i>
    <i r="2">
      <x v="12"/>
      <x v="5"/>
      <x v="1"/>
      <x v="12"/>
    </i>
    <i r="2">
      <x v="14"/>
      <x v="5"/>
      <x v="1"/>
      <x v="11"/>
    </i>
    <i>
      <x v="65"/>
      <x v="48"/>
      <x v="16"/>
      <x v="5"/>
      <x v="1"/>
      <x v="10"/>
    </i>
    <i r="2">
      <x v="18"/>
      <x v="5"/>
      <x v="1"/>
      <x v="9"/>
    </i>
    <i r="2">
      <x v="20"/>
      <x v="5"/>
      <x v="1"/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Geçici İnvert Çelik İksa HEB160" fld="18" baseField="0" baseItem="1"/>
    <dataField name=" Kalıcı Çelik İksa HEB200" fld="19" baseField="0" baseItem="1"/>
  </dataFields>
  <formats count="442">
    <format dxfId="718">
      <pivotArea dataOnly="0" labelOnly="1" outline="0" fieldPosition="0">
        <references count="1">
          <reference field="10" count="12">
            <x v="32"/>
            <x v="38"/>
            <x v="50"/>
            <x v="52"/>
            <x v="55"/>
            <x v="57"/>
            <x v="58"/>
            <x v="59"/>
            <x v="60"/>
            <x v="61"/>
            <x v="62"/>
            <x v="63"/>
          </reference>
        </references>
      </pivotArea>
    </format>
    <format dxfId="717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7"/>
          </reference>
          <reference field="12" count="4">
            <x v="64"/>
            <x v="66"/>
            <x v="68"/>
            <x v="70"/>
          </reference>
        </references>
      </pivotArea>
    </format>
    <format dxfId="716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7"/>
          </reference>
          <reference field="12" count="1">
            <x v="73"/>
          </reference>
        </references>
      </pivotArea>
    </format>
    <format dxfId="715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8"/>
          </reference>
          <reference field="12" count="1">
            <x v="77"/>
          </reference>
        </references>
      </pivotArea>
    </format>
    <format dxfId="714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2"/>
          </reference>
          <reference field="12" count="1">
            <x v="64"/>
          </reference>
        </references>
      </pivotArea>
    </format>
    <format dxfId="713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9"/>
          </reference>
          <reference field="12" count="2">
            <x v="79"/>
            <x v="81"/>
          </reference>
        </references>
      </pivotArea>
    </format>
    <format dxfId="712">
      <pivotArea dataOnly="0" labelOnly="1" outline="0" fieldPosition="0">
        <references count="3">
          <reference field="10" count="1" selected="0">
            <x v="59"/>
          </reference>
          <reference field="11" count="1" selected="0">
            <x v="10"/>
          </reference>
          <reference field="12" count="2">
            <x v="83"/>
            <x v="85"/>
          </reference>
        </references>
      </pivotArea>
    </format>
    <format dxfId="711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11"/>
          </reference>
          <reference field="12" count="1">
            <x v="87"/>
          </reference>
        </references>
      </pivotArea>
    </format>
    <format dxfId="710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3"/>
          </reference>
          <reference field="12" count="2">
            <x v="66"/>
            <x v="68"/>
          </reference>
        </references>
      </pivotArea>
    </format>
    <format dxfId="709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4"/>
          </reference>
          <reference field="12" count="2">
            <x v="70"/>
            <x v="73"/>
          </reference>
        </references>
      </pivotArea>
    </format>
    <format dxfId="708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5"/>
          </reference>
          <reference field="12" count="1">
            <x v="75"/>
          </reference>
        </references>
      </pivotArea>
    </format>
    <format dxfId="707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7"/>
          </reference>
          <reference field="12" count="4">
            <x v="64"/>
            <x v="66"/>
            <x v="68"/>
            <x v="70"/>
          </reference>
        </references>
      </pivotArea>
    </format>
    <format dxfId="706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7"/>
          </reference>
          <reference field="12" count="1">
            <x v="73"/>
          </reference>
        </references>
      </pivotArea>
    </format>
    <format dxfId="705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8"/>
          </reference>
          <reference field="12" count="1">
            <x v="77"/>
          </reference>
        </references>
      </pivotArea>
    </format>
    <format dxfId="704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2"/>
          </reference>
          <reference field="12" count="1">
            <x v="64"/>
          </reference>
        </references>
      </pivotArea>
    </format>
    <format dxfId="703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9"/>
          </reference>
          <reference field="12" count="2">
            <x v="79"/>
            <x v="81"/>
          </reference>
        </references>
      </pivotArea>
    </format>
    <format dxfId="702">
      <pivotArea dataOnly="0" labelOnly="1" outline="0" fieldPosition="0">
        <references count="3">
          <reference field="10" count="1" selected="0">
            <x v="59"/>
          </reference>
          <reference field="11" count="1" selected="0">
            <x v="10"/>
          </reference>
          <reference field="12" count="2">
            <x v="83"/>
            <x v="85"/>
          </reference>
        </references>
      </pivotArea>
    </format>
    <format dxfId="701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11"/>
          </reference>
          <reference field="12" count="1">
            <x v="87"/>
          </reference>
        </references>
      </pivotArea>
    </format>
    <format dxfId="700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3"/>
          </reference>
          <reference field="12" count="2">
            <x v="66"/>
            <x v="68"/>
          </reference>
        </references>
      </pivotArea>
    </format>
    <format dxfId="699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4"/>
          </reference>
          <reference field="12" count="2">
            <x v="70"/>
            <x v="73"/>
          </reference>
        </references>
      </pivotArea>
    </format>
    <format dxfId="698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5"/>
          </reference>
          <reference field="12" count="1">
            <x v="75"/>
          </reference>
        </references>
      </pivotArea>
    </format>
    <format dxfId="697">
      <pivotArea dataOnly="0" labelOnly="1" outline="0" fieldPosition="0">
        <references count="4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64"/>
          </reference>
          <reference field="16" count="1">
            <x v="0"/>
          </reference>
        </references>
      </pivotArea>
    </format>
    <format dxfId="696">
      <pivotArea dataOnly="0" labelOnly="1" outline="0" fieldPosition="0">
        <references count="4">
          <reference field="10" count="1" selected="0">
            <x v="55"/>
          </reference>
          <reference field="11" count="1" selected="0">
            <x v="8"/>
          </reference>
          <reference field="12" count="1" selected="0">
            <x v="77"/>
          </reference>
          <reference field="16" count="1">
            <x v="1"/>
          </reference>
        </references>
      </pivotArea>
    </format>
    <format dxfId="695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64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4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66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3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68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2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70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1">
      <pivotArea dataOnly="0" labelOnly="1" outline="0" fieldPosition="0">
        <references count="6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73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0">
      <pivotArea dataOnly="0" labelOnly="1" outline="0" fieldPosition="0">
        <references count="6">
          <reference field="10" count="1" selected="0">
            <x v="55"/>
          </reference>
          <reference field="11" count="1" selected="0">
            <x v="8"/>
          </reference>
          <reference field="12" count="1" selected="0">
            <x v="77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9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2"/>
          </reference>
          <reference field="12" count="1" selected="0">
            <x v="64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8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9"/>
          </reference>
          <reference field="12" count="1" selected="0">
            <x v="79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7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9"/>
          </reference>
          <reference field="12" count="1" selected="0">
            <x v="81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6">
      <pivotArea dataOnly="0" labelOnly="1" outline="0" fieldPosition="0">
        <references count="6">
          <reference field="10" count="1" selected="0">
            <x v="59"/>
          </reference>
          <reference field="11" count="1" selected="0">
            <x v="10"/>
          </reference>
          <reference field="12" count="1" selected="0">
            <x v="83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5">
      <pivotArea dataOnly="0" labelOnly="1" outline="0" fieldPosition="0">
        <references count="6">
          <reference field="10" count="1" selected="0">
            <x v="59"/>
          </reference>
          <reference field="11" count="1" selected="0">
            <x v="10"/>
          </reference>
          <reference field="12" count="1" selected="0">
            <x v="85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4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11"/>
          </reference>
          <reference field="12" count="1" selected="0">
            <x v="87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3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3"/>
          </reference>
          <reference field="12" count="1" selected="0">
            <x v="66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2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3"/>
          </reference>
          <reference field="12" count="1" selected="0">
            <x v="68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1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4"/>
          </reference>
          <reference field="12" count="1" selected="0">
            <x v="70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0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4"/>
          </reference>
          <reference field="12" count="1" selected="0">
            <x v="73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9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5"/>
          </reference>
          <reference field="12" count="1" selected="0">
            <x v="75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8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64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7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66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6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68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5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70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4">
      <pivotArea dataOnly="0" labelOnly="1" outline="0" fieldPosition="0">
        <references count="6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73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3">
      <pivotArea dataOnly="0" labelOnly="1" outline="0" fieldPosition="0">
        <references count="6">
          <reference field="10" count="1" selected="0">
            <x v="55"/>
          </reference>
          <reference field="11" count="1" selected="0">
            <x v="8"/>
          </reference>
          <reference field="12" count="1" selected="0">
            <x v="77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2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2"/>
          </reference>
          <reference field="12" count="1" selected="0">
            <x v="64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1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9"/>
          </reference>
          <reference field="12" count="1" selected="0">
            <x v="79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0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9"/>
          </reference>
          <reference field="12" count="1" selected="0">
            <x v="81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9">
      <pivotArea dataOnly="0" labelOnly="1" outline="0" fieldPosition="0">
        <references count="6">
          <reference field="10" count="1" selected="0">
            <x v="59"/>
          </reference>
          <reference field="11" count="1" selected="0">
            <x v="10"/>
          </reference>
          <reference field="12" count="1" selected="0">
            <x v="83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8">
      <pivotArea dataOnly="0" labelOnly="1" outline="0" fieldPosition="0">
        <references count="6">
          <reference field="10" count="1" selected="0">
            <x v="59"/>
          </reference>
          <reference field="11" count="1" selected="0">
            <x v="10"/>
          </reference>
          <reference field="12" count="1" selected="0">
            <x v="85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7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11"/>
          </reference>
          <reference field="12" count="1" selected="0">
            <x v="87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6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3"/>
          </reference>
          <reference field="12" count="1" selected="0">
            <x v="66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5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3"/>
          </reference>
          <reference field="12" count="1" selected="0">
            <x v="68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4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4"/>
          </reference>
          <reference field="12" count="1" selected="0">
            <x v="70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3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4"/>
          </reference>
          <reference field="12" count="1" selected="0">
            <x v="73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2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5"/>
          </reference>
          <reference field="12" count="1" selected="0">
            <x v="75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1">
      <pivotArea dataOnly="0" labelOnly="1" outline="0" fieldPosition="0">
        <references count="5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64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60">
      <pivotArea dataOnly="0" labelOnly="1" outline="0" fieldPosition="0">
        <references count="5">
          <reference field="10" count="1" selected="0">
            <x v="55"/>
          </reference>
          <reference field="11" count="1" selected="0">
            <x v="8"/>
          </reference>
          <reference field="12" count="1" selected="0">
            <x v="77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59">
      <pivotArea field="10" type="button" dataOnly="0" labelOnly="1" outline="0" axis="axisRow" fieldPosition="0"/>
    </format>
    <format dxfId="658">
      <pivotArea field="11" type="button" dataOnly="0" labelOnly="1" outline="0" axis="axisRow" fieldPosition="1"/>
    </format>
    <format dxfId="657">
      <pivotArea field="12" type="button" dataOnly="0" labelOnly="1" outline="0" axis="axisRow" fieldPosition="2"/>
    </format>
    <format dxfId="656">
      <pivotArea field="16" type="button" dataOnly="0" labelOnly="1" outline="0" axis="axisRow" fieldPosition="3"/>
    </format>
    <format dxfId="655">
      <pivotArea field="17" type="button" dataOnly="0" labelOnly="1" outline="0" axis="axisRow" fieldPosition="4"/>
    </format>
    <format dxfId="654">
      <pivotArea field="14" type="button" dataOnly="0" labelOnly="1" outline="0" axis="axisRow" fieldPosition="5"/>
    </format>
    <format dxfId="653">
      <pivotArea field="10" type="button" dataOnly="0" labelOnly="1" outline="0" axis="axisRow" fieldPosition="0"/>
    </format>
    <format dxfId="652">
      <pivotArea field="11" type="button" dataOnly="0" labelOnly="1" outline="0" axis="axisRow" fieldPosition="1"/>
    </format>
    <format dxfId="651">
      <pivotArea field="12" type="button" dataOnly="0" labelOnly="1" outline="0" axis="axisRow" fieldPosition="2"/>
    </format>
    <format dxfId="650">
      <pivotArea field="16" type="button" dataOnly="0" labelOnly="1" outline="0" axis="axisRow" fieldPosition="3"/>
    </format>
    <format dxfId="649">
      <pivotArea field="17" type="button" dataOnly="0" labelOnly="1" outline="0" axis="axisRow" fieldPosition="4"/>
    </format>
    <format dxfId="648">
      <pivotArea field="14" type="button" dataOnly="0" labelOnly="1" outline="0" axis="axisRow" fieldPosition="5"/>
    </format>
    <format dxfId="647">
      <pivotArea dataOnly="0" labelOnly="1" outline="0" fieldPosition="0">
        <references count="1">
          <reference field="10" count="10">
            <x v="50"/>
            <x v="52"/>
            <x v="55"/>
            <x v="57"/>
            <x v="58"/>
            <x v="59"/>
            <x v="60"/>
            <x v="61"/>
            <x v="62"/>
            <x v="63"/>
          </reference>
        </references>
      </pivotArea>
    </format>
    <format dxfId="646">
      <pivotArea dataOnly="0" labelOnly="1" outline="0" fieldPosition="0">
        <references count="2">
          <reference field="10" count="1" selected="0">
            <x v="50"/>
          </reference>
          <reference field="11" count="1">
            <x v="7"/>
          </reference>
        </references>
      </pivotArea>
    </format>
    <format dxfId="645">
      <pivotArea dataOnly="0" labelOnly="1" outline="0" fieldPosition="0">
        <references count="2">
          <reference field="10" count="1" selected="0">
            <x v="55"/>
          </reference>
          <reference field="11" count="1">
            <x v="8"/>
          </reference>
        </references>
      </pivotArea>
    </format>
    <format dxfId="644">
      <pivotArea dataOnly="0" labelOnly="1" outline="0" fieldPosition="0">
        <references count="2">
          <reference field="10" count="1" selected="0">
            <x v="57"/>
          </reference>
          <reference field="11" count="1">
            <x v="2"/>
          </reference>
        </references>
      </pivotArea>
    </format>
    <format dxfId="643">
      <pivotArea dataOnly="0" labelOnly="1" outline="0" fieldPosition="0">
        <references count="2">
          <reference field="10" count="1" selected="0">
            <x v="58"/>
          </reference>
          <reference field="11" count="1">
            <x v="9"/>
          </reference>
        </references>
      </pivotArea>
    </format>
    <format dxfId="642">
      <pivotArea dataOnly="0" labelOnly="1" outline="0" fieldPosition="0">
        <references count="2">
          <reference field="10" count="1" selected="0">
            <x v="59"/>
          </reference>
          <reference field="11" count="1">
            <x v="10"/>
          </reference>
        </references>
      </pivotArea>
    </format>
    <format dxfId="641">
      <pivotArea dataOnly="0" labelOnly="1" outline="0" fieldPosition="0">
        <references count="2">
          <reference field="10" count="1" selected="0">
            <x v="60"/>
          </reference>
          <reference field="11" count="1">
            <x v="11"/>
          </reference>
        </references>
      </pivotArea>
    </format>
    <format dxfId="640">
      <pivotArea dataOnly="0" labelOnly="1" outline="0" fieldPosition="0">
        <references count="2">
          <reference field="10" count="1" selected="0">
            <x v="61"/>
          </reference>
          <reference field="11" count="1">
            <x v="3"/>
          </reference>
        </references>
      </pivotArea>
    </format>
    <format dxfId="639">
      <pivotArea dataOnly="0" labelOnly="1" outline="0" fieldPosition="0">
        <references count="2">
          <reference field="10" count="1" selected="0">
            <x v="62"/>
          </reference>
          <reference field="11" count="1">
            <x v="4"/>
          </reference>
        </references>
      </pivotArea>
    </format>
    <format dxfId="638">
      <pivotArea dataOnly="0" labelOnly="1" outline="0" fieldPosition="0">
        <references count="2">
          <reference field="10" count="1" selected="0">
            <x v="63"/>
          </reference>
          <reference field="11" count="1">
            <x v="5"/>
          </reference>
        </references>
      </pivotArea>
    </format>
    <format dxfId="637">
      <pivotArea dataOnly="0" labelOnly="1" outline="0" fieldPosition="0">
        <references count="1">
          <reference field="10" count="10">
            <x v="50"/>
            <x v="52"/>
            <x v="55"/>
            <x v="57"/>
            <x v="58"/>
            <x v="59"/>
            <x v="60"/>
            <x v="61"/>
            <x v="62"/>
            <x v="63"/>
          </reference>
        </references>
      </pivotArea>
    </format>
    <format dxfId="636">
      <pivotArea dataOnly="0" labelOnly="1" outline="0" fieldPosition="0">
        <references count="2">
          <reference field="10" count="1" selected="0">
            <x v="50"/>
          </reference>
          <reference field="11" count="1">
            <x v="7"/>
          </reference>
        </references>
      </pivotArea>
    </format>
    <format dxfId="635">
      <pivotArea dataOnly="0" labelOnly="1" outline="0" fieldPosition="0">
        <references count="2">
          <reference field="10" count="1" selected="0">
            <x v="55"/>
          </reference>
          <reference field="11" count="1">
            <x v="8"/>
          </reference>
        </references>
      </pivotArea>
    </format>
    <format dxfId="634">
      <pivotArea dataOnly="0" labelOnly="1" outline="0" fieldPosition="0">
        <references count="2">
          <reference field="10" count="1" selected="0">
            <x v="57"/>
          </reference>
          <reference field="11" count="1">
            <x v="2"/>
          </reference>
        </references>
      </pivotArea>
    </format>
    <format dxfId="633">
      <pivotArea dataOnly="0" labelOnly="1" outline="0" fieldPosition="0">
        <references count="2">
          <reference field="10" count="1" selected="0">
            <x v="58"/>
          </reference>
          <reference field="11" count="1">
            <x v="9"/>
          </reference>
        </references>
      </pivotArea>
    </format>
    <format dxfId="632">
      <pivotArea dataOnly="0" labelOnly="1" outline="0" fieldPosition="0">
        <references count="2">
          <reference field="10" count="1" selected="0">
            <x v="59"/>
          </reference>
          <reference field="11" count="1">
            <x v="10"/>
          </reference>
        </references>
      </pivotArea>
    </format>
    <format dxfId="631">
      <pivotArea dataOnly="0" labelOnly="1" outline="0" fieldPosition="0">
        <references count="2">
          <reference field="10" count="1" selected="0">
            <x v="60"/>
          </reference>
          <reference field="11" count="1">
            <x v="11"/>
          </reference>
        </references>
      </pivotArea>
    </format>
    <format dxfId="630">
      <pivotArea dataOnly="0" labelOnly="1" outline="0" fieldPosition="0">
        <references count="2">
          <reference field="10" count="1" selected="0">
            <x v="61"/>
          </reference>
          <reference field="11" count="1">
            <x v="3"/>
          </reference>
        </references>
      </pivotArea>
    </format>
    <format dxfId="629">
      <pivotArea dataOnly="0" labelOnly="1" outline="0" fieldPosition="0">
        <references count="2">
          <reference field="10" count="1" selected="0">
            <x v="62"/>
          </reference>
          <reference field="11" count="1">
            <x v="4"/>
          </reference>
        </references>
      </pivotArea>
    </format>
    <format dxfId="628">
      <pivotArea dataOnly="0" labelOnly="1" outline="0" fieldPosition="0">
        <references count="2">
          <reference field="10" count="1" selected="0">
            <x v="63"/>
          </reference>
          <reference field="11" count="1">
            <x v="5"/>
          </reference>
        </references>
      </pivotArea>
    </format>
    <format dxfId="627">
      <pivotArea dataOnly="0" labelOnly="1" outline="0" fieldPosition="0">
        <references count="1">
          <reference field="10" count="10">
            <x v="50"/>
            <x v="52"/>
            <x v="55"/>
            <x v="57"/>
            <x v="58"/>
            <x v="59"/>
            <x v="60"/>
            <x v="61"/>
            <x v="62"/>
            <x v="63"/>
          </reference>
        </references>
      </pivotArea>
    </format>
    <format dxfId="626">
      <pivotArea dataOnly="0" labelOnly="1" outline="0" fieldPosition="0">
        <references count="2">
          <reference field="10" count="1" selected="0">
            <x v="50"/>
          </reference>
          <reference field="11" count="1">
            <x v="7"/>
          </reference>
        </references>
      </pivotArea>
    </format>
    <format dxfId="625">
      <pivotArea dataOnly="0" labelOnly="1" outline="0" fieldPosition="0">
        <references count="2">
          <reference field="10" count="1" selected="0">
            <x v="55"/>
          </reference>
          <reference field="11" count="1">
            <x v="8"/>
          </reference>
        </references>
      </pivotArea>
    </format>
    <format dxfId="624">
      <pivotArea dataOnly="0" labelOnly="1" outline="0" fieldPosition="0">
        <references count="2">
          <reference field="10" count="1" selected="0">
            <x v="57"/>
          </reference>
          <reference field="11" count="1">
            <x v="2"/>
          </reference>
        </references>
      </pivotArea>
    </format>
    <format dxfId="623">
      <pivotArea dataOnly="0" labelOnly="1" outline="0" fieldPosition="0">
        <references count="2">
          <reference field="10" count="1" selected="0">
            <x v="58"/>
          </reference>
          <reference field="11" count="1">
            <x v="9"/>
          </reference>
        </references>
      </pivotArea>
    </format>
    <format dxfId="622">
      <pivotArea dataOnly="0" labelOnly="1" outline="0" fieldPosition="0">
        <references count="2">
          <reference field="10" count="1" selected="0">
            <x v="59"/>
          </reference>
          <reference field="11" count="1">
            <x v="10"/>
          </reference>
        </references>
      </pivotArea>
    </format>
    <format dxfId="621">
      <pivotArea dataOnly="0" labelOnly="1" outline="0" fieldPosition="0">
        <references count="2">
          <reference field="10" count="1" selected="0">
            <x v="60"/>
          </reference>
          <reference field="11" count="1">
            <x v="11"/>
          </reference>
        </references>
      </pivotArea>
    </format>
    <format dxfId="620">
      <pivotArea dataOnly="0" labelOnly="1" outline="0" fieldPosition="0">
        <references count="2">
          <reference field="10" count="1" selected="0">
            <x v="61"/>
          </reference>
          <reference field="11" count="1">
            <x v="3"/>
          </reference>
        </references>
      </pivotArea>
    </format>
    <format dxfId="619">
      <pivotArea dataOnly="0" labelOnly="1" outline="0" fieldPosition="0">
        <references count="2">
          <reference field="10" count="1" selected="0">
            <x v="62"/>
          </reference>
          <reference field="11" count="1">
            <x v="4"/>
          </reference>
        </references>
      </pivotArea>
    </format>
    <format dxfId="618">
      <pivotArea dataOnly="0" labelOnly="1" outline="0" fieldPosition="0">
        <references count="2">
          <reference field="10" count="1" selected="0">
            <x v="63"/>
          </reference>
          <reference field="11" count="1">
            <x v="5"/>
          </reference>
        </references>
      </pivotArea>
    </format>
    <format dxfId="617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7"/>
          </reference>
          <reference field="12" count="4">
            <x v="64"/>
            <x v="66"/>
            <x v="68"/>
            <x v="70"/>
          </reference>
        </references>
      </pivotArea>
    </format>
    <format dxfId="616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7"/>
          </reference>
          <reference field="12" count="1">
            <x v="73"/>
          </reference>
        </references>
      </pivotArea>
    </format>
    <format dxfId="615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8"/>
          </reference>
          <reference field="12" count="1">
            <x v="77"/>
          </reference>
        </references>
      </pivotArea>
    </format>
    <format dxfId="614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2"/>
          </reference>
          <reference field="12" count="1">
            <x v="64"/>
          </reference>
        </references>
      </pivotArea>
    </format>
    <format dxfId="613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9"/>
          </reference>
          <reference field="12" count="2">
            <x v="79"/>
            <x v="81"/>
          </reference>
        </references>
      </pivotArea>
    </format>
    <format dxfId="612">
      <pivotArea dataOnly="0" labelOnly="1" outline="0" fieldPosition="0">
        <references count="3">
          <reference field="10" count="1" selected="0">
            <x v="59"/>
          </reference>
          <reference field="11" count="1" selected="0">
            <x v="10"/>
          </reference>
          <reference field="12" count="2">
            <x v="83"/>
            <x v="85"/>
          </reference>
        </references>
      </pivotArea>
    </format>
    <format dxfId="611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11"/>
          </reference>
          <reference field="12" count="1">
            <x v="87"/>
          </reference>
        </references>
      </pivotArea>
    </format>
    <format dxfId="610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3"/>
          </reference>
          <reference field="12" count="2">
            <x v="66"/>
            <x v="68"/>
          </reference>
        </references>
      </pivotArea>
    </format>
    <format dxfId="609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4"/>
          </reference>
          <reference field="12" count="2">
            <x v="70"/>
            <x v="73"/>
          </reference>
        </references>
      </pivotArea>
    </format>
    <format dxfId="608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5"/>
          </reference>
          <reference field="12" count="1">
            <x v="75"/>
          </reference>
        </references>
      </pivotArea>
    </format>
    <format dxfId="607">
      <pivotArea dataOnly="0" labelOnly="1" outline="0" fieldPosition="0">
        <references count="4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64"/>
          </reference>
          <reference field="16" count="1">
            <x v="0"/>
          </reference>
        </references>
      </pivotArea>
    </format>
    <format dxfId="606">
      <pivotArea dataOnly="0" labelOnly="1" outline="0" fieldPosition="0">
        <references count="4">
          <reference field="10" count="1" selected="0">
            <x v="55"/>
          </reference>
          <reference field="11" count="1" selected="0">
            <x v="8"/>
          </reference>
          <reference field="12" count="1" selected="0">
            <x v="77"/>
          </reference>
          <reference field="16" count="1">
            <x v="1"/>
          </reference>
        </references>
      </pivotArea>
    </format>
    <format dxfId="605">
      <pivotArea dataOnly="0" labelOnly="1" outline="0" fieldPosition="0">
        <references count="5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64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04">
      <pivotArea dataOnly="0" labelOnly="1" outline="0" fieldPosition="0">
        <references count="5">
          <reference field="10" count="1" selected="0">
            <x v="55"/>
          </reference>
          <reference field="11" count="1" selected="0">
            <x v="8"/>
          </reference>
          <reference field="12" count="1" selected="0">
            <x v="77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03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64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2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66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1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68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0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7"/>
          </reference>
          <reference field="12" count="1" selected="0">
            <x v="70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99">
      <pivotArea dataOnly="0" labelOnly="1" outline="0" fieldPosition="0">
        <references count="6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73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98">
      <pivotArea dataOnly="0" labelOnly="1" outline="0" fieldPosition="0">
        <references count="6">
          <reference field="10" count="1" selected="0">
            <x v="55"/>
          </reference>
          <reference field="11" count="1" selected="0">
            <x v="8"/>
          </reference>
          <reference field="12" count="1" selected="0">
            <x v="77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7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2"/>
          </reference>
          <reference field="12" count="1" selected="0">
            <x v="64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6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9"/>
          </reference>
          <reference field="12" count="1" selected="0">
            <x v="79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5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9"/>
          </reference>
          <reference field="12" count="1" selected="0">
            <x v="81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4">
      <pivotArea dataOnly="0" labelOnly="1" outline="0" fieldPosition="0">
        <references count="6">
          <reference field="10" count="1" selected="0">
            <x v="59"/>
          </reference>
          <reference field="11" count="1" selected="0">
            <x v="10"/>
          </reference>
          <reference field="12" count="1" selected="0">
            <x v="83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3">
      <pivotArea dataOnly="0" labelOnly="1" outline="0" fieldPosition="0">
        <references count="6">
          <reference field="10" count="1" selected="0">
            <x v="59"/>
          </reference>
          <reference field="11" count="1" selected="0">
            <x v="10"/>
          </reference>
          <reference field="12" count="1" selected="0">
            <x v="85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2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11"/>
          </reference>
          <reference field="12" count="1" selected="0">
            <x v="87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1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3"/>
          </reference>
          <reference field="12" count="1" selected="0">
            <x v="66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0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3"/>
          </reference>
          <reference field="12" count="1" selected="0">
            <x v="68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9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4"/>
          </reference>
          <reference field="12" count="1" selected="0">
            <x v="70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8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4"/>
          </reference>
          <reference field="12" count="1" selected="0">
            <x v="73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7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5"/>
          </reference>
          <reference field="12" count="1" selected="0">
            <x v="75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6">
      <pivotArea dataOnly="0" labelOnly="1" outline="0" fieldPosition="0">
        <references count="2">
          <reference field="10" count="1" selected="0">
            <x v="50"/>
          </reference>
          <reference field="11" count="1">
            <x v="7"/>
          </reference>
        </references>
      </pivotArea>
    </format>
    <format dxfId="585">
      <pivotArea dataOnly="0" labelOnly="1" outline="0" fieldPosition="0">
        <references count="2">
          <reference field="10" count="1" selected="0">
            <x v="55"/>
          </reference>
          <reference field="11" count="1">
            <x v="8"/>
          </reference>
        </references>
      </pivotArea>
    </format>
    <format dxfId="584">
      <pivotArea dataOnly="0" labelOnly="1" outline="0" fieldPosition="0">
        <references count="2">
          <reference field="10" count="1" selected="0">
            <x v="57"/>
          </reference>
          <reference field="11" count="1">
            <x v="2"/>
          </reference>
        </references>
      </pivotArea>
    </format>
    <format dxfId="583">
      <pivotArea dataOnly="0" labelOnly="1" outline="0" fieldPosition="0">
        <references count="2">
          <reference field="10" count="1" selected="0">
            <x v="58"/>
          </reference>
          <reference field="11" count="1">
            <x v="9"/>
          </reference>
        </references>
      </pivotArea>
    </format>
    <format dxfId="582">
      <pivotArea dataOnly="0" labelOnly="1" outline="0" fieldPosition="0">
        <references count="2">
          <reference field="10" count="1" selected="0">
            <x v="59"/>
          </reference>
          <reference field="11" count="1">
            <x v="10"/>
          </reference>
        </references>
      </pivotArea>
    </format>
    <format dxfId="581">
      <pivotArea dataOnly="0" labelOnly="1" outline="0" fieldPosition="0">
        <references count="2">
          <reference field="10" count="1" selected="0">
            <x v="60"/>
          </reference>
          <reference field="11" count="1">
            <x v="11"/>
          </reference>
        </references>
      </pivotArea>
    </format>
    <format dxfId="580">
      <pivotArea dataOnly="0" labelOnly="1" outline="0" fieldPosition="0">
        <references count="2">
          <reference field="10" count="1" selected="0">
            <x v="61"/>
          </reference>
          <reference field="11" count="1">
            <x v="3"/>
          </reference>
        </references>
      </pivotArea>
    </format>
    <format dxfId="579">
      <pivotArea dataOnly="0" labelOnly="1" outline="0" fieldPosition="0">
        <references count="2">
          <reference field="10" count="1" selected="0">
            <x v="62"/>
          </reference>
          <reference field="11" count="1">
            <x v="4"/>
          </reference>
        </references>
      </pivotArea>
    </format>
    <format dxfId="578">
      <pivotArea dataOnly="0" labelOnly="1" outline="0" fieldPosition="0">
        <references count="2">
          <reference field="10" count="1" selected="0">
            <x v="63"/>
          </reference>
          <reference field="11" count="1">
            <x v="5"/>
          </reference>
        </references>
      </pivotArea>
    </format>
    <format dxfId="577">
      <pivotArea outline="0" collapsedLevelsAreSubtotals="1" fieldPosition="0"/>
    </format>
    <format dxfId="576">
      <pivotArea dataOnly="0" labelOnly="1" outline="0" fieldPosition="0">
        <references count="1">
          <reference field="10" count="10">
            <x v="3"/>
            <x v="4"/>
            <x v="5"/>
            <x v="6"/>
            <x v="8"/>
            <x v="9"/>
            <x v="10"/>
            <x v="11"/>
            <x v="12"/>
            <x v="13"/>
          </reference>
        </references>
      </pivotArea>
    </format>
    <format dxfId="575">
      <pivotArea dataOnly="0" labelOnly="1" grandRow="1" outline="0" fieldPosition="0"/>
    </format>
    <format dxfId="574">
      <pivotArea dataOnly="0" labelOnly="1" outline="0" fieldPosition="0">
        <references count="2">
          <reference field="10" count="1" selected="0">
            <x v="3"/>
          </reference>
          <reference field="11" count="1">
            <x v="2"/>
          </reference>
        </references>
      </pivotArea>
    </format>
    <format dxfId="573">
      <pivotArea dataOnly="0" labelOnly="1" outline="0" fieldPosition="0">
        <references count="2">
          <reference field="10" count="1" selected="0">
            <x v="4"/>
          </reference>
          <reference field="11" count="1">
            <x v="3"/>
          </reference>
        </references>
      </pivotArea>
    </format>
    <format dxfId="572">
      <pivotArea dataOnly="0" labelOnly="1" outline="0" fieldPosition="0">
        <references count="2">
          <reference field="10" count="1" selected="0">
            <x v="5"/>
          </reference>
          <reference field="11" count="1">
            <x v="4"/>
          </reference>
        </references>
      </pivotArea>
    </format>
    <format dxfId="571">
      <pivotArea dataOnly="0" labelOnly="1" outline="0" fieldPosition="0">
        <references count="2">
          <reference field="10" count="1" selected="0">
            <x v="6"/>
          </reference>
          <reference field="11" count="1">
            <x v="5"/>
          </reference>
        </references>
      </pivotArea>
    </format>
    <format dxfId="570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569">
      <pivotArea dataOnly="0" labelOnly="1" outline="0" fieldPosition="0">
        <references count="2">
          <reference field="10" count="1" selected="0">
            <x v="10"/>
          </reference>
          <reference field="11" count="1">
            <x v="8"/>
          </reference>
        </references>
      </pivotArea>
    </format>
    <format dxfId="568">
      <pivotArea dataOnly="0" labelOnly="1" outline="0" fieldPosition="0">
        <references count="2">
          <reference field="10" count="1" selected="0">
            <x v="11"/>
          </reference>
          <reference field="11" count="1">
            <x v="9"/>
          </reference>
        </references>
      </pivotArea>
    </format>
    <format dxfId="567">
      <pivotArea dataOnly="0" labelOnly="1" outline="0" fieldPosition="0">
        <references count="2">
          <reference field="10" count="1" selected="0">
            <x v="12"/>
          </reference>
          <reference field="11" count="1">
            <x v="10"/>
          </reference>
        </references>
      </pivotArea>
    </format>
    <format dxfId="566">
      <pivotArea dataOnly="0" labelOnly="1" outline="0" fieldPosition="0">
        <references count="2">
          <reference field="10" count="1" selected="0">
            <x v="13"/>
          </reference>
          <reference field="11" count="1">
            <x v="11"/>
          </reference>
        </references>
      </pivotArea>
    </format>
    <format dxfId="56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2"/>
          </reference>
          <reference field="12" count="1">
            <x v="64"/>
          </reference>
        </references>
      </pivotArea>
    </format>
    <format dxfId="56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3"/>
          </reference>
          <reference field="12" count="2">
            <x v="66"/>
            <x v="68"/>
          </reference>
        </references>
      </pivotArea>
    </format>
    <format dxfId="563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4"/>
          </reference>
          <reference field="12" count="2">
            <x v="70"/>
            <x v="73"/>
          </reference>
        </references>
      </pivotArea>
    </format>
    <format dxfId="562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5"/>
          </reference>
          <reference field="12" count="1">
            <x v="75"/>
          </reference>
        </references>
      </pivotArea>
    </format>
    <format dxfId="561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4">
            <x v="64"/>
            <x v="66"/>
            <x v="68"/>
            <x v="70"/>
          </reference>
        </references>
      </pivotArea>
    </format>
    <format dxfId="560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7"/>
          </reference>
          <reference field="12" count="1">
            <x v="73"/>
          </reference>
        </references>
      </pivotArea>
    </format>
    <format dxfId="559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8"/>
          </reference>
          <reference field="12" count="1">
            <x v="77"/>
          </reference>
        </references>
      </pivotArea>
    </format>
    <format dxfId="558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9"/>
          </reference>
          <reference field="12" count="2">
            <x v="79"/>
            <x v="81"/>
          </reference>
        </references>
      </pivotArea>
    </format>
    <format dxfId="557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0"/>
          </reference>
          <reference field="12" count="2">
            <x v="83"/>
            <x v="85"/>
          </reference>
        </references>
      </pivotArea>
    </format>
    <format dxfId="556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1"/>
          </reference>
          <reference field="12" count="1">
            <x v="87"/>
          </reference>
        </references>
      </pivotArea>
    </format>
    <format dxfId="555">
      <pivotArea dataOnly="0" labelOnly="1" outline="0" fieldPosition="0">
        <references count="4"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64"/>
          </reference>
          <reference field="16" count="1">
            <x v="1"/>
          </reference>
        </references>
      </pivotArea>
    </format>
    <format dxfId="554">
      <pivotArea dataOnly="0" labelOnly="1" outline="0" fieldPosition="0">
        <references count="4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4"/>
          </reference>
          <reference field="16" count="1">
            <x v="0"/>
          </reference>
        </references>
      </pivotArea>
    </format>
    <format dxfId="553">
      <pivotArea dataOnly="0" labelOnly="1" outline="0" fieldPosition="0">
        <references count="4">
          <reference field="10" count="1" selected="0">
            <x v="10"/>
          </reference>
          <reference field="11" count="1" selected="0">
            <x v="8"/>
          </reference>
          <reference field="12" count="1" selected="0">
            <x v="77"/>
          </reference>
          <reference field="16" count="1">
            <x v="1"/>
          </reference>
        </references>
      </pivotArea>
    </format>
    <format dxfId="552">
      <pivotArea dataOnly="0" labelOnly="1" outline="0" fieldPosition="0">
        <references count="5"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6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51">
      <pivotArea dataOnly="0" labelOnly="1" outline="0" fieldPosition="0">
        <references count="5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4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50">
      <pivotArea dataOnly="0" labelOnly="1" outline="0" fieldPosition="0">
        <references count="5">
          <reference field="10" count="1" selected="0">
            <x v="10"/>
          </reference>
          <reference field="11" count="1" selected="0">
            <x v="8"/>
          </reference>
          <reference field="12" count="1" selected="0">
            <x v="77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49">
      <pivotArea dataOnly="0" labelOnly="1" outline="0" fieldPosition="0">
        <references count="6"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64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8">
      <pivotArea dataOnly="0" labelOnly="1" outline="0" fieldPosition="0">
        <references count="6">
          <reference field="10" count="1" selected="0">
            <x v="4"/>
          </reference>
          <reference field="11" count="1" selected="0">
            <x v="3"/>
          </reference>
          <reference field="12" count="1" selected="0">
            <x v="66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7">
      <pivotArea dataOnly="0" labelOnly="1" outline="0" fieldPosition="0">
        <references count="6">
          <reference field="10" count="1" selected="0">
            <x v="4"/>
          </reference>
          <reference field="11" count="1" selected="0">
            <x v="3"/>
          </reference>
          <reference field="12" count="1" selected="0">
            <x v="68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6">
      <pivotArea dataOnly="0" labelOnly="1" outline="0" fieldPosition="0">
        <references count="6">
          <reference field="10" count="1" selected="0">
            <x v="5"/>
          </reference>
          <reference field="11" count="1" selected="0">
            <x v="4"/>
          </reference>
          <reference field="12" count="1" selected="0">
            <x v="70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5">
      <pivotArea dataOnly="0" labelOnly="1" outline="0" fieldPosition="0">
        <references count="6">
          <reference field="10" count="1" selected="0">
            <x v="5"/>
          </reference>
          <reference field="11" count="1" selected="0">
            <x v="4"/>
          </reference>
          <reference field="12" count="1" selected="0">
            <x v="73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4">
      <pivotArea dataOnly="0" labelOnly="1" outline="0" fieldPosition="0">
        <references count="6">
          <reference field="10" count="1" selected="0">
            <x v="6"/>
          </reference>
          <reference field="11" count="1" selected="0">
            <x v="5"/>
          </reference>
          <reference field="12" count="1" selected="0">
            <x v="75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3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4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2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6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1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8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0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70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39">
      <pivotArea dataOnly="0" labelOnly="1" outline="0" fieldPosition="0">
        <references count="6">
          <reference field="10" count="1" selected="0">
            <x v="9"/>
          </reference>
          <reference field="11" count="1" selected="0">
            <x v="7"/>
          </reference>
          <reference field="12" count="1" selected="0">
            <x v="73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38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8"/>
          </reference>
          <reference field="12" count="1" selected="0">
            <x v="77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7">
      <pivotArea dataOnly="0" labelOnly="1" outline="0" fieldPosition="0">
        <references count="6">
          <reference field="10" count="1" selected="0">
            <x v="11"/>
          </reference>
          <reference field="11" count="1" selected="0">
            <x v="9"/>
          </reference>
          <reference field="12" count="1" selected="0">
            <x v="79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6">
      <pivotArea dataOnly="0" labelOnly="1" outline="0" fieldPosition="0">
        <references count="6">
          <reference field="10" count="1" selected="0">
            <x v="11"/>
          </reference>
          <reference field="11" count="1" selected="0">
            <x v="9"/>
          </reference>
          <reference field="12" count="1" selected="0">
            <x v="81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5">
      <pivotArea dataOnly="0" labelOnly="1" outline="0" fieldPosition="0">
        <references count="6">
          <reference field="10" count="1" selected="0">
            <x v="12"/>
          </reference>
          <reference field="11" count="1" selected="0">
            <x v="10"/>
          </reference>
          <reference field="12" count="1" selected="0">
            <x v="83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4">
      <pivotArea dataOnly="0" labelOnly="1" outline="0" fieldPosition="0">
        <references count="6">
          <reference field="10" count="1" selected="0">
            <x v="12"/>
          </reference>
          <reference field="11" count="1" selected="0">
            <x v="10"/>
          </reference>
          <reference field="12" count="1" selected="0">
            <x v="85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3">
      <pivotArea dataOnly="0" labelOnly="1" outline="0" fieldPosition="0">
        <references count="6">
          <reference field="10" count="1" selected="0">
            <x v="13"/>
          </reference>
          <reference field="11" count="1" selected="0">
            <x v="11"/>
          </reference>
          <reference field="12" count="1" selected="0">
            <x v="87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2">
      <pivotArea outline="0" collapsedLevelsAreSubtotals="1" fieldPosition="0"/>
    </format>
    <format dxfId="531">
      <pivotArea dataOnly="0" labelOnly="1" outline="0" fieldPosition="0">
        <references count="1">
          <reference field="10" count="10">
            <x v="3"/>
            <x v="4"/>
            <x v="5"/>
            <x v="6"/>
            <x v="8"/>
            <x v="9"/>
            <x v="10"/>
            <x v="11"/>
            <x v="12"/>
            <x v="13"/>
          </reference>
        </references>
      </pivotArea>
    </format>
    <format dxfId="530">
      <pivotArea dataOnly="0" labelOnly="1" grandRow="1" outline="0" fieldPosition="0"/>
    </format>
    <format dxfId="529">
      <pivotArea dataOnly="0" labelOnly="1" outline="0" fieldPosition="0">
        <references count="2">
          <reference field="10" count="1" selected="0">
            <x v="3"/>
          </reference>
          <reference field="11" count="1">
            <x v="2"/>
          </reference>
        </references>
      </pivotArea>
    </format>
    <format dxfId="528">
      <pivotArea dataOnly="0" labelOnly="1" outline="0" fieldPosition="0">
        <references count="2">
          <reference field="10" count="1" selected="0">
            <x v="4"/>
          </reference>
          <reference field="11" count="1">
            <x v="3"/>
          </reference>
        </references>
      </pivotArea>
    </format>
    <format dxfId="527">
      <pivotArea dataOnly="0" labelOnly="1" outline="0" fieldPosition="0">
        <references count="2">
          <reference field="10" count="1" selected="0">
            <x v="5"/>
          </reference>
          <reference field="11" count="1">
            <x v="4"/>
          </reference>
        </references>
      </pivotArea>
    </format>
    <format dxfId="526">
      <pivotArea dataOnly="0" labelOnly="1" outline="0" fieldPosition="0">
        <references count="2">
          <reference field="10" count="1" selected="0">
            <x v="6"/>
          </reference>
          <reference field="11" count="1">
            <x v="5"/>
          </reference>
        </references>
      </pivotArea>
    </format>
    <format dxfId="525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524">
      <pivotArea dataOnly="0" labelOnly="1" outline="0" fieldPosition="0">
        <references count="2">
          <reference field="10" count="1" selected="0">
            <x v="10"/>
          </reference>
          <reference field="11" count="1">
            <x v="8"/>
          </reference>
        </references>
      </pivotArea>
    </format>
    <format dxfId="523">
      <pivotArea dataOnly="0" labelOnly="1" outline="0" fieldPosition="0">
        <references count="2">
          <reference field="10" count="1" selected="0">
            <x v="11"/>
          </reference>
          <reference field="11" count="1">
            <x v="9"/>
          </reference>
        </references>
      </pivotArea>
    </format>
    <format dxfId="522">
      <pivotArea dataOnly="0" labelOnly="1" outline="0" fieldPosition="0">
        <references count="2">
          <reference field="10" count="1" selected="0">
            <x v="12"/>
          </reference>
          <reference field="11" count="1">
            <x v="10"/>
          </reference>
        </references>
      </pivotArea>
    </format>
    <format dxfId="521">
      <pivotArea dataOnly="0" labelOnly="1" outline="0" fieldPosition="0">
        <references count="2">
          <reference field="10" count="1" selected="0">
            <x v="13"/>
          </reference>
          <reference field="11" count="1">
            <x v="11"/>
          </reference>
        </references>
      </pivotArea>
    </format>
    <format dxfId="520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2"/>
          </reference>
          <reference field="12" count="1">
            <x v="64"/>
          </reference>
        </references>
      </pivotArea>
    </format>
    <format dxfId="519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3"/>
          </reference>
          <reference field="12" count="2">
            <x v="66"/>
            <x v="68"/>
          </reference>
        </references>
      </pivotArea>
    </format>
    <format dxfId="518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4"/>
          </reference>
          <reference field="12" count="2">
            <x v="70"/>
            <x v="73"/>
          </reference>
        </references>
      </pivotArea>
    </format>
    <format dxfId="517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5"/>
          </reference>
          <reference field="12" count="1">
            <x v="75"/>
          </reference>
        </references>
      </pivotArea>
    </format>
    <format dxfId="516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4">
            <x v="64"/>
            <x v="66"/>
            <x v="68"/>
            <x v="70"/>
          </reference>
        </references>
      </pivotArea>
    </format>
    <format dxfId="515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7"/>
          </reference>
          <reference field="12" count="1">
            <x v="73"/>
          </reference>
        </references>
      </pivotArea>
    </format>
    <format dxfId="514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8"/>
          </reference>
          <reference field="12" count="1">
            <x v="77"/>
          </reference>
        </references>
      </pivotArea>
    </format>
    <format dxfId="513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9"/>
          </reference>
          <reference field="12" count="2">
            <x v="79"/>
            <x v="81"/>
          </reference>
        </references>
      </pivotArea>
    </format>
    <format dxfId="512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0"/>
          </reference>
          <reference field="12" count="2">
            <x v="83"/>
            <x v="85"/>
          </reference>
        </references>
      </pivotArea>
    </format>
    <format dxfId="511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1"/>
          </reference>
          <reference field="12" count="1">
            <x v="87"/>
          </reference>
        </references>
      </pivotArea>
    </format>
    <format dxfId="510">
      <pivotArea dataOnly="0" labelOnly="1" outline="0" fieldPosition="0">
        <references count="4"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64"/>
          </reference>
          <reference field="16" count="1">
            <x v="1"/>
          </reference>
        </references>
      </pivotArea>
    </format>
    <format dxfId="509">
      <pivotArea dataOnly="0" labelOnly="1" outline="0" fieldPosition="0">
        <references count="4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4"/>
          </reference>
          <reference field="16" count="1">
            <x v="0"/>
          </reference>
        </references>
      </pivotArea>
    </format>
    <format dxfId="508">
      <pivotArea dataOnly="0" labelOnly="1" outline="0" fieldPosition="0">
        <references count="4">
          <reference field="10" count="1" selected="0">
            <x v="10"/>
          </reference>
          <reference field="11" count="1" selected="0">
            <x v="8"/>
          </reference>
          <reference field="12" count="1" selected="0">
            <x v="77"/>
          </reference>
          <reference field="16" count="1">
            <x v="1"/>
          </reference>
        </references>
      </pivotArea>
    </format>
    <format dxfId="507">
      <pivotArea dataOnly="0" labelOnly="1" outline="0" fieldPosition="0">
        <references count="5"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6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06">
      <pivotArea dataOnly="0" labelOnly="1" outline="0" fieldPosition="0">
        <references count="5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4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05">
      <pivotArea dataOnly="0" labelOnly="1" outline="0" fieldPosition="0">
        <references count="5">
          <reference field="10" count="1" selected="0">
            <x v="10"/>
          </reference>
          <reference field="11" count="1" selected="0">
            <x v="8"/>
          </reference>
          <reference field="12" count="1" selected="0">
            <x v="77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04">
      <pivotArea dataOnly="0" labelOnly="1" outline="0" fieldPosition="0">
        <references count="6"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64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3">
      <pivotArea dataOnly="0" labelOnly="1" outline="0" fieldPosition="0">
        <references count="6">
          <reference field="10" count="1" selected="0">
            <x v="4"/>
          </reference>
          <reference field="11" count="1" selected="0">
            <x v="3"/>
          </reference>
          <reference field="12" count="1" selected="0">
            <x v="66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2">
      <pivotArea dataOnly="0" labelOnly="1" outline="0" fieldPosition="0">
        <references count="6">
          <reference field="10" count="1" selected="0">
            <x v="4"/>
          </reference>
          <reference field="11" count="1" selected="0">
            <x v="3"/>
          </reference>
          <reference field="12" count="1" selected="0">
            <x v="68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1">
      <pivotArea dataOnly="0" labelOnly="1" outline="0" fieldPosition="0">
        <references count="6">
          <reference field="10" count="1" selected="0">
            <x v="5"/>
          </reference>
          <reference field="11" count="1" selected="0">
            <x v="4"/>
          </reference>
          <reference field="12" count="1" selected="0">
            <x v="70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0">
      <pivotArea dataOnly="0" labelOnly="1" outline="0" fieldPosition="0">
        <references count="6">
          <reference field="10" count="1" selected="0">
            <x v="5"/>
          </reference>
          <reference field="11" count="1" selected="0">
            <x v="4"/>
          </reference>
          <reference field="12" count="1" selected="0">
            <x v="73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9">
      <pivotArea dataOnly="0" labelOnly="1" outline="0" fieldPosition="0">
        <references count="6">
          <reference field="10" count="1" selected="0">
            <x v="6"/>
          </reference>
          <reference field="11" count="1" selected="0">
            <x v="5"/>
          </reference>
          <reference field="12" count="1" selected="0">
            <x v="75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8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4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7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6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6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8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5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70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4">
      <pivotArea dataOnly="0" labelOnly="1" outline="0" fieldPosition="0">
        <references count="6">
          <reference field="10" count="1" selected="0">
            <x v="9"/>
          </reference>
          <reference field="11" count="1" selected="0">
            <x v="7"/>
          </reference>
          <reference field="12" count="1" selected="0">
            <x v="73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3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8"/>
          </reference>
          <reference field="12" count="1" selected="0">
            <x v="77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2">
      <pivotArea dataOnly="0" labelOnly="1" outline="0" fieldPosition="0">
        <references count="6">
          <reference field="10" count="1" selected="0">
            <x v="11"/>
          </reference>
          <reference field="11" count="1" selected="0">
            <x v="9"/>
          </reference>
          <reference field="12" count="1" selected="0">
            <x v="79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1">
      <pivotArea dataOnly="0" labelOnly="1" outline="0" fieldPosition="0">
        <references count="6">
          <reference field="10" count="1" selected="0">
            <x v="11"/>
          </reference>
          <reference field="11" count="1" selected="0">
            <x v="9"/>
          </reference>
          <reference field="12" count="1" selected="0">
            <x v="81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0">
      <pivotArea dataOnly="0" labelOnly="1" outline="0" fieldPosition="0">
        <references count="6">
          <reference field="10" count="1" selected="0">
            <x v="12"/>
          </reference>
          <reference field="11" count="1" selected="0">
            <x v="10"/>
          </reference>
          <reference field="12" count="1" selected="0">
            <x v="83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9">
      <pivotArea dataOnly="0" labelOnly="1" outline="0" fieldPosition="0">
        <references count="6">
          <reference field="10" count="1" selected="0">
            <x v="12"/>
          </reference>
          <reference field="11" count="1" selected="0">
            <x v="10"/>
          </reference>
          <reference field="12" count="1" selected="0">
            <x v="85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8">
      <pivotArea dataOnly="0" labelOnly="1" outline="0" fieldPosition="0">
        <references count="6">
          <reference field="10" count="1" selected="0">
            <x v="13"/>
          </reference>
          <reference field="11" count="1" selected="0">
            <x v="11"/>
          </reference>
          <reference field="12" count="1" selected="0">
            <x v="87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7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2"/>
          </reference>
          <reference field="12" count="1">
            <x v="64"/>
          </reference>
        </references>
      </pivotArea>
    </format>
    <format dxfId="486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3"/>
          </reference>
          <reference field="12" count="2">
            <x v="66"/>
            <x v="68"/>
          </reference>
        </references>
      </pivotArea>
    </format>
    <format dxfId="485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4"/>
          </reference>
          <reference field="12" count="2">
            <x v="70"/>
            <x v="73"/>
          </reference>
        </references>
      </pivotArea>
    </format>
    <format dxfId="484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5"/>
          </reference>
          <reference field="12" count="1">
            <x v="75"/>
          </reference>
        </references>
      </pivotArea>
    </format>
    <format dxfId="483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4">
            <x v="64"/>
            <x v="66"/>
            <x v="68"/>
            <x v="70"/>
          </reference>
        </references>
      </pivotArea>
    </format>
    <format dxfId="482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7"/>
          </reference>
          <reference field="12" count="1">
            <x v="73"/>
          </reference>
        </references>
      </pivotArea>
    </format>
    <format dxfId="481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8"/>
          </reference>
          <reference field="12" count="1">
            <x v="77"/>
          </reference>
        </references>
      </pivotArea>
    </format>
    <format dxfId="480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9"/>
          </reference>
          <reference field="12" count="2">
            <x v="79"/>
            <x v="81"/>
          </reference>
        </references>
      </pivotArea>
    </format>
    <format dxfId="479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0"/>
          </reference>
          <reference field="12" count="2">
            <x v="83"/>
            <x v="85"/>
          </reference>
        </references>
      </pivotArea>
    </format>
    <format dxfId="478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1"/>
          </reference>
          <reference field="12" count="1">
            <x v="87"/>
          </reference>
        </references>
      </pivotArea>
    </format>
    <format dxfId="477">
      <pivotArea type="all" dataOnly="0" outline="0" fieldPosition="0"/>
    </format>
    <format dxfId="476">
      <pivotArea outline="0" collapsedLevelsAreSubtotals="1" fieldPosition="0"/>
    </format>
    <format dxfId="475">
      <pivotArea field="10" type="button" dataOnly="0" labelOnly="1" outline="0" axis="axisRow" fieldPosition="0"/>
    </format>
    <format dxfId="474">
      <pivotArea field="11" type="button" dataOnly="0" labelOnly="1" outline="0" axis="axisRow" fieldPosition="1"/>
    </format>
    <format dxfId="473">
      <pivotArea field="12" type="button" dataOnly="0" labelOnly="1" outline="0" axis="axisRow" fieldPosition="2"/>
    </format>
    <format dxfId="472">
      <pivotArea field="16" type="button" dataOnly="0" labelOnly="1" outline="0" axis="axisRow" fieldPosition="3"/>
    </format>
    <format dxfId="471">
      <pivotArea field="17" type="button" dataOnly="0" labelOnly="1" outline="0" axis="axisRow" fieldPosition="4"/>
    </format>
    <format dxfId="470">
      <pivotArea field="14" type="button" dataOnly="0" labelOnly="1" outline="0" axis="axisRow" fieldPosition="5"/>
    </format>
    <format dxfId="469">
      <pivotArea dataOnly="0" labelOnly="1" outline="0" fieldPosition="0">
        <references count="1">
          <reference field="10" count="10">
            <x v="3"/>
            <x v="4"/>
            <x v="5"/>
            <x v="6"/>
            <x v="8"/>
            <x v="9"/>
            <x v="10"/>
            <x v="11"/>
            <x v="12"/>
            <x v="13"/>
          </reference>
        </references>
      </pivotArea>
    </format>
    <format dxfId="468">
      <pivotArea dataOnly="0" labelOnly="1" grandRow="1" outline="0" fieldPosition="0"/>
    </format>
    <format dxfId="467">
      <pivotArea dataOnly="0" labelOnly="1" outline="0" fieldPosition="0">
        <references count="2">
          <reference field="10" count="1" selected="0">
            <x v="3"/>
          </reference>
          <reference field="11" count="1">
            <x v="2"/>
          </reference>
        </references>
      </pivotArea>
    </format>
    <format dxfId="466">
      <pivotArea dataOnly="0" labelOnly="1" outline="0" fieldPosition="0">
        <references count="2">
          <reference field="10" count="1" selected="0">
            <x v="4"/>
          </reference>
          <reference field="11" count="1">
            <x v="3"/>
          </reference>
        </references>
      </pivotArea>
    </format>
    <format dxfId="465">
      <pivotArea dataOnly="0" labelOnly="1" outline="0" fieldPosition="0">
        <references count="2">
          <reference field="10" count="1" selected="0">
            <x v="5"/>
          </reference>
          <reference field="11" count="1">
            <x v="4"/>
          </reference>
        </references>
      </pivotArea>
    </format>
    <format dxfId="464">
      <pivotArea dataOnly="0" labelOnly="1" outline="0" fieldPosition="0">
        <references count="2">
          <reference field="10" count="1" selected="0">
            <x v="6"/>
          </reference>
          <reference field="11" count="1">
            <x v="5"/>
          </reference>
        </references>
      </pivotArea>
    </format>
    <format dxfId="463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462">
      <pivotArea dataOnly="0" labelOnly="1" outline="0" fieldPosition="0">
        <references count="2">
          <reference field="10" count="1" selected="0">
            <x v="10"/>
          </reference>
          <reference field="11" count="1">
            <x v="8"/>
          </reference>
        </references>
      </pivotArea>
    </format>
    <format dxfId="461">
      <pivotArea dataOnly="0" labelOnly="1" outline="0" fieldPosition="0">
        <references count="2">
          <reference field="10" count="1" selected="0">
            <x v="11"/>
          </reference>
          <reference field="11" count="1">
            <x v="9"/>
          </reference>
        </references>
      </pivotArea>
    </format>
    <format dxfId="460">
      <pivotArea dataOnly="0" labelOnly="1" outline="0" fieldPosition="0">
        <references count="2">
          <reference field="10" count="1" selected="0">
            <x v="12"/>
          </reference>
          <reference field="11" count="1">
            <x v="10"/>
          </reference>
        </references>
      </pivotArea>
    </format>
    <format dxfId="459">
      <pivotArea dataOnly="0" labelOnly="1" outline="0" fieldPosition="0">
        <references count="2">
          <reference field="10" count="1" selected="0">
            <x v="13"/>
          </reference>
          <reference field="11" count="1">
            <x v="11"/>
          </reference>
        </references>
      </pivotArea>
    </format>
    <format dxfId="458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2"/>
          </reference>
          <reference field="12" count="1">
            <x v="64"/>
          </reference>
        </references>
      </pivotArea>
    </format>
    <format dxfId="457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3"/>
          </reference>
          <reference field="12" count="2">
            <x v="66"/>
            <x v="68"/>
          </reference>
        </references>
      </pivotArea>
    </format>
    <format dxfId="456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4"/>
          </reference>
          <reference field="12" count="2">
            <x v="70"/>
            <x v="73"/>
          </reference>
        </references>
      </pivotArea>
    </format>
    <format dxfId="455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5"/>
          </reference>
          <reference field="12" count="1">
            <x v="75"/>
          </reference>
        </references>
      </pivotArea>
    </format>
    <format dxfId="454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4">
            <x v="64"/>
            <x v="66"/>
            <x v="68"/>
            <x v="70"/>
          </reference>
        </references>
      </pivotArea>
    </format>
    <format dxfId="453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7"/>
          </reference>
          <reference field="12" count="1">
            <x v="73"/>
          </reference>
        </references>
      </pivotArea>
    </format>
    <format dxfId="452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8"/>
          </reference>
          <reference field="12" count="1">
            <x v="77"/>
          </reference>
        </references>
      </pivotArea>
    </format>
    <format dxfId="451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9"/>
          </reference>
          <reference field="12" count="2">
            <x v="79"/>
            <x v="81"/>
          </reference>
        </references>
      </pivotArea>
    </format>
    <format dxfId="450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0"/>
          </reference>
          <reference field="12" count="2">
            <x v="83"/>
            <x v="85"/>
          </reference>
        </references>
      </pivotArea>
    </format>
    <format dxfId="449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1"/>
          </reference>
          <reference field="12" count="1">
            <x v="87"/>
          </reference>
        </references>
      </pivotArea>
    </format>
    <format dxfId="448">
      <pivotArea dataOnly="0" labelOnly="1" outline="0" fieldPosition="0">
        <references count="4"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64"/>
          </reference>
          <reference field="16" count="1">
            <x v="1"/>
          </reference>
        </references>
      </pivotArea>
    </format>
    <format dxfId="447">
      <pivotArea dataOnly="0" labelOnly="1" outline="0" fieldPosition="0">
        <references count="4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4"/>
          </reference>
          <reference field="16" count="1">
            <x v="0"/>
          </reference>
        </references>
      </pivotArea>
    </format>
    <format dxfId="446">
      <pivotArea dataOnly="0" labelOnly="1" outline="0" fieldPosition="0">
        <references count="4">
          <reference field="10" count="1" selected="0">
            <x v="10"/>
          </reference>
          <reference field="11" count="1" selected="0">
            <x v="8"/>
          </reference>
          <reference field="12" count="1" selected="0">
            <x v="77"/>
          </reference>
          <reference field="16" count="1">
            <x v="1"/>
          </reference>
        </references>
      </pivotArea>
    </format>
    <format dxfId="445">
      <pivotArea dataOnly="0" labelOnly="1" outline="0" fieldPosition="0">
        <references count="5"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6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44">
      <pivotArea dataOnly="0" labelOnly="1" outline="0" fieldPosition="0">
        <references count="5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4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43">
      <pivotArea dataOnly="0" labelOnly="1" outline="0" fieldPosition="0">
        <references count="5">
          <reference field="10" count="1" selected="0">
            <x v="10"/>
          </reference>
          <reference field="11" count="1" selected="0">
            <x v="8"/>
          </reference>
          <reference field="12" count="1" selected="0">
            <x v="77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42">
      <pivotArea dataOnly="0" labelOnly="1" outline="0" fieldPosition="0">
        <references count="6"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64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1">
      <pivotArea dataOnly="0" labelOnly="1" outline="0" fieldPosition="0">
        <references count="6">
          <reference field="10" count="1" selected="0">
            <x v="4"/>
          </reference>
          <reference field="11" count="1" selected="0">
            <x v="3"/>
          </reference>
          <reference field="12" count="1" selected="0">
            <x v="66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0">
      <pivotArea dataOnly="0" labelOnly="1" outline="0" fieldPosition="0">
        <references count="6">
          <reference field="10" count="1" selected="0">
            <x v="4"/>
          </reference>
          <reference field="11" count="1" selected="0">
            <x v="3"/>
          </reference>
          <reference field="12" count="1" selected="0">
            <x v="68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9">
      <pivotArea dataOnly="0" labelOnly="1" outline="0" fieldPosition="0">
        <references count="6">
          <reference field="10" count="1" selected="0">
            <x v="5"/>
          </reference>
          <reference field="11" count="1" selected="0">
            <x v="4"/>
          </reference>
          <reference field="12" count="1" selected="0">
            <x v="70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8">
      <pivotArea dataOnly="0" labelOnly="1" outline="0" fieldPosition="0">
        <references count="6">
          <reference field="10" count="1" selected="0">
            <x v="5"/>
          </reference>
          <reference field="11" count="1" selected="0">
            <x v="4"/>
          </reference>
          <reference field="12" count="1" selected="0">
            <x v="73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7">
      <pivotArea dataOnly="0" labelOnly="1" outline="0" fieldPosition="0">
        <references count="6">
          <reference field="10" count="1" selected="0">
            <x v="6"/>
          </reference>
          <reference field="11" count="1" selected="0">
            <x v="5"/>
          </reference>
          <reference field="12" count="1" selected="0">
            <x v="75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6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4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5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6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4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8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3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70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2">
      <pivotArea dataOnly="0" labelOnly="1" outline="0" fieldPosition="0">
        <references count="6">
          <reference field="10" count="1" selected="0">
            <x v="9"/>
          </reference>
          <reference field="11" count="1" selected="0">
            <x v="7"/>
          </reference>
          <reference field="12" count="1" selected="0">
            <x v="73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1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8"/>
          </reference>
          <reference field="12" count="1" selected="0">
            <x v="77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0">
      <pivotArea dataOnly="0" labelOnly="1" outline="0" fieldPosition="0">
        <references count="6">
          <reference field="10" count="1" selected="0">
            <x v="11"/>
          </reference>
          <reference field="11" count="1" selected="0">
            <x v="9"/>
          </reference>
          <reference field="12" count="1" selected="0">
            <x v="79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9">
      <pivotArea dataOnly="0" labelOnly="1" outline="0" fieldPosition="0">
        <references count="6">
          <reference field="10" count="1" selected="0">
            <x v="11"/>
          </reference>
          <reference field="11" count="1" selected="0">
            <x v="9"/>
          </reference>
          <reference field="12" count="1" selected="0">
            <x v="81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8">
      <pivotArea dataOnly="0" labelOnly="1" outline="0" fieldPosition="0">
        <references count="6">
          <reference field="10" count="1" selected="0">
            <x v="12"/>
          </reference>
          <reference field="11" count="1" selected="0">
            <x v="10"/>
          </reference>
          <reference field="12" count="1" selected="0">
            <x v="83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7">
      <pivotArea dataOnly="0" labelOnly="1" outline="0" fieldPosition="0">
        <references count="6">
          <reference field="10" count="1" selected="0">
            <x v="12"/>
          </reference>
          <reference field="11" count="1" selected="0">
            <x v="10"/>
          </reference>
          <reference field="12" count="1" selected="0">
            <x v="85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6">
      <pivotArea dataOnly="0" labelOnly="1" outline="0" fieldPosition="0">
        <references count="6">
          <reference field="10" count="1" selected="0">
            <x v="13"/>
          </reference>
          <reference field="11" count="1" selected="0">
            <x v="11"/>
          </reference>
          <reference field="12" count="1" selected="0">
            <x v="87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4">
      <pivotArea type="all" dataOnly="0" outline="0" fieldPosition="0"/>
    </format>
    <format dxfId="423">
      <pivotArea outline="0" collapsedLevelsAreSubtotals="1" fieldPosition="0"/>
    </format>
    <format dxfId="422">
      <pivotArea field="10" type="button" dataOnly="0" labelOnly="1" outline="0" axis="axisRow" fieldPosition="0"/>
    </format>
    <format dxfId="421">
      <pivotArea field="11" type="button" dataOnly="0" labelOnly="1" outline="0" axis="axisRow" fieldPosition="1"/>
    </format>
    <format dxfId="420">
      <pivotArea field="12" type="button" dataOnly="0" labelOnly="1" outline="0" axis="axisRow" fieldPosition="2"/>
    </format>
    <format dxfId="419">
      <pivotArea field="16" type="button" dataOnly="0" labelOnly="1" outline="0" axis="axisRow" fieldPosition="3"/>
    </format>
    <format dxfId="418">
      <pivotArea field="17" type="button" dataOnly="0" labelOnly="1" outline="0" axis="axisRow" fieldPosition="4"/>
    </format>
    <format dxfId="417">
      <pivotArea field="14" type="button" dataOnly="0" labelOnly="1" outline="0" axis="axisRow" fieldPosition="5"/>
    </format>
    <format dxfId="416">
      <pivotArea dataOnly="0" labelOnly="1" outline="0" fieldPosition="0">
        <references count="1">
          <reference field="10" count="10">
            <x v="3"/>
            <x v="4"/>
            <x v="5"/>
            <x v="6"/>
            <x v="8"/>
            <x v="9"/>
            <x v="10"/>
            <x v="11"/>
            <x v="12"/>
            <x v="13"/>
          </reference>
        </references>
      </pivotArea>
    </format>
    <format dxfId="415">
      <pivotArea dataOnly="0" labelOnly="1" grandRow="1" outline="0" fieldPosition="0"/>
    </format>
    <format dxfId="414">
      <pivotArea dataOnly="0" labelOnly="1" outline="0" fieldPosition="0">
        <references count="4"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64"/>
          </reference>
          <reference field="16" count="1">
            <x v="1"/>
          </reference>
        </references>
      </pivotArea>
    </format>
    <format dxfId="413">
      <pivotArea dataOnly="0" labelOnly="1" outline="0" fieldPosition="0">
        <references count="4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4"/>
          </reference>
          <reference field="16" count="1">
            <x v="0"/>
          </reference>
        </references>
      </pivotArea>
    </format>
    <format dxfId="412">
      <pivotArea dataOnly="0" labelOnly="1" outline="0" fieldPosition="0">
        <references count="4">
          <reference field="10" count="1" selected="0">
            <x v="10"/>
          </reference>
          <reference field="11" count="1" selected="0">
            <x v="8"/>
          </reference>
          <reference field="12" count="1" selected="0">
            <x v="77"/>
          </reference>
          <reference field="16" count="1">
            <x v="1"/>
          </reference>
        </references>
      </pivotArea>
    </format>
    <format dxfId="411">
      <pivotArea dataOnly="0" labelOnly="1" outline="0" fieldPosition="0">
        <references count="5"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6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10">
      <pivotArea dataOnly="0" labelOnly="1" outline="0" fieldPosition="0">
        <references count="5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4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09">
      <pivotArea dataOnly="0" labelOnly="1" outline="0" fieldPosition="0">
        <references count="5">
          <reference field="10" count="1" selected="0">
            <x v="10"/>
          </reference>
          <reference field="11" count="1" selected="0">
            <x v="8"/>
          </reference>
          <reference field="12" count="1" selected="0">
            <x v="77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08">
      <pivotArea dataOnly="0" labelOnly="1" outline="0" fieldPosition="0">
        <references count="6"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64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7">
      <pivotArea dataOnly="0" labelOnly="1" outline="0" fieldPosition="0">
        <references count="6">
          <reference field="10" count="1" selected="0">
            <x v="4"/>
          </reference>
          <reference field="11" count="1" selected="0">
            <x v="3"/>
          </reference>
          <reference field="12" count="1" selected="0">
            <x v="66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6">
      <pivotArea dataOnly="0" labelOnly="1" outline="0" fieldPosition="0">
        <references count="6">
          <reference field="10" count="1" selected="0">
            <x v="4"/>
          </reference>
          <reference field="11" count="1" selected="0">
            <x v="3"/>
          </reference>
          <reference field="12" count="1" selected="0">
            <x v="68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5">
      <pivotArea dataOnly="0" labelOnly="1" outline="0" fieldPosition="0">
        <references count="6">
          <reference field="10" count="1" selected="0">
            <x v="5"/>
          </reference>
          <reference field="11" count="1" selected="0">
            <x v="4"/>
          </reference>
          <reference field="12" count="1" selected="0">
            <x v="70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4">
      <pivotArea dataOnly="0" labelOnly="1" outline="0" fieldPosition="0">
        <references count="6">
          <reference field="10" count="1" selected="0">
            <x v="5"/>
          </reference>
          <reference field="11" count="1" selected="0">
            <x v="4"/>
          </reference>
          <reference field="12" count="1" selected="0">
            <x v="73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3">
      <pivotArea dataOnly="0" labelOnly="1" outline="0" fieldPosition="0">
        <references count="6">
          <reference field="10" count="1" selected="0">
            <x v="6"/>
          </reference>
          <reference field="11" count="1" selected="0">
            <x v="5"/>
          </reference>
          <reference field="12" count="1" selected="0">
            <x v="75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2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4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1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6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0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8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9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70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8">
      <pivotArea dataOnly="0" labelOnly="1" outline="0" fieldPosition="0">
        <references count="6">
          <reference field="10" count="1" selected="0">
            <x v="9"/>
          </reference>
          <reference field="11" count="1" selected="0">
            <x v="7"/>
          </reference>
          <reference field="12" count="1" selected="0">
            <x v="73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7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8"/>
          </reference>
          <reference field="12" count="1" selected="0">
            <x v="77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6">
      <pivotArea dataOnly="0" labelOnly="1" outline="0" fieldPosition="0">
        <references count="6">
          <reference field="10" count="1" selected="0">
            <x v="11"/>
          </reference>
          <reference field="11" count="1" selected="0">
            <x v="9"/>
          </reference>
          <reference field="12" count="1" selected="0">
            <x v="79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5">
      <pivotArea dataOnly="0" labelOnly="1" outline="0" fieldPosition="0">
        <references count="6">
          <reference field="10" count="1" selected="0">
            <x v="11"/>
          </reference>
          <reference field="11" count="1" selected="0">
            <x v="9"/>
          </reference>
          <reference field="12" count="1" selected="0">
            <x v="81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4">
      <pivotArea dataOnly="0" labelOnly="1" outline="0" fieldPosition="0">
        <references count="6">
          <reference field="10" count="1" selected="0">
            <x v="12"/>
          </reference>
          <reference field="11" count="1" selected="0">
            <x v="10"/>
          </reference>
          <reference field="12" count="1" selected="0">
            <x v="83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3">
      <pivotArea dataOnly="0" labelOnly="1" outline="0" fieldPosition="0">
        <references count="6">
          <reference field="10" count="1" selected="0">
            <x v="12"/>
          </reference>
          <reference field="11" count="1" selected="0">
            <x v="10"/>
          </reference>
          <reference field="12" count="1" selected="0">
            <x v="85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2">
      <pivotArea dataOnly="0" labelOnly="1" outline="0" fieldPosition="0">
        <references count="6">
          <reference field="10" count="1" selected="0">
            <x v="13"/>
          </reference>
          <reference field="11" count="1" selected="0">
            <x v="11"/>
          </reference>
          <reference field="12" count="1" selected="0">
            <x v="87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0">
      <pivotArea type="all" dataOnly="0" outline="0" fieldPosition="0"/>
    </format>
    <format dxfId="389">
      <pivotArea outline="0" collapsedLevelsAreSubtotals="1" fieldPosition="0"/>
    </format>
    <format dxfId="388">
      <pivotArea field="10" type="button" dataOnly="0" labelOnly="1" outline="0" axis="axisRow" fieldPosition="0"/>
    </format>
    <format dxfId="387">
      <pivotArea field="11" type="button" dataOnly="0" labelOnly="1" outline="0" axis="axisRow" fieldPosition="1"/>
    </format>
    <format dxfId="386">
      <pivotArea field="12" type="button" dataOnly="0" labelOnly="1" outline="0" axis="axisRow" fieldPosition="2"/>
    </format>
    <format dxfId="385">
      <pivotArea field="16" type="button" dataOnly="0" labelOnly="1" outline="0" axis="axisRow" fieldPosition="3"/>
    </format>
    <format dxfId="384">
      <pivotArea field="17" type="button" dataOnly="0" labelOnly="1" outline="0" axis="axisRow" fieldPosition="4"/>
    </format>
    <format dxfId="383">
      <pivotArea field="14" type="button" dataOnly="0" labelOnly="1" outline="0" axis="axisRow" fieldPosition="5"/>
    </format>
    <format dxfId="382">
      <pivotArea dataOnly="0" labelOnly="1" outline="0" fieldPosition="0">
        <references count="1">
          <reference field="10" count="10">
            <x v="3"/>
            <x v="4"/>
            <x v="5"/>
            <x v="6"/>
            <x v="8"/>
            <x v="9"/>
            <x v="10"/>
            <x v="11"/>
            <x v="12"/>
            <x v="13"/>
          </reference>
        </references>
      </pivotArea>
    </format>
    <format dxfId="381">
      <pivotArea dataOnly="0" labelOnly="1" grandRow="1" outline="0" fieldPosition="0"/>
    </format>
    <format dxfId="380">
      <pivotArea dataOnly="0" labelOnly="1" outline="0" fieldPosition="0">
        <references count="2">
          <reference field="10" count="1" selected="0">
            <x v="3"/>
          </reference>
          <reference field="11" count="1">
            <x v="2"/>
          </reference>
        </references>
      </pivotArea>
    </format>
    <format dxfId="379">
      <pivotArea dataOnly="0" labelOnly="1" outline="0" fieldPosition="0">
        <references count="2">
          <reference field="10" count="1" selected="0">
            <x v="4"/>
          </reference>
          <reference field="11" count="1">
            <x v="3"/>
          </reference>
        </references>
      </pivotArea>
    </format>
    <format dxfId="378">
      <pivotArea dataOnly="0" labelOnly="1" outline="0" fieldPosition="0">
        <references count="2">
          <reference field="10" count="1" selected="0">
            <x v="5"/>
          </reference>
          <reference field="11" count="1">
            <x v="4"/>
          </reference>
        </references>
      </pivotArea>
    </format>
    <format dxfId="377">
      <pivotArea dataOnly="0" labelOnly="1" outline="0" fieldPosition="0">
        <references count="2">
          <reference field="10" count="1" selected="0">
            <x v="6"/>
          </reference>
          <reference field="11" count="1">
            <x v="5"/>
          </reference>
        </references>
      </pivotArea>
    </format>
    <format dxfId="376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375">
      <pivotArea dataOnly="0" labelOnly="1" outline="0" fieldPosition="0">
        <references count="2">
          <reference field="10" count="1" selected="0">
            <x v="10"/>
          </reference>
          <reference field="11" count="1">
            <x v="8"/>
          </reference>
        </references>
      </pivotArea>
    </format>
    <format dxfId="374">
      <pivotArea dataOnly="0" labelOnly="1" outline="0" fieldPosition="0">
        <references count="2">
          <reference field="10" count="1" selected="0">
            <x v="11"/>
          </reference>
          <reference field="11" count="1">
            <x v="9"/>
          </reference>
        </references>
      </pivotArea>
    </format>
    <format dxfId="373">
      <pivotArea dataOnly="0" labelOnly="1" outline="0" fieldPosition="0">
        <references count="2">
          <reference field="10" count="1" selected="0">
            <x v="12"/>
          </reference>
          <reference field="11" count="1">
            <x v="10"/>
          </reference>
        </references>
      </pivotArea>
    </format>
    <format dxfId="372">
      <pivotArea dataOnly="0" labelOnly="1" outline="0" fieldPosition="0">
        <references count="2">
          <reference field="10" count="1" selected="0">
            <x v="13"/>
          </reference>
          <reference field="11" count="1">
            <x v="11"/>
          </reference>
        </references>
      </pivotArea>
    </format>
    <format dxfId="371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2"/>
          </reference>
          <reference field="12" count="1">
            <x v="64"/>
          </reference>
        </references>
      </pivotArea>
    </format>
    <format dxfId="370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3"/>
          </reference>
          <reference field="12" count="2">
            <x v="66"/>
            <x v="68"/>
          </reference>
        </references>
      </pivotArea>
    </format>
    <format dxfId="369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4"/>
          </reference>
          <reference field="12" count="2">
            <x v="70"/>
            <x v="73"/>
          </reference>
        </references>
      </pivotArea>
    </format>
    <format dxfId="368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5"/>
          </reference>
          <reference field="12" count="1">
            <x v="75"/>
          </reference>
        </references>
      </pivotArea>
    </format>
    <format dxfId="367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4">
            <x v="64"/>
            <x v="66"/>
            <x v="68"/>
            <x v="70"/>
          </reference>
        </references>
      </pivotArea>
    </format>
    <format dxfId="366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7"/>
          </reference>
          <reference field="12" count="1">
            <x v="73"/>
          </reference>
        </references>
      </pivotArea>
    </format>
    <format dxfId="365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8"/>
          </reference>
          <reference field="12" count="1">
            <x v="77"/>
          </reference>
        </references>
      </pivotArea>
    </format>
    <format dxfId="364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9"/>
          </reference>
          <reference field="12" count="2">
            <x v="79"/>
            <x v="81"/>
          </reference>
        </references>
      </pivotArea>
    </format>
    <format dxfId="363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0"/>
          </reference>
          <reference field="12" count="2">
            <x v="83"/>
            <x v="85"/>
          </reference>
        </references>
      </pivotArea>
    </format>
    <format dxfId="362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1"/>
          </reference>
          <reference field="12" count="1">
            <x v="87"/>
          </reference>
        </references>
      </pivotArea>
    </format>
    <format dxfId="361">
      <pivotArea dataOnly="0" labelOnly="1" outline="0" fieldPosition="0">
        <references count="4"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64"/>
          </reference>
          <reference field="16" count="1">
            <x v="1"/>
          </reference>
        </references>
      </pivotArea>
    </format>
    <format dxfId="360">
      <pivotArea dataOnly="0" labelOnly="1" outline="0" fieldPosition="0">
        <references count="4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4"/>
          </reference>
          <reference field="16" count="1">
            <x v="0"/>
          </reference>
        </references>
      </pivotArea>
    </format>
    <format dxfId="359">
      <pivotArea dataOnly="0" labelOnly="1" outline="0" fieldPosition="0">
        <references count="4">
          <reference field="10" count="1" selected="0">
            <x v="10"/>
          </reference>
          <reference field="11" count="1" selected="0">
            <x v="8"/>
          </reference>
          <reference field="12" count="1" selected="0">
            <x v="77"/>
          </reference>
          <reference field="16" count="1">
            <x v="1"/>
          </reference>
        </references>
      </pivotArea>
    </format>
    <format dxfId="358">
      <pivotArea dataOnly="0" labelOnly="1" outline="0" fieldPosition="0">
        <references count="5"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6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57">
      <pivotArea dataOnly="0" labelOnly="1" outline="0" fieldPosition="0">
        <references count="5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4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356">
      <pivotArea dataOnly="0" labelOnly="1" outline="0" fieldPosition="0">
        <references count="5">
          <reference field="10" count="1" selected="0">
            <x v="10"/>
          </reference>
          <reference field="11" count="1" selected="0">
            <x v="8"/>
          </reference>
          <reference field="12" count="1" selected="0">
            <x v="77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55">
      <pivotArea dataOnly="0" labelOnly="1" outline="0" fieldPosition="0">
        <references count="6"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64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4">
      <pivotArea dataOnly="0" labelOnly="1" outline="0" fieldPosition="0">
        <references count="6">
          <reference field="10" count="1" selected="0">
            <x v="4"/>
          </reference>
          <reference field="11" count="1" selected="0">
            <x v="3"/>
          </reference>
          <reference field="12" count="1" selected="0">
            <x v="66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3">
      <pivotArea dataOnly="0" labelOnly="1" outline="0" fieldPosition="0">
        <references count="6">
          <reference field="10" count="1" selected="0">
            <x v="4"/>
          </reference>
          <reference field="11" count="1" selected="0">
            <x v="3"/>
          </reference>
          <reference field="12" count="1" selected="0">
            <x v="68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2">
      <pivotArea dataOnly="0" labelOnly="1" outline="0" fieldPosition="0">
        <references count="6">
          <reference field="10" count="1" selected="0">
            <x v="5"/>
          </reference>
          <reference field="11" count="1" selected="0">
            <x v="4"/>
          </reference>
          <reference field="12" count="1" selected="0">
            <x v="70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1">
      <pivotArea dataOnly="0" labelOnly="1" outline="0" fieldPosition="0">
        <references count="6">
          <reference field="10" count="1" selected="0">
            <x v="5"/>
          </reference>
          <reference field="11" count="1" selected="0">
            <x v="4"/>
          </reference>
          <reference field="12" count="1" selected="0">
            <x v="73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0">
      <pivotArea dataOnly="0" labelOnly="1" outline="0" fieldPosition="0">
        <references count="6">
          <reference field="10" count="1" selected="0">
            <x v="6"/>
          </reference>
          <reference field="11" count="1" selected="0">
            <x v="5"/>
          </reference>
          <reference field="12" count="1" selected="0">
            <x v="75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9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4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8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6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7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68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6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7"/>
          </reference>
          <reference field="12" count="1" selected="0">
            <x v="70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5">
      <pivotArea dataOnly="0" labelOnly="1" outline="0" fieldPosition="0">
        <references count="6">
          <reference field="10" count="1" selected="0">
            <x v="9"/>
          </reference>
          <reference field="11" count="1" selected="0">
            <x v="7"/>
          </reference>
          <reference field="12" count="1" selected="0">
            <x v="73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4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8"/>
          </reference>
          <reference field="12" count="1" selected="0">
            <x v="77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3">
      <pivotArea dataOnly="0" labelOnly="1" outline="0" fieldPosition="0">
        <references count="6">
          <reference field="10" count="1" selected="0">
            <x v="11"/>
          </reference>
          <reference field="11" count="1" selected="0">
            <x v="9"/>
          </reference>
          <reference field="12" count="1" selected="0">
            <x v="79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2">
      <pivotArea dataOnly="0" labelOnly="1" outline="0" fieldPosition="0">
        <references count="6">
          <reference field="10" count="1" selected="0">
            <x v="11"/>
          </reference>
          <reference field="11" count="1" selected="0">
            <x v="9"/>
          </reference>
          <reference field="12" count="1" selected="0">
            <x v="81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1">
      <pivotArea dataOnly="0" labelOnly="1" outline="0" fieldPosition="0">
        <references count="6">
          <reference field="10" count="1" selected="0">
            <x v="12"/>
          </reference>
          <reference field="11" count="1" selected="0">
            <x v="10"/>
          </reference>
          <reference field="12" count="1" selected="0">
            <x v="83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0">
      <pivotArea dataOnly="0" labelOnly="1" outline="0" fieldPosition="0">
        <references count="6">
          <reference field="10" count="1" selected="0">
            <x v="12"/>
          </reference>
          <reference field="11" count="1" selected="0">
            <x v="10"/>
          </reference>
          <reference field="12" count="1" selected="0">
            <x v="85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39">
      <pivotArea dataOnly="0" labelOnly="1" outline="0" fieldPosition="0">
        <references count="6">
          <reference field="10" count="1" selected="0">
            <x v="13"/>
          </reference>
          <reference field="11" count="1" selected="0">
            <x v="11"/>
          </reference>
          <reference field="12" count="1" selected="0">
            <x v="87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7">
      <pivotArea dataOnly="0" labelOnly="1" outline="0" fieldPosition="0">
        <references count="2">
          <reference field="10" count="1" selected="0">
            <x v="3"/>
          </reference>
          <reference field="11" count="1">
            <x v="2"/>
          </reference>
        </references>
      </pivotArea>
    </format>
    <format dxfId="336">
      <pivotArea dataOnly="0" labelOnly="1" outline="0" fieldPosition="0">
        <references count="2">
          <reference field="10" count="1" selected="0">
            <x v="4"/>
          </reference>
          <reference field="11" count="1">
            <x v="3"/>
          </reference>
        </references>
      </pivotArea>
    </format>
    <format dxfId="335">
      <pivotArea dataOnly="0" labelOnly="1" outline="0" fieldPosition="0">
        <references count="2">
          <reference field="10" count="1" selected="0">
            <x v="5"/>
          </reference>
          <reference field="11" count="1">
            <x v="4"/>
          </reference>
        </references>
      </pivotArea>
    </format>
    <format dxfId="334">
      <pivotArea dataOnly="0" labelOnly="1" outline="0" fieldPosition="0">
        <references count="2">
          <reference field="10" count="1" selected="0">
            <x v="6"/>
          </reference>
          <reference field="11" count="1">
            <x v="5"/>
          </reference>
        </references>
      </pivotArea>
    </format>
    <format dxfId="333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332">
      <pivotArea dataOnly="0" labelOnly="1" outline="0" fieldPosition="0">
        <references count="2">
          <reference field="10" count="1" selected="0">
            <x v="10"/>
          </reference>
          <reference field="11" count="1">
            <x v="8"/>
          </reference>
        </references>
      </pivotArea>
    </format>
    <format dxfId="331">
      <pivotArea dataOnly="0" labelOnly="1" outline="0" fieldPosition="0">
        <references count="2">
          <reference field="10" count="1" selected="0">
            <x v="11"/>
          </reference>
          <reference field="11" count="1">
            <x v="9"/>
          </reference>
        </references>
      </pivotArea>
    </format>
    <format dxfId="330">
      <pivotArea dataOnly="0" labelOnly="1" outline="0" fieldPosition="0">
        <references count="2">
          <reference field="10" count="1" selected="0">
            <x v="12"/>
          </reference>
          <reference field="11" count="1">
            <x v="10"/>
          </reference>
        </references>
      </pivotArea>
    </format>
    <format dxfId="329">
      <pivotArea dataOnly="0" labelOnly="1" outline="0" fieldPosition="0">
        <references count="2">
          <reference field="10" count="1" selected="0">
            <x v="13"/>
          </reference>
          <reference field="11" count="1">
            <x v="11"/>
          </reference>
        </references>
      </pivotArea>
    </format>
    <format dxfId="3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7">
      <pivotArea grandRow="1" outline="0" collapsedLevelsAreSubtotals="1" fieldPosition="0"/>
    </format>
    <format dxfId="326">
      <pivotArea dataOnly="0" labelOnly="1" grandRow="1" outline="0" fieldPosition="0"/>
    </format>
    <format dxfId="32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2"/>
          </reference>
          <reference field="12" count="1">
            <x v="64"/>
          </reference>
        </references>
      </pivotArea>
    </format>
    <format dxfId="32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3"/>
          </reference>
          <reference field="12" count="2">
            <x v="66"/>
            <x v="68"/>
          </reference>
        </references>
      </pivotArea>
    </format>
    <format dxfId="323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4"/>
          </reference>
          <reference field="12" count="2">
            <x v="70"/>
            <x v="73"/>
          </reference>
        </references>
      </pivotArea>
    </format>
    <format dxfId="322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5"/>
          </reference>
          <reference field="12" count="1">
            <x v="75"/>
          </reference>
        </references>
      </pivotArea>
    </format>
    <format dxfId="321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4">
            <x v="64"/>
            <x v="66"/>
            <x v="68"/>
            <x v="70"/>
          </reference>
        </references>
      </pivotArea>
    </format>
    <format dxfId="320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7"/>
          </reference>
          <reference field="12" count="1">
            <x v="73"/>
          </reference>
        </references>
      </pivotArea>
    </format>
    <format dxfId="319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8"/>
          </reference>
          <reference field="12" count="1">
            <x v="77"/>
          </reference>
        </references>
      </pivotArea>
    </format>
    <format dxfId="318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9"/>
          </reference>
          <reference field="12" count="2">
            <x v="79"/>
            <x v="81"/>
          </reference>
        </references>
      </pivotArea>
    </format>
    <format dxfId="317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0"/>
          </reference>
          <reference field="12" count="2">
            <x v="83"/>
            <x v="85"/>
          </reference>
        </references>
      </pivotArea>
    </format>
    <format dxfId="316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1"/>
          </reference>
          <reference field="12" count="1">
            <x v="87"/>
          </reference>
        </references>
      </pivotArea>
    </format>
    <format dxfId="3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3">
      <pivotArea dataOnly="0" labelOnly="1" outline="0" fieldPosition="0">
        <references count="3">
          <reference field="10" count="1" selected="0">
            <x v="20"/>
          </reference>
          <reference field="11" count="1" selected="0">
            <x v="14"/>
          </reference>
          <reference field="12" count="2">
            <x v="26"/>
            <x v="28"/>
          </reference>
        </references>
      </pivotArea>
    </format>
    <format dxfId="312">
      <pivotArea dataOnly="0" labelOnly="1" outline="0" fieldPosition="0">
        <references count="3">
          <reference field="10" count="1" selected="0">
            <x v="21"/>
          </reference>
          <reference field="11" count="1" selected="0">
            <x v="15"/>
          </reference>
          <reference field="12" count="2">
            <x v="30"/>
            <x v="32"/>
          </reference>
        </references>
      </pivotArea>
    </format>
    <format dxfId="311">
      <pivotArea dataOnly="0" labelOnly="1" outline="0" fieldPosition="0">
        <references count="3">
          <reference field="10" count="1" selected="0">
            <x v="22"/>
          </reference>
          <reference field="11" count="1" selected="0">
            <x v="16"/>
          </reference>
          <reference field="12" count="2">
            <x v="34"/>
            <x v="36"/>
          </reference>
        </references>
      </pivotArea>
    </format>
    <format dxfId="310">
      <pivotArea dataOnly="0" labelOnly="1" outline="0" fieldPosition="0">
        <references count="3">
          <reference field="10" count="1" selected="0">
            <x v="20"/>
          </reference>
          <reference field="11" count="1" selected="0">
            <x v="14"/>
          </reference>
          <reference field="12" count="1">
            <x v="24"/>
          </reference>
        </references>
      </pivotArea>
    </format>
    <format dxfId="309">
      <pivotArea dataOnly="0" labelOnly="1" outline="0" fieldPosition="0">
        <references count="4">
          <reference field="10" count="1" selected="0">
            <x v="20"/>
          </reference>
          <reference field="11" count="1" selected="0">
            <x v="14"/>
          </reference>
          <reference field="12" count="1" selected="0">
            <x v="24"/>
          </reference>
          <reference field="16" count="1">
            <x v="3"/>
          </reference>
        </references>
      </pivotArea>
    </format>
    <format dxfId="308">
      <pivotArea dataOnly="0" labelOnly="1" outline="0" fieldPosition="0">
        <references count="4">
          <reference field="10" count="1" selected="0">
            <x v="24"/>
          </reference>
          <reference field="11" count="1" selected="0">
            <x v="19"/>
          </reference>
          <reference field="12" count="1" selected="0">
            <x v="24"/>
          </reference>
          <reference field="16" count="1">
            <x v="4"/>
          </reference>
        </references>
      </pivotArea>
    </format>
    <format dxfId="307">
      <pivotArea dataOnly="0" labelOnly="1" outline="0" fieldPosition="0">
        <references count="4">
          <reference field="10" count="1" selected="0">
            <x v="25"/>
          </reference>
          <reference field="11" count="1" selected="0">
            <x v="20"/>
          </reference>
          <reference field="12" count="1" selected="0">
            <x v="38"/>
          </reference>
          <reference field="16" count="1">
            <x v="3"/>
          </reference>
        </references>
      </pivotArea>
    </format>
    <format dxfId="306">
      <pivotArea dataOnly="0" labelOnly="1" outline="0" fieldPosition="0">
        <references count="4">
          <reference field="10" count="1" selected="0">
            <x v="29"/>
          </reference>
          <reference field="11" count="1" selected="0">
            <x v="24"/>
          </reference>
          <reference field="12" count="1" selected="0">
            <x v="34"/>
          </reference>
          <reference field="16" count="1">
            <x v="4"/>
          </reference>
        </references>
      </pivotArea>
    </format>
    <format dxfId="305">
      <pivotArea dataOnly="0" labelOnly="1" outline="0" fieldPosition="0">
        <references count="4">
          <reference field="10" count="1" selected="0">
            <x v="31"/>
          </reference>
          <reference field="11" count="1" selected="0">
            <x v="25"/>
          </reference>
          <reference field="12" count="1" selected="0">
            <x v="50"/>
          </reference>
          <reference field="16" count="1">
            <x v="3"/>
          </reference>
        </references>
      </pivotArea>
    </format>
    <format dxfId="304">
      <pivotArea dataOnly="0" labelOnly="1" outline="0" fieldPosition="0">
        <references count="6">
          <reference field="10" count="1" selected="0">
            <x v="24"/>
          </reference>
          <reference field="11" count="1" selected="0">
            <x v="19"/>
          </reference>
          <reference field="12" count="1" selected="0">
            <x v="24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303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19"/>
          </reference>
          <reference field="12" count="5">
            <x v="24"/>
            <x v="26"/>
            <x v="28"/>
            <x v="30"/>
            <x v="32"/>
          </reference>
        </references>
      </pivotArea>
    </format>
    <format dxfId="302">
      <pivotArea dataOnly="0" labelOnly="1" outline="0" fieldPosition="0">
        <references count="3">
          <reference field="10" count="1" selected="0">
            <x v="25"/>
          </reference>
          <reference field="11" count="1" selected="0">
            <x v="20"/>
          </reference>
          <reference field="12" count="2">
            <x v="38"/>
            <x v="40"/>
          </reference>
        </references>
      </pivotArea>
    </format>
    <format dxfId="301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2"/>
          </reference>
        </references>
      </pivotArea>
    </format>
    <format dxfId="300">
      <pivotArea dataOnly="0" labelOnly="1" outline="0" fieldPosition="0">
        <references count="3">
          <reference field="10" count="1" selected="0">
            <x v="27"/>
          </reference>
          <reference field="11" count="1" selected="0">
            <x v="22"/>
          </reference>
          <reference field="12" count="3">
            <x v="44"/>
            <x v="46"/>
            <x v="48"/>
          </reference>
        </references>
      </pivotArea>
    </format>
    <format dxfId="299">
      <pivotArea dataOnly="0" labelOnly="1" outline="0" fieldPosition="0">
        <references count="3">
          <reference field="10" count="1" selected="0">
            <x v="29"/>
          </reference>
          <reference field="11" count="1" selected="0">
            <x v="24"/>
          </reference>
          <reference field="12" count="4">
            <x v="34"/>
            <x v="36"/>
            <x v="38"/>
            <x v="40"/>
          </reference>
        </references>
      </pivotArea>
    </format>
    <format dxfId="298">
      <pivotArea dataOnly="0" labelOnly="1" outline="0" fieldPosition="0">
        <references count="3">
          <reference field="10" count="1" selected="0">
            <x v="30"/>
          </reference>
          <reference field="11" count="1" selected="0">
            <x v="24"/>
          </reference>
          <reference field="12" count="2">
            <x v="42"/>
            <x v="44"/>
          </reference>
        </references>
      </pivotArea>
    </format>
    <format dxfId="297">
      <pivotArea dataOnly="0" labelOnly="1" outline="0" fieldPosition="0">
        <references count="3">
          <reference field="10" count="1" selected="0">
            <x v="31"/>
          </reference>
          <reference field="11" count="1" selected="0">
            <x v="25"/>
          </reference>
          <reference field="12" count="2">
            <x v="50"/>
            <x v="52"/>
          </reference>
        </references>
      </pivotArea>
    </format>
    <format dxfId="296">
      <pivotArea dataOnly="0" labelOnly="1" outline="0" fieldPosition="0">
        <references count="3">
          <reference field="10" count="1" selected="0">
            <x v="33"/>
          </reference>
          <reference field="11" count="1" selected="0">
            <x v="26"/>
          </reference>
          <reference field="12" count="3">
            <x v="54"/>
            <x v="56"/>
            <x v="58"/>
          </reference>
        </references>
      </pivotArea>
    </format>
    <format dxfId="295">
      <pivotArea dataOnly="0" labelOnly="1" outline="0" fieldPosition="0">
        <references count="3">
          <reference field="10" count="1" selected="0">
            <x v="34"/>
          </reference>
          <reference field="11" count="1" selected="0">
            <x v="27"/>
          </reference>
          <reference field="12" count="1">
            <x v="60"/>
          </reference>
        </references>
      </pivotArea>
    </format>
    <format dxfId="294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29"/>
          </reference>
          <reference field="12" count="4">
            <x v="46"/>
            <x v="48"/>
            <x v="50"/>
            <x v="52"/>
          </reference>
        </references>
      </pivotArea>
    </format>
    <format dxfId="293">
      <pivotArea dataOnly="0" labelOnly="1" outline="0" fieldPosition="0">
        <references count="3">
          <reference field="10" count="1" selected="0">
            <x v="37"/>
          </reference>
          <reference field="11" count="1" selected="0">
            <x v="29"/>
          </reference>
          <reference field="12" count="2">
            <x v="54"/>
            <x v="62"/>
          </reference>
        </references>
      </pivotArea>
    </format>
    <format dxfId="292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30"/>
          </reference>
          <reference field="12" count="1">
            <x v="64"/>
          </reference>
        </references>
      </pivotArea>
    </format>
    <format dxfId="291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1"/>
          </reference>
          <reference field="12" count="2">
            <x v="66"/>
            <x v="68"/>
          </reference>
        </references>
      </pivotArea>
    </format>
    <format dxfId="290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32"/>
          </reference>
          <reference field="12" count="1">
            <x v="70"/>
          </reference>
        </references>
      </pivotArea>
    </format>
    <format dxfId="289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33"/>
          </reference>
          <reference field="12" count="2">
            <x v="73"/>
            <x v="75"/>
          </reference>
        </references>
      </pivotArea>
    </format>
    <format dxfId="288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35"/>
          </reference>
          <reference field="12" count="4">
            <x v="56"/>
            <x v="58"/>
            <x v="60"/>
            <x v="62"/>
          </reference>
        </references>
      </pivotArea>
    </format>
    <format dxfId="287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35"/>
          </reference>
          <reference field="12" count="1">
            <x v="64"/>
          </reference>
        </references>
      </pivotArea>
    </format>
    <format dxfId="286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36"/>
          </reference>
          <reference field="12" count="4">
            <x v="66"/>
            <x v="68"/>
            <x v="71"/>
            <x v="77"/>
          </reference>
        </references>
      </pivotArea>
    </format>
    <format dxfId="285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37"/>
          </reference>
          <reference field="12" count="1">
            <x v="79"/>
          </reference>
        </references>
      </pivotArea>
    </format>
    <format dxfId="284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38"/>
          </reference>
          <reference field="12" count="1">
            <x v="81"/>
          </reference>
        </references>
      </pivotArea>
    </format>
    <format dxfId="283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40"/>
          </reference>
          <reference field="12" count="2">
            <x v="83"/>
            <x v="85"/>
          </reference>
        </references>
      </pivotArea>
    </format>
    <format dxfId="282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41"/>
          </reference>
          <reference field="12" count="1">
            <x v="87"/>
          </reference>
        </references>
      </pivotArea>
    </format>
    <format dxfId="281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44"/>
          </reference>
          <reference field="12" count="1" selected="0">
            <x v="88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280">
      <pivotArea dataOnly="0" labelOnly="1" outline="0" fieldPosition="0">
        <references count="3">
          <reference field="10" count="1" selected="0">
            <x v="53"/>
          </reference>
          <reference field="11" count="1" selected="0">
            <x v="42"/>
          </reference>
          <reference field="12" count="4">
            <x v="73"/>
            <x v="75"/>
            <x v="77"/>
            <x v="79"/>
          </reference>
        </references>
      </pivotArea>
    </format>
    <format dxfId="279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42"/>
          </reference>
          <reference field="12" count="1">
            <x v="81"/>
          </reference>
        </references>
      </pivotArea>
    </format>
    <format dxfId="278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44"/>
          </reference>
          <reference field="12" count="4">
            <x v="83"/>
            <x v="85"/>
            <x v="87"/>
            <x v="88"/>
          </reference>
        </references>
      </pivotArea>
    </format>
    <format dxfId="277">
      <pivotArea outline="0" fieldPosition="0">
        <references count="7">
          <reference field="4294967294" count="1" selected="0">
            <x v="0"/>
          </reference>
          <reference field="10" count="1" selected="0">
            <x v="44"/>
          </reference>
          <reference field="11" count="1" selected="0">
            <x v="35"/>
          </reference>
          <reference field="12" count="4" selected="0">
            <x v="56"/>
            <x v="58"/>
            <x v="60"/>
            <x v="62"/>
          </reference>
          <reference field="14" count="3" selected="0">
            <x v="10"/>
            <x v="11"/>
            <x v="12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7E96-187E-42A9-B9BA-2F16AD109A30}" name="PivotTable4" cacheId="3" applyNumberFormats="0" applyBorderFormats="0" applyFontFormats="0" applyPatternFormats="0" applyAlignmentFormats="0" applyWidthHeightFormats="1" dataCaption="Değerler" grandTotalCaption="Genel Toplam (adet)" updatedVersion="8" minRefreshableVersion="3" useAutoFormatting="1" itemPrintTitles="1" createdVersion="8" indent="0" compact="0" compactData="0" multipleFieldFilters="0">
  <location ref="C13:H15" firstHeaderRow="0" firstDataRow="1" firstDataCol="3"/>
  <pivotFields count="31">
    <pivotField compact="0" outline="0" showAll="0">
      <items count="7">
        <item h="1" m="1" x="3"/>
        <item h="1" m="1" x="4"/>
        <item h="1" m="1" x="5"/>
        <item h="1" x="0"/>
        <item x="2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h="1" m="1" x="3"/>
        <item h="1" m="1" x="4"/>
        <item h="1" m="1" x="5"/>
        <item h="1" x="0"/>
        <item x="2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3"/>
        <item x="1"/>
        <item m="1" x="4"/>
        <item m="1" x="6"/>
        <item m="1" x="5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62">
        <item x="3"/>
        <item m="1" x="44"/>
        <item m="1" x="6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7"/>
        <item m="1" x="8"/>
        <item m="1" x="9"/>
        <item m="1" x="10"/>
        <item m="1" x="11"/>
        <item m="1" x="12"/>
        <item m="1" x="14"/>
        <item m="1" x="15"/>
        <item m="1" x="16"/>
        <item m="1" x="17"/>
        <item m="1" x="18"/>
        <item m="1" x="19"/>
        <item m="1" x="21"/>
        <item m="1" x="22"/>
        <item m="1" x="23"/>
        <item m="1" x="24"/>
        <item m="1" x="25"/>
        <item m="1" x="26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8"/>
        <item m="1" x="39"/>
        <item m="1" x="40"/>
        <item m="1" x="41"/>
        <item m="1" x="43"/>
        <item x="2"/>
        <item x="1"/>
        <item x="0"/>
        <item x="5"/>
        <item m="1" x="13"/>
        <item m="1" x="20"/>
        <item m="1" x="27"/>
        <item m="1" x="37"/>
        <item m="1" x="4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1"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7"/>
        <item m="1" x="8"/>
        <item m="1" x="9"/>
        <item m="1" x="50"/>
        <item x="4"/>
        <item m="1" x="6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2"/>
        <item m="1" x="33"/>
        <item m="1" x="31"/>
        <item m="1" x="34"/>
        <item m="1" x="35"/>
        <item m="1" x="36"/>
        <item x="0"/>
        <item x="1"/>
        <item x="2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1">
        <item m="1" x="53"/>
        <item m="1" x="54"/>
        <item m="1" x="62"/>
        <item m="1" x="63"/>
        <item m="1" x="64"/>
        <item m="1" x="65"/>
        <item m="1" x="66"/>
        <item m="1" x="68"/>
        <item m="1" x="69"/>
        <item m="1" x="70"/>
        <item m="1" x="77"/>
        <item m="1" x="78"/>
        <item m="1" x="79"/>
        <item m="1" x="90"/>
        <item x="1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7"/>
        <item m="1" x="38"/>
        <item m="1" x="39"/>
        <item m="1" x="40"/>
        <item m="1" x="41"/>
        <item m="1" x="42"/>
        <item m="1" x="49"/>
        <item m="1" x="50"/>
        <item m="1" x="51"/>
        <item m="1" x="52"/>
        <item m="1" x="32"/>
        <item m="1" x="33"/>
        <item m="1" x="34"/>
        <item m="1" x="35"/>
        <item m="1" x="36"/>
        <item m="1" x="43"/>
        <item m="1" x="44"/>
        <item m="1" x="45"/>
        <item m="1" x="46"/>
        <item m="1" x="47"/>
        <item m="1" x="48"/>
        <item m="1" x="55"/>
        <item m="1" x="56"/>
        <item m="1" x="57"/>
        <item m="1" x="58"/>
        <item m="1" x="59"/>
        <item m="1" x="60"/>
        <item m="1" x="61"/>
        <item m="1" x="67"/>
        <item m="1" x="71"/>
        <item m="1" x="72"/>
        <item m="1" x="73"/>
        <item m="1" x="74"/>
        <item m="1" x="75"/>
        <item m="1" x="76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55"/>
      <x v="50"/>
      <x v="6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4 mt Kaya Bulonu_x000a_(adet)" fld="25" baseField="10" baseItem="12"/>
    <dataField name=" 6 mt Kaya Bulonu_x000a_(adet)" fld="27" baseField="10" baseItem="12"/>
    <dataField name=" 8 mt Kaya Bulonu_x000a_(adet)" fld="28" baseField="12" baseItem="8"/>
  </dataFields>
  <formats count="85">
    <format dxfId="276">
      <pivotArea field="10" type="button" dataOnly="0" labelOnly="1" outline="0" axis="axisRow" fieldPosition="0"/>
    </format>
    <format dxfId="275">
      <pivotArea field="11" type="button" dataOnly="0" labelOnly="1" outline="0" axis="axisRow" fieldPosition="1"/>
    </format>
    <format dxfId="274">
      <pivotArea field="12" type="button" dataOnly="0" labelOnly="1" outline="0" axis="axisRow" fieldPosition="2"/>
    </format>
    <format dxfId="2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2">
      <pivotArea outline="0" collapsedLevelsAreSubtotals="1" fieldPosition="0"/>
    </format>
    <format dxfId="271">
      <pivotArea dataOnly="0" labelOnly="1" outline="0" fieldPosition="0">
        <references count="1">
          <reference field="10" count="6">
            <x v="14"/>
            <x v="15"/>
            <x v="16"/>
            <x v="17"/>
            <x v="18"/>
            <x v="19"/>
          </reference>
        </references>
      </pivotArea>
    </format>
    <format dxfId="270">
      <pivotArea dataOnly="0" labelOnly="1" grandRow="1" outline="0" fieldPosition="0"/>
    </format>
    <format dxfId="269">
      <pivotArea dataOnly="0" labelOnly="1" outline="0" fieldPosition="0">
        <references count="2">
          <reference field="10" count="1" selected="0">
            <x v="14"/>
          </reference>
          <reference field="11" count="1">
            <x v="11"/>
          </reference>
        </references>
      </pivotArea>
    </format>
    <format dxfId="268">
      <pivotArea dataOnly="0" labelOnly="1" outline="0" fieldPosition="0">
        <references count="2">
          <reference field="10" count="1" selected="0">
            <x v="15"/>
          </reference>
          <reference field="11" count="1">
            <x v="12"/>
          </reference>
        </references>
      </pivotArea>
    </format>
    <format dxfId="267">
      <pivotArea dataOnly="0" labelOnly="1" outline="0" fieldPosition="0">
        <references count="2">
          <reference field="10" count="1" selected="0">
            <x v="16"/>
          </reference>
          <reference field="11" count="1">
            <x v="13"/>
          </reference>
        </references>
      </pivotArea>
    </format>
    <format dxfId="266">
      <pivotArea dataOnly="0" labelOnly="1" outline="0" fieldPosition="0">
        <references count="2">
          <reference field="10" count="1" selected="0">
            <x v="17"/>
          </reference>
          <reference field="11" count="1">
            <x v="14"/>
          </reference>
        </references>
      </pivotArea>
    </format>
    <format dxfId="265">
      <pivotArea dataOnly="0" labelOnly="1" outline="0" fieldPosition="0">
        <references count="2">
          <reference field="10" count="1" selected="0">
            <x v="18"/>
          </reference>
          <reference field="11" count="1">
            <x v="15"/>
          </reference>
        </references>
      </pivotArea>
    </format>
    <format dxfId="264">
      <pivotArea dataOnly="0" labelOnly="1" outline="0" fieldPosition="0">
        <references count="2">
          <reference field="10" count="1" selected="0">
            <x v="19"/>
          </reference>
          <reference field="11" count="1">
            <x v="16"/>
          </reference>
        </references>
      </pivotArea>
    </format>
    <format dxfId="263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62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61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60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59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58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57">
      <pivotArea outline="0" collapsedLevelsAreSubtotals="1" fieldPosition="0"/>
    </format>
    <format dxfId="256">
      <pivotArea dataOnly="0" labelOnly="1" outline="0" fieldPosition="0">
        <references count="1">
          <reference field="10" count="6">
            <x v="14"/>
            <x v="15"/>
            <x v="16"/>
            <x v="17"/>
            <x v="18"/>
            <x v="19"/>
          </reference>
        </references>
      </pivotArea>
    </format>
    <format dxfId="255">
      <pivotArea dataOnly="0" labelOnly="1" grandRow="1" outline="0" fieldPosition="0"/>
    </format>
    <format dxfId="254">
      <pivotArea dataOnly="0" labelOnly="1" outline="0" fieldPosition="0">
        <references count="2">
          <reference field="10" count="1" selected="0">
            <x v="14"/>
          </reference>
          <reference field="11" count="1">
            <x v="11"/>
          </reference>
        </references>
      </pivotArea>
    </format>
    <format dxfId="253">
      <pivotArea dataOnly="0" labelOnly="1" outline="0" fieldPosition="0">
        <references count="2">
          <reference field="10" count="1" selected="0">
            <x v="15"/>
          </reference>
          <reference field="11" count="1">
            <x v="12"/>
          </reference>
        </references>
      </pivotArea>
    </format>
    <format dxfId="252">
      <pivotArea dataOnly="0" labelOnly="1" outline="0" fieldPosition="0">
        <references count="2">
          <reference field="10" count="1" selected="0">
            <x v="16"/>
          </reference>
          <reference field="11" count="1">
            <x v="13"/>
          </reference>
        </references>
      </pivotArea>
    </format>
    <format dxfId="251">
      <pivotArea dataOnly="0" labelOnly="1" outline="0" fieldPosition="0">
        <references count="2">
          <reference field="10" count="1" selected="0">
            <x v="17"/>
          </reference>
          <reference field="11" count="1">
            <x v="14"/>
          </reference>
        </references>
      </pivotArea>
    </format>
    <format dxfId="250">
      <pivotArea dataOnly="0" labelOnly="1" outline="0" fieldPosition="0">
        <references count="2">
          <reference field="10" count="1" selected="0">
            <x v="18"/>
          </reference>
          <reference field="11" count="1">
            <x v="15"/>
          </reference>
        </references>
      </pivotArea>
    </format>
    <format dxfId="249">
      <pivotArea dataOnly="0" labelOnly="1" outline="0" fieldPosition="0">
        <references count="2">
          <reference field="10" count="1" selected="0">
            <x v="19"/>
          </reference>
          <reference field="11" count="1">
            <x v="16"/>
          </reference>
        </references>
      </pivotArea>
    </format>
    <format dxfId="248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47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46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45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44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43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42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41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40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39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38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37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36">
      <pivotArea outline="0" collapsedLevelsAreSubtotals="1" fieldPosition="0"/>
    </format>
    <format dxfId="235">
      <pivotArea dataOnly="0" labelOnly="1" outline="0" fieldPosition="0">
        <references count="1">
          <reference field="10" count="6">
            <x v="14"/>
            <x v="15"/>
            <x v="16"/>
            <x v="17"/>
            <x v="18"/>
            <x v="19"/>
          </reference>
        </references>
      </pivotArea>
    </format>
    <format dxfId="234">
      <pivotArea dataOnly="0" labelOnly="1" grandRow="1" outline="0" fieldPosition="0"/>
    </format>
    <format dxfId="233">
      <pivotArea dataOnly="0" labelOnly="1" outline="0" fieldPosition="0">
        <references count="2">
          <reference field="10" count="1" selected="0">
            <x v="14"/>
          </reference>
          <reference field="11" count="1">
            <x v="11"/>
          </reference>
        </references>
      </pivotArea>
    </format>
    <format dxfId="232">
      <pivotArea dataOnly="0" labelOnly="1" outline="0" fieldPosition="0">
        <references count="2">
          <reference field="10" count="1" selected="0">
            <x v="15"/>
          </reference>
          <reference field="11" count="1">
            <x v="12"/>
          </reference>
        </references>
      </pivotArea>
    </format>
    <format dxfId="231">
      <pivotArea dataOnly="0" labelOnly="1" outline="0" fieldPosition="0">
        <references count="2">
          <reference field="10" count="1" selected="0">
            <x v="16"/>
          </reference>
          <reference field="11" count="1">
            <x v="13"/>
          </reference>
        </references>
      </pivotArea>
    </format>
    <format dxfId="230">
      <pivotArea dataOnly="0" labelOnly="1" outline="0" fieldPosition="0">
        <references count="2">
          <reference field="10" count="1" selected="0">
            <x v="17"/>
          </reference>
          <reference field="11" count="1">
            <x v="14"/>
          </reference>
        </references>
      </pivotArea>
    </format>
    <format dxfId="229">
      <pivotArea dataOnly="0" labelOnly="1" outline="0" fieldPosition="0">
        <references count="2">
          <reference field="10" count="1" selected="0">
            <x v="18"/>
          </reference>
          <reference field="11" count="1">
            <x v="15"/>
          </reference>
        </references>
      </pivotArea>
    </format>
    <format dxfId="228">
      <pivotArea dataOnly="0" labelOnly="1" outline="0" fieldPosition="0">
        <references count="2">
          <reference field="10" count="1" selected="0">
            <x v="19"/>
          </reference>
          <reference field="11" count="1">
            <x v="16"/>
          </reference>
        </references>
      </pivotArea>
    </format>
    <format dxfId="227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26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25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24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23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22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field="10" type="button" dataOnly="0" labelOnly="1" outline="0" axis="axisRow" fieldPosition="0"/>
    </format>
    <format dxfId="218">
      <pivotArea field="11" type="button" dataOnly="0" labelOnly="1" outline="0" axis="axisRow" fieldPosition="1"/>
    </format>
    <format dxfId="217">
      <pivotArea field="12" type="button" dataOnly="0" labelOnly="1" outline="0" axis="axisRow" fieldPosition="2"/>
    </format>
    <format dxfId="216">
      <pivotArea dataOnly="0" labelOnly="1" outline="0" fieldPosition="0">
        <references count="1">
          <reference field="10" count="6">
            <x v="14"/>
            <x v="15"/>
            <x v="16"/>
            <x v="17"/>
            <x v="18"/>
            <x v="19"/>
          </reference>
        </references>
      </pivotArea>
    </format>
    <format dxfId="215">
      <pivotArea dataOnly="0" labelOnly="1" grandRow="1" outline="0" fieldPosition="0"/>
    </format>
    <format dxfId="214">
      <pivotArea dataOnly="0" labelOnly="1" outline="0" fieldPosition="0">
        <references count="2">
          <reference field="10" count="1" selected="0">
            <x v="14"/>
          </reference>
          <reference field="11" count="1">
            <x v="11"/>
          </reference>
        </references>
      </pivotArea>
    </format>
    <format dxfId="213">
      <pivotArea dataOnly="0" labelOnly="1" outline="0" fieldPosition="0">
        <references count="2">
          <reference field="10" count="1" selected="0">
            <x v="15"/>
          </reference>
          <reference field="11" count="1">
            <x v="12"/>
          </reference>
        </references>
      </pivotArea>
    </format>
    <format dxfId="212">
      <pivotArea dataOnly="0" labelOnly="1" outline="0" fieldPosition="0">
        <references count="2">
          <reference field="10" count="1" selected="0">
            <x v="16"/>
          </reference>
          <reference field="11" count="1">
            <x v="13"/>
          </reference>
        </references>
      </pivotArea>
    </format>
    <format dxfId="211">
      <pivotArea dataOnly="0" labelOnly="1" outline="0" fieldPosition="0">
        <references count="2">
          <reference field="10" count="1" selected="0">
            <x v="17"/>
          </reference>
          <reference field="11" count="1">
            <x v="14"/>
          </reference>
        </references>
      </pivotArea>
    </format>
    <format dxfId="210">
      <pivotArea dataOnly="0" labelOnly="1" outline="0" fieldPosition="0">
        <references count="2">
          <reference field="10" count="1" selected="0">
            <x v="18"/>
          </reference>
          <reference field="11" count="1">
            <x v="15"/>
          </reference>
        </references>
      </pivotArea>
    </format>
    <format dxfId="209">
      <pivotArea dataOnly="0" labelOnly="1" outline="0" fieldPosition="0">
        <references count="2">
          <reference field="10" count="1" selected="0">
            <x v="19"/>
          </reference>
          <reference field="11" count="1">
            <x v="16"/>
          </reference>
        </references>
      </pivotArea>
    </format>
    <format dxfId="208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07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06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05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04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03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0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1">
      <pivotArea grandRow="1" outline="0" collapsedLevelsAreSubtotals="1" fieldPosition="0"/>
    </format>
    <format dxfId="200">
      <pivotArea dataOnly="0" labelOnly="1" grandRow="1" outline="0" fieldPosition="0"/>
    </format>
    <format dxfId="19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8">
      <pivotArea dataOnly="0" labelOnly="1" outline="0" fieldPosition="0">
        <references count="2">
          <reference field="10" count="1" selected="0">
            <x v="56"/>
          </reference>
          <reference field="11" count="1">
            <x v="21"/>
          </reference>
        </references>
      </pivotArea>
    </format>
    <format dxfId="197">
      <pivotArea dataOnly="0" labelOnly="1" outline="0" fieldPosition="0">
        <references count="2">
          <reference field="10" count="1" selected="0">
            <x v="57"/>
          </reference>
          <reference field="11" count="1">
            <x v="26"/>
          </reference>
        </references>
      </pivotArea>
    </format>
    <format dxfId="196">
      <pivotArea dataOnly="0" labelOnly="1" outline="0" fieldPosition="0">
        <references count="1">
          <reference field="12" count="0"/>
        </references>
      </pivotArea>
    </format>
    <format dxfId="195">
      <pivotArea dataOnly="0" labelOnly="1" outline="0" fieldPosition="0">
        <references count="1">
          <reference field="12" count="0"/>
        </references>
      </pivotArea>
    </format>
    <format dxfId="194">
      <pivotArea dataOnly="0" labelOnly="1" outline="0" fieldPosition="0">
        <references count="2">
          <reference field="10" count="1" selected="0">
            <x v="58"/>
          </reference>
          <reference field="11" count="1">
            <x v="31"/>
          </reference>
        </references>
      </pivotArea>
    </format>
    <format dxfId="193">
      <pivotArea dataOnly="0" labelOnly="1" outline="0" fieldPosition="0">
        <references count="2">
          <reference field="10" count="1" selected="0">
            <x v="59"/>
          </reference>
          <reference field="11" count="1">
            <x v="42"/>
          </reference>
        </references>
      </pivotArea>
    </format>
    <format dxfId="192">
      <pivotArea dataOnly="0" labelOnly="1" outline="0" fieldPosition="0">
        <references count="2">
          <reference field="10" count="1" selected="0">
            <x v="60"/>
          </reference>
          <reference field="11" count="1">
            <x v="44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B6A94-F629-4AF1-84A2-3CA3AC382CF2}" name="PivotTable1" cacheId="1" applyNumberFormats="0" applyBorderFormats="0" applyFontFormats="0" applyPatternFormats="0" applyAlignmentFormats="0" applyWidthHeightFormats="1" dataCaption="Değerler" grandTotalCaption="Genel Toplam (metre)" updatedVersion="8" minRefreshableVersion="3" useAutoFormatting="1" colGrandTotals="0" itemPrintTitles="1" createdVersion="8" indent="0" compact="0" compactData="0" multipleFieldFilters="0">
  <location ref="D14:G15" firstHeaderRow="1" firstDataRow="1" firstDataCol="3"/>
  <pivotFields count="24">
    <pivotField compact="0" outline="0" showAll="0">
      <items count="6">
        <item m="1" x="2"/>
        <item m="1" x="3"/>
        <item m="1" x="4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7"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x="4"/>
        <item m="1" x="5"/>
        <item m="1" x="6"/>
        <item m="1" x="7"/>
        <item m="1" x="8"/>
        <item m="1" x="9"/>
        <item m="1" x="10"/>
        <item m="1" x="11"/>
        <item m="1" x="13"/>
        <item m="1" x="14"/>
        <item m="1" x="15"/>
        <item m="1" x="16"/>
        <item m="1" x="17"/>
        <item m="1" x="18"/>
        <item m="1" x="20"/>
        <item m="1" x="21"/>
        <item m="1" x="12"/>
        <item m="1" x="19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8"/>
        <item m="1" x="36"/>
        <item m="1" x="39"/>
        <item m="1" x="40"/>
        <item m="1" x="41"/>
        <item m="1" x="42"/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9"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1"/>
        <item m="1" x="32"/>
        <item m="1" x="30"/>
        <item m="1" x="33"/>
        <item m="1" x="34"/>
        <item m="1" x="35"/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0">
        <item m="1" x="53"/>
        <item m="1" x="54"/>
        <item m="1" x="62"/>
        <item m="1" x="63"/>
        <item m="1" x="64"/>
        <item m="1" x="65"/>
        <item m="1" x="68"/>
        <item m="1" x="69"/>
        <item m="1" x="70"/>
        <item m="1" x="77"/>
        <item m="1" x="78"/>
        <item m="1" x="79"/>
        <item x="12"/>
        <item m="1" x="66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7"/>
        <item m="1" x="38"/>
        <item m="1" x="39"/>
        <item m="1" x="40"/>
        <item m="1" x="41"/>
        <item m="1" x="42"/>
        <item m="1" x="49"/>
        <item m="1" x="50"/>
        <item m="1" x="51"/>
        <item m="1" x="52"/>
        <item m="1" x="32"/>
        <item m="1" x="33"/>
        <item m="1" x="34"/>
        <item m="1" x="35"/>
        <item m="1" x="36"/>
        <item m="1" x="43"/>
        <item m="1" x="44"/>
        <item m="1" x="45"/>
        <item m="1" x="46"/>
        <item m="1" x="47"/>
        <item m="1" x="48"/>
        <item m="1" x="55"/>
        <item m="1" x="56"/>
        <item m="1" x="57"/>
        <item m="1" x="58"/>
        <item m="1" x="59"/>
        <item m="1" x="60"/>
        <item m="1" x="61"/>
        <item m="1" x="67"/>
        <item m="1" x="71"/>
        <item m="1" x="72"/>
        <item m="1" x="73"/>
        <item m="1" x="74"/>
        <item m="1" x="75"/>
        <item m="1" x="76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6">
        <item h="1" m="1" x="1"/>
        <item h="1" m="1" x="2"/>
        <item h="1" m="1" x="4"/>
        <item m="1" x="3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1">
    <i t="grand">
      <x/>
    </i>
  </rowItems>
  <colItems count="1">
    <i/>
  </colItems>
  <dataFields count="1">
    <dataField name=" Umbrella Arch (metre)" fld="21" baseField="12" baseItem="5"/>
  </dataFields>
  <formats count="102">
    <format dxfId="191">
      <pivotArea field="10" type="button" dataOnly="0" labelOnly="1" outline="0" axis="axisRow" fieldPosition="0"/>
    </format>
    <format dxfId="190">
      <pivotArea field="11" type="button" dataOnly="0" labelOnly="1" outline="0" axis="axisRow" fieldPosition="1"/>
    </format>
    <format dxfId="189">
      <pivotArea field="12" type="button" dataOnly="0" labelOnly="1" outline="0" axis="axisRow" fieldPosition="2"/>
    </format>
    <format dxfId="188">
      <pivotArea dataOnly="0" labelOnly="1" outline="0" axis="axisValues" fieldPosition="0"/>
    </format>
    <format dxfId="187">
      <pivotArea field="10" type="button" dataOnly="0" labelOnly="1" outline="0" axis="axisRow" fieldPosition="0"/>
    </format>
    <format dxfId="186">
      <pivotArea field="11" type="button" dataOnly="0" labelOnly="1" outline="0" axis="axisRow" fieldPosition="1"/>
    </format>
    <format dxfId="185">
      <pivotArea field="12" type="button" dataOnly="0" labelOnly="1" outline="0" axis="axisRow" fieldPosition="2"/>
    </format>
    <format dxfId="184">
      <pivotArea dataOnly="0" labelOnly="1" outline="0" axis="axisValues" fieldPosition="0"/>
    </format>
    <format dxfId="183">
      <pivotArea outline="0" collapsedLevelsAreSubtotals="1" fieldPosition="0"/>
    </format>
    <format dxfId="182">
      <pivotArea dataOnly="0" labelOnly="1" grandRow="1" outline="0" fieldPosition="0"/>
    </format>
    <format dxfId="181">
      <pivotArea dataOnly="0" labelOnly="1" grandRow="1" outline="0" fieldPosition="0"/>
    </format>
    <format dxfId="180">
      <pivotArea grandRow="1" outline="0" collapsedLevelsAreSubtotals="1" fieldPosition="0"/>
    </format>
    <format dxfId="179">
      <pivotArea dataOnly="0" labelOnly="1" grandRow="1" outline="0" fieldPosition="0"/>
    </format>
    <format dxfId="178">
      <pivotArea outline="0" collapsedLevelsAreSubtotals="1" fieldPosition="0"/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10" type="button" dataOnly="0" labelOnly="1" outline="0" axis="axisRow" fieldPosition="0"/>
    </format>
    <format dxfId="174">
      <pivotArea field="11" type="button" dataOnly="0" labelOnly="1" outline="0" axis="axisRow" fieldPosition="1"/>
    </format>
    <format dxfId="173">
      <pivotArea field="12" type="button" dataOnly="0" labelOnly="1" outline="0" axis="axisRow" fieldPosition="2"/>
    </format>
    <format dxfId="172">
      <pivotArea dataOnly="0" labelOnly="1" grandRow="1" outline="0" fieldPosition="0"/>
    </format>
    <format dxfId="171">
      <pivotArea dataOnly="0" labelOnly="1" outline="0" axis="axisValues" fieldPosition="0"/>
    </format>
    <format dxfId="170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69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68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67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66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65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64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63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62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61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60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59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58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57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56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55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54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53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52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51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50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49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48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47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46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45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44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43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42">
      <pivotArea dataOnly="0" labelOnly="1" outline="0" fieldPosition="0">
        <references count="1">
          <reference field="10" count="0"/>
        </references>
      </pivotArea>
    </format>
    <format dxfId="141">
      <pivotArea dataOnly="0" labelOnly="1" outline="0" fieldPosition="0">
        <references count="1">
          <reference field="10" count="0"/>
        </references>
      </pivotArea>
    </format>
    <format dxfId="140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39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38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37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36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35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34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33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32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31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30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29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28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27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6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5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24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23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22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21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20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19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18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17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16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15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14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13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12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11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10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9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8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7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106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05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04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3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2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1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100">
      <pivotArea dataOnly="0" labelOnly="1" outline="0" fieldPosition="0">
        <references count="2">
          <reference field="10" count="1" selected="0">
            <x v="15"/>
          </reference>
          <reference field="11" count="1">
            <x v="14"/>
          </reference>
        </references>
      </pivotArea>
    </format>
    <format dxfId="99">
      <pivotArea dataOnly="0" labelOnly="1" outline="0" fieldPosition="0">
        <references count="2">
          <reference field="10" count="1" selected="0">
            <x v="19"/>
          </reference>
          <reference field="11" count="1">
            <x v="18"/>
          </reference>
        </references>
      </pivotArea>
    </format>
    <format dxfId="98">
      <pivotArea dataOnly="0" labelOnly="1" outline="0" fieldPosition="0">
        <references count="2">
          <reference field="10" count="1" selected="0">
            <x v="24"/>
          </reference>
          <reference field="11" count="1">
            <x v="23"/>
          </reference>
        </references>
      </pivotArea>
    </format>
    <format dxfId="97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6">
      <pivotArea dataOnly="0" labelOnly="1" outline="0" fieldPosition="0">
        <references count="2">
          <reference field="10" count="1" selected="0">
            <x v="32"/>
          </reference>
          <reference field="11" count="1">
            <x v="28"/>
          </reference>
        </references>
      </pivotArea>
    </format>
    <format dxfId="95">
      <pivotArea dataOnly="0" labelOnly="1" outline="0" fieldPosition="0">
        <references count="3">
          <reference field="10" count="1" selected="0">
            <x v="32"/>
          </reference>
          <reference field="11" count="1" selected="0">
            <x v="28"/>
          </reference>
          <reference field="12" count="1">
            <x v="32"/>
          </reference>
        </references>
      </pivotArea>
    </format>
    <format dxfId="94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3">
      <pivotArea dataOnly="0" labelOnly="1" outline="0" fieldPosition="0">
        <references count="2">
          <reference field="10" count="1" selected="0">
            <x v="40"/>
          </reference>
          <reference field="11" count="1">
            <x v="34"/>
          </reference>
        </references>
      </pivotArea>
    </format>
    <format dxfId="92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91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90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BB29F-BBA0-4C6E-BD9A-7B235BBD0E2E}" name="PivotTable2" cacheId="2" applyNumberFormats="0" applyBorderFormats="0" applyFontFormats="0" applyPatternFormats="0" applyAlignmentFormats="0" applyWidthHeightFormats="1" dataCaption="Değerler" grandTotalCaption="Genel Toplam (metre)" updatedVersion="8" minRefreshableVersion="3" useAutoFormatting="1" itemPrintTitles="1" createdVersion="8" indent="0" compact="0" compactData="0" multipleFieldFilters="0">
  <location ref="C13:G14" firstHeaderRow="0" firstDataRow="1" firstDataCol="3"/>
  <pivotFields count="34">
    <pivotField compact="0" outline="0" showAll="0">
      <items count="7">
        <item h="1" m="1" x="2"/>
        <item h="1" m="1" x="3"/>
        <item h="1" m="1" x="5"/>
        <item m="1" x="4"/>
        <item h="1"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h="1" m="1" x="2"/>
        <item h="1" m="1" x="3"/>
        <item h="1" m="1" x="4"/>
        <item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">
        <item m="1" x="5"/>
        <item m="1" x="6"/>
        <item m="1" x="7"/>
        <item m="1" x="8"/>
        <item m="1" x="9"/>
        <item x="4"/>
        <item m="1" x="10"/>
        <item m="1" x="11"/>
        <item m="1" x="13"/>
        <item m="1" x="14"/>
        <item m="1" x="15"/>
        <item m="1" x="16"/>
        <item m="1" x="17"/>
        <item m="1" x="18"/>
        <item m="1" x="20"/>
        <item m="1" x="21"/>
        <item m="1" x="12"/>
        <item m="1" x="19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8"/>
        <item m="1" x="36"/>
        <item m="1" x="39"/>
        <item m="1" x="40"/>
        <item m="1" x="41"/>
        <item m="1" x="42"/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6">
        <item m="1" x="5"/>
        <item m="1" x="6"/>
        <item m="1" x="7"/>
        <item m="1" x="8"/>
        <item m="1" x="9"/>
        <item x="4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1"/>
        <item m="1" x="32"/>
        <item m="1" x="30"/>
        <item m="1" x="33"/>
        <item m="1" x="34"/>
        <item m="1" x="35"/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0">
        <item m="1" x="23"/>
        <item m="1" x="24"/>
        <item m="1" x="25"/>
        <item m="1" x="26"/>
        <item m="1" x="27"/>
        <item m="1" x="28"/>
        <item m="1" x="29"/>
        <item x="12"/>
        <item m="1" x="30"/>
        <item m="1" x="31"/>
        <item m="1" x="37"/>
        <item m="1" x="38"/>
        <item m="1" x="39"/>
        <item m="1" x="40"/>
        <item m="1" x="41"/>
        <item m="1" x="42"/>
        <item m="1" x="49"/>
        <item m="1" x="50"/>
        <item m="1" x="51"/>
        <item m="1" x="52"/>
        <item m="1" x="32"/>
        <item m="1" x="33"/>
        <item m="1" x="34"/>
        <item m="1" x="35"/>
        <item m="1" x="36"/>
        <item m="1" x="43"/>
        <item m="1" x="44"/>
        <item m="1" x="45"/>
        <item m="1" x="46"/>
        <item m="1" x="47"/>
        <item m="1" x="48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7"/>
        <item m="1" x="78"/>
        <item m="1" x="79"/>
        <item m="1" x="71"/>
        <item m="1" x="72"/>
        <item m="1" x="73"/>
        <item m="1" x="74"/>
        <item m="1" x="75"/>
        <item m="1" x="76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3">
        <item m="1"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 Ø 14 'lük Zemin Çivisi_x000a_(metre)" fld="30" baseField="10" baseItem="0"/>
    <dataField name=" Ø 26 'lık Zemin Çivisi_x000a_(metre)" fld="31" baseField="10" baseItem="0"/>
  </dataFields>
  <formats count="71">
    <format dxfId="89">
      <pivotArea field="10" type="button" dataOnly="0" labelOnly="1" outline="0" axis="axisRow" fieldPosition="0"/>
    </format>
    <format dxfId="88">
      <pivotArea field="11" type="button" dataOnly="0" labelOnly="1" outline="0" axis="axisRow" fieldPosition="1"/>
    </format>
    <format dxfId="87">
      <pivotArea field="12" type="button" dataOnly="0" labelOnly="1" outline="0" axis="axisRow" fieldPosition="2"/>
    </format>
    <format dxfId="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5">
      <pivotArea dataOnly="0" labelOnly="1" outline="0" fieldPosition="0">
        <references count="1">
          <reference field="10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82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81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80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79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78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7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6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7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7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73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2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1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70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69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68">
      <pivotArea outline="0" fieldPosition="0">
        <references count="1">
          <reference field="4294967294" count="1" selected="0">
            <x v="0"/>
          </reference>
        </references>
      </pivotArea>
    </format>
    <format dxfId="67">
      <pivotArea outline="0" collapsedLevelsAreSubtotals="1" fieldPosition="0"/>
    </format>
    <format dxfId="66">
      <pivotArea dataOnly="0" labelOnly="1" outline="0" fieldPosition="0">
        <references count="1">
          <reference field="10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63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62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61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60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59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58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57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56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5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5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53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0" type="button" dataOnly="0" labelOnly="1" outline="0" axis="axisRow" fieldPosition="0"/>
    </format>
    <format dxfId="49">
      <pivotArea field="11" type="button" dataOnly="0" labelOnly="1" outline="0" axis="axisRow" fieldPosition="1"/>
    </format>
    <format dxfId="48">
      <pivotArea field="12" type="button" dataOnly="0" labelOnly="1" outline="0" axis="axisRow" fieldPosition="2"/>
    </format>
    <format dxfId="47">
      <pivotArea dataOnly="0" labelOnly="1" outline="0" fieldPosition="0">
        <references count="1">
          <reference field="10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44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43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42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41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40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39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38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37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36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35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34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dataOnly="0" labelOnly="1" outline="0" fieldPosition="0">
        <references count="2">
          <reference field="10" count="1" selected="0">
            <x v="10"/>
          </reference>
          <reference field="11" count="1">
            <x v="10"/>
          </reference>
        </references>
      </pivotArea>
    </format>
    <format dxfId="31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30">
      <pivotArea field="10" grandRow="1" outline="0" axis="axisRow" fieldPosition="0">
        <references count="1">
          <reference field="4294967294" count="1" selected="0">
            <x v="0"/>
          </reference>
        </references>
      </pivotArea>
    </format>
    <format dxfId="29">
      <pivotArea dataOnly="0" labelOnly="1" grandRow="1" outline="0" fieldPosition="0"/>
    </format>
    <format dxfId="28">
      <pivotArea field="10" grandRow="1" outline="0" axis="axisRow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outline="0" fieldPosition="0">
        <references count="2">
          <reference field="10" count="1" selected="0">
            <x v="18"/>
          </reference>
          <reference field="11" count="1">
            <x v="15"/>
          </reference>
        </references>
      </pivotArea>
    </format>
    <format dxfId="26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5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24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3">
      <pivotArea dataOnly="0" labelOnly="1" outline="0" fieldPosition="0">
        <references count="2">
          <reference field="10" count="1" selected="0">
            <x v="26"/>
          </reference>
          <reference field="11" count="1">
            <x v="21"/>
          </reference>
        </references>
      </pivotArea>
    </format>
    <format dxfId="22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21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" xr10:uid="{394BEAE5-B975-421E-B332-74B1C8FBFAB2}" sourceName="Tutanak Özel No (Elle)">
  <pivotTables>
    <pivotTable tabId="6" name="PivotTable1"/>
  </pivotTables>
  <data>
    <tabular pivotCacheId="1562633445">
      <items count="5">
        <i x="0" s="1"/>
        <i x="2" s="1" nd="1"/>
        <i x="3" s="1" nd="1"/>
        <i x="4" s="1" nd="1"/>
        <i x="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" xr10:uid="{419F7B59-E48B-41C9-ADB8-872FEC611DED}" sourceName="Tip">
  <pivotTables>
    <pivotTable tabId="6" name="PivotTable1"/>
  </pivotTables>
  <data>
    <tabular pivotCacheId="1562633445">
      <items count="7">
        <i x="1" s="1"/>
        <i x="5" nd="1"/>
        <i x="3" nd="1"/>
        <i x="6" nd="1"/>
        <i x="4" nd="1"/>
        <i x="0" nd="1"/>
        <i x="2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" xr10:uid="{B7295D35-3A50-4BB9-BDCC-2DCFEA8451CE}" sourceName="Yeri">
  <pivotTables>
    <pivotTable tabId="6" name="PivotTable1"/>
  </pivotTables>
  <data>
    <tabular pivotCacheId="1562633445">
      <items count="3">
        <i x="0" s="1"/>
        <i x="2" s="1" nd="1"/>
        <i x="1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" xr10:uid="{5AE4515C-CE4A-48F0-8DB9-6EE86F7E04A4}" sourceName="Tutanak Özel No (Elle)">
  <pivotTables>
    <pivotTable tabId="9" name="PivotTable4"/>
  </pivotTables>
  <data>
    <tabular pivotCacheId="485754647">
      <items count="6">
        <i x="2" s="1"/>
        <i x="3" nd="1"/>
        <i x="4" nd="1"/>
        <i x="5" nd="1"/>
        <i x="0" nd="1"/>
        <i x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" xr10:uid="{D543E3A9-6DF8-4A2E-AD72-37D2BA7200ED}" sourceName="Tip">
  <pivotTables>
    <pivotTable tabId="9" name="PivotTable4"/>
  </pivotTables>
  <data>
    <tabular pivotCacheId="485754647">
      <items count="7">
        <i x="3" s="1"/>
        <i x="1" s="1" nd="1"/>
        <i x="4" s="1" nd="1"/>
        <i x="6" s="1" nd="1"/>
        <i x="5" s="1" nd="1"/>
        <i x="0" s="1" nd="1"/>
        <i x="2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" xr10:uid="{E6BBC577-5425-40E2-AB6C-69E54282E95B}" sourceName="Yeri">
  <pivotTables>
    <pivotTable tabId="9" name="PivotTable4"/>
  </pivotTables>
  <data>
    <tabular pivotCacheId="485754647">
      <items count="3">
        <i x="0" s="1"/>
        <i x="2" s="1" nd="1"/>
        <i x="1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1" xr10:uid="{7C62ABCA-2FBF-4BD9-BF76-5527FECA5390}" sourceName="Tutanak Özel No (Elle)">
  <data>
    <tabular pivotCacheId="485754647">
      <items count="6">
        <i x="3"/>
        <i x="4"/>
        <i x="5"/>
        <i x="0" s="1"/>
        <i x="2"/>
        <i x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1" xr10:uid="{AC366CBE-C71C-4655-9D48-59EC8C480D32}" sourceName="Tip">
  <data>
    <tabular pivotCacheId="485754647">
      <items count="7">
        <i x="3" s="1"/>
        <i x="1"/>
        <i x="4"/>
        <i x="6"/>
        <i x="5"/>
        <i x="0"/>
        <i x="2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1" xr10:uid="{DBF7E063-0221-486E-A7FD-3A9033A0E8E9}" sourceName="Yeri">
  <data>
    <tabular pivotCacheId="485754647">
      <items count="3">
        <i x="0" s="1"/>
        <i x="2" s="1"/>
        <i x="1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Umbrella_Arch" xr10:uid="{CDDB0427-D338-42DF-B9D6-2EE6CA83CE48}" sourceName="Umbrella Arch">
  <pivotTables>
    <pivotTable tabId="10" name="PivotTable1"/>
  </pivotTables>
  <data>
    <tabular pivotCacheId="1032943723">
      <items count="5">
        <i x="1" nd="1"/>
        <i x="2" nd="1"/>
        <i x="4" nd="1"/>
        <i x="3" s="1" nd="1"/>
        <i x="0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Kazı_Boyu_için_Kullan" xr10:uid="{208FE165-289E-4ED2-8CE1-323D0DE7FA85}" sourceName="Kazı Boyu için Kullan">
  <pivotTables>
    <pivotTable tabId="6" name="PivotTable1"/>
  </pivotTables>
  <data>
    <tabular pivotCacheId="1562633445">
      <items count="3">
        <i x="0" s="1"/>
        <i x="2" s="1" nd="1"/>
        <i x="1" s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" xr10:uid="{DA1D33B3-E55C-40F7-832D-F18549D9F321}" sourceName="Tutanak Genel No (Elle)">
  <pivotTables>
    <pivotTable tabId="11" name="PivotTable2"/>
  </pivotTables>
  <data>
    <tabular pivotCacheId="212227944">
      <items count="6">
        <i x="2" nd="1"/>
        <i x="3" nd="1"/>
        <i x="5" nd="1"/>
        <i x="4" s="1" nd="1"/>
        <i x="0" nd="1"/>
        <i x="1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2" xr10:uid="{6DC99FA8-0D6C-443D-8598-C47B54D430E8}" sourceName="Tutanak Özel No (Elle)">
  <pivotTables>
    <pivotTable tabId="11" name="PivotTable2"/>
  </pivotTables>
  <data>
    <tabular pivotCacheId="212227944">
      <items count="5">
        <i x="2" nd="1"/>
        <i x="3" nd="1"/>
        <i x="4" nd="1"/>
        <i x="0" s="1" nd="1"/>
        <i x="1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14__lük_Zemin_Çivisi" xr10:uid="{70A49E50-3BA3-4E92-A78C-44C717E17967}" sourceName="Ø 14 'lük Zemin Çivisi">
  <pivotTables>
    <pivotTable tabId="11" name="PivotTable2"/>
  </pivotTables>
  <data>
    <tabular pivotCacheId="212227944">
      <items count="2">
        <i x="1" s="1" nd="1"/>
        <i x="0" s="1" nd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26__lık_Zemin_Çivisi" xr10:uid="{3E0343F1-3630-4710-8720-4458B32FF7BE}" sourceName="Ø 26 'lık Zemin Çivisi">
  <pivotTables>
    <pivotTable tabId="11" name="PivotTable2"/>
  </pivotTables>
  <data>
    <tabular pivotCacheId="212227944">
      <items count="1">
        <i x="0" s="1" nd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1" xr10:uid="{140754ED-F6D2-4895-A1E1-4BAA9174FB8F}" sourceName="Tutanak Genel No (Elle)">
  <pivotTables>
    <pivotTable tabId="10" name="PivotTable1"/>
  </pivotTables>
  <data>
    <tabular pivotCacheId="1032943723">
      <items count="5">
        <i x="2" s="1" nd="1"/>
        <i x="3" s="1" nd="1"/>
        <i x="4" s="1" nd="1"/>
        <i x="0" s="1" nd="1"/>
        <i x="1" s="1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2" xr10:uid="{017B5C6B-A8AD-4340-A3D8-88240095E28E}" sourceName="Tutanak Genel No (Elle)">
  <pivotTables>
    <pivotTable tabId="9" name="PivotTable4"/>
  </pivotTables>
  <data>
    <tabular pivotCacheId="485754647">
      <items count="6">
        <i x="2" s="1"/>
        <i x="3" nd="1"/>
        <i x="4" nd="1"/>
        <i x="5" nd="1"/>
        <i x="0" nd="1"/>
        <i x="1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3" xr10:uid="{98134B6B-95F3-4CF3-85FC-6C6F4FC71ADD}" sourceName="Tutanak Genel No (Elle)">
  <pivotTables>
    <pivotTable tabId="6" name="PivotTable1"/>
  </pivotTables>
  <data>
    <tabular pivotCacheId="1562633445">
      <items count="5">
        <i x="0" s="1"/>
        <i x="2" s="1" nd="1"/>
        <i x="3" s="1" nd="1"/>
        <i x="4" s="1" nd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" xr10:uid="{D3F8AE63-CF74-40B0-9EC8-A3D59F4EA8E0}" cache="Dilimleyici_Tutanak_Özel_No__Elle" caption="Tutanak Özel No (Elle)" rowHeight="234950"/>
  <slicer name="Tip" xr10:uid="{5F7B0964-8815-4E19-9B2B-B103B7C483FD}" cache="Dilimleyici_Tip" caption="Tip" rowHeight="234950"/>
  <slicer name="Yeri" xr10:uid="{C187C76F-6E60-4EAF-B15A-CD8F282F8AA4}" cache="Dilimleyici_Yeri" caption="Yeri" rowHeight="234950"/>
  <slicer name="Kazı Boyu için Kullan" xr10:uid="{CFAC4CFB-30FF-4B02-B755-F6472593ECEE}" cache="Dilimleyici_Kazı_Boyu_için_Kullan" caption="Kazı Boyu için Kullan" rowHeight="234950"/>
  <slicer name="Tutanak Genel No (Elle) 3" xr10:uid="{6758931A-2014-461F-9BF4-6EA3B99345A3}" cache="Dilimleyici_Tutanak_Genel_No__Elle3" caption="Tutanak Genel No (Elle)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1" xr10:uid="{175E16A6-572C-4C7C-AF73-3901F598B737}" cache="Dilimleyici_Tutanak_Özel_No__Elle1" caption="Tutanak Özel No (Elle)" rowHeight="234950"/>
  <slicer name="Tip 1" xr10:uid="{EE791237-E1C4-410E-9856-3D4C61EB988D}" cache="Dilimleyici_Tip1" caption="Tip" rowHeight="234950"/>
  <slicer name="Yeri 1" xr10:uid="{EA2902AF-22B3-4CE0-A1D2-FD545AEE38FF}" cache="Dilimleyici_Yeri1" caption="Yeri" rowHeight="234950"/>
  <slicer name="Tutanak Genel No (Elle) 2" xr10:uid="{569414D4-BBC9-470F-8E34-A0330520490B}" cache="Dilimleyici_Tutanak_Genel_No__Elle2" caption="Tutanak Genel No (Elle)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2" xr10:uid="{073AC31B-7C1E-46FF-9982-DAAFD83D1312}" cache="Dilimleyici_Tutanak_Özel_No__Elle11" caption="Tutanak Özel No (Elle)" rowHeight="234950"/>
  <slicer name="Tip 2" xr10:uid="{0EB73791-FC64-445A-956F-04F987C80677}" cache="Dilimleyici_Tip11" caption="Tip" rowHeight="234950"/>
  <slicer name="Yeri 2" xr10:uid="{EB5D3896-BFBF-4F05-8698-50521EC83D9C}" cache="Dilimleyici_Yeri11" caption="Yeri" rowHeight="234950"/>
  <slicer name="Umbrella Arch" xr10:uid="{5C67256A-AB93-44B1-A336-CFC80EF59F1D}" cache="Dilimleyici_Umbrella_Arch" caption="Umbrella Arch" rowHeight="234950"/>
  <slicer name="Tutanak Genel No (Elle) 1" xr10:uid="{E62F51BC-6607-40DF-AE3A-D5655AA5ADFC}" cache="Dilimleyici_Tutanak_Genel_No__Elle1" caption="Tutanak Genel No (Elle)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Genel No (Elle)" xr10:uid="{86D21492-F067-4C86-A5C0-4FDCFF9D8EF1}" cache="Dilimleyici_Tutanak_Genel_No__Elle" caption="Tutanak Genel No (Elle)" rowHeight="234950"/>
  <slicer name="Tutanak Özel No (Elle) 3" xr10:uid="{085DFD52-7A50-48E8-B166-B8A41DA761E8}" cache="Dilimleyici_Tutanak_Özel_No__Elle2" caption="Tutanak Özel No (Elle)" rowHeight="234950"/>
  <slicer name="Ø 14 'lük Zemin Çivisi" xr10:uid="{C203D155-3246-42D7-B298-793168408E32}" cache="Dilimleyici_Ø_14__lük_Zemin_Çivisi" caption="Ø 14 'lük Zemin Çivisi" rowHeight="234950"/>
  <slicer name="Ø 26 'lık Zemin Çivisi" xr10:uid="{4B7897DB-803F-4B60-884F-FAD793B03B3D}" cache="Dilimleyici_Ø_26__lık_Zemin_Çivisi" caption="Ø 26 'lık Zemin Çivisi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5" Type="http://schemas.microsoft.com/office/2007/relationships/slicer" Target="../slicers/slicer3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Relationship Id="rId5" Type="http://schemas.microsoft.com/office/2007/relationships/slicer" Target="../slicers/slicer4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71D4-9BD0-4315-83DF-140310A76B41}">
  <sheetPr codeName="Sayfa1">
    <tabColor rgb="FF92D050"/>
    <pageSetUpPr fitToPage="1"/>
  </sheetPr>
  <dimension ref="A2:M46"/>
  <sheetViews>
    <sheetView tabSelected="1" view="pageBreakPreview" zoomScale="85" zoomScaleNormal="100" zoomScaleSheetLayoutView="85" workbookViewId="0">
      <selection activeCell="D9" sqref="D9"/>
    </sheetView>
  </sheetViews>
  <sheetFormatPr defaultRowHeight="15" customHeight="1" x14ac:dyDescent="0.3"/>
  <cols>
    <col min="1" max="1" width="23.6640625" bestFit="1" customWidth="1"/>
    <col min="2" max="2" width="5.6640625" bestFit="1" customWidth="1"/>
    <col min="3" max="3" width="1.5546875" bestFit="1" customWidth="1"/>
    <col min="4" max="4" width="3.88671875" customWidth="1"/>
    <col min="9" max="9" width="10.77734375" customWidth="1"/>
    <col min="12" max="12" width="14.33203125" bestFit="1" customWidth="1"/>
    <col min="13" max="13" width="10.77734375" bestFit="1" customWidth="1"/>
  </cols>
  <sheetData>
    <row r="2" spans="1:13" ht="15" customHeight="1" x14ac:dyDescent="0.3">
      <c r="A2" s="88" t="s">
        <v>40</v>
      </c>
      <c r="B2" s="88"/>
      <c r="C2" s="88"/>
      <c r="D2" s="88"/>
      <c r="E2" s="88"/>
      <c r="F2" s="88"/>
      <c r="G2" s="88"/>
      <c r="H2" s="88"/>
      <c r="I2" s="88"/>
    </row>
    <row r="3" spans="1:13" ht="15" customHeight="1" x14ac:dyDescent="0.3">
      <c r="L3" t="s">
        <v>59</v>
      </c>
      <c r="M3" s="30" t="str" cm="1">
        <f t="array" ref="M3">+TEXT(MIN(IF(DATA!A:A=D6,DATA!L:L)),"gg.aa.yyyy")</f>
        <v>08.04.2026</v>
      </c>
    </row>
    <row r="4" spans="1:13" ht="15" customHeight="1" x14ac:dyDescent="0.3">
      <c r="A4" s="24" t="s">
        <v>46</v>
      </c>
      <c r="B4" s="24"/>
      <c r="C4" s="24" t="s">
        <v>43</v>
      </c>
      <c r="D4" s="92" t="str">
        <f>+DATA!F3&amp;" "&amp;DATA!G3&amp;" "&amp;DATA!I3&amp;" ("&amp;DATA!J3&amp;") "&amp;" '"&amp;DATA!H3&amp;"' Tipi Tünel İmalatları"</f>
        <v>S06-Barbaros İstasyonu Hat-2 Bağlantı -2 P2 Yönü (Alt Yarı)  'B1' Tipi Tünel İmalatları</v>
      </c>
      <c r="E4" s="92"/>
      <c r="F4" s="92"/>
      <c r="G4" s="92"/>
      <c r="H4" s="92"/>
      <c r="I4" s="92"/>
      <c r="L4" t="s">
        <v>60</v>
      </c>
      <c r="M4" s="30" t="str" cm="1">
        <f t="array" ref="M4">+TEXT(MAX(IF(DATA!A:A=D6,DATA!L:L)),"gg.aa.yyyy")</f>
        <v>08.04.2026</v>
      </c>
    </row>
    <row r="5" spans="1:13" ht="15" customHeight="1" x14ac:dyDescent="0.3">
      <c r="A5" s="24"/>
      <c r="B5" s="24"/>
      <c r="C5" s="24"/>
      <c r="D5" s="92"/>
      <c r="E5" s="92"/>
      <c r="F5" s="92"/>
      <c r="G5" s="92"/>
      <c r="H5" s="92"/>
      <c r="I5" s="92"/>
    </row>
    <row r="6" spans="1:13" ht="15" customHeight="1" x14ac:dyDescent="0.3">
      <c r="A6" s="24" t="s">
        <v>41</v>
      </c>
      <c r="B6" s="33" t="s">
        <v>42</v>
      </c>
      <c r="C6" s="24" t="s">
        <v>43</v>
      </c>
      <c r="D6" s="90" t="s">
        <v>189</v>
      </c>
      <c r="E6" s="91"/>
      <c r="F6" s="91"/>
      <c r="J6" t="s">
        <v>79</v>
      </c>
    </row>
    <row r="7" spans="1:13" ht="15" customHeight="1" x14ac:dyDescent="0.3">
      <c r="A7" s="24"/>
      <c r="B7" s="33" t="s">
        <v>44</v>
      </c>
      <c r="C7" s="24" t="s">
        <v>43</v>
      </c>
      <c r="D7" s="50" t="s">
        <v>190</v>
      </c>
      <c r="E7" s="50"/>
      <c r="F7" s="50"/>
      <c r="J7" t="s">
        <v>79</v>
      </c>
    </row>
    <row r="8" spans="1:13" ht="15" customHeight="1" x14ac:dyDescent="0.3">
      <c r="A8" s="24" t="s">
        <v>45</v>
      </c>
      <c r="B8" s="24"/>
      <c r="C8" s="24" t="s">
        <v>43</v>
      </c>
      <c r="D8" s="90">
        <v>46142</v>
      </c>
      <c r="E8" s="91"/>
      <c r="F8" s="91"/>
      <c r="J8" t="s">
        <v>79</v>
      </c>
    </row>
    <row r="9" spans="1:13" ht="15" customHeight="1" x14ac:dyDescent="0.3">
      <c r="A9" s="24" t="s">
        <v>46</v>
      </c>
      <c r="B9" s="24"/>
      <c r="C9" s="24" t="s">
        <v>43</v>
      </c>
      <c r="D9" s="29" t="s">
        <v>47</v>
      </c>
    </row>
    <row r="10" spans="1:13" ht="15" customHeight="1" x14ac:dyDescent="0.3">
      <c r="A10" s="24" t="s">
        <v>48</v>
      </c>
      <c r="B10" s="24"/>
      <c r="C10" s="24" t="s">
        <v>43</v>
      </c>
      <c r="D10" s="49"/>
    </row>
    <row r="11" spans="1:13" ht="15" customHeight="1" x14ac:dyDescent="0.3">
      <c r="A11" s="24"/>
      <c r="B11" s="24"/>
      <c r="C11" s="24"/>
      <c r="D11" s="49">
        <f>+IF(BULON!C15&lt;&gt;0,TUTANAK!D10+1,TUTANAK!D10)</f>
        <v>1</v>
      </c>
      <c r="E11" t="s">
        <v>75</v>
      </c>
    </row>
    <row r="12" spans="1:13" ht="15" customHeight="1" x14ac:dyDescent="0.3">
      <c r="A12" s="24"/>
      <c r="B12" s="24"/>
      <c r="C12" s="24"/>
      <c r="D12" s="49">
        <f>+IF('UMBRELLA ARCH'!D16&lt;&gt;0,TUTANAK!D11+1,TUTANAK!D11)</f>
        <v>1</v>
      </c>
      <c r="E12" t="s">
        <v>76</v>
      </c>
    </row>
    <row r="13" spans="1:13" ht="15" customHeight="1" x14ac:dyDescent="0.3">
      <c r="A13" s="24"/>
      <c r="B13" s="24"/>
      <c r="C13" s="24"/>
      <c r="D13" s="49"/>
    </row>
    <row r="14" spans="1:13" ht="15" customHeight="1" x14ac:dyDescent="0.3">
      <c r="A14" s="24"/>
      <c r="B14" s="24"/>
      <c r="C14" s="24"/>
      <c r="D14" s="49"/>
    </row>
    <row r="15" spans="1:13" ht="15" customHeight="1" x14ac:dyDescent="0.3">
      <c r="A15" s="24"/>
      <c r="B15" s="24"/>
      <c r="C15" s="24"/>
    </row>
    <row r="16" spans="1:13" ht="15" customHeight="1" x14ac:dyDescent="0.3">
      <c r="A16" s="24" t="s">
        <v>49</v>
      </c>
      <c r="B16" s="24"/>
      <c r="C16" s="24" t="s">
        <v>43</v>
      </c>
      <c r="D16" s="86" t="s">
        <v>50</v>
      </c>
      <c r="E16" s="86"/>
      <c r="F16" s="86"/>
      <c r="G16" s="86"/>
      <c r="H16" s="86"/>
      <c r="I16" s="86"/>
    </row>
    <row r="17" spans="1:9" ht="15" customHeight="1" x14ac:dyDescent="0.3">
      <c r="A17" s="24"/>
      <c r="B17" s="24"/>
      <c r="C17" s="24"/>
      <c r="D17" s="86"/>
      <c r="E17" s="86"/>
      <c r="F17" s="86"/>
      <c r="G17" s="86"/>
      <c r="H17" s="86"/>
      <c r="I17" s="86"/>
    </row>
    <row r="18" spans="1:9" ht="15" customHeight="1" x14ac:dyDescent="0.3">
      <c r="A18" s="24"/>
      <c r="B18" s="24"/>
      <c r="C18" s="24"/>
      <c r="D18" s="86"/>
      <c r="E18" s="86"/>
      <c r="F18" s="86"/>
      <c r="G18" s="86"/>
      <c r="H18" s="86"/>
      <c r="I18" s="86"/>
    </row>
    <row r="19" spans="1:9" ht="15" customHeight="1" x14ac:dyDescent="0.3">
      <c r="A19" s="24" t="s">
        <v>51</v>
      </c>
      <c r="B19" s="24"/>
      <c r="C19" s="24" t="s">
        <v>43</v>
      </c>
      <c r="D19" s="87" t="s">
        <v>52</v>
      </c>
      <c r="E19" s="87"/>
      <c r="F19" s="87"/>
      <c r="G19" s="87"/>
      <c r="H19" s="87"/>
      <c r="I19" s="87"/>
    </row>
    <row r="20" spans="1:9" ht="15" customHeight="1" x14ac:dyDescent="0.3">
      <c r="A20" s="24" t="s">
        <v>53</v>
      </c>
      <c r="B20" s="24"/>
      <c r="C20" s="24" t="s">
        <v>43</v>
      </c>
      <c r="D20" s="90">
        <v>45639</v>
      </c>
      <c r="E20" s="90"/>
      <c r="F20" s="90"/>
    </row>
    <row r="21" spans="1:9" ht="15" customHeight="1" x14ac:dyDescent="0.3">
      <c r="A21" s="24" t="s">
        <v>54</v>
      </c>
      <c r="B21" s="24"/>
      <c r="C21" s="24" t="s">
        <v>43</v>
      </c>
      <c r="D21" s="90">
        <v>45653</v>
      </c>
      <c r="E21" s="90"/>
      <c r="F21" s="90"/>
    </row>
    <row r="22" spans="1:9" ht="15" customHeight="1" x14ac:dyDescent="0.3">
      <c r="A22" s="24" t="s">
        <v>55</v>
      </c>
      <c r="B22" s="24"/>
      <c r="C22" s="24" t="s">
        <v>43</v>
      </c>
      <c r="D22" s="91" t="s">
        <v>56</v>
      </c>
      <c r="E22" s="91"/>
      <c r="F22" s="91"/>
    </row>
    <row r="23" spans="1:9" ht="15" customHeight="1" x14ac:dyDescent="0.3">
      <c r="A23" s="24" t="s">
        <v>57</v>
      </c>
      <c r="B23" s="24"/>
      <c r="C23" s="24" t="s">
        <v>43</v>
      </c>
      <c r="D23" s="90">
        <v>47093</v>
      </c>
      <c r="E23" s="90"/>
      <c r="F23" s="90"/>
    </row>
    <row r="24" spans="1:9" ht="15" customHeight="1" x14ac:dyDescent="0.3">
      <c r="D24" s="28"/>
    </row>
    <row r="25" spans="1:9" ht="15" customHeight="1" x14ac:dyDescent="0.3">
      <c r="A25" s="89" t="str">
        <f>+"'Kirazlı-Halkalı Üniversite Metro Hattı İnşaat Ve Elektromekanik İşler İle M1 Hattı Elektromekanik Sistemleri Yapım İşi' İşinde NATM Tünellerin yapımı sırasında "&amp;M3&amp;" - "&amp;M4&amp;" tarihleri arasında Şartnamesine uygun olarak yapılan imalatlar ekli tablolarda belirtilmiştir."</f>
        <v>'Kirazlı-Halkalı Üniversite Metro Hattı İnşaat Ve Elektromekanik İşler İle M1 Hattı Elektromekanik Sistemleri Yapım İşi' İşinde NATM Tünellerin yapımı sırasında 08.04.2026 - 08.04.2026 tarihleri arasında Şartnamesine uygun olarak yapılan imalatlar ekli tablolarda belirtilmiştir.</v>
      </c>
      <c r="B25" s="89"/>
      <c r="C25" s="89"/>
      <c r="D25" s="89"/>
      <c r="E25" s="89"/>
      <c r="F25" s="89"/>
      <c r="G25" s="89"/>
      <c r="H25" s="89"/>
      <c r="I25" s="89"/>
    </row>
    <row r="26" spans="1:9" ht="15" customHeight="1" x14ac:dyDescent="0.3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5" customHeight="1" x14ac:dyDescent="0.3">
      <c r="A27" s="89"/>
      <c r="B27" s="89"/>
      <c r="C27" s="89"/>
      <c r="D27" s="89"/>
      <c r="E27" s="89"/>
      <c r="F27" s="89"/>
      <c r="G27" s="89"/>
      <c r="H27" s="89"/>
      <c r="I27" s="89"/>
    </row>
    <row r="29" spans="1:9" ht="15" customHeight="1" x14ac:dyDescent="0.3">
      <c r="A29" t="str">
        <f>+"İş bu tutanak "&amp;TEXT(D8,"gg.aa.yyyy")&amp;" tarihinde taraflarca 6 nüsha olarak imzalanmıştır."</f>
        <v>İş bu tutanak 30.04.2026 tarihinde taraflarca 6 nüsha olarak imzalanmıştır.</v>
      </c>
    </row>
    <row r="34" spans="1:9" ht="15" customHeight="1" x14ac:dyDescent="0.3">
      <c r="A34" s="84"/>
      <c r="B34" s="84"/>
      <c r="C34" s="85"/>
      <c r="D34" s="85"/>
      <c r="E34" s="85"/>
      <c r="F34" s="85"/>
      <c r="G34" s="85"/>
      <c r="H34" s="85"/>
      <c r="I34" s="85"/>
    </row>
    <row r="35" spans="1:9" ht="15" customHeight="1" x14ac:dyDescent="0.3">
      <c r="A35" s="82"/>
      <c r="B35" s="82"/>
      <c r="C35" s="82"/>
      <c r="D35" s="82"/>
      <c r="E35" s="82"/>
      <c r="F35" s="82"/>
      <c r="G35" s="82"/>
      <c r="H35" s="82"/>
      <c r="I35" s="82"/>
    </row>
    <row r="36" spans="1:9" ht="15" customHeight="1" x14ac:dyDescent="0.3">
      <c r="A36" s="82"/>
      <c r="B36" s="82"/>
      <c r="C36" s="82"/>
      <c r="D36" s="82"/>
      <c r="E36" s="82"/>
      <c r="F36" s="82"/>
      <c r="G36" s="82"/>
      <c r="H36" s="82"/>
      <c r="I36" s="82"/>
    </row>
    <row r="45" spans="1:9" ht="15" customHeight="1" x14ac:dyDescent="0.3">
      <c r="A45" s="83"/>
      <c r="B45" s="83"/>
      <c r="C45" s="83"/>
      <c r="D45" s="83"/>
      <c r="E45" s="83"/>
      <c r="F45" s="83"/>
      <c r="G45" s="83"/>
      <c r="H45" s="83"/>
      <c r="I45" s="83"/>
    </row>
    <row r="46" spans="1:9" ht="15" customHeight="1" x14ac:dyDescent="0.3">
      <c r="A46" s="83"/>
      <c r="B46" s="83"/>
      <c r="C46" s="83"/>
      <c r="D46" s="83"/>
      <c r="E46" s="83"/>
      <c r="F46" s="83"/>
      <c r="G46" s="83"/>
      <c r="H46" s="83"/>
      <c r="I46" s="83"/>
    </row>
  </sheetData>
  <mergeCells count="23">
    <mergeCell ref="A2:I2"/>
    <mergeCell ref="A25:I27"/>
    <mergeCell ref="D20:F20"/>
    <mergeCell ref="D21:F21"/>
    <mergeCell ref="D22:F22"/>
    <mergeCell ref="D23:F23"/>
    <mergeCell ref="D4:I5"/>
    <mergeCell ref="D8:F8"/>
    <mergeCell ref="D6:F6"/>
    <mergeCell ref="A34:B34"/>
    <mergeCell ref="C34:F34"/>
    <mergeCell ref="G34:I34"/>
    <mergeCell ref="D16:I18"/>
    <mergeCell ref="D19:I19"/>
    <mergeCell ref="A35:B36"/>
    <mergeCell ref="C35:F36"/>
    <mergeCell ref="G35:I36"/>
    <mergeCell ref="A45:B45"/>
    <mergeCell ref="A46:B46"/>
    <mergeCell ref="C45:F45"/>
    <mergeCell ref="C46:F46"/>
    <mergeCell ref="G45:I45"/>
    <mergeCell ref="G46:I46"/>
  </mergeCells>
  <conditionalFormatting sqref="D10">
    <cfRule type="cellIs" dxfId="18" priority="10" operator="equal">
      <formula>0</formula>
    </cfRule>
  </conditionalFormatting>
  <conditionalFormatting sqref="D11">
    <cfRule type="cellIs" dxfId="17" priority="8" operator="equal">
      <formula>$D$10</formula>
    </cfRule>
  </conditionalFormatting>
  <conditionalFormatting sqref="D12">
    <cfRule type="cellIs" dxfId="16" priority="7" operator="equal">
      <formula>$D$11</formula>
    </cfRule>
  </conditionalFormatting>
  <conditionalFormatting sqref="D13">
    <cfRule type="cellIs" dxfId="15" priority="6" operator="equal">
      <formula>$D$12</formula>
    </cfRule>
  </conditionalFormatting>
  <conditionalFormatting sqref="D14">
    <cfRule type="cellIs" dxfId="14" priority="5" operator="equal">
      <formula>$D$13</formula>
    </cfRule>
  </conditionalFormatting>
  <conditionalFormatting sqref="E10">
    <cfRule type="expression" dxfId="13" priority="9">
      <formula>$D$10=0</formula>
    </cfRule>
  </conditionalFormatting>
  <conditionalFormatting sqref="E11">
    <cfRule type="expression" dxfId="12" priority="4">
      <formula>$D$11=$D$10</formula>
    </cfRule>
  </conditionalFormatting>
  <conditionalFormatting sqref="E12">
    <cfRule type="expression" dxfId="11" priority="3">
      <formula>$D$12=$D$11</formula>
    </cfRule>
  </conditionalFormatting>
  <conditionalFormatting sqref="E13">
    <cfRule type="expression" dxfId="10" priority="2">
      <formula>$D$13=$D$12</formula>
    </cfRule>
  </conditionalFormatting>
  <conditionalFormatting sqref="E14">
    <cfRule type="expression" dxfId="9" priority="1">
      <formula>$D$14=$D$13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orientation="portrait" r:id="rId1"/>
  <headerFooter>
    <oddFooter>&amp;C&amp;G</oddFooter>
  </headerFooter>
  <colBreaks count="1" manualBreakCount="1">
    <brk id="10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C894-DDAE-403B-B792-FA4C43C63814}">
  <sheetPr>
    <tabColor rgb="FF92D050"/>
    <pageSetUpPr fitToPage="1"/>
  </sheetPr>
  <dimension ref="A2:I81"/>
  <sheetViews>
    <sheetView view="pageBreakPreview" topLeftCell="A6" zoomScale="85" zoomScaleNormal="85" zoomScaleSheetLayoutView="85" workbookViewId="0">
      <selection activeCell="L19" sqref="L19"/>
    </sheetView>
  </sheetViews>
  <sheetFormatPr defaultRowHeight="15" customHeight="1" x14ac:dyDescent="0.3"/>
  <cols>
    <col min="1" max="1" width="20.6640625" customWidth="1"/>
    <col min="2" max="2" width="12.88671875" customWidth="1"/>
    <col min="3" max="3" width="19" bestFit="1" customWidth="1"/>
    <col min="4" max="4" width="20.77734375" bestFit="1" customWidth="1"/>
    <col min="5" max="5" width="19.5546875" bestFit="1" customWidth="1"/>
    <col min="6" max="6" width="13.33203125" bestFit="1" customWidth="1"/>
    <col min="7" max="7" width="9" bestFit="1" customWidth="1"/>
    <col min="8" max="8" width="8.77734375" bestFit="1" customWidth="1"/>
    <col min="9" max="9" width="4.21875" customWidth="1"/>
    <col min="10" max="12" width="16.88671875" bestFit="1" customWidth="1"/>
    <col min="13" max="14" width="24.44140625" bestFit="1" customWidth="1"/>
  </cols>
  <sheetData>
    <row r="2" spans="1:9" ht="15" customHeight="1" x14ac:dyDescent="0.3">
      <c r="A2" s="85" t="s">
        <v>167</v>
      </c>
      <c r="B2" s="85"/>
      <c r="C2" s="85"/>
      <c r="D2" s="85"/>
      <c r="E2" s="85"/>
      <c r="F2" s="85"/>
      <c r="G2" s="85"/>
      <c r="H2" s="85"/>
    </row>
    <row r="3" spans="1:9" ht="15" customHeight="1" x14ac:dyDescent="0.3">
      <c r="A3" s="85" t="s">
        <v>78</v>
      </c>
      <c r="B3" s="85"/>
      <c r="C3" s="85"/>
      <c r="D3" s="85"/>
      <c r="E3" s="85"/>
      <c r="F3" s="85"/>
      <c r="G3" s="85"/>
      <c r="H3" s="85"/>
    </row>
    <row r="4" spans="1:9" ht="15" customHeight="1" x14ac:dyDescent="0.3">
      <c r="A4" s="85" t="str">
        <f>+"İKSA, PÜSKÜRTME BETONU VE HASIR ÇELİK İCMALİ  (" &amp; TUTANAK!$M$3&amp; "-"&amp; TUTANAK!$M$4&amp; ")"</f>
        <v>İKSA, PÜSKÜRTME BETONU VE HASIR ÇELİK İCMALİ  (08.04.2026-08.04.2026)</v>
      </c>
      <c r="B4" s="85"/>
      <c r="C4" s="85"/>
      <c r="D4" s="85"/>
      <c r="E4" s="85"/>
      <c r="F4" s="85"/>
      <c r="G4" s="85"/>
      <c r="H4" s="85"/>
    </row>
    <row r="5" spans="1:9" ht="15" customHeight="1" x14ac:dyDescent="0.3">
      <c r="A5" s="97" t="str">
        <f>+DATA!H3</f>
        <v>B1</v>
      </c>
      <c r="B5" s="97"/>
      <c r="C5" s="97"/>
      <c r="D5" s="97"/>
      <c r="E5" s="97"/>
      <c r="F5" s="97"/>
      <c r="G5" s="97"/>
      <c r="H5" s="97"/>
    </row>
    <row r="6" spans="1:9" ht="15" customHeight="1" x14ac:dyDescent="0.3">
      <c r="A6" s="38"/>
      <c r="B6" s="38"/>
      <c r="C6" s="38"/>
      <c r="D6" s="38"/>
      <c r="E6" s="38"/>
      <c r="H6" s="33" t="s">
        <v>73</v>
      </c>
      <c r="I6" s="29">
        <f>+TUTANAK!$D$10</f>
        <v>0</v>
      </c>
    </row>
    <row r="7" spans="1:9" ht="15" customHeight="1" x14ac:dyDescent="0.3">
      <c r="A7" s="39" t="s">
        <v>72</v>
      </c>
      <c r="B7" t="str">
        <f>+DATA!$F$3&amp;" "&amp;DATA!$G$3&amp;" "&amp;DATA!$H$3&amp;" Tüneli "&amp;DATA!$I$3&amp;" ("&amp;DATA!$J$3&amp;")"</f>
        <v>S06-Barbaros İstasyonu Hat-2 B1 Tüneli Bağlantı -2 P2 Yönü (Alt Yarı)</v>
      </c>
    </row>
    <row r="8" spans="1:9" ht="15" customHeight="1" x14ac:dyDescent="0.3">
      <c r="A8" s="39" t="s">
        <v>69</v>
      </c>
      <c r="B8" s="95" t="str">
        <f>+TUTANAK!$D$6</f>
        <v>2026.04-010</v>
      </c>
      <c r="C8" s="95"/>
    </row>
    <row r="9" spans="1:9" ht="15" customHeight="1" x14ac:dyDescent="0.3">
      <c r="A9" s="39" t="s">
        <v>70</v>
      </c>
      <c r="B9" s="94" t="str">
        <f>+TUTANAK!$D$7</f>
        <v>S06.H2.B1.BAĞ2-P2.-A-002</v>
      </c>
      <c r="C9" s="94"/>
    </row>
    <row r="10" spans="1:9" ht="15" customHeight="1" x14ac:dyDescent="0.3">
      <c r="A10" s="39" t="s">
        <v>71</v>
      </c>
      <c r="B10" s="95">
        <f>+TUTANAK!$D$8</f>
        <v>46142</v>
      </c>
      <c r="C10" s="96"/>
    </row>
    <row r="11" spans="1:9" ht="15" customHeight="1" x14ac:dyDescent="0.3">
      <c r="A11" s="34"/>
      <c r="B11" s="31"/>
      <c r="C11" s="32"/>
    </row>
    <row r="12" spans="1:9" ht="15" customHeight="1" x14ac:dyDescent="0.3">
      <c r="A12" s="34"/>
      <c r="B12" s="31"/>
      <c r="C12" s="32"/>
    </row>
    <row r="13" spans="1:9" ht="57.6" x14ac:dyDescent="0.3">
      <c r="A13" s="37" t="s">
        <v>27</v>
      </c>
      <c r="B13" s="37" t="s">
        <v>7</v>
      </c>
      <c r="C13" s="37" t="s">
        <v>8</v>
      </c>
      <c r="D13" s="37" t="s">
        <v>11</v>
      </c>
      <c r="E13" s="37" t="s">
        <v>12</v>
      </c>
      <c r="F13" s="37" t="s">
        <v>68</v>
      </c>
      <c r="G13" s="17" t="s">
        <v>165</v>
      </c>
      <c r="H13" s="17" t="s">
        <v>166</v>
      </c>
    </row>
    <row r="14" spans="1:9" ht="14.4" x14ac:dyDescent="0.3">
      <c r="A14" s="15" t="s">
        <v>187</v>
      </c>
      <c r="B14" s="35">
        <v>46047</v>
      </c>
      <c r="C14" s="15">
        <v>49.69</v>
      </c>
      <c r="D14" s="15" t="s">
        <v>185</v>
      </c>
      <c r="E14" s="15" t="s">
        <v>31</v>
      </c>
      <c r="F14" s="15" t="s">
        <v>67</v>
      </c>
      <c r="G14" s="15">
        <v>1</v>
      </c>
      <c r="H14" s="15"/>
    </row>
    <row r="15" spans="1:9" ht="15" customHeight="1" x14ac:dyDescent="0.3">
      <c r="A15" s="15" t="s">
        <v>187</v>
      </c>
      <c r="B15" s="35">
        <v>46047</v>
      </c>
      <c r="C15" s="15">
        <v>50.44</v>
      </c>
      <c r="D15" s="15" t="s">
        <v>185</v>
      </c>
      <c r="E15" s="15" t="s">
        <v>31</v>
      </c>
      <c r="F15" s="15" t="s">
        <v>66</v>
      </c>
      <c r="G15" s="15">
        <v>1</v>
      </c>
      <c r="H15" s="15"/>
    </row>
    <row r="16" spans="1:9" ht="15" customHeight="1" x14ac:dyDescent="0.3">
      <c r="A16" s="15" t="s">
        <v>187</v>
      </c>
      <c r="B16" s="35">
        <v>46047</v>
      </c>
      <c r="C16" s="15">
        <v>51.19</v>
      </c>
      <c r="D16" s="15" t="s">
        <v>185</v>
      </c>
      <c r="E16" s="15" t="s">
        <v>31</v>
      </c>
      <c r="F16" s="15" t="s">
        <v>65</v>
      </c>
      <c r="G16" s="15">
        <v>1</v>
      </c>
      <c r="H16" s="15"/>
    </row>
    <row r="17" spans="1:8" ht="15" customHeight="1" x14ac:dyDescent="0.3">
      <c r="A17" s="15" t="s">
        <v>187</v>
      </c>
      <c r="B17" s="35">
        <v>46047</v>
      </c>
      <c r="C17" s="15">
        <v>51.94</v>
      </c>
      <c r="D17" s="15" t="s">
        <v>185</v>
      </c>
      <c r="E17" s="15" t="s">
        <v>31</v>
      </c>
      <c r="F17" s="15" t="s">
        <v>64</v>
      </c>
      <c r="G17" s="15">
        <v>1</v>
      </c>
      <c r="H17" s="15"/>
    </row>
    <row r="18" spans="1:8" ht="15" customHeight="1" x14ac:dyDescent="0.3">
      <c r="A18" s="15" t="s">
        <v>186</v>
      </c>
      <c r="B18" s="35">
        <v>46048</v>
      </c>
      <c r="C18" s="15">
        <v>52.69</v>
      </c>
      <c r="D18" s="15" t="s">
        <v>185</v>
      </c>
      <c r="E18" s="15" t="s">
        <v>31</v>
      </c>
      <c r="F18" s="15" t="s">
        <v>63</v>
      </c>
      <c r="G18" s="15">
        <v>1</v>
      </c>
      <c r="H18" s="15"/>
    </row>
    <row r="19" spans="1:8" ht="15" customHeight="1" x14ac:dyDescent="0.3">
      <c r="A19" s="15" t="s">
        <v>186</v>
      </c>
      <c r="B19" s="35">
        <v>46048</v>
      </c>
      <c r="C19" s="15">
        <v>53.44</v>
      </c>
      <c r="D19" s="15" t="s">
        <v>185</v>
      </c>
      <c r="E19" s="15" t="s">
        <v>31</v>
      </c>
      <c r="F19" s="15" t="s">
        <v>29</v>
      </c>
      <c r="G19" s="15">
        <v>1</v>
      </c>
      <c r="H19" s="15"/>
    </row>
    <row r="20" spans="1:8" ht="14.4" x14ac:dyDescent="0.3">
      <c r="A20" s="15" t="s">
        <v>186</v>
      </c>
      <c r="B20" s="35">
        <v>46048</v>
      </c>
      <c r="C20" s="15">
        <v>54.19</v>
      </c>
      <c r="D20" s="15" t="s">
        <v>185</v>
      </c>
      <c r="E20" s="15" t="s">
        <v>31</v>
      </c>
      <c r="F20" s="15" t="s">
        <v>67</v>
      </c>
      <c r="G20" s="15">
        <v>1</v>
      </c>
      <c r="H20" s="15"/>
    </row>
    <row r="21" spans="1:8" ht="14.4" x14ac:dyDescent="0.3">
      <c r="A21" s="15" t="s">
        <v>186</v>
      </c>
      <c r="B21" s="35">
        <v>46048</v>
      </c>
      <c r="C21" s="15">
        <v>54.94</v>
      </c>
      <c r="D21" s="15" t="s">
        <v>185</v>
      </c>
      <c r="E21" s="15" t="s">
        <v>31</v>
      </c>
      <c r="F21" s="15" t="s">
        <v>66</v>
      </c>
      <c r="G21" s="15">
        <v>1</v>
      </c>
      <c r="H21" s="15"/>
    </row>
    <row r="22" spans="1:8" ht="15" customHeight="1" x14ac:dyDescent="0.3">
      <c r="A22" s="15" t="s">
        <v>184</v>
      </c>
      <c r="B22" s="35">
        <v>46049</v>
      </c>
      <c r="C22" s="15">
        <v>55.69</v>
      </c>
      <c r="D22" s="15" t="s">
        <v>185</v>
      </c>
      <c r="E22" s="15" t="s">
        <v>31</v>
      </c>
      <c r="F22" s="15" t="s">
        <v>65</v>
      </c>
      <c r="G22" s="15">
        <v>1</v>
      </c>
      <c r="H22" s="15"/>
    </row>
    <row r="23" spans="1:8" ht="14.4" x14ac:dyDescent="0.3">
      <c r="A23" s="15" t="s">
        <v>184</v>
      </c>
      <c r="B23" s="35">
        <v>46049</v>
      </c>
      <c r="C23" s="15">
        <v>56.19</v>
      </c>
      <c r="D23" s="15" t="s">
        <v>185</v>
      </c>
      <c r="E23" s="15" t="s">
        <v>31</v>
      </c>
      <c r="F23" s="15" t="s">
        <v>64</v>
      </c>
      <c r="G23" s="15">
        <v>1</v>
      </c>
      <c r="H23" s="15"/>
    </row>
    <row r="24" spans="1:8" ht="14.4" x14ac:dyDescent="0.3">
      <c r="A24" s="15" t="s">
        <v>184</v>
      </c>
      <c r="B24" s="35">
        <v>46049</v>
      </c>
      <c r="C24" s="15">
        <v>56.69</v>
      </c>
      <c r="D24" s="15" t="s">
        <v>185</v>
      </c>
      <c r="E24" s="15" t="s">
        <v>31</v>
      </c>
      <c r="F24" s="15" t="s">
        <v>63</v>
      </c>
      <c r="G24" s="15">
        <v>1</v>
      </c>
      <c r="H24" s="15"/>
    </row>
    <row r="25" spans="1:8" ht="14.4" x14ac:dyDescent="0.3">
      <c r="A25" s="13" t="s">
        <v>62</v>
      </c>
      <c r="B25" s="13"/>
      <c r="C25" s="13"/>
      <c r="D25" s="13"/>
      <c r="E25" s="13"/>
      <c r="F25" s="13"/>
      <c r="G25" s="13">
        <v>11</v>
      </c>
      <c r="H25" s="13"/>
    </row>
    <row r="32" spans="1:8" ht="14.4" x14ac:dyDescent="0.3"/>
    <row r="35" spans="1:9" ht="14.4" x14ac:dyDescent="0.3"/>
    <row r="36" spans="1:9" ht="14.4" x14ac:dyDescent="0.3"/>
    <row r="37" spans="1:9" ht="14.4" x14ac:dyDescent="0.3"/>
    <row r="40" spans="1:9" ht="14.4" x14ac:dyDescent="0.3"/>
    <row r="41" spans="1:9" ht="14.4" x14ac:dyDescent="0.3"/>
    <row r="42" spans="1:9" ht="15" customHeight="1" x14ac:dyDescent="0.3">
      <c r="A42" s="52"/>
      <c r="B42" s="52"/>
      <c r="C42" s="52"/>
      <c r="D42" s="52"/>
      <c r="E42" s="52"/>
      <c r="F42" s="52"/>
      <c r="G42" s="52"/>
      <c r="H42" s="52"/>
    </row>
    <row r="43" spans="1:9" ht="15" customHeight="1" x14ac:dyDescent="0.3">
      <c r="A43" s="51"/>
      <c r="B43" s="52"/>
      <c r="C43" s="52"/>
      <c r="D43" s="52"/>
      <c r="E43" s="52"/>
      <c r="F43" s="52"/>
      <c r="G43" s="52"/>
      <c r="H43" s="52"/>
    </row>
    <row r="44" spans="1:9" ht="15" customHeight="1" x14ac:dyDescent="0.3">
      <c r="A44" s="56"/>
      <c r="B44" s="52"/>
      <c r="C44" s="52"/>
      <c r="D44" s="52"/>
      <c r="E44" s="52"/>
      <c r="F44" s="52"/>
      <c r="G44" s="52"/>
      <c r="H44" s="52"/>
    </row>
    <row r="45" spans="1:9" ht="15" customHeight="1" x14ac:dyDescent="0.3">
      <c r="A45" s="84"/>
      <c r="B45" s="84"/>
      <c r="C45" s="85"/>
      <c r="D45" s="85"/>
      <c r="E45" s="85"/>
      <c r="F45" s="85"/>
      <c r="G45" s="85"/>
      <c r="H45" s="85"/>
      <c r="I45" s="24"/>
    </row>
    <row r="46" spans="1:9" ht="15" customHeight="1" x14ac:dyDescent="0.3">
      <c r="A46" s="93"/>
      <c r="B46" s="93"/>
      <c r="C46" s="93"/>
      <c r="D46" s="93"/>
      <c r="E46" s="93"/>
      <c r="F46" s="93"/>
      <c r="G46" s="93"/>
      <c r="H46" s="93"/>
      <c r="I46" s="40"/>
    </row>
    <row r="47" spans="1:9" ht="15" customHeight="1" x14ac:dyDescent="0.3">
      <c r="A47" s="93"/>
      <c r="B47" s="93"/>
      <c r="C47" s="40"/>
      <c r="D47" s="40"/>
      <c r="E47" s="40"/>
      <c r="F47" s="40"/>
      <c r="G47" s="40"/>
      <c r="H47" s="40"/>
      <c r="I47" s="40"/>
    </row>
    <row r="56" spans="1:8" ht="15" customHeight="1" x14ac:dyDescent="0.3">
      <c r="A56" s="83"/>
      <c r="B56" s="83"/>
      <c r="C56" s="83"/>
      <c r="D56" s="83"/>
      <c r="E56" s="83"/>
      <c r="F56" s="83"/>
      <c r="G56" s="83"/>
      <c r="H56" s="83"/>
    </row>
    <row r="57" spans="1:8" ht="15" customHeight="1" x14ac:dyDescent="0.3">
      <c r="A57" s="83"/>
      <c r="B57" s="83"/>
      <c r="C57" s="83"/>
      <c r="D57" s="83"/>
      <c r="E57" s="83"/>
      <c r="F57" s="83"/>
      <c r="G57" s="83"/>
      <c r="H57" s="83"/>
    </row>
    <row r="66" spans="1:1" ht="15" customHeight="1" x14ac:dyDescent="0.3">
      <c r="A66" s="51"/>
    </row>
    <row r="67" spans="1:1" ht="15" customHeight="1" x14ac:dyDescent="0.3">
      <c r="A67" s="53"/>
    </row>
    <row r="68" spans="1:1" ht="15" customHeight="1" x14ac:dyDescent="0.3">
      <c r="A68" s="53"/>
    </row>
    <row r="78" spans="1:1" ht="15" customHeight="1" x14ac:dyDescent="0.3">
      <c r="A78" s="51"/>
    </row>
    <row r="79" spans="1:1" ht="15" customHeight="1" x14ac:dyDescent="0.3">
      <c r="A79" s="55"/>
    </row>
    <row r="80" spans="1:1" ht="15" customHeight="1" x14ac:dyDescent="0.3">
      <c r="A80" s="55"/>
    </row>
    <row r="81" spans="1:1" ht="15" customHeight="1" x14ac:dyDescent="0.3">
      <c r="A81" s="55"/>
    </row>
  </sheetData>
  <mergeCells count="19">
    <mergeCell ref="A2:H2"/>
    <mergeCell ref="B9:C9"/>
    <mergeCell ref="B10:C10"/>
    <mergeCell ref="B8:C8"/>
    <mergeCell ref="A4:H4"/>
    <mergeCell ref="A5:H5"/>
    <mergeCell ref="A3:H3"/>
    <mergeCell ref="A45:B45"/>
    <mergeCell ref="A46:B47"/>
    <mergeCell ref="C45:E45"/>
    <mergeCell ref="C46:E46"/>
    <mergeCell ref="F45:H45"/>
    <mergeCell ref="F46:H46"/>
    <mergeCell ref="A56:B56"/>
    <mergeCell ref="A57:B57"/>
    <mergeCell ref="C56:E56"/>
    <mergeCell ref="C57:E57"/>
    <mergeCell ref="F56:H56"/>
    <mergeCell ref="F57:H57"/>
  </mergeCells>
  <conditionalFormatting sqref="A16:A33 A35:A126">
    <cfRule type="cellIs" dxfId="8" priority="1" operator="equal">
      <formula>"(boş)"</formula>
    </cfRule>
  </conditionalFormatting>
  <conditionalFormatting sqref="A13:F15 A127:F132">
    <cfRule type="cellIs" dxfId="7" priority="2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75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153B-1D01-4E78-92F3-0733FD495FAF}">
  <sheetPr>
    <tabColor rgb="FF92D050"/>
    <pageSetUpPr fitToPage="1"/>
  </sheetPr>
  <dimension ref="B2:J54"/>
  <sheetViews>
    <sheetView tabSelected="1" view="pageBreakPreview" topLeftCell="A15" zoomScale="70" zoomScaleNormal="85" zoomScaleSheetLayoutView="70" workbookViewId="0">
      <selection activeCell="D9" sqref="D9"/>
    </sheetView>
  </sheetViews>
  <sheetFormatPr defaultRowHeight="15" customHeight="1" x14ac:dyDescent="0.3"/>
  <cols>
    <col min="2" max="2" width="20.44140625" bestFit="1" customWidth="1"/>
    <col min="3" max="3" width="20.77734375" customWidth="1"/>
    <col min="4" max="4" width="22.44140625" customWidth="1"/>
    <col min="5" max="5" width="16.109375" bestFit="1" customWidth="1"/>
    <col min="6" max="8" width="16.77734375" bestFit="1" customWidth="1"/>
    <col min="9" max="9" width="3.88671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24"/>
      <c r="C2" s="85" t="s">
        <v>77</v>
      </c>
      <c r="D2" s="85"/>
      <c r="E2" s="85"/>
      <c r="F2" s="85"/>
      <c r="G2" s="85"/>
      <c r="H2" s="85"/>
      <c r="I2" s="24"/>
    </row>
    <row r="3" spans="2:9" ht="15" customHeight="1" x14ac:dyDescent="0.3">
      <c r="B3" s="24"/>
      <c r="C3" s="85" t="s">
        <v>78</v>
      </c>
      <c r="D3" s="85"/>
      <c r="E3" s="85"/>
      <c r="F3" s="85"/>
      <c r="G3" s="85"/>
      <c r="H3" s="85"/>
      <c r="I3" s="24"/>
    </row>
    <row r="4" spans="2:9" ht="15" customHeight="1" x14ac:dyDescent="0.3">
      <c r="B4" s="24"/>
      <c r="C4" s="85" t="str">
        <f>+"BULON İCMALİ  (" &amp; TUTANAK!$M$3&amp; "-"&amp; TUTANAK!$M$4&amp; ")"</f>
        <v>BULON İCMALİ  (08.04.2026-08.04.2026)</v>
      </c>
      <c r="D4" s="85"/>
      <c r="E4" s="85"/>
      <c r="F4" s="85"/>
      <c r="G4" s="85"/>
      <c r="H4" s="85"/>
      <c r="I4" s="24"/>
    </row>
    <row r="5" spans="2:9" ht="15" customHeight="1" x14ac:dyDescent="0.3">
      <c r="B5" s="46"/>
      <c r="C5" s="97" t="s">
        <v>24</v>
      </c>
      <c r="D5" s="97"/>
      <c r="E5" s="97"/>
      <c r="F5" s="97"/>
      <c r="G5" s="97"/>
      <c r="H5" s="97"/>
      <c r="I5" s="46"/>
    </row>
    <row r="6" spans="2:9" ht="15" customHeight="1" x14ac:dyDescent="0.3">
      <c r="B6" s="38"/>
      <c r="C6" s="38"/>
      <c r="D6" s="38"/>
      <c r="E6" s="38"/>
      <c r="F6" s="38"/>
      <c r="H6" s="33" t="s">
        <v>73</v>
      </c>
      <c r="I6" s="29">
        <f>+TUTANAK!$D$11</f>
        <v>1</v>
      </c>
    </row>
    <row r="7" spans="2:9" ht="15" customHeight="1" x14ac:dyDescent="0.3">
      <c r="C7" s="39" t="s">
        <v>72</v>
      </c>
      <c r="D7" t="str">
        <f>+DATA!$F$3&amp;" "&amp;DATA!$G$3&amp;" "&amp;DATA!$H$3&amp;" Tüneli "&amp;DATA!$I$3&amp;" ("&amp;DATA!$J$3&amp;")"</f>
        <v>S06-Barbaros İstasyonu Hat-2 B1 Tüneli Bağlantı -2 P2 Yönü (Alt Yarı)</v>
      </c>
    </row>
    <row r="8" spans="2:9" ht="15" customHeight="1" x14ac:dyDescent="0.3">
      <c r="C8" s="39" t="s">
        <v>69</v>
      </c>
      <c r="D8" s="95" t="str">
        <f>+TUTANAK!$D$6</f>
        <v>2026.04-010</v>
      </c>
      <c r="E8" s="95"/>
    </row>
    <row r="9" spans="2:9" ht="15" customHeight="1" x14ac:dyDescent="0.3">
      <c r="C9" s="39" t="s">
        <v>70</v>
      </c>
      <c r="D9" s="94" t="str">
        <f>+TUTANAK!$D$7</f>
        <v>S06.H2.B1.BAĞ2-P2.-A-002</v>
      </c>
      <c r="E9" s="94"/>
    </row>
    <row r="10" spans="2:9" ht="15" customHeight="1" x14ac:dyDescent="0.3">
      <c r="C10" s="39" t="s">
        <v>71</v>
      </c>
      <c r="D10" s="95">
        <f>+TUTANAK!$D$8</f>
        <v>46142</v>
      </c>
      <c r="E10" s="95"/>
    </row>
    <row r="11" spans="2:9" ht="15" customHeight="1" x14ac:dyDescent="0.3">
      <c r="D11" s="32"/>
    </row>
    <row r="12" spans="2:9" ht="15" customHeight="1" x14ac:dyDescent="0.3">
      <c r="B12" s="44"/>
      <c r="C12" s="41"/>
      <c r="D12" s="41"/>
      <c r="E12" s="41"/>
      <c r="F12" s="41"/>
      <c r="G12" s="41"/>
    </row>
    <row r="13" spans="2:9" ht="28.8" x14ac:dyDescent="0.3">
      <c r="B13" s="45"/>
      <c r="C13" s="42" t="s">
        <v>27</v>
      </c>
      <c r="D13" s="42" t="s">
        <v>7</v>
      </c>
      <c r="E13" s="42" t="s">
        <v>8</v>
      </c>
      <c r="F13" s="43" t="s">
        <v>168</v>
      </c>
      <c r="G13" s="43" t="s">
        <v>169</v>
      </c>
      <c r="H13" s="17" t="s">
        <v>170</v>
      </c>
    </row>
    <row r="14" spans="2:9" ht="14.4" x14ac:dyDescent="0.3">
      <c r="C14" s="30" t="s">
        <v>191</v>
      </c>
      <c r="D14" s="80">
        <v>46120</v>
      </c>
      <c r="E14" s="81">
        <v>57</v>
      </c>
      <c r="F14" s="15"/>
      <c r="G14" s="15"/>
      <c r="H14" s="15">
        <v>20</v>
      </c>
    </row>
    <row r="15" spans="2:9" ht="14.4" x14ac:dyDescent="0.3">
      <c r="C15" s="13" t="s">
        <v>171</v>
      </c>
      <c r="D15" s="13"/>
      <c r="E15" s="13"/>
      <c r="F15" s="13"/>
      <c r="G15" s="13"/>
      <c r="H15" s="13">
        <v>20</v>
      </c>
    </row>
    <row r="16" spans="2:9" ht="14.4" x14ac:dyDescent="0.3"/>
    <row r="20" ht="14.4" x14ac:dyDescent="0.3"/>
    <row r="23" ht="14.4" x14ac:dyDescent="0.3"/>
    <row r="25" ht="14.4" x14ac:dyDescent="0.3"/>
    <row r="29" ht="14.4" x14ac:dyDescent="0.3"/>
    <row r="32" ht="14.4" x14ac:dyDescent="0.3"/>
    <row r="42" spans="2:10" ht="15" customHeight="1" x14ac:dyDescent="0.3">
      <c r="B42" s="47"/>
      <c r="C42" s="84"/>
      <c r="D42" s="84"/>
      <c r="E42" s="85"/>
      <c r="F42" s="85"/>
      <c r="G42" s="85"/>
      <c r="H42" s="85"/>
      <c r="I42" s="24"/>
      <c r="J42" s="24"/>
    </row>
    <row r="43" spans="2:10" ht="15" customHeight="1" x14ac:dyDescent="0.3">
      <c r="B43" s="40"/>
      <c r="C43" s="98"/>
      <c r="D43" s="98"/>
      <c r="E43" s="98"/>
      <c r="F43" s="98"/>
      <c r="G43" s="98"/>
      <c r="H43" s="98"/>
      <c r="I43" s="40"/>
      <c r="J43" s="40"/>
    </row>
    <row r="44" spans="2:10" ht="15" customHeight="1" x14ac:dyDescent="0.3">
      <c r="B44" s="40"/>
      <c r="C44" s="40"/>
      <c r="D44" s="40"/>
      <c r="E44" s="40"/>
      <c r="F44" s="40"/>
      <c r="G44" s="40"/>
      <c r="H44" s="40"/>
      <c r="I44" s="40"/>
      <c r="J44" s="40"/>
    </row>
    <row r="53" spans="3:8" ht="15" customHeight="1" x14ac:dyDescent="0.3">
      <c r="C53" s="83"/>
      <c r="D53" s="83"/>
      <c r="E53" s="83"/>
      <c r="F53" s="83"/>
      <c r="G53" s="83"/>
      <c r="H53" s="83"/>
    </row>
    <row r="54" spans="3:8" ht="15" customHeight="1" x14ac:dyDescent="0.3">
      <c r="C54" s="83"/>
      <c r="D54" s="83"/>
      <c r="E54" s="83"/>
      <c r="F54" s="83"/>
      <c r="G54" s="83"/>
      <c r="H54" s="83"/>
    </row>
  </sheetData>
  <mergeCells count="19">
    <mergeCell ref="D10:E10"/>
    <mergeCell ref="C2:H2"/>
    <mergeCell ref="C4:H4"/>
    <mergeCell ref="C5:H5"/>
    <mergeCell ref="G42:H42"/>
    <mergeCell ref="E42:F42"/>
    <mergeCell ref="C42:D42"/>
    <mergeCell ref="D8:E8"/>
    <mergeCell ref="D9:E9"/>
    <mergeCell ref="C3:H3"/>
    <mergeCell ref="G43:H43"/>
    <mergeCell ref="E43:F43"/>
    <mergeCell ref="C43:D43"/>
    <mergeCell ref="G53:H53"/>
    <mergeCell ref="G54:H54"/>
    <mergeCell ref="E53:F53"/>
    <mergeCell ref="E54:F54"/>
    <mergeCell ref="C53:D53"/>
    <mergeCell ref="C54:D54"/>
  </mergeCells>
  <conditionalFormatting sqref="B34:B123 B124:G129">
    <cfRule type="cellIs" dxfId="6" priority="2" operator="equal">
      <formula>"(boş)"</formula>
    </cfRule>
  </conditionalFormatting>
  <conditionalFormatting sqref="C42:C54">
    <cfRule type="cellIs" dxfId="5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5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9736-B5F2-4E6B-957A-479B7D4A765F}">
  <sheetPr>
    <pageSetUpPr fitToPage="1"/>
  </sheetPr>
  <dimension ref="B2:J67"/>
  <sheetViews>
    <sheetView view="pageBreakPreview" zoomScale="70" zoomScaleNormal="85" zoomScaleSheetLayoutView="70" workbookViewId="0">
      <selection activeCell="E18" sqref="E18"/>
    </sheetView>
  </sheetViews>
  <sheetFormatPr defaultRowHeight="15" customHeight="1" x14ac:dyDescent="0.3"/>
  <cols>
    <col min="2" max="2" width="20.44140625" bestFit="1" customWidth="1"/>
    <col min="3" max="3" width="19.21875" hidden="1" customWidth="1"/>
    <col min="4" max="4" width="28.21875" customWidth="1"/>
    <col min="5" max="5" width="25.88671875" customWidth="1"/>
    <col min="6" max="6" width="16.109375" bestFit="1" customWidth="1"/>
    <col min="7" max="7" width="21.5546875" bestFit="1" customWidth="1"/>
    <col min="8" max="8" width="4.33203125" customWidth="1"/>
    <col min="9" max="9" width="20.5546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24"/>
      <c r="C2" s="85" t="s">
        <v>77</v>
      </c>
      <c r="D2" s="85"/>
      <c r="E2" s="85"/>
      <c r="F2" s="85"/>
      <c r="G2" s="85"/>
      <c r="H2" s="85"/>
      <c r="I2" s="24"/>
    </row>
    <row r="3" spans="2:9" ht="15" customHeight="1" x14ac:dyDescent="0.3">
      <c r="B3" s="24"/>
      <c r="C3" s="85" t="s">
        <v>78</v>
      </c>
      <c r="D3" s="85"/>
      <c r="E3" s="85"/>
      <c r="F3" s="85"/>
      <c r="G3" s="85"/>
      <c r="H3" s="85"/>
      <c r="I3" s="24"/>
    </row>
    <row r="4" spans="2:9" ht="15" customHeight="1" x14ac:dyDescent="0.3">
      <c r="B4" s="24"/>
      <c r="C4" s="85" t="str">
        <f>+"UMBRELLA ARCH İCMALİ  (" &amp; TUTANAK!$M$3&amp; "-"&amp; TUTANAK!$M$4&amp; ")"</f>
        <v>UMBRELLA ARCH İCMALİ  (08.04.2026-08.04.2026)</v>
      </c>
      <c r="D4" s="85"/>
      <c r="E4" s="85"/>
      <c r="F4" s="85"/>
      <c r="G4" s="85"/>
      <c r="H4" s="85"/>
      <c r="I4" s="24"/>
    </row>
    <row r="5" spans="2:9" ht="15" customHeight="1" x14ac:dyDescent="0.3">
      <c r="B5" s="46"/>
      <c r="C5" s="97" t="s">
        <v>24</v>
      </c>
      <c r="D5" s="97"/>
      <c r="E5" s="97"/>
      <c r="F5" s="97"/>
      <c r="G5" s="97"/>
      <c r="H5" s="97"/>
      <c r="I5" s="46"/>
    </row>
    <row r="6" spans="2:9" ht="15" customHeight="1" x14ac:dyDescent="0.3">
      <c r="B6" s="38"/>
      <c r="C6" s="38"/>
      <c r="D6" s="38"/>
      <c r="E6" s="38"/>
      <c r="F6" s="38"/>
      <c r="G6" s="33" t="s">
        <v>73</v>
      </c>
      <c r="H6" s="29">
        <f>+TUTANAK!$D$12</f>
        <v>1</v>
      </c>
      <c r="I6" s="38"/>
    </row>
    <row r="7" spans="2:9" ht="27.6" customHeight="1" x14ac:dyDescent="0.3">
      <c r="D7" s="39" t="s">
        <v>72</v>
      </c>
      <c r="E7" s="89" t="str">
        <f>+DATA!$F$3&amp;" "&amp;DATA!$G$3&amp;" "&amp;DATA!$H$3&amp;" Tüneli "&amp;DATA!$I$3&amp;" ("&amp;DATA!$J$3&amp;")"</f>
        <v>S06-Barbaros İstasyonu Hat-2 B1 Tüneli Bağlantı -2 P2 Yönü (Alt Yarı)</v>
      </c>
      <c r="F7" s="89"/>
    </row>
    <row r="8" spans="2:9" ht="15" customHeight="1" x14ac:dyDescent="0.3">
      <c r="D8" s="39" t="s">
        <v>69</v>
      </c>
      <c r="E8" s="31" t="str">
        <f>+TUTANAK!$D$6</f>
        <v>2026.04-010</v>
      </c>
    </row>
    <row r="9" spans="2:9" ht="15" customHeight="1" x14ac:dyDescent="0.3">
      <c r="D9" s="39" t="s">
        <v>70</v>
      </c>
      <c r="E9" s="74" t="str">
        <f>+TUTANAK!$D$7</f>
        <v>S06.H2.B1.BAĞ2-P2.-A-002</v>
      </c>
      <c r="F9" s="74"/>
    </row>
    <row r="10" spans="2:9" ht="15" customHeight="1" x14ac:dyDescent="0.3">
      <c r="D10" s="39" t="s">
        <v>71</v>
      </c>
      <c r="E10" s="31">
        <f>+TUTANAK!$D$8</f>
        <v>46142</v>
      </c>
      <c r="F10" s="31"/>
    </row>
    <row r="11" spans="2:9" ht="15" customHeight="1" x14ac:dyDescent="0.3">
      <c r="D11" s="32"/>
    </row>
    <row r="12" spans="2:9" ht="14.4" x14ac:dyDescent="0.3">
      <c r="B12" s="44"/>
      <c r="F12" s="44"/>
      <c r="G12" s="44"/>
    </row>
    <row r="14" spans="2:9" ht="14.4" x14ac:dyDescent="0.3">
      <c r="D14" s="13" t="s">
        <v>27</v>
      </c>
      <c r="E14" s="13" t="s">
        <v>7</v>
      </c>
      <c r="F14" s="13" t="s">
        <v>8</v>
      </c>
      <c r="G14" s="13" t="s">
        <v>174</v>
      </c>
    </row>
    <row r="15" spans="2:9" ht="14.4" x14ac:dyDescent="0.3">
      <c r="D15" s="75" t="s">
        <v>175</v>
      </c>
      <c r="E15" s="75"/>
      <c r="F15" s="75"/>
      <c r="G15" s="54"/>
    </row>
    <row r="16" spans="2:9" ht="14.4" x14ac:dyDescent="0.3"/>
    <row r="17" ht="14.4" x14ac:dyDescent="0.3"/>
    <row r="18" ht="14.4" x14ac:dyDescent="0.3"/>
    <row r="19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8" ht="14.4" x14ac:dyDescent="0.3"/>
    <row r="44" ht="14.4" x14ac:dyDescent="0.3"/>
    <row r="48" ht="14.4" x14ac:dyDescent="0.3"/>
    <row r="50" spans="2:10" ht="14.4" x14ac:dyDescent="0.3"/>
    <row r="55" spans="2:10" ht="15" customHeight="1" x14ac:dyDescent="0.3">
      <c r="B55" s="47"/>
      <c r="C55" s="84"/>
      <c r="D55" s="84"/>
      <c r="E55" s="85"/>
      <c r="F55" s="85"/>
      <c r="G55" s="85"/>
      <c r="H55" s="85"/>
      <c r="I55" s="24"/>
      <c r="J55" s="24"/>
    </row>
    <row r="56" spans="2:10" ht="15" customHeight="1" x14ac:dyDescent="0.3">
      <c r="B56" s="40"/>
      <c r="C56" s="98"/>
      <c r="D56" s="98"/>
      <c r="E56" s="98"/>
      <c r="F56" s="98"/>
      <c r="G56" s="98"/>
      <c r="H56" s="98"/>
      <c r="I56" s="40"/>
      <c r="J56" s="40"/>
    </row>
    <row r="57" spans="2:10" ht="15" customHeight="1" x14ac:dyDescent="0.3">
      <c r="B57" s="40"/>
      <c r="C57" s="40"/>
      <c r="D57" s="40"/>
      <c r="E57" s="40"/>
      <c r="F57" s="40"/>
      <c r="G57" s="40"/>
      <c r="H57" s="40"/>
      <c r="I57" s="40"/>
      <c r="J57" s="40"/>
    </row>
    <row r="66" spans="3:8" ht="15" customHeight="1" x14ac:dyDescent="0.3">
      <c r="C66" s="83"/>
      <c r="D66" s="83"/>
      <c r="E66" s="83"/>
      <c r="F66" s="83"/>
      <c r="G66" s="83"/>
      <c r="H66" s="83"/>
    </row>
    <row r="67" spans="3:8" ht="15" customHeight="1" x14ac:dyDescent="0.3">
      <c r="C67" s="83"/>
      <c r="D67" s="83"/>
      <c r="E67" s="83"/>
      <c r="F67" s="83"/>
      <c r="G67" s="83"/>
      <c r="H67" s="83"/>
    </row>
  </sheetData>
  <mergeCells count="17">
    <mergeCell ref="C66:D66"/>
    <mergeCell ref="E66:F66"/>
    <mergeCell ref="G66:H66"/>
    <mergeCell ref="C67:D67"/>
    <mergeCell ref="E67:F67"/>
    <mergeCell ref="G67:H67"/>
    <mergeCell ref="C55:D55"/>
    <mergeCell ref="E55:F55"/>
    <mergeCell ref="G55:H55"/>
    <mergeCell ref="C56:D56"/>
    <mergeCell ref="E56:F56"/>
    <mergeCell ref="G56:H56"/>
    <mergeCell ref="C3:H3"/>
    <mergeCell ref="C2:H2"/>
    <mergeCell ref="C4:H4"/>
    <mergeCell ref="C5:H5"/>
    <mergeCell ref="E7:F7"/>
  </mergeCells>
  <conditionalFormatting sqref="B44:B136 B137:G142">
    <cfRule type="cellIs" dxfId="4" priority="2" operator="equal">
      <formula>"(boş)"</formula>
    </cfRule>
  </conditionalFormatting>
  <conditionalFormatting sqref="C55:C67">
    <cfRule type="cellIs" dxfId="3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32EE-25CD-42BF-8C3A-B9B06B77D893}">
  <sheetPr>
    <pageSetUpPr fitToPage="1"/>
  </sheetPr>
  <dimension ref="B2:J54"/>
  <sheetViews>
    <sheetView view="pageBreakPreview" zoomScale="70" zoomScaleNormal="85" zoomScaleSheetLayoutView="70" workbookViewId="0">
      <selection activeCell="E18" sqref="E18"/>
    </sheetView>
  </sheetViews>
  <sheetFormatPr defaultRowHeight="15" customHeight="1" x14ac:dyDescent="0.3"/>
  <cols>
    <col min="2" max="2" width="20.44140625" bestFit="1" customWidth="1"/>
    <col min="3" max="3" width="20" bestFit="1" customWidth="1"/>
    <col min="4" max="4" width="20.77734375" bestFit="1" customWidth="1"/>
    <col min="5" max="5" width="16.109375" bestFit="1" customWidth="1"/>
    <col min="6" max="6" width="20.109375" bestFit="1" customWidth="1"/>
    <col min="7" max="7" width="19.44140625" bestFit="1" customWidth="1"/>
    <col min="8" max="8" width="3" customWidth="1"/>
    <col min="9" max="9" width="20.1093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24"/>
      <c r="C2" s="85" t="s">
        <v>77</v>
      </c>
      <c r="D2" s="85"/>
      <c r="E2" s="85"/>
      <c r="F2" s="85"/>
      <c r="G2" s="85"/>
      <c r="H2" s="85"/>
      <c r="I2" s="24"/>
    </row>
    <row r="3" spans="2:9" ht="15" customHeight="1" x14ac:dyDescent="0.3">
      <c r="B3" s="24"/>
      <c r="C3" s="85" t="s">
        <v>78</v>
      </c>
      <c r="D3" s="85"/>
      <c r="E3" s="85"/>
      <c r="F3" s="85"/>
      <c r="G3" s="85"/>
      <c r="H3" s="85"/>
      <c r="I3" s="24"/>
    </row>
    <row r="4" spans="2:9" ht="15" customHeight="1" x14ac:dyDescent="0.3">
      <c r="B4" s="24"/>
      <c r="C4" s="85" t="str">
        <f>+"ZEMİN ÇİVİSİ İCMALİ  (" &amp; TUTANAK!$M$3&amp; "-"&amp; TUTANAK!$M$4&amp; ")"</f>
        <v>ZEMİN ÇİVİSİ İCMALİ  (08.04.2026-08.04.2026)</v>
      </c>
      <c r="D4" s="85"/>
      <c r="E4" s="85"/>
      <c r="F4" s="85"/>
      <c r="G4" s="85"/>
      <c r="H4" s="85"/>
      <c r="I4" s="24"/>
    </row>
    <row r="5" spans="2:9" ht="15" customHeight="1" x14ac:dyDescent="0.3">
      <c r="B5" s="46"/>
      <c r="C5" s="97" t="s">
        <v>24</v>
      </c>
      <c r="D5" s="97"/>
      <c r="E5" s="97"/>
      <c r="F5" s="97"/>
      <c r="G5" s="97"/>
      <c r="H5" s="97"/>
      <c r="I5" s="46"/>
    </row>
    <row r="6" spans="2:9" ht="15" customHeight="1" x14ac:dyDescent="0.3">
      <c r="B6" s="38"/>
      <c r="C6" s="38"/>
      <c r="D6" s="38"/>
      <c r="E6" s="38"/>
      <c r="F6" s="38"/>
      <c r="G6" s="33" t="s">
        <v>73</v>
      </c>
      <c r="H6" s="29">
        <f>+TUTANAK!$D$13</f>
        <v>0</v>
      </c>
      <c r="I6" s="38"/>
    </row>
    <row r="7" spans="2:9" ht="15" customHeight="1" x14ac:dyDescent="0.3">
      <c r="C7" s="39" t="s">
        <v>72</v>
      </c>
      <c r="D7" t="str">
        <f>+DATA!$F$3&amp;" "&amp;DATA!$G$3&amp;" "&amp;DATA!$H$3&amp;" Tüneli "&amp;DATA!$I$3&amp;" ("&amp;DATA!$J$3&amp;")"</f>
        <v>S06-Barbaros İstasyonu Hat-2 B1 Tüneli Bağlantı -2 P2 Yönü (Alt Yarı)</v>
      </c>
    </row>
    <row r="8" spans="2:9" ht="15" customHeight="1" x14ac:dyDescent="0.3">
      <c r="C8" s="39" t="s">
        <v>69</v>
      </c>
      <c r="D8" s="95" t="str">
        <f>+TUTANAK!$D$6</f>
        <v>2026.04-010</v>
      </c>
      <c r="E8" s="95"/>
    </row>
    <row r="9" spans="2:9" ht="15" customHeight="1" x14ac:dyDescent="0.3">
      <c r="C9" s="39" t="s">
        <v>70</v>
      </c>
      <c r="D9" s="94" t="str">
        <f>+TUTANAK!$D$7</f>
        <v>S06.H2.B1.BAĞ2-P2.-A-002</v>
      </c>
      <c r="E9" s="94"/>
    </row>
    <row r="10" spans="2:9" ht="15" customHeight="1" x14ac:dyDescent="0.3">
      <c r="C10" s="39" t="s">
        <v>71</v>
      </c>
      <c r="D10" s="95">
        <f>+TUTANAK!$D$8</f>
        <v>46142</v>
      </c>
      <c r="E10" s="95"/>
    </row>
    <row r="11" spans="2:9" ht="15" customHeight="1" x14ac:dyDescent="0.3">
      <c r="D11" s="32"/>
    </row>
    <row r="12" spans="2:9" ht="15" customHeight="1" x14ac:dyDescent="0.3">
      <c r="B12" s="44"/>
      <c r="D12" s="44"/>
      <c r="E12" s="44"/>
      <c r="F12" s="44"/>
      <c r="G12" s="44"/>
    </row>
    <row r="13" spans="2:9" ht="28.8" x14ac:dyDescent="0.3">
      <c r="C13" s="37" t="s">
        <v>27</v>
      </c>
      <c r="D13" s="37" t="s">
        <v>7</v>
      </c>
      <c r="E13" s="37" t="s">
        <v>8</v>
      </c>
      <c r="F13" s="17" t="s">
        <v>172</v>
      </c>
      <c r="G13" s="17" t="s">
        <v>173</v>
      </c>
    </row>
    <row r="14" spans="2:9" ht="14.4" x14ac:dyDescent="0.3">
      <c r="C14" s="54" t="s">
        <v>175</v>
      </c>
      <c r="D14" s="54"/>
      <c r="E14" s="54"/>
      <c r="F14" s="54"/>
      <c r="G14" s="77"/>
    </row>
    <row r="15" spans="2:9" ht="14.4" x14ac:dyDescent="0.3"/>
    <row r="17" ht="14.4" x14ac:dyDescent="0.3"/>
    <row r="19" ht="14.4" x14ac:dyDescent="0.3"/>
    <row r="42" spans="2:10" ht="15" customHeight="1" x14ac:dyDescent="0.3">
      <c r="B42" s="47"/>
      <c r="C42" s="84"/>
      <c r="D42" s="84"/>
      <c r="E42" s="85"/>
      <c r="F42" s="85"/>
      <c r="G42" s="85"/>
      <c r="H42" s="85"/>
      <c r="I42" s="24"/>
      <c r="J42" s="24"/>
    </row>
    <row r="43" spans="2:10" ht="15" customHeight="1" x14ac:dyDescent="0.3">
      <c r="B43" s="40"/>
      <c r="C43" s="98"/>
      <c r="D43" s="98"/>
      <c r="E43" s="98"/>
      <c r="F43" s="98"/>
      <c r="G43" s="98"/>
      <c r="H43" s="98"/>
      <c r="I43" s="40"/>
      <c r="J43" s="40"/>
    </row>
    <row r="44" spans="2:10" ht="15" customHeight="1" x14ac:dyDescent="0.3">
      <c r="B44" s="40"/>
      <c r="C44" s="40"/>
      <c r="D44" s="40"/>
      <c r="E44" s="40"/>
      <c r="F44" s="40"/>
      <c r="G44" s="40"/>
      <c r="H44" s="40"/>
      <c r="I44" s="40"/>
      <c r="J44" s="40"/>
    </row>
    <row r="53" spans="3:8" ht="15" customHeight="1" x14ac:dyDescent="0.3">
      <c r="C53" s="83"/>
      <c r="D53" s="83"/>
      <c r="E53" s="83"/>
      <c r="F53" s="83"/>
      <c r="G53" s="83"/>
      <c r="H53" s="83"/>
    </row>
    <row r="54" spans="3:8" ht="15" customHeight="1" x14ac:dyDescent="0.3">
      <c r="C54" s="83"/>
      <c r="D54" s="83"/>
      <c r="E54" s="83"/>
      <c r="F54" s="83"/>
      <c r="G54" s="83"/>
      <c r="H54" s="83"/>
    </row>
  </sheetData>
  <mergeCells count="19">
    <mergeCell ref="C53:D53"/>
    <mergeCell ref="E53:F53"/>
    <mergeCell ref="G53:H53"/>
    <mergeCell ref="C54:D54"/>
    <mergeCell ref="E54:F54"/>
    <mergeCell ref="G54:H54"/>
    <mergeCell ref="C42:D42"/>
    <mergeCell ref="E42:F42"/>
    <mergeCell ref="G42:H42"/>
    <mergeCell ref="C43:D43"/>
    <mergeCell ref="E43:F43"/>
    <mergeCell ref="G43:H43"/>
    <mergeCell ref="D10:E10"/>
    <mergeCell ref="C3:H3"/>
    <mergeCell ref="C2:H2"/>
    <mergeCell ref="C4:H4"/>
    <mergeCell ref="C5:H5"/>
    <mergeCell ref="D8:E8"/>
    <mergeCell ref="D9:E9"/>
  </mergeCells>
  <conditionalFormatting sqref="B32:B123 B124:G129">
    <cfRule type="cellIs" dxfId="2" priority="2" operator="equal">
      <formula>"(boş)"</formula>
    </cfRule>
  </conditionalFormatting>
  <conditionalFormatting sqref="C42:C54">
    <cfRule type="cellIs" dxfId="1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7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ED10-8A8C-4ED7-8B62-3B05797CDDE9}">
  <sheetPr codeName="Sayfa4">
    <tabColor rgb="FF92D050"/>
    <pageSetUpPr fitToPage="1"/>
  </sheetPr>
  <dimension ref="A1:H51"/>
  <sheetViews>
    <sheetView view="pageBreakPreview" topLeftCell="A28" zoomScaleNormal="100" zoomScaleSheetLayoutView="100" workbookViewId="0">
      <selection activeCell="E18" sqref="E18"/>
    </sheetView>
  </sheetViews>
  <sheetFormatPr defaultRowHeight="15" customHeight="1" x14ac:dyDescent="0.3"/>
  <cols>
    <col min="1" max="1" width="7.5546875" style="2" customWidth="1"/>
    <col min="2" max="2" width="11.6640625" style="2" customWidth="1"/>
    <col min="3" max="3" width="10.77734375" style="2" customWidth="1"/>
    <col min="4" max="4" width="12.5546875" style="2" customWidth="1"/>
    <col min="5" max="5" width="12.77734375" style="2" customWidth="1"/>
    <col min="6" max="6" width="16.88671875" style="2" customWidth="1"/>
    <col min="7" max="7" width="18" style="2" customWidth="1"/>
    <col min="8" max="8" width="4.33203125" style="2" customWidth="1"/>
    <col min="9" max="16384" width="8.88671875" style="2"/>
  </cols>
  <sheetData>
    <row r="1" spans="1:8" customFormat="1" ht="15" customHeight="1" x14ac:dyDescent="0.3"/>
    <row r="2" spans="1:8" customFormat="1" ht="15" customHeight="1" x14ac:dyDescent="0.3">
      <c r="A2" s="85" t="s">
        <v>77</v>
      </c>
      <c r="B2" s="85"/>
      <c r="C2" s="85"/>
      <c r="D2" s="85"/>
      <c r="E2" s="85"/>
      <c r="F2" s="85"/>
      <c r="G2" s="85"/>
      <c r="H2" s="85"/>
    </row>
    <row r="3" spans="1:8" customFormat="1" ht="15" customHeight="1" x14ac:dyDescent="0.3">
      <c r="A3" s="85" t="s">
        <v>78</v>
      </c>
      <c r="B3" s="85"/>
      <c r="C3" s="85"/>
      <c r="D3" s="85"/>
      <c r="E3" s="85"/>
      <c r="F3" s="85"/>
      <c r="G3" s="85"/>
      <c r="H3" s="85"/>
    </row>
    <row r="4" spans="1:8" customFormat="1" ht="15" customHeight="1" x14ac:dyDescent="0.3">
      <c r="A4" s="85" t="str">
        <f>+"AYNA İCMALİ  (" &amp; TUTANAK!$M$3&amp; "-"&amp; TUTANAK!$M$4&amp; ")"</f>
        <v>AYNA İCMALİ  (08.04.2026-08.04.2026)</v>
      </c>
      <c r="B4" s="85"/>
      <c r="C4" s="85"/>
      <c r="D4" s="85"/>
      <c r="E4" s="85"/>
      <c r="F4" s="85"/>
      <c r="G4" s="85"/>
      <c r="H4" s="85"/>
    </row>
    <row r="5" spans="1:8" customFormat="1" ht="15" customHeight="1" x14ac:dyDescent="0.3">
      <c r="A5" s="97" t="s">
        <v>24</v>
      </c>
      <c r="B5" s="97"/>
      <c r="C5" s="97"/>
      <c r="D5" s="97"/>
      <c r="E5" s="97"/>
      <c r="F5" s="97"/>
      <c r="G5" s="97"/>
      <c r="H5" s="97"/>
    </row>
    <row r="6" spans="1:8" customFormat="1" ht="15" customHeight="1" x14ac:dyDescent="0.3">
      <c r="A6" s="38"/>
      <c r="B6" s="38"/>
      <c r="C6" s="38"/>
      <c r="D6" s="38"/>
      <c r="E6" s="38"/>
      <c r="F6" s="38"/>
      <c r="G6" s="33" t="s">
        <v>73</v>
      </c>
      <c r="H6" s="29">
        <f>+TUTANAK!$D$14</f>
        <v>0</v>
      </c>
    </row>
    <row r="7" spans="1:8" customFormat="1" ht="15" customHeight="1" x14ac:dyDescent="0.3">
      <c r="A7" s="39" t="s">
        <v>72</v>
      </c>
      <c r="C7" t="str">
        <f>+DATA!$F$3&amp;" "&amp;DATA!$G$3&amp;" "&amp;DATA!$H$3&amp;" Tüneli "&amp;DATA!$I$3&amp;" ("&amp;DATA!$J$3&amp;")"</f>
        <v>S06-Barbaros İstasyonu Hat-2 B1 Tüneli Bağlantı -2 P2 Yönü (Alt Yarı)</v>
      </c>
      <c r="E7" s="2"/>
      <c r="F7" s="2"/>
      <c r="G7" s="2"/>
      <c r="H7" s="2"/>
    </row>
    <row r="8" spans="1:8" customFormat="1" ht="15" customHeight="1" x14ac:dyDescent="0.3">
      <c r="A8" s="39" t="s">
        <v>69</v>
      </c>
      <c r="B8" s="28"/>
      <c r="C8" s="28" t="str">
        <f>+TUTANAK!$D$6</f>
        <v>2026.04-010</v>
      </c>
      <c r="D8" s="28"/>
    </row>
    <row r="9" spans="1:8" customFormat="1" ht="15" customHeight="1" x14ac:dyDescent="0.3">
      <c r="A9" s="39" t="s">
        <v>70</v>
      </c>
      <c r="B9" s="50"/>
      <c r="C9" s="94" t="str">
        <f>+TUTANAK!$D$7</f>
        <v>S06.H2.B1.BAĞ2-P2.-A-002</v>
      </c>
      <c r="D9" s="94"/>
    </row>
    <row r="10" spans="1:8" customFormat="1" ht="15" customHeight="1" x14ac:dyDescent="0.3">
      <c r="A10" s="39" t="s">
        <v>71</v>
      </c>
      <c r="B10" s="28"/>
      <c r="C10" s="31">
        <f>+TUTANAK!$D$8</f>
        <v>46142</v>
      </c>
      <c r="D10" s="28"/>
    </row>
    <row r="11" spans="1:8" customFormat="1" ht="15" customHeight="1" x14ac:dyDescent="0.3">
      <c r="A11" s="39"/>
      <c r="B11" s="31"/>
      <c r="C11" s="31"/>
    </row>
    <row r="12" spans="1:8" customFormat="1" ht="15" customHeight="1" x14ac:dyDescent="0.3">
      <c r="A12" s="39"/>
      <c r="B12" s="31"/>
      <c r="C12" s="31"/>
    </row>
    <row r="13" spans="1:8" ht="15" customHeight="1" x14ac:dyDescent="0.3">
      <c r="B13" s="103" t="s">
        <v>32</v>
      </c>
      <c r="C13" s="103"/>
      <c r="D13" s="103"/>
      <c r="E13" s="103"/>
      <c r="F13" s="103"/>
      <c r="G13" s="103"/>
    </row>
    <row r="14" spans="1:8" s="3" customFormat="1" ht="30" customHeight="1" x14ac:dyDescent="0.3">
      <c r="A14" s="100" t="s">
        <v>33</v>
      </c>
      <c r="B14" s="100"/>
      <c r="C14" s="13" t="s">
        <v>38</v>
      </c>
      <c r="D14" s="102" t="s">
        <v>6</v>
      </c>
      <c r="E14" s="102"/>
      <c r="F14" s="13" t="s">
        <v>11</v>
      </c>
      <c r="G14" s="100" t="s">
        <v>34</v>
      </c>
      <c r="H14" s="100"/>
    </row>
    <row r="15" spans="1:8" ht="15" customHeight="1" x14ac:dyDescent="0.3">
      <c r="A15" s="101">
        <v>1</v>
      </c>
      <c r="B15" s="101"/>
      <c r="C15" s="25">
        <v>49.69</v>
      </c>
      <c r="D15" s="26" t="s">
        <v>26</v>
      </c>
      <c r="E15" s="27">
        <v>6</v>
      </c>
      <c r="F15" s="15" t="s">
        <v>188</v>
      </c>
      <c r="G15" s="101" t="s">
        <v>31</v>
      </c>
      <c r="H15" s="101"/>
    </row>
    <row r="16" spans="1:8" ht="15" customHeight="1" x14ac:dyDescent="0.3">
      <c r="A16" s="99"/>
      <c r="B16" s="99"/>
      <c r="C16" s="78"/>
      <c r="D16" s="3"/>
      <c r="E16" s="79"/>
      <c r="F16" s="3"/>
      <c r="G16" s="99"/>
      <c r="H16" s="99"/>
    </row>
    <row r="17" spans="1:8" ht="15" customHeight="1" x14ac:dyDescent="0.3">
      <c r="A17" s="99"/>
      <c r="B17" s="99"/>
      <c r="C17" s="78"/>
      <c r="D17" s="3"/>
      <c r="E17" s="79"/>
      <c r="F17" s="3"/>
      <c r="G17" s="99"/>
      <c r="H17" s="99"/>
    </row>
    <row r="18" spans="1:8" ht="15" customHeight="1" x14ac:dyDescent="0.3">
      <c r="A18" s="99"/>
      <c r="B18" s="99"/>
      <c r="C18" s="78"/>
      <c r="D18" s="3"/>
      <c r="E18" s="79"/>
      <c r="F18" s="3"/>
      <c r="G18" s="99"/>
      <c r="H18" s="99"/>
    </row>
    <row r="19" spans="1:8" ht="15" customHeight="1" x14ac:dyDescent="0.3">
      <c r="A19" s="99"/>
      <c r="B19" s="99"/>
      <c r="C19" s="78"/>
      <c r="D19" s="3"/>
      <c r="E19" s="79"/>
      <c r="F19" s="3"/>
      <c r="G19" s="99"/>
      <c r="H19" s="99"/>
    </row>
    <row r="20" spans="1:8" ht="15" customHeight="1" x14ac:dyDescent="0.3">
      <c r="A20" s="99"/>
      <c r="B20" s="99"/>
      <c r="C20" s="78"/>
      <c r="D20" s="3"/>
      <c r="E20" s="79"/>
      <c r="F20" s="3"/>
      <c r="G20" s="99"/>
      <c r="H20" s="99"/>
    </row>
    <row r="21" spans="1:8" ht="15" customHeight="1" x14ac:dyDescent="0.3">
      <c r="A21" s="99"/>
      <c r="B21" s="99"/>
      <c r="C21" s="78"/>
      <c r="D21" s="3"/>
      <c r="E21" s="79"/>
      <c r="F21" s="3"/>
      <c r="G21" s="99"/>
      <c r="H21" s="99"/>
    </row>
    <row r="22" spans="1:8" ht="15" customHeight="1" x14ac:dyDescent="0.3">
      <c r="A22" s="99"/>
      <c r="B22" s="99"/>
      <c r="C22" s="78"/>
      <c r="D22" s="3"/>
      <c r="E22" s="79"/>
      <c r="F22" s="3"/>
      <c r="G22" s="99"/>
      <c r="H22" s="99"/>
    </row>
    <row r="23" spans="1:8" ht="15" customHeight="1" x14ac:dyDescent="0.3">
      <c r="A23" s="99"/>
      <c r="B23" s="99"/>
      <c r="C23" s="78"/>
      <c r="D23" s="3"/>
      <c r="E23" s="79"/>
      <c r="F23" s="3"/>
      <c r="G23" s="99"/>
      <c r="H23" s="99"/>
    </row>
    <row r="24" spans="1:8" ht="15" customHeight="1" x14ac:dyDescent="0.3">
      <c r="A24" s="99"/>
      <c r="B24" s="99"/>
      <c r="C24" s="78"/>
      <c r="D24" s="3"/>
      <c r="E24" s="79"/>
      <c r="F24" s="3"/>
      <c r="G24" s="99"/>
      <c r="H24" s="99"/>
    </row>
    <row r="25" spans="1:8" ht="15" customHeight="1" x14ac:dyDescent="0.3">
      <c r="A25" s="99"/>
      <c r="B25" s="99"/>
      <c r="C25" s="78"/>
      <c r="D25" s="3"/>
      <c r="E25" s="79"/>
      <c r="F25" s="3"/>
      <c r="G25" s="99"/>
      <c r="H25" s="99"/>
    </row>
    <row r="26" spans="1:8" ht="15" customHeight="1" x14ac:dyDescent="0.3">
      <c r="A26" s="99"/>
      <c r="B26" s="99"/>
      <c r="C26" s="78"/>
      <c r="D26" s="3"/>
      <c r="E26" s="79"/>
      <c r="F26" s="3"/>
      <c r="G26" s="99"/>
      <c r="H26" s="99"/>
    </row>
    <row r="27" spans="1:8" ht="15" customHeight="1" x14ac:dyDescent="0.3">
      <c r="B27"/>
      <c r="C27"/>
      <c r="D27"/>
      <c r="E27"/>
      <c r="F27"/>
      <c r="G27"/>
    </row>
    <row r="28" spans="1:8" ht="15" customHeight="1" x14ac:dyDescent="0.3">
      <c r="B28"/>
      <c r="C28"/>
      <c r="D28"/>
      <c r="E28"/>
      <c r="F28"/>
      <c r="G28"/>
    </row>
    <row r="29" spans="1:8" ht="15" customHeight="1" x14ac:dyDescent="0.3">
      <c r="B29"/>
      <c r="C29"/>
      <c r="D29"/>
      <c r="E29"/>
      <c r="F29"/>
      <c r="G29"/>
    </row>
    <row r="30" spans="1:8" ht="15" customHeight="1" x14ac:dyDescent="0.3">
      <c r="B30"/>
      <c r="C30"/>
      <c r="D30"/>
      <c r="E30"/>
      <c r="F30"/>
      <c r="G30"/>
    </row>
    <row r="31" spans="1:8" ht="15" customHeight="1" x14ac:dyDescent="0.3">
      <c r="B31"/>
      <c r="C31"/>
      <c r="D31"/>
      <c r="E31"/>
      <c r="F31"/>
      <c r="G31"/>
    </row>
    <row r="32" spans="1:8" ht="15" customHeight="1" x14ac:dyDescent="0.3">
      <c r="B32"/>
      <c r="C32"/>
      <c r="D32"/>
      <c r="E32"/>
      <c r="F32"/>
      <c r="G32"/>
    </row>
    <row r="33" spans="1:8" ht="15" customHeight="1" x14ac:dyDescent="0.3">
      <c r="B33"/>
      <c r="C33"/>
      <c r="D33"/>
      <c r="E33"/>
      <c r="F33"/>
      <c r="G33"/>
    </row>
    <row r="34" spans="1:8" ht="15" customHeight="1" x14ac:dyDescent="0.3">
      <c r="B34"/>
      <c r="C34"/>
      <c r="D34"/>
      <c r="E34"/>
      <c r="F34"/>
      <c r="G34"/>
    </row>
    <row r="35" spans="1:8" ht="15" customHeight="1" x14ac:dyDescent="0.3">
      <c r="B35"/>
      <c r="C35"/>
      <c r="D35"/>
      <c r="E35"/>
      <c r="F35"/>
      <c r="G35"/>
    </row>
    <row r="36" spans="1:8" ht="15" customHeight="1" x14ac:dyDescent="0.3">
      <c r="B36"/>
      <c r="C36"/>
      <c r="D36"/>
      <c r="E36"/>
      <c r="F36"/>
      <c r="G36"/>
    </row>
    <row r="37" spans="1:8" ht="15" customHeight="1" x14ac:dyDescent="0.3">
      <c r="B37"/>
      <c r="C37"/>
      <c r="D37"/>
      <c r="E37"/>
      <c r="F37"/>
      <c r="G37"/>
    </row>
    <row r="39" spans="1:8" ht="15" customHeight="1" x14ac:dyDescent="0.3">
      <c r="A39" s="84"/>
      <c r="B39" s="84"/>
      <c r="C39" s="84"/>
      <c r="D39" s="85"/>
      <c r="E39" s="85"/>
      <c r="F39" s="85"/>
      <c r="G39" s="85"/>
      <c r="H39" s="85"/>
    </row>
    <row r="40" spans="1:8" ht="15" customHeight="1" x14ac:dyDescent="0.3">
      <c r="A40" s="98"/>
      <c r="B40" s="98"/>
      <c r="C40" s="98"/>
      <c r="D40" s="98"/>
      <c r="E40" s="98"/>
      <c r="F40" s="98"/>
      <c r="G40" s="98"/>
      <c r="H40" s="98"/>
    </row>
    <row r="41" spans="1:8" ht="15" customHeight="1" x14ac:dyDescent="0.3">
      <c r="A41" s="98"/>
      <c r="B41" s="98"/>
      <c r="C41" s="98"/>
      <c r="D41" s="40"/>
      <c r="E41" s="40"/>
      <c r="F41" s="40"/>
    </row>
    <row r="42" spans="1:8" ht="15" customHeight="1" x14ac:dyDescent="0.3">
      <c r="A42"/>
      <c r="B42"/>
      <c r="C42"/>
      <c r="D42"/>
      <c r="E42"/>
      <c r="F42"/>
    </row>
    <row r="43" spans="1:8" ht="15" customHeight="1" x14ac:dyDescent="0.3">
      <c r="A43"/>
      <c r="B43"/>
      <c r="C43"/>
      <c r="D43"/>
      <c r="E43"/>
      <c r="F43"/>
    </row>
    <row r="44" spans="1:8" ht="15" customHeight="1" x14ac:dyDescent="0.3">
      <c r="A44"/>
      <c r="B44"/>
      <c r="C44"/>
      <c r="D44"/>
      <c r="E44"/>
      <c r="F44"/>
    </row>
    <row r="45" spans="1:8" ht="15" customHeight="1" x14ac:dyDescent="0.3">
      <c r="A45"/>
      <c r="B45"/>
      <c r="C45"/>
      <c r="D45"/>
      <c r="E45"/>
      <c r="F45"/>
    </row>
    <row r="46" spans="1:8" ht="15" customHeight="1" x14ac:dyDescent="0.3">
      <c r="A46"/>
      <c r="B46"/>
      <c r="C46"/>
      <c r="D46"/>
      <c r="E46"/>
      <c r="F46"/>
    </row>
    <row r="47" spans="1:8" ht="15" customHeight="1" x14ac:dyDescent="0.3">
      <c r="A47"/>
      <c r="B47"/>
      <c r="C47"/>
      <c r="D47"/>
      <c r="E47"/>
      <c r="F47"/>
    </row>
    <row r="48" spans="1:8" ht="15" customHeight="1" x14ac:dyDescent="0.3">
      <c r="A48"/>
      <c r="B48"/>
      <c r="C48"/>
      <c r="D48"/>
      <c r="E48"/>
      <c r="F48"/>
    </row>
    <row r="49" spans="1:8" ht="15" customHeight="1" x14ac:dyDescent="0.3">
      <c r="A49"/>
      <c r="B49"/>
      <c r="C49"/>
      <c r="D49"/>
      <c r="E49"/>
      <c r="F49"/>
    </row>
    <row r="50" spans="1:8" ht="15" customHeight="1" x14ac:dyDescent="0.3">
      <c r="A50" s="83"/>
      <c r="B50" s="83"/>
      <c r="C50" s="83"/>
      <c r="D50" s="83"/>
      <c r="E50" s="83"/>
      <c r="F50" s="83"/>
      <c r="G50" s="83"/>
      <c r="H50" s="83"/>
    </row>
    <row r="51" spans="1:8" ht="15" customHeight="1" x14ac:dyDescent="0.3">
      <c r="A51" s="83"/>
      <c r="B51" s="83"/>
      <c r="C51" s="83"/>
      <c r="D51" s="83"/>
      <c r="E51" s="83"/>
      <c r="F51" s="83"/>
      <c r="G51" s="83"/>
      <c r="H51" s="83"/>
    </row>
  </sheetData>
  <mergeCells count="45">
    <mergeCell ref="D14:E14"/>
    <mergeCell ref="B13:G13"/>
    <mergeCell ref="A2:H2"/>
    <mergeCell ref="A4:H4"/>
    <mergeCell ref="A5:H5"/>
    <mergeCell ref="A3:H3"/>
    <mergeCell ref="C9:D9"/>
    <mergeCell ref="A14:B14"/>
    <mergeCell ref="F39:H39"/>
    <mergeCell ref="F40:H40"/>
    <mergeCell ref="D39:E39"/>
    <mergeCell ref="D40:E40"/>
    <mergeCell ref="A39:C39"/>
    <mergeCell ref="A40:C41"/>
    <mergeCell ref="F50:H50"/>
    <mergeCell ref="F51:H51"/>
    <mergeCell ref="D50:E50"/>
    <mergeCell ref="D51:E51"/>
    <mergeCell ref="A50:C50"/>
    <mergeCell ref="A51:C51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25:B25"/>
    <mergeCell ref="A26:B26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A20:B20"/>
  </mergeCells>
  <conditionalFormatting sqref="A39:A40 A42:A51">
    <cfRule type="cellIs" dxfId="0" priority="1" operator="equal">
      <formula>"(boş)"</formula>
    </cfRule>
  </conditionalFormatting>
  <pageMargins left="0.43307086614173229" right="0.23622047244094491" top="0.74803149606299213" bottom="0.74803149606299213" header="0.31496062992125984" footer="0.31496062992125984"/>
  <pageSetup paperSize="9" fitToHeight="0" orientation="portrait" r:id="rId1"/>
  <headerFooter>
    <oddFooter>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AG26"/>
  <sheetViews>
    <sheetView topLeftCell="Q1" zoomScale="85" zoomScaleNormal="85" workbookViewId="0">
      <selection activeCell="AC27" sqref="AC27"/>
    </sheetView>
  </sheetViews>
  <sheetFormatPr defaultRowHeight="15" customHeight="1" x14ac:dyDescent="0.3"/>
  <cols>
    <col min="1" max="1" width="15.6640625" style="3" bestFit="1" customWidth="1"/>
    <col min="2" max="2" width="23.5546875" style="3" bestFit="1" customWidth="1"/>
    <col min="3" max="4" width="12.33203125" style="12" customWidth="1"/>
    <col min="5" max="5" width="18.88671875" style="12" bestFit="1" customWidth="1"/>
    <col min="6" max="6" width="22.6640625" style="3" bestFit="1" customWidth="1"/>
    <col min="7" max="7" width="20.44140625" style="3" bestFit="1" customWidth="1"/>
    <col min="8" max="8" width="9.109375" style="3" bestFit="1" customWidth="1"/>
    <col min="9" max="9" width="18.33203125" style="3" bestFit="1" customWidth="1"/>
    <col min="10" max="10" width="7.33203125" style="3" bestFit="1" customWidth="1"/>
    <col min="11" max="11" width="18.5546875" style="3" bestFit="1" customWidth="1"/>
    <col min="12" max="12" width="10.88671875" style="3" bestFit="1" customWidth="1"/>
    <col min="13" max="13" width="17.5546875" style="3" bestFit="1" customWidth="1"/>
    <col min="14" max="14" width="14.21875" style="3" bestFit="1" customWidth="1"/>
    <col min="15" max="15" width="10.88671875" style="3" bestFit="1" customWidth="1"/>
    <col min="16" max="16" width="15.88671875" style="3" customWidth="1"/>
    <col min="17" max="17" width="18.5546875" style="3" bestFit="1" customWidth="1"/>
    <col min="18" max="18" width="18" style="3" bestFit="1" customWidth="1"/>
    <col min="19" max="19" width="16.109375" style="3" bestFit="1" customWidth="1"/>
    <col min="20" max="20" width="16.109375" style="3" hidden="1" customWidth="1"/>
    <col min="21" max="21" width="2.109375" style="3" bestFit="1" customWidth="1"/>
    <col min="22" max="22" width="13.109375" style="3" bestFit="1" customWidth="1"/>
    <col min="23" max="23" width="10.77734375" style="3" bestFit="1" customWidth="1"/>
    <col min="24" max="24" width="2.109375" style="3" bestFit="1" customWidth="1"/>
    <col min="25" max="29" width="15.88671875" style="3" bestFit="1" customWidth="1"/>
    <col min="30" max="30" width="2.109375" style="3" bestFit="1" customWidth="1"/>
    <col min="31" max="31" width="19.6640625" style="3" bestFit="1" customWidth="1"/>
    <col min="32" max="32" width="18.88671875" style="3" bestFit="1" customWidth="1"/>
    <col min="33" max="33" width="39.88671875" style="3" bestFit="1" customWidth="1"/>
    <col min="34" max="16384" width="8.88671875" style="3"/>
  </cols>
  <sheetData>
    <row r="1" spans="1:33" ht="30" customHeight="1" x14ac:dyDescent="0.3">
      <c r="A1" s="18" t="s">
        <v>80</v>
      </c>
      <c r="B1" s="18" t="s">
        <v>61</v>
      </c>
      <c r="C1" s="18" t="s">
        <v>0</v>
      </c>
      <c r="D1" s="18" t="s">
        <v>1</v>
      </c>
      <c r="E1" s="18" t="s">
        <v>2</v>
      </c>
      <c r="F1" s="20" t="s">
        <v>3</v>
      </c>
      <c r="G1" s="20" t="s">
        <v>4</v>
      </c>
      <c r="H1" s="20" t="s">
        <v>5</v>
      </c>
      <c r="I1" s="20" t="s">
        <v>58</v>
      </c>
      <c r="J1" s="20" t="s">
        <v>6</v>
      </c>
      <c r="K1" s="13" t="s">
        <v>27</v>
      </c>
      <c r="L1" s="13" t="s">
        <v>7</v>
      </c>
      <c r="M1" s="13" t="s">
        <v>8</v>
      </c>
      <c r="N1" s="13" t="s">
        <v>9</v>
      </c>
      <c r="O1" s="13" t="s">
        <v>25</v>
      </c>
      <c r="P1" s="6" t="s">
        <v>10</v>
      </c>
      <c r="Q1" s="6" t="s">
        <v>11</v>
      </c>
      <c r="R1" s="6" t="s">
        <v>12</v>
      </c>
      <c r="S1" s="4" t="s">
        <v>20</v>
      </c>
      <c r="T1" s="4" t="s">
        <v>21</v>
      </c>
      <c r="U1" s="3" t="s">
        <v>74</v>
      </c>
      <c r="V1" s="1" t="s">
        <v>22</v>
      </c>
      <c r="W1" s="1" t="s">
        <v>23</v>
      </c>
      <c r="X1" s="3" t="s">
        <v>74</v>
      </c>
      <c r="Y1" s="5" t="s">
        <v>13</v>
      </c>
      <c r="Z1" s="5" t="s">
        <v>14</v>
      </c>
      <c r="AA1" s="5" t="s">
        <v>15</v>
      </c>
      <c r="AB1" s="5" t="s">
        <v>18</v>
      </c>
      <c r="AC1" s="5" t="s">
        <v>19</v>
      </c>
      <c r="AD1" s="3" t="s">
        <v>74</v>
      </c>
      <c r="AE1" s="6" t="s">
        <v>16</v>
      </c>
      <c r="AF1" s="6" t="s">
        <v>17</v>
      </c>
      <c r="AG1" s="13" t="s">
        <v>39</v>
      </c>
    </row>
    <row r="2" spans="1:33" ht="15" customHeight="1" x14ac:dyDescent="0.3">
      <c r="A2" s="19" t="s">
        <v>176</v>
      </c>
      <c r="B2" s="19" t="s">
        <v>177</v>
      </c>
      <c r="C2" s="19" t="b">
        <f>AND(A2=[1]TUTANAK!$D$6,P2="Tamamlandı")</f>
        <v>0</v>
      </c>
      <c r="D2" s="19"/>
      <c r="E2" s="19" t="b">
        <f>+IF(OR(P2&lt;&gt;""),"KAZI-PÜS-H.ÇELİK",IF(AND(SUM(V2:W2)&gt;0,SUM(AE2:AF2)=0),"SÜREN",IF(SUM(Y2:AC2)&gt;0,"BULON",IF(SUM(AE2:AF2)&gt;0,"ZEMİN ÇİVİSİ"))))</f>
        <v>0</v>
      </c>
      <c r="F2" s="21" t="s">
        <v>178</v>
      </c>
      <c r="G2" s="21" t="s">
        <v>179</v>
      </c>
      <c r="H2" s="21" t="s">
        <v>180</v>
      </c>
      <c r="I2" s="21" t="s">
        <v>181</v>
      </c>
      <c r="J2" s="21" t="s">
        <v>182</v>
      </c>
      <c r="K2" s="23" t="s">
        <v>183</v>
      </c>
      <c r="L2" s="22">
        <v>46046</v>
      </c>
      <c r="M2" s="23">
        <v>57</v>
      </c>
      <c r="N2" s="23"/>
      <c r="O2" s="36"/>
      <c r="P2" s="16"/>
      <c r="Q2" s="16"/>
      <c r="R2" s="16"/>
      <c r="S2" s="8"/>
      <c r="T2" s="7"/>
      <c r="U2" s="48"/>
      <c r="V2" s="9"/>
      <c r="W2" s="9"/>
      <c r="X2" s="48"/>
      <c r="Y2" s="10"/>
      <c r="Z2" s="10"/>
      <c r="AA2" s="10"/>
      <c r="AB2" s="76"/>
      <c r="AC2" s="10"/>
      <c r="AD2" s="48"/>
      <c r="AE2" s="11"/>
      <c r="AF2" s="11"/>
      <c r="AG2" s="14"/>
    </row>
    <row r="3" spans="1:33" ht="15" customHeight="1" x14ac:dyDescent="0.3">
      <c r="A3" s="19" t="s">
        <v>176</v>
      </c>
      <c r="B3" s="19" t="s">
        <v>177</v>
      </c>
      <c r="C3" s="19" t="b">
        <f>AND(A3=[2]TUTANAK!$D$6,P3="Tamamlandı")</f>
        <v>0</v>
      </c>
      <c r="D3" s="19"/>
      <c r="E3" s="19" t="str">
        <f t="shared" ref="E3:E24" si="0">+IF(OR(P3&lt;&gt;""),"KAZI-PÜS-H.ÇELİK",IF(AND(SUM(V3:W3)&gt;0,SUM(AE3:AF3)=0),"SÜREN",IF(SUM(Y3:AC3)&gt;0,"BULON",IF(SUM(AE3:AF3)&gt;0,"ZEMİN ÇİVİSİ"))))</f>
        <v>KAZI-PÜS-H.ÇELİK</v>
      </c>
      <c r="F3" s="21" t="s">
        <v>178</v>
      </c>
      <c r="G3" s="21" t="s">
        <v>179</v>
      </c>
      <c r="H3" s="21" t="s">
        <v>180</v>
      </c>
      <c r="I3" s="21" t="s">
        <v>181</v>
      </c>
      <c r="J3" s="21" t="s">
        <v>182</v>
      </c>
      <c r="K3" s="23" t="s">
        <v>184</v>
      </c>
      <c r="L3" s="22">
        <v>46049</v>
      </c>
      <c r="M3" s="23">
        <v>56.69</v>
      </c>
      <c r="N3" s="23" t="s">
        <v>28</v>
      </c>
      <c r="O3" s="36" t="s">
        <v>63</v>
      </c>
      <c r="P3" s="11" t="s">
        <v>30</v>
      </c>
      <c r="Q3" s="11" t="s">
        <v>185</v>
      </c>
      <c r="R3" s="11" t="s">
        <v>31</v>
      </c>
      <c r="S3" s="8">
        <v>1</v>
      </c>
      <c r="T3" s="8"/>
      <c r="V3" s="9"/>
      <c r="W3" s="9"/>
      <c r="Y3" s="10"/>
      <c r="Z3" s="10"/>
      <c r="AA3" s="10"/>
      <c r="AB3" s="10"/>
      <c r="AC3" s="10"/>
      <c r="AE3" s="11"/>
      <c r="AF3" s="11"/>
      <c r="AG3" s="14"/>
    </row>
    <row r="4" spans="1:33" ht="15" customHeight="1" x14ac:dyDescent="0.3">
      <c r="A4" s="19" t="s">
        <v>176</v>
      </c>
      <c r="B4" s="19" t="s">
        <v>177</v>
      </c>
      <c r="C4" s="19" t="b">
        <f>AND(A4=[2]TUTANAK!$D$6,P4="Tamamlandı")</f>
        <v>0</v>
      </c>
      <c r="D4" s="19"/>
      <c r="E4" s="19" t="str">
        <f t="shared" si="0"/>
        <v>KAZI-PÜS-H.ÇELİK</v>
      </c>
      <c r="F4" s="21" t="s">
        <v>178</v>
      </c>
      <c r="G4" s="21" t="s">
        <v>179</v>
      </c>
      <c r="H4" s="21" t="s">
        <v>180</v>
      </c>
      <c r="I4" s="21" t="s">
        <v>181</v>
      </c>
      <c r="J4" s="21" t="s">
        <v>182</v>
      </c>
      <c r="K4" s="23" t="s">
        <v>184</v>
      </c>
      <c r="L4" s="22">
        <v>46049</v>
      </c>
      <c r="M4" s="23">
        <v>56.19</v>
      </c>
      <c r="N4" s="23" t="s">
        <v>28</v>
      </c>
      <c r="O4" s="36" t="s">
        <v>64</v>
      </c>
      <c r="P4" s="11" t="s">
        <v>30</v>
      </c>
      <c r="Q4" s="11" t="s">
        <v>185</v>
      </c>
      <c r="R4" s="11" t="s">
        <v>31</v>
      </c>
      <c r="S4" s="8">
        <v>1</v>
      </c>
      <c r="T4" s="8"/>
      <c r="V4" s="9"/>
      <c r="W4" s="9"/>
      <c r="Y4" s="10"/>
      <c r="Z4" s="10"/>
      <c r="AA4" s="10"/>
      <c r="AB4" s="10"/>
      <c r="AC4" s="10"/>
      <c r="AE4" s="11"/>
      <c r="AF4" s="11"/>
      <c r="AG4" s="14"/>
    </row>
    <row r="5" spans="1:33" ht="15" customHeight="1" x14ac:dyDescent="0.3">
      <c r="A5" s="19" t="s">
        <v>176</v>
      </c>
      <c r="B5" s="19" t="s">
        <v>177</v>
      </c>
      <c r="C5" s="19" t="b">
        <f>AND(A5=[2]TUTANAK!$D$6,P5="Tamamlandı")</f>
        <v>0</v>
      </c>
      <c r="D5" s="19"/>
      <c r="E5" s="19" t="str">
        <f t="shared" si="0"/>
        <v>KAZI-PÜS-H.ÇELİK</v>
      </c>
      <c r="F5" s="21" t="s">
        <v>178</v>
      </c>
      <c r="G5" s="21" t="s">
        <v>179</v>
      </c>
      <c r="H5" s="21" t="s">
        <v>180</v>
      </c>
      <c r="I5" s="21" t="s">
        <v>181</v>
      </c>
      <c r="J5" s="21" t="s">
        <v>182</v>
      </c>
      <c r="K5" s="23" t="s">
        <v>184</v>
      </c>
      <c r="L5" s="22">
        <v>46049</v>
      </c>
      <c r="M5" s="23">
        <v>55.69</v>
      </c>
      <c r="N5" s="23" t="s">
        <v>28</v>
      </c>
      <c r="O5" s="36" t="s">
        <v>65</v>
      </c>
      <c r="P5" s="11" t="s">
        <v>30</v>
      </c>
      <c r="Q5" s="11" t="s">
        <v>185</v>
      </c>
      <c r="R5" s="11" t="s">
        <v>31</v>
      </c>
      <c r="S5" s="8">
        <v>1</v>
      </c>
      <c r="T5" s="8"/>
      <c r="V5" s="9"/>
      <c r="W5" s="9"/>
      <c r="Y5" s="10"/>
      <c r="Z5" s="10"/>
      <c r="AA5" s="10"/>
      <c r="AB5" s="10"/>
      <c r="AC5" s="10"/>
      <c r="AE5" s="11"/>
      <c r="AF5" s="11"/>
      <c r="AG5" s="14"/>
    </row>
    <row r="6" spans="1:33" ht="15" customHeight="1" x14ac:dyDescent="0.3">
      <c r="A6" s="19" t="s">
        <v>176</v>
      </c>
      <c r="B6" s="19" t="s">
        <v>177</v>
      </c>
      <c r="C6" s="19" t="b">
        <f>AND(A6=[2]TUTANAK!$D$6,P6="Tamamlandı")</f>
        <v>0</v>
      </c>
      <c r="D6" s="19"/>
      <c r="E6" s="19" t="str">
        <f t="shared" si="0"/>
        <v>KAZI-PÜS-H.ÇELİK</v>
      </c>
      <c r="F6" s="21" t="s">
        <v>178</v>
      </c>
      <c r="G6" s="21" t="s">
        <v>179</v>
      </c>
      <c r="H6" s="21" t="s">
        <v>180</v>
      </c>
      <c r="I6" s="21" t="s">
        <v>181</v>
      </c>
      <c r="J6" s="21" t="s">
        <v>182</v>
      </c>
      <c r="K6" s="23" t="s">
        <v>186</v>
      </c>
      <c r="L6" s="22">
        <v>46048</v>
      </c>
      <c r="M6" s="23">
        <v>54.94</v>
      </c>
      <c r="N6" s="23" t="s">
        <v>28</v>
      </c>
      <c r="O6" s="36" t="s">
        <v>66</v>
      </c>
      <c r="P6" s="11" t="s">
        <v>30</v>
      </c>
      <c r="Q6" s="11" t="s">
        <v>185</v>
      </c>
      <c r="R6" s="11" t="s">
        <v>31</v>
      </c>
      <c r="S6" s="8">
        <v>1</v>
      </c>
      <c r="T6" s="8"/>
      <c r="V6" s="9"/>
      <c r="W6" s="9"/>
      <c r="Y6" s="10"/>
      <c r="Z6" s="10"/>
      <c r="AA6" s="10"/>
      <c r="AB6" s="10"/>
      <c r="AC6" s="10"/>
      <c r="AE6" s="11"/>
      <c r="AF6" s="11"/>
      <c r="AG6" s="14"/>
    </row>
    <row r="7" spans="1:33" ht="15" customHeight="1" x14ac:dyDescent="0.3">
      <c r="A7" s="19" t="s">
        <v>176</v>
      </c>
      <c r="B7" s="19" t="s">
        <v>177</v>
      </c>
      <c r="C7" s="19" t="b">
        <f>AND(A7=[2]TUTANAK!$D$6,P7="Tamamlandı")</f>
        <v>0</v>
      </c>
      <c r="D7" s="19"/>
      <c r="E7" s="19" t="str">
        <f t="shared" si="0"/>
        <v>KAZI-PÜS-H.ÇELİK</v>
      </c>
      <c r="F7" s="21" t="s">
        <v>178</v>
      </c>
      <c r="G7" s="21" t="s">
        <v>179</v>
      </c>
      <c r="H7" s="21" t="s">
        <v>180</v>
      </c>
      <c r="I7" s="21" t="s">
        <v>181</v>
      </c>
      <c r="J7" s="21" t="s">
        <v>182</v>
      </c>
      <c r="K7" s="23" t="s">
        <v>186</v>
      </c>
      <c r="L7" s="22">
        <v>46048</v>
      </c>
      <c r="M7" s="23">
        <v>54.19</v>
      </c>
      <c r="N7" s="23" t="s">
        <v>28</v>
      </c>
      <c r="O7" s="36" t="s">
        <v>67</v>
      </c>
      <c r="P7" s="11" t="s">
        <v>30</v>
      </c>
      <c r="Q7" s="11" t="s">
        <v>185</v>
      </c>
      <c r="R7" s="11" t="s">
        <v>31</v>
      </c>
      <c r="S7" s="8">
        <v>1</v>
      </c>
      <c r="T7" s="8"/>
      <c r="V7" s="9"/>
      <c r="W7" s="9"/>
      <c r="Y7" s="10"/>
      <c r="Z7" s="10"/>
      <c r="AA7" s="10"/>
      <c r="AB7" s="10"/>
      <c r="AC7" s="10"/>
      <c r="AE7" s="11"/>
      <c r="AF7" s="11"/>
      <c r="AG7" s="14"/>
    </row>
    <row r="8" spans="1:33" ht="15" customHeight="1" x14ac:dyDescent="0.3">
      <c r="A8" s="19" t="s">
        <v>176</v>
      </c>
      <c r="B8" s="19" t="s">
        <v>177</v>
      </c>
      <c r="C8" s="19" t="b">
        <f>AND(A8=[2]TUTANAK!$D$6,P8="Tamamlandı")</f>
        <v>0</v>
      </c>
      <c r="D8" s="19"/>
      <c r="E8" s="19" t="str">
        <f t="shared" si="0"/>
        <v>KAZI-PÜS-H.ÇELİK</v>
      </c>
      <c r="F8" s="21" t="s">
        <v>178</v>
      </c>
      <c r="G8" s="21" t="s">
        <v>179</v>
      </c>
      <c r="H8" s="21" t="s">
        <v>180</v>
      </c>
      <c r="I8" s="21" t="s">
        <v>181</v>
      </c>
      <c r="J8" s="21" t="s">
        <v>182</v>
      </c>
      <c r="K8" s="23" t="s">
        <v>186</v>
      </c>
      <c r="L8" s="22">
        <v>46048</v>
      </c>
      <c r="M8" s="23">
        <v>53.44</v>
      </c>
      <c r="N8" s="23" t="s">
        <v>28</v>
      </c>
      <c r="O8" s="36" t="s">
        <v>29</v>
      </c>
      <c r="P8" s="11" t="s">
        <v>30</v>
      </c>
      <c r="Q8" s="11" t="s">
        <v>185</v>
      </c>
      <c r="R8" s="11" t="s">
        <v>31</v>
      </c>
      <c r="S8" s="8">
        <v>1</v>
      </c>
      <c r="T8" s="8"/>
      <c r="V8" s="9"/>
      <c r="W8" s="9"/>
      <c r="Y8" s="10"/>
      <c r="Z8" s="10"/>
      <c r="AA8" s="10"/>
      <c r="AB8" s="10"/>
      <c r="AC8" s="10"/>
      <c r="AE8" s="11"/>
      <c r="AF8" s="11"/>
      <c r="AG8" s="14"/>
    </row>
    <row r="9" spans="1:33" ht="15" customHeight="1" x14ac:dyDescent="0.3">
      <c r="A9" s="19" t="s">
        <v>176</v>
      </c>
      <c r="B9" s="19" t="s">
        <v>177</v>
      </c>
      <c r="C9" s="19" t="b">
        <f>AND(A9=[2]TUTANAK!$D$6,P9="Tamamlandı")</f>
        <v>0</v>
      </c>
      <c r="D9" s="19"/>
      <c r="E9" s="19" t="str">
        <f t="shared" si="0"/>
        <v>KAZI-PÜS-H.ÇELİK</v>
      </c>
      <c r="F9" s="21" t="s">
        <v>178</v>
      </c>
      <c r="G9" s="21" t="s">
        <v>179</v>
      </c>
      <c r="H9" s="21" t="s">
        <v>180</v>
      </c>
      <c r="I9" s="21" t="s">
        <v>181</v>
      </c>
      <c r="J9" s="21" t="s">
        <v>182</v>
      </c>
      <c r="K9" s="23" t="s">
        <v>186</v>
      </c>
      <c r="L9" s="22">
        <v>46048</v>
      </c>
      <c r="M9" s="23">
        <v>52.69</v>
      </c>
      <c r="N9" s="23" t="s">
        <v>28</v>
      </c>
      <c r="O9" s="36" t="s">
        <v>63</v>
      </c>
      <c r="P9" s="11" t="s">
        <v>30</v>
      </c>
      <c r="Q9" s="11" t="s">
        <v>185</v>
      </c>
      <c r="R9" s="11" t="s">
        <v>31</v>
      </c>
      <c r="S9" s="8">
        <v>1</v>
      </c>
      <c r="T9" s="8"/>
      <c r="V9" s="9"/>
      <c r="W9" s="9"/>
      <c r="Y9" s="10"/>
      <c r="Z9" s="10"/>
      <c r="AA9" s="10"/>
      <c r="AB9" s="10"/>
      <c r="AC9" s="10"/>
      <c r="AE9" s="11"/>
      <c r="AF9" s="11"/>
      <c r="AG9" s="14"/>
    </row>
    <row r="10" spans="1:33" ht="15" customHeight="1" x14ac:dyDescent="0.3">
      <c r="A10" s="19" t="s">
        <v>176</v>
      </c>
      <c r="B10" s="19" t="s">
        <v>177</v>
      </c>
      <c r="C10" s="19" t="b">
        <f>AND(A10=[2]TUTANAK!$D$6,P10="Tamamlandı")</f>
        <v>0</v>
      </c>
      <c r="D10" s="19"/>
      <c r="E10" s="19" t="str">
        <f t="shared" si="0"/>
        <v>KAZI-PÜS-H.ÇELİK</v>
      </c>
      <c r="F10" s="21" t="s">
        <v>178</v>
      </c>
      <c r="G10" s="21" t="s">
        <v>179</v>
      </c>
      <c r="H10" s="21" t="s">
        <v>180</v>
      </c>
      <c r="I10" s="21" t="s">
        <v>181</v>
      </c>
      <c r="J10" s="21" t="s">
        <v>182</v>
      </c>
      <c r="K10" s="23" t="s">
        <v>187</v>
      </c>
      <c r="L10" s="22">
        <v>46047</v>
      </c>
      <c r="M10" s="23">
        <v>51.94</v>
      </c>
      <c r="N10" s="23" t="s">
        <v>28</v>
      </c>
      <c r="O10" s="36" t="s">
        <v>64</v>
      </c>
      <c r="P10" s="11" t="s">
        <v>30</v>
      </c>
      <c r="Q10" s="11" t="s">
        <v>185</v>
      </c>
      <c r="R10" s="11" t="s">
        <v>31</v>
      </c>
      <c r="S10" s="8">
        <v>1</v>
      </c>
      <c r="T10" s="8"/>
      <c r="V10" s="9"/>
      <c r="W10" s="9"/>
      <c r="Y10" s="10"/>
      <c r="Z10" s="10"/>
      <c r="AA10" s="10"/>
      <c r="AB10" s="10"/>
      <c r="AC10" s="10"/>
      <c r="AE10" s="11"/>
      <c r="AF10" s="11"/>
      <c r="AG10" s="14"/>
    </row>
    <row r="11" spans="1:33" ht="15" customHeight="1" x14ac:dyDescent="0.3">
      <c r="A11" s="19" t="s">
        <v>176</v>
      </c>
      <c r="B11" s="19" t="s">
        <v>177</v>
      </c>
      <c r="C11" s="19" t="b">
        <f>AND(A11=[2]TUTANAK!$D$6,P11="Tamamlandı")</f>
        <v>0</v>
      </c>
      <c r="D11" s="19"/>
      <c r="E11" s="19" t="str">
        <f t="shared" si="0"/>
        <v>KAZI-PÜS-H.ÇELİK</v>
      </c>
      <c r="F11" s="21" t="s">
        <v>178</v>
      </c>
      <c r="G11" s="21" t="s">
        <v>179</v>
      </c>
      <c r="H11" s="21" t="s">
        <v>180</v>
      </c>
      <c r="I11" s="21" t="s">
        <v>181</v>
      </c>
      <c r="J11" s="21" t="s">
        <v>182</v>
      </c>
      <c r="K11" s="23" t="s">
        <v>187</v>
      </c>
      <c r="L11" s="22">
        <v>46047</v>
      </c>
      <c r="M11" s="23">
        <v>51.19</v>
      </c>
      <c r="N11" s="23" t="s">
        <v>28</v>
      </c>
      <c r="O11" s="36" t="s">
        <v>65</v>
      </c>
      <c r="P11" s="11" t="s">
        <v>30</v>
      </c>
      <c r="Q11" s="11" t="s">
        <v>185</v>
      </c>
      <c r="R11" s="11" t="s">
        <v>31</v>
      </c>
      <c r="S11" s="8">
        <v>1</v>
      </c>
      <c r="T11" s="8"/>
      <c r="V11" s="9"/>
      <c r="W11" s="9"/>
      <c r="Y11" s="10"/>
      <c r="Z11" s="10"/>
      <c r="AA11" s="10"/>
      <c r="AB11" s="10"/>
      <c r="AC11" s="10"/>
      <c r="AE11" s="11"/>
      <c r="AF11" s="11"/>
      <c r="AG11" s="14"/>
    </row>
    <row r="12" spans="1:33" ht="15" customHeight="1" x14ac:dyDescent="0.3">
      <c r="A12" s="19" t="s">
        <v>176</v>
      </c>
      <c r="B12" s="19" t="s">
        <v>177</v>
      </c>
      <c r="C12" s="19" t="b">
        <f>AND(A12=[2]TUTANAK!$D$6,P12="Tamamlandı")</f>
        <v>0</v>
      </c>
      <c r="D12" s="19"/>
      <c r="E12" s="19" t="str">
        <f t="shared" si="0"/>
        <v>KAZI-PÜS-H.ÇELİK</v>
      </c>
      <c r="F12" s="21" t="s">
        <v>178</v>
      </c>
      <c r="G12" s="21" t="s">
        <v>179</v>
      </c>
      <c r="H12" s="21" t="s">
        <v>180</v>
      </c>
      <c r="I12" s="21" t="s">
        <v>181</v>
      </c>
      <c r="J12" s="21" t="s">
        <v>182</v>
      </c>
      <c r="K12" s="23" t="s">
        <v>187</v>
      </c>
      <c r="L12" s="22">
        <v>46047</v>
      </c>
      <c r="M12" s="23">
        <v>50.44</v>
      </c>
      <c r="N12" s="23" t="s">
        <v>28</v>
      </c>
      <c r="O12" s="36" t="s">
        <v>66</v>
      </c>
      <c r="P12" s="11" t="s">
        <v>30</v>
      </c>
      <c r="Q12" s="11" t="s">
        <v>185</v>
      </c>
      <c r="R12" s="11" t="s">
        <v>31</v>
      </c>
      <c r="S12" s="8">
        <v>1</v>
      </c>
      <c r="T12" s="8"/>
      <c r="V12" s="9"/>
      <c r="W12" s="9"/>
      <c r="Y12" s="10"/>
      <c r="Z12" s="10"/>
      <c r="AA12" s="10"/>
      <c r="AB12" s="10"/>
      <c r="AC12" s="10"/>
      <c r="AE12" s="11"/>
      <c r="AF12" s="11"/>
      <c r="AG12" s="14"/>
    </row>
    <row r="13" spans="1:33" ht="15" customHeight="1" x14ac:dyDescent="0.3">
      <c r="A13" s="19" t="s">
        <v>176</v>
      </c>
      <c r="B13" s="19" t="s">
        <v>177</v>
      </c>
      <c r="C13" s="19" t="b">
        <f>AND(A13=[2]TUTANAK!$D$6,P13="Tamamlandı")</f>
        <v>0</v>
      </c>
      <c r="D13" s="19"/>
      <c r="E13" s="19" t="str">
        <f t="shared" si="0"/>
        <v>KAZI-PÜS-H.ÇELİK</v>
      </c>
      <c r="F13" s="21" t="s">
        <v>178</v>
      </c>
      <c r="G13" s="21" t="s">
        <v>179</v>
      </c>
      <c r="H13" s="21" t="s">
        <v>180</v>
      </c>
      <c r="I13" s="21" t="s">
        <v>181</v>
      </c>
      <c r="J13" s="21" t="s">
        <v>182</v>
      </c>
      <c r="K13" s="23" t="s">
        <v>187</v>
      </c>
      <c r="L13" s="22">
        <v>46047</v>
      </c>
      <c r="M13" s="23">
        <v>49.69</v>
      </c>
      <c r="N13" s="23" t="s">
        <v>28</v>
      </c>
      <c r="O13" s="36" t="s">
        <v>67</v>
      </c>
      <c r="P13" s="11" t="s">
        <v>30</v>
      </c>
      <c r="Q13" s="11" t="s">
        <v>185</v>
      </c>
      <c r="R13" s="11" t="s">
        <v>31</v>
      </c>
      <c r="S13" s="8">
        <v>1</v>
      </c>
      <c r="T13" s="8"/>
      <c r="V13" s="9"/>
      <c r="W13" s="9"/>
      <c r="Y13" s="10"/>
      <c r="Z13" s="10"/>
      <c r="AA13" s="10"/>
      <c r="AB13" s="10"/>
      <c r="AC13" s="10"/>
      <c r="AE13" s="11"/>
      <c r="AF13" s="11"/>
      <c r="AG13" s="14"/>
    </row>
    <row r="15" spans="1:33" ht="15" customHeight="1" x14ac:dyDescent="0.3">
      <c r="A15" s="19" t="s">
        <v>176</v>
      </c>
      <c r="B15" s="19" t="s">
        <v>177</v>
      </c>
      <c r="C15" s="19" t="b">
        <f>AND(A15=[2]TUTANAK!$D$6,P15="Tamamlandı")</f>
        <v>0</v>
      </c>
      <c r="D15" s="19"/>
      <c r="E15" s="19" t="b">
        <f t="shared" si="0"/>
        <v>0</v>
      </c>
      <c r="F15" s="21" t="s">
        <v>178</v>
      </c>
      <c r="G15" s="21" t="s">
        <v>179</v>
      </c>
      <c r="H15" s="21" t="s">
        <v>180</v>
      </c>
      <c r="I15" s="21" t="s">
        <v>181</v>
      </c>
      <c r="J15" s="21" t="s">
        <v>182</v>
      </c>
      <c r="K15" s="23" t="s">
        <v>183</v>
      </c>
      <c r="L15" s="22">
        <v>46046</v>
      </c>
      <c r="M15" s="23">
        <v>56.44</v>
      </c>
      <c r="N15" s="23"/>
      <c r="O15" s="36"/>
      <c r="P15" s="16"/>
      <c r="Q15" s="16"/>
      <c r="R15" s="16"/>
      <c r="S15" s="8"/>
      <c r="T15" s="7"/>
      <c r="U15" s="48"/>
      <c r="V15" s="9"/>
      <c r="W15" s="9"/>
      <c r="X15" s="48"/>
      <c r="Y15" s="10"/>
      <c r="Z15" s="10"/>
      <c r="AA15" s="10"/>
      <c r="AB15" s="76"/>
      <c r="AC15" s="10"/>
      <c r="AD15" s="48"/>
      <c r="AE15" s="11"/>
      <c r="AF15" s="11"/>
      <c r="AG15" s="14"/>
    </row>
    <row r="16" spans="1:33" ht="15" customHeight="1" x14ac:dyDescent="0.3">
      <c r="A16" s="19" t="s">
        <v>176</v>
      </c>
      <c r="B16" s="19" t="s">
        <v>177</v>
      </c>
      <c r="C16" s="19" t="b">
        <v>0</v>
      </c>
      <c r="D16" s="19"/>
      <c r="E16" s="19" t="b">
        <f t="shared" si="0"/>
        <v>0</v>
      </c>
      <c r="F16" s="21" t="s">
        <v>178</v>
      </c>
      <c r="G16" s="21" t="s">
        <v>179</v>
      </c>
      <c r="H16" s="21" t="s">
        <v>180</v>
      </c>
      <c r="I16" s="21" t="s">
        <v>181</v>
      </c>
      <c r="J16" s="21" t="s">
        <v>182</v>
      </c>
      <c r="K16" s="23" t="s">
        <v>183</v>
      </c>
      <c r="L16" s="22">
        <v>46046</v>
      </c>
      <c r="M16" s="23">
        <v>55.94</v>
      </c>
      <c r="N16" s="23"/>
      <c r="O16" s="36"/>
      <c r="P16" s="11"/>
      <c r="Q16" s="11"/>
      <c r="R16" s="11"/>
      <c r="S16" s="8"/>
      <c r="T16" s="8"/>
      <c r="V16" s="9"/>
      <c r="W16" s="9"/>
      <c r="Y16" s="10"/>
      <c r="Z16" s="10"/>
      <c r="AA16" s="10"/>
      <c r="AB16" s="76"/>
      <c r="AC16" s="10"/>
      <c r="AE16" s="11"/>
      <c r="AF16" s="11"/>
      <c r="AG16" s="14"/>
    </row>
    <row r="17" spans="1:33" ht="15" customHeight="1" x14ac:dyDescent="0.3">
      <c r="A17" s="19" t="s">
        <v>176</v>
      </c>
      <c r="B17" s="19" t="s">
        <v>177</v>
      </c>
      <c r="C17" s="19" t="b">
        <v>0</v>
      </c>
      <c r="D17" s="19"/>
      <c r="E17" s="19" t="b">
        <f t="shared" si="0"/>
        <v>0</v>
      </c>
      <c r="F17" s="21" t="s">
        <v>178</v>
      </c>
      <c r="G17" s="21" t="s">
        <v>179</v>
      </c>
      <c r="H17" s="21" t="s">
        <v>180</v>
      </c>
      <c r="I17" s="21" t="s">
        <v>181</v>
      </c>
      <c r="J17" s="21" t="s">
        <v>182</v>
      </c>
      <c r="K17" s="23" t="s">
        <v>183</v>
      </c>
      <c r="L17" s="22">
        <v>46046</v>
      </c>
      <c r="M17" s="23">
        <v>55.32</v>
      </c>
      <c r="N17" s="23"/>
      <c r="O17" s="36"/>
      <c r="P17" s="11"/>
      <c r="Q17" s="11"/>
      <c r="R17" s="11"/>
      <c r="S17" s="8"/>
      <c r="T17" s="8"/>
      <c r="V17" s="9"/>
      <c r="W17" s="9"/>
      <c r="Y17" s="10"/>
      <c r="Z17" s="10"/>
      <c r="AA17" s="10"/>
      <c r="AB17" s="76"/>
      <c r="AC17" s="10"/>
      <c r="AE17" s="11"/>
      <c r="AF17" s="11"/>
      <c r="AG17" s="14"/>
    </row>
    <row r="18" spans="1:33" ht="15" customHeight="1" x14ac:dyDescent="0.3">
      <c r="A18" s="19" t="s">
        <v>176</v>
      </c>
      <c r="B18" s="19" t="s">
        <v>177</v>
      </c>
      <c r="C18" s="19" t="b">
        <v>0</v>
      </c>
      <c r="D18" s="19"/>
      <c r="E18" s="19" t="b">
        <f t="shared" si="0"/>
        <v>0</v>
      </c>
      <c r="F18" s="21" t="s">
        <v>178</v>
      </c>
      <c r="G18" s="21" t="s">
        <v>179</v>
      </c>
      <c r="H18" s="21" t="s">
        <v>180</v>
      </c>
      <c r="I18" s="21" t="s">
        <v>181</v>
      </c>
      <c r="J18" s="21" t="s">
        <v>182</v>
      </c>
      <c r="K18" s="23" t="s">
        <v>183</v>
      </c>
      <c r="L18" s="22">
        <v>46046</v>
      </c>
      <c r="M18" s="23">
        <v>54.57</v>
      </c>
      <c r="N18" s="23"/>
      <c r="O18" s="36"/>
      <c r="P18" s="11"/>
      <c r="Q18" s="11"/>
      <c r="R18" s="11"/>
      <c r="S18" s="8"/>
      <c r="T18" s="8"/>
      <c r="V18" s="9"/>
      <c r="W18" s="9"/>
      <c r="Y18" s="10"/>
      <c r="Z18" s="10"/>
      <c r="AA18" s="10"/>
      <c r="AB18" s="76"/>
      <c r="AC18" s="10"/>
      <c r="AE18" s="11"/>
      <c r="AF18" s="11"/>
      <c r="AG18" s="14"/>
    </row>
    <row r="19" spans="1:33" ht="15" customHeight="1" x14ac:dyDescent="0.3">
      <c r="A19" s="19" t="s">
        <v>176</v>
      </c>
      <c r="B19" s="19" t="s">
        <v>177</v>
      </c>
      <c r="C19" s="19" t="b">
        <v>0</v>
      </c>
      <c r="D19" s="19"/>
      <c r="E19" s="19" t="b">
        <f t="shared" si="0"/>
        <v>0</v>
      </c>
      <c r="F19" s="21" t="s">
        <v>178</v>
      </c>
      <c r="G19" s="21" t="s">
        <v>179</v>
      </c>
      <c r="H19" s="21" t="s">
        <v>180</v>
      </c>
      <c r="I19" s="21" t="s">
        <v>181</v>
      </c>
      <c r="J19" s="21" t="s">
        <v>182</v>
      </c>
      <c r="K19" s="23" t="s">
        <v>183</v>
      </c>
      <c r="L19" s="22">
        <v>46046</v>
      </c>
      <c r="M19" s="23">
        <v>53.82</v>
      </c>
      <c r="N19" s="23"/>
      <c r="O19" s="36"/>
      <c r="P19" s="11"/>
      <c r="Q19" s="11"/>
      <c r="R19" s="11"/>
      <c r="S19" s="8"/>
      <c r="T19" s="8"/>
      <c r="V19" s="9"/>
      <c r="W19" s="9"/>
      <c r="Y19" s="10"/>
      <c r="Z19" s="10"/>
      <c r="AA19" s="10"/>
      <c r="AB19" s="76"/>
      <c r="AC19" s="10"/>
      <c r="AE19" s="11"/>
      <c r="AF19" s="11"/>
      <c r="AG19" s="14"/>
    </row>
    <row r="20" spans="1:33" ht="15" customHeight="1" x14ac:dyDescent="0.3">
      <c r="A20" s="19" t="s">
        <v>176</v>
      </c>
      <c r="B20" s="19" t="s">
        <v>177</v>
      </c>
      <c r="C20" s="19" t="b">
        <v>0</v>
      </c>
      <c r="D20" s="19"/>
      <c r="E20" s="19" t="b">
        <f t="shared" si="0"/>
        <v>0</v>
      </c>
      <c r="F20" s="21" t="s">
        <v>178</v>
      </c>
      <c r="G20" s="21" t="s">
        <v>179</v>
      </c>
      <c r="H20" s="21" t="s">
        <v>180</v>
      </c>
      <c r="I20" s="21" t="s">
        <v>181</v>
      </c>
      <c r="J20" s="21" t="s">
        <v>182</v>
      </c>
      <c r="K20" s="23" t="s">
        <v>183</v>
      </c>
      <c r="L20" s="22">
        <v>46046</v>
      </c>
      <c r="M20" s="23">
        <v>53.07</v>
      </c>
      <c r="N20" s="23"/>
      <c r="O20" s="36"/>
      <c r="P20" s="11"/>
      <c r="Q20" s="11"/>
      <c r="R20" s="11"/>
      <c r="S20" s="8"/>
      <c r="T20" s="8"/>
      <c r="V20" s="9"/>
      <c r="W20" s="9"/>
      <c r="Y20" s="10"/>
      <c r="Z20" s="10"/>
      <c r="AA20" s="10"/>
      <c r="AB20" s="76"/>
      <c r="AC20" s="10"/>
      <c r="AE20" s="11"/>
      <c r="AF20" s="11"/>
      <c r="AG20" s="14"/>
    </row>
    <row r="21" spans="1:33" ht="15" customHeight="1" x14ac:dyDescent="0.3">
      <c r="A21" s="19" t="s">
        <v>176</v>
      </c>
      <c r="B21" s="19" t="s">
        <v>177</v>
      </c>
      <c r="C21" s="19" t="b">
        <v>0</v>
      </c>
      <c r="D21" s="19"/>
      <c r="E21" s="19" t="b">
        <f t="shared" si="0"/>
        <v>0</v>
      </c>
      <c r="F21" s="21" t="s">
        <v>178</v>
      </c>
      <c r="G21" s="21" t="s">
        <v>179</v>
      </c>
      <c r="H21" s="21" t="s">
        <v>180</v>
      </c>
      <c r="I21" s="21" t="s">
        <v>181</v>
      </c>
      <c r="J21" s="21" t="s">
        <v>182</v>
      </c>
      <c r="K21" s="23" t="s">
        <v>183</v>
      </c>
      <c r="L21" s="22">
        <v>46046</v>
      </c>
      <c r="M21" s="23">
        <v>52.32</v>
      </c>
      <c r="N21" s="23"/>
      <c r="O21" s="36"/>
      <c r="P21" s="11"/>
      <c r="Q21" s="11"/>
      <c r="R21" s="11"/>
      <c r="S21" s="8"/>
      <c r="T21" s="8"/>
      <c r="V21" s="9"/>
      <c r="W21" s="9"/>
      <c r="Y21" s="10"/>
      <c r="Z21" s="10"/>
      <c r="AA21" s="10"/>
      <c r="AB21" s="76"/>
      <c r="AC21" s="10"/>
      <c r="AE21" s="11"/>
      <c r="AF21" s="11"/>
      <c r="AG21" s="14"/>
    </row>
    <row r="22" spans="1:33" ht="15" customHeight="1" x14ac:dyDescent="0.3">
      <c r="A22" s="19" t="s">
        <v>176</v>
      </c>
      <c r="B22" s="19" t="s">
        <v>177</v>
      </c>
      <c r="C22" s="19" t="b">
        <v>0</v>
      </c>
      <c r="D22" s="19"/>
      <c r="E22" s="19" t="b">
        <f t="shared" si="0"/>
        <v>0</v>
      </c>
      <c r="F22" s="21" t="s">
        <v>178</v>
      </c>
      <c r="G22" s="21" t="s">
        <v>179</v>
      </c>
      <c r="H22" s="21" t="s">
        <v>180</v>
      </c>
      <c r="I22" s="21" t="s">
        <v>181</v>
      </c>
      <c r="J22" s="21" t="s">
        <v>182</v>
      </c>
      <c r="K22" s="23" t="s">
        <v>183</v>
      </c>
      <c r="L22" s="22">
        <v>46046</v>
      </c>
      <c r="M22" s="23">
        <v>51.57</v>
      </c>
      <c r="N22" s="23"/>
      <c r="O22" s="36"/>
      <c r="P22" s="11"/>
      <c r="Q22" s="11"/>
      <c r="R22" s="11"/>
      <c r="S22" s="8"/>
      <c r="T22" s="8"/>
      <c r="V22" s="9"/>
      <c r="W22" s="9"/>
      <c r="Y22" s="10"/>
      <c r="Z22" s="10"/>
      <c r="AA22" s="10"/>
      <c r="AB22" s="76"/>
      <c r="AC22" s="10"/>
      <c r="AE22" s="11"/>
      <c r="AF22" s="11"/>
      <c r="AG22" s="14"/>
    </row>
    <row r="23" spans="1:33" ht="15" customHeight="1" x14ac:dyDescent="0.3">
      <c r="A23" s="19" t="s">
        <v>176</v>
      </c>
      <c r="B23" s="19" t="s">
        <v>177</v>
      </c>
      <c r="C23" s="19" t="b">
        <v>0</v>
      </c>
      <c r="D23" s="19"/>
      <c r="E23" s="19" t="b">
        <f t="shared" si="0"/>
        <v>0</v>
      </c>
      <c r="F23" s="21" t="s">
        <v>178</v>
      </c>
      <c r="G23" s="21" t="s">
        <v>179</v>
      </c>
      <c r="H23" s="21" t="s">
        <v>180</v>
      </c>
      <c r="I23" s="21" t="s">
        <v>181</v>
      </c>
      <c r="J23" s="21" t="s">
        <v>182</v>
      </c>
      <c r="K23" s="23" t="s">
        <v>183</v>
      </c>
      <c r="L23" s="22">
        <v>46046</v>
      </c>
      <c r="M23" s="23">
        <v>50.82</v>
      </c>
      <c r="N23" s="23"/>
      <c r="O23" s="36"/>
      <c r="P23" s="11"/>
      <c r="Q23" s="11"/>
      <c r="R23" s="11"/>
      <c r="S23" s="8"/>
      <c r="T23" s="8"/>
      <c r="V23" s="9"/>
      <c r="W23" s="9"/>
      <c r="Y23" s="10"/>
      <c r="Z23" s="10"/>
      <c r="AA23" s="10"/>
      <c r="AB23" s="76"/>
      <c r="AC23" s="10"/>
      <c r="AE23" s="11"/>
      <c r="AF23" s="11"/>
      <c r="AG23" s="14"/>
    </row>
    <row r="24" spans="1:33" ht="15" customHeight="1" x14ac:dyDescent="0.3">
      <c r="A24" s="19" t="s">
        <v>176</v>
      </c>
      <c r="B24" s="19" t="s">
        <v>177</v>
      </c>
      <c r="C24" s="19" t="b">
        <v>0</v>
      </c>
      <c r="D24" s="19"/>
      <c r="E24" s="19" t="b">
        <f t="shared" si="0"/>
        <v>0</v>
      </c>
      <c r="F24" s="21" t="s">
        <v>178</v>
      </c>
      <c r="G24" s="21" t="s">
        <v>179</v>
      </c>
      <c r="H24" s="21" t="s">
        <v>180</v>
      </c>
      <c r="I24" s="21" t="s">
        <v>181</v>
      </c>
      <c r="J24" s="21" t="s">
        <v>182</v>
      </c>
      <c r="K24" s="23" t="s">
        <v>183</v>
      </c>
      <c r="L24" s="22">
        <v>46046</v>
      </c>
      <c r="M24" s="23">
        <v>50.07</v>
      </c>
      <c r="N24" s="23"/>
      <c r="O24" s="36"/>
      <c r="P24" s="11"/>
      <c r="Q24" s="11"/>
      <c r="R24" s="11"/>
      <c r="S24" s="8"/>
      <c r="T24" s="8"/>
      <c r="V24" s="9"/>
      <c r="W24" s="9"/>
      <c r="Y24" s="10"/>
      <c r="Z24" s="10"/>
      <c r="AA24" s="10"/>
      <c r="AB24" s="76"/>
      <c r="AC24" s="10"/>
      <c r="AE24" s="11"/>
      <c r="AF24" s="11"/>
      <c r="AG24" s="14"/>
    </row>
    <row r="26" spans="1:33" ht="15" customHeight="1" x14ac:dyDescent="0.3">
      <c r="A26" s="19" t="s">
        <v>189</v>
      </c>
      <c r="B26" s="19" t="s">
        <v>190</v>
      </c>
      <c r="C26" s="19" t="b">
        <f>AND(A26=[2]TUTANAK!$D$6,P26="Tamamlandı")</f>
        <v>0</v>
      </c>
      <c r="D26" s="19"/>
      <c r="E26" s="19" t="str">
        <f t="shared" ref="E26" si="1">+IF(OR(P26&lt;&gt;""),"KAZI-PÜS-H.ÇELİK",IF(AND(SUM(V26:W26)&gt;0,SUM(AE26:AF26)=0),"SÜREN",IF(SUM(Y26:AC26)&gt;0,"BULON",IF(SUM(AE26:AF26)&gt;0,"ZEMİN ÇİVİSİ"))))</f>
        <v>BULON</v>
      </c>
      <c r="F26" s="21" t="s">
        <v>178</v>
      </c>
      <c r="G26" s="21" t="s">
        <v>179</v>
      </c>
      <c r="H26" s="21" t="s">
        <v>180</v>
      </c>
      <c r="I26" s="21" t="s">
        <v>181</v>
      </c>
      <c r="J26" s="21" t="s">
        <v>182</v>
      </c>
      <c r="K26" s="23" t="s">
        <v>191</v>
      </c>
      <c r="L26" s="22">
        <v>46120</v>
      </c>
      <c r="M26" s="23">
        <v>57</v>
      </c>
      <c r="N26" s="23"/>
      <c r="O26" s="36"/>
      <c r="P26" s="16"/>
      <c r="Q26" s="16"/>
      <c r="R26" s="16"/>
      <c r="S26" s="8"/>
      <c r="T26" s="7"/>
      <c r="U26" s="48"/>
      <c r="V26" s="9"/>
      <c r="W26" s="9"/>
      <c r="X26" s="48"/>
      <c r="Y26" s="10"/>
      <c r="Z26" s="10"/>
      <c r="AA26" s="10"/>
      <c r="AB26" s="76"/>
      <c r="AC26" s="10">
        <v>20</v>
      </c>
      <c r="AD26" s="48"/>
      <c r="AE26" s="11"/>
      <c r="AF26" s="11"/>
      <c r="AG26" s="14"/>
    </row>
  </sheetData>
  <phoneticPr fontId="9" type="noConversion"/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A274-4934-45C5-9215-7C3576F11E13}">
  <dimension ref="A1:L39"/>
  <sheetViews>
    <sheetView topLeftCell="A18" workbookViewId="0">
      <selection activeCell="L1" sqref="L1:L1048576"/>
    </sheetView>
  </sheetViews>
  <sheetFormatPr defaultRowHeight="14.4" x14ac:dyDescent="0.3"/>
  <cols>
    <col min="6" max="6" width="9.21875" bestFit="1" customWidth="1"/>
    <col min="7" max="7" width="15.6640625" bestFit="1" customWidth="1"/>
    <col min="8" max="8" width="14.5546875" bestFit="1" customWidth="1"/>
  </cols>
  <sheetData>
    <row r="1" spans="1:12" ht="28.8" x14ac:dyDescent="0.3">
      <c r="A1" s="17" t="s">
        <v>82</v>
      </c>
      <c r="B1" s="17" t="s">
        <v>83</v>
      </c>
      <c r="C1" s="17" t="s">
        <v>33</v>
      </c>
      <c r="D1" s="13" t="s">
        <v>38</v>
      </c>
      <c r="E1" s="102" t="s">
        <v>6</v>
      </c>
      <c r="F1" s="102"/>
      <c r="G1" s="13" t="s">
        <v>11</v>
      </c>
      <c r="H1" s="17" t="s">
        <v>34</v>
      </c>
      <c r="J1" s="17" t="s">
        <v>86</v>
      </c>
      <c r="K1" s="17" t="s">
        <v>87</v>
      </c>
      <c r="L1" s="17" t="s">
        <v>88</v>
      </c>
    </row>
    <row r="2" spans="1:12" x14ac:dyDescent="0.3">
      <c r="A2" s="57">
        <v>45839</v>
      </c>
      <c r="B2" s="58">
        <v>3</v>
      </c>
      <c r="C2" s="15">
        <v>1</v>
      </c>
      <c r="D2" s="25">
        <v>2101.61</v>
      </c>
      <c r="E2" s="26" t="s">
        <v>26</v>
      </c>
      <c r="F2" s="27">
        <v>1</v>
      </c>
      <c r="G2" s="15"/>
      <c r="H2" s="15" t="s">
        <v>35</v>
      </c>
      <c r="J2">
        <v>0.05</v>
      </c>
      <c r="K2">
        <v>27.35</v>
      </c>
    </row>
    <row r="3" spans="1:12" x14ac:dyDescent="0.3">
      <c r="A3" s="57">
        <v>45839</v>
      </c>
      <c r="B3" s="58">
        <v>3</v>
      </c>
      <c r="C3" s="15">
        <f t="shared" ref="C3:C39" si="0">+C2+1</f>
        <v>2</v>
      </c>
      <c r="D3" s="25">
        <v>2102.36</v>
      </c>
      <c r="E3" s="26" t="s">
        <v>26</v>
      </c>
      <c r="F3" s="27">
        <v>2</v>
      </c>
      <c r="G3" s="15"/>
      <c r="H3" s="15" t="s">
        <v>35</v>
      </c>
      <c r="J3">
        <v>0.05</v>
      </c>
      <c r="K3">
        <v>28.106000000000002</v>
      </c>
    </row>
    <row r="4" spans="1:12" x14ac:dyDescent="0.3">
      <c r="A4" s="57">
        <v>45839</v>
      </c>
      <c r="B4" s="58">
        <v>3</v>
      </c>
      <c r="C4" s="15">
        <f t="shared" si="0"/>
        <v>3</v>
      </c>
      <c r="D4" s="25">
        <v>2103.11</v>
      </c>
      <c r="E4" s="26" t="s">
        <v>26</v>
      </c>
      <c r="F4" s="27">
        <v>3</v>
      </c>
      <c r="G4" s="15"/>
      <c r="H4" s="15" t="s">
        <v>35</v>
      </c>
      <c r="J4">
        <v>0.05</v>
      </c>
      <c r="K4">
        <v>28.879000000000001</v>
      </c>
    </row>
    <row r="5" spans="1:12" x14ac:dyDescent="0.3">
      <c r="A5" s="57">
        <v>45839</v>
      </c>
      <c r="B5" s="58">
        <v>3</v>
      </c>
      <c r="C5" s="15">
        <f t="shared" si="0"/>
        <v>4</v>
      </c>
      <c r="D5" s="25">
        <v>2103.11</v>
      </c>
      <c r="E5" s="26" t="s">
        <v>26</v>
      </c>
      <c r="F5" s="27">
        <v>3</v>
      </c>
      <c r="G5" s="15" t="s">
        <v>37</v>
      </c>
      <c r="H5" s="15" t="s">
        <v>81</v>
      </c>
      <c r="J5">
        <v>0.15</v>
      </c>
      <c r="K5" s="60">
        <v>8</v>
      </c>
      <c r="L5">
        <f>+K5*3.47/1000</f>
        <v>2.776E-2</v>
      </c>
    </row>
    <row r="6" spans="1:12" x14ac:dyDescent="0.3">
      <c r="A6" s="57">
        <v>45839</v>
      </c>
      <c r="B6" s="58">
        <v>3</v>
      </c>
      <c r="C6" s="15">
        <f t="shared" si="0"/>
        <v>5</v>
      </c>
      <c r="D6" s="25">
        <v>2103.86</v>
      </c>
      <c r="E6" s="26" t="s">
        <v>26</v>
      </c>
      <c r="F6" s="27">
        <v>4</v>
      </c>
      <c r="G6" s="15"/>
      <c r="H6" s="15" t="s">
        <v>35</v>
      </c>
      <c r="J6">
        <v>0.05</v>
      </c>
      <c r="K6">
        <v>29.536000000000001</v>
      </c>
    </row>
    <row r="7" spans="1:12" x14ac:dyDescent="0.3">
      <c r="A7" s="57">
        <v>45839</v>
      </c>
      <c r="B7" s="58">
        <v>3</v>
      </c>
      <c r="C7" s="15">
        <f t="shared" si="0"/>
        <v>6</v>
      </c>
      <c r="D7" s="25">
        <v>2104.61</v>
      </c>
      <c r="E7" s="26" t="s">
        <v>26</v>
      </c>
      <c r="F7" s="27">
        <v>5</v>
      </c>
      <c r="G7" s="15"/>
      <c r="H7" s="15" t="s">
        <v>35</v>
      </c>
      <c r="J7">
        <v>0.05</v>
      </c>
      <c r="K7">
        <v>30.158000000000001</v>
      </c>
    </row>
    <row r="8" spans="1:12" x14ac:dyDescent="0.3">
      <c r="A8" s="57">
        <v>45839</v>
      </c>
      <c r="B8" s="58">
        <v>3</v>
      </c>
      <c r="C8" s="15">
        <f t="shared" si="0"/>
        <v>7</v>
      </c>
      <c r="D8" s="25">
        <v>2105.36</v>
      </c>
      <c r="E8" s="26" t="s">
        <v>26</v>
      </c>
      <c r="F8" s="27">
        <v>6</v>
      </c>
      <c r="G8" s="15" t="s">
        <v>37</v>
      </c>
      <c r="H8" s="15" t="s">
        <v>36</v>
      </c>
      <c r="J8">
        <v>0.15</v>
      </c>
      <c r="K8">
        <v>30.867999999999999</v>
      </c>
      <c r="L8">
        <f>0.3*416.54/1000</f>
        <v>0.124962</v>
      </c>
    </row>
    <row r="9" spans="1:12" x14ac:dyDescent="0.3">
      <c r="A9" s="57">
        <v>45839</v>
      </c>
      <c r="B9" s="58">
        <v>3</v>
      </c>
      <c r="C9" s="15">
        <f t="shared" si="0"/>
        <v>8</v>
      </c>
      <c r="D9" s="25">
        <v>2106.11</v>
      </c>
      <c r="E9" s="26" t="s">
        <v>26</v>
      </c>
      <c r="F9" s="27">
        <v>1</v>
      </c>
      <c r="G9" s="15"/>
      <c r="H9" s="15" t="s">
        <v>35</v>
      </c>
      <c r="J9">
        <v>0.05</v>
      </c>
      <c r="K9">
        <v>27.35</v>
      </c>
    </row>
    <row r="10" spans="1:12" x14ac:dyDescent="0.3">
      <c r="A10" s="57">
        <v>45839</v>
      </c>
      <c r="B10" s="58">
        <v>3</v>
      </c>
      <c r="C10" s="15">
        <f t="shared" si="0"/>
        <v>9</v>
      </c>
      <c r="D10" s="25">
        <v>2106.86</v>
      </c>
      <c r="E10" s="26" t="s">
        <v>26</v>
      </c>
      <c r="F10" s="27">
        <v>2</v>
      </c>
      <c r="G10" s="15"/>
      <c r="H10" s="15" t="s">
        <v>35</v>
      </c>
      <c r="J10">
        <v>0.05</v>
      </c>
      <c r="K10">
        <v>28.106000000000002</v>
      </c>
    </row>
    <row r="11" spans="1:12" x14ac:dyDescent="0.3">
      <c r="A11" s="57">
        <v>45839</v>
      </c>
      <c r="B11" s="58">
        <v>3</v>
      </c>
      <c r="C11" s="15">
        <f t="shared" si="0"/>
        <v>10</v>
      </c>
      <c r="D11" s="25">
        <v>2107.61</v>
      </c>
      <c r="E11" s="26" t="s">
        <v>26</v>
      </c>
      <c r="F11" s="27">
        <v>3</v>
      </c>
      <c r="G11" s="15"/>
      <c r="H11" s="15" t="s">
        <v>35</v>
      </c>
      <c r="J11">
        <v>0.05</v>
      </c>
      <c r="K11">
        <v>28.879000000000001</v>
      </c>
    </row>
    <row r="12" spans="1:12" x14ac:dyDescent="0.3">
      <c r="A12" s="57">
        <v>45839</v>
      </c>
      <c r="B12" s="58">
        <v>3</v>
      </c>
      <c r="C12" s="15">
        <f t="shared" si="0"/>
        <v>11</v>
      </c>
      <c r="D12" s="25">
        <v>2107.61</v>
      </c>
      <c r="E12" s="26" t="s">
        <v>26</v>
      </c>
      <c r="F12" s="27">
        <v>3</v>
      </c>
      <c r="G12" s="15" t="s">
        <v>37</v>
      </c>
      <c r="H12" s="15" t="s">
        <v>81</v>
      </c>
      <c r="J12">
        <v>0.15</v>
      </c>
      <c r="K12" s="60">
        <v>8</v>
      </c>
      <c r="L12">
        <f>+K12*3.47/1000</f>
        <v>2.776E-2</v>
      </c>
    </row>
    <row r="13" spans="1:12" x14ac:dyDescent="0.3">
      <c r="A13" s="57">
        <v>45839</v>
      </c>
      <c r="B13" s="58">
        <v>3</v>
      </c>
      <c r="C13" s="15">
        <f t="shared" si="0"/>
        <v>12</v>
      </c>
      <c r="D13" s="25">
        <v>2108.36</v>
      </c>
      <c r="E13" s="26" t="s">
        <v>26</v>
      </c>
      <c r="F13" s="27">
        <v>4</v>
      </c>
      <c r="G13" s="15"/>
      <c r="H13" s="15" t="s">
        <v>35</v>
      </c>
      <c r="J13">
        <v>0.05</v>
      </c>
      <c r="K13">
        <v>29.536000000000001</v>
      </c>
    </row>
    <row r="14" spans="1:12" x14ac:dyDescent="0.3">
      <c r="A14" s="57">
        <v>45839</v>
      </c>
      <c r="B14" s="58">
        <v>3</v>
      </c>
      <c r="C14" s="15">
        <f t="shared" si="0"/>
        <v>13</v>
      </c>
      <c r="D14" s="25">
        <v>2109.11</v>
      </c>
      <c r="E14" s="26" t="s">
        <v>26</v>
      </c>
      <c r="F14" s="27">
        <v>5</v>
      </c>
      <c r="G14" s="15"/>
      <c r="H14" s="15" t="s">
        <v>35</v>
      </c>
      <c r="J14">
        <v>0.05</v>
      </c>
      <c r="K14">
        <v>30.158000000000001</v>
      </c>
    </row>
    <row r="15" spans="1:12" x14ac:dyDescent="0.3">
      <c r="A15" s="57">
        <v>45839</v>
      </c>
      <c r="B15" s="58">
        <v>3</v>
      </c>
      <c r="C15" s="15">
        <f t="shared" si="0"/>
        <v>14</v>
      </c>
      <c r="D15" s="25">
        <v>2109.86</v>
      </c>
      <c r="E15" s="26" t="s">
        <v>26</v>
      </c>
      <c r="F15" s="27">
        <v>6</v>
      </c>
      <c r="G15" s="15" t="s">
        <v>37</v>
      </c>
      <c r="H15" s="15" t="s">
        <v>36</v>
      </c>
      <c r="J15">
        <v>0.15</v>
      </c>
      <c r="K15">
        <v>30.867999999999999</v>
      </c>
      <c r="L15">
        <f>0.3*416.54/1000</f>
        <v>0.124962</v>
      </c>
    </row>
    <row r="16" spans="1:12" x14ac:dyDescent="0.3">
      <c r="A16" s="57">
        <v>45839</v>
      </c>
      <c r="B16" s="58">
        <v>3</v>
      </c>
      <c r="C16" s="15">
        <f t="shared" si="0"/>
        <v>15</v>
      </c>
      <c r="D16" s="25">
        <v>2110.61</v>
      </c>
      <c r="E16" s="26" t="s">
        <v>26</v>
      </c>
      <c r="F16" s="27">
        <v>1</v>
      </c>
      <c r="G16" s="15"/>
      <c r="H16" s="15" t="s">
        <v>35</v>
      </c>
      <c r="J16">
        <v>0.05</v>
      </c>
      <c r="K16">
        <v>27.35</v>
      </c>
    </row>
    <row r="17" spans="1:12" x14ac:dyDescent="0.3">
      <c r="A17" s="57">
        <v>45839</v>
      </c>
      <c r="B17" s="58">
        <v>3</v>
      </c>
      <c r="C17" s="15">
        <f t="shared" si="0"/>
        <v>16</v>
      </c>
      <c r="D17" s="25">
        <v>2111.36</v>
      </c>
      <c r="E17" s="26" t="s">
        <v>26</v>
      </c>
      <c r="F17" s="27">
        <v>2</v>
      </c>
      <c r="G17" s="15"/>
      <c r="H17" s="15" t="s">
        <v>35</v>
      </c>
      <c r="J17">
        <v>0.05</v>
      </c>
      <c r="K17">
        <v>28.106000000000002</v>
      </c>
    </row>
    <row r="18" spans="1:12" x14ac:dyDescent="0.3">
      <c r="A18" s="57">
        <v>45839</v>
      </c>
      <c r="B18" s="58">
        <v>3</v>
      </c>
      <c r="C18" s="15">
        <f t="shared" si="0"/>
        <v>17</v>
      </c>
      <c r="D18" s="25">
        <v>2112.11</v>
      </c>
      <c r="E18" s="26" t="s">
        <v>26</v>
      </c>
      <c r="F18" s="27">
        <v>3</v>
      </c>
      <c r="G18" s="15"/>
      <c r="H18" s="15" t="s">
        <v>35</v>
      </c>
      <c r="J18">
        <v>0.05</v>
      </c>
      <c r="K18">
        <v>28.879000000000001</v>
      </c>
    </row>
    <row r="19" spans="1:12" x14ac:dyDescent="0.3">
      <c r="A19" s="57">
        <v>45839</v>
      </c>
      <c r="B19" s="58">
        <v>3</v>
      </c>
      <c r="C19" s="15">
        <f t="shared" si="0"/>
        <v>18</v>
      </c>
      <c r="D19" s="25">
        <v>2112.11</v>
      </c>
      <c r="E19" s="26" t="s">
        <v>26</v>
      </c>
      <c r="F19" s="27">
        <v>3</v>
      </c>
      <c r="G19" s="15" t="s">
        <v>37</v>
      </c>
      <c r="H19" s="15" t="s">
        <v>81</v>
      </c>
      <c r="J19">
        <v>0.15</v>
      </c>
      <c r="K19" s="60">
        <v>8</v>
      </c>
      <c r="L19">
        <f>+K19*3.47/1000</f>
        <v>2.776E-2</v>
      </c>
    </row>
    <row r="20" spans="1:12" x14ac:dyDescent="0.3">
      <c r="A20" s="57">
        <v>45839</v>
      </c>
      <c r="B20" s="58">
        <v>3</v>
      </c>
      <c r="C20" s="15">
        <f t="shared" si="0"/>
        <v>19</v>
      </c>
      <c r="D20" s="25">
        <v>2112.86</v>
      </c>
      <c r="E20" s="26" t="s">
        <v>26</v>
      </c>
      <c r="F20" s="27">
        <v>4</v>
      </c>
      <c r="G20" s="15"/>
      <c r="H20" s="15" t="s">
        <v>35</v>
      </c>
      <c r="J20">
        <v>0.05</v>
      </c>
      <c r="K20">
        <v>29.536000000000001</v>
      </c>
    </row>
    <row r="21" spans="1:12" x14ac:dyDescent="0.3">
      <c r="A21" s="57">
        <v>45839</v>
      </c>
      <c r="B21" s="58">
        <v>3</v>
      </c>
      <c r="C21" s="15">
        <f t="shared" si="0"/>
        <v>20</v>
      </c>
      <c r="D21" s="25">
        <v>2113.61</v>
      </c>
      <c r="E21" s="26" t="s">
        <v>26</v>
      </c>
      <c r="F21" s="27">
        <v>5</v>
      </c>
      <c r="G21" s="15"/>
      <c r="H21" s="15" t="s">
        <v>35</v>
      </c>
      <c r="J21">
        <v>0.05</v>
      </c>
      <c r="K21">
        <v>30.158000000000001</v>
      </c>
    </row>
    <row r="22" spans="1:12" x14ac:dyDescent="0.3">
      <c r="A22" s="57">
        <v>45839</v>
      </c>
      <c r="B22" s="58">
        <v>3</v>
      </c>
      <c r="C22" s="15">
        <f t="shared" si="0"/>
        <v>21</v>
      </c>
      <c r="D22" s="25">
        <v>2114.36</v>
      </c>
      <c r="E22" s="26" t="s">
        <v>26</v>
      </c>
      <c r="F22" s="27">
        <v>6</v>
      </c>
      <c r="G22" s="15" t="s">
        <v>37</v>
      </c>
      <c r="H22" s="15" t="s">
        <v>36</v>
      </c>
      <c r="J22">
        <v>0.15</v>
      </c>
      <c r="K22">
        <v>30.867999999999999</v>
      </c>
      <c r="L22">
        <f>0.3*416.54/1000</f>
        <v>0.124962</v>
      </c>
    </row>
    <row r="23" spans="1:12" x14ac:dyDescent="0.3">
      <c r="A23" s="57">
        <v>45839</v>
      </c>
      <c r="B23" s="58">
        <v>3</v>
      </c>
      <c r="C23" s="15">
        <f t="shared" si="0"/>
        <v>22</v>
      </c>
      <c r="D23" s="25">
        <v>2115.1799999999998</v>
      </c>
      <c r="E23" s="26" t="s">
        <v>26</v>
      </c>
      <c r="F23" s="27">
        <v>6</v>
      </c>
      <c r="G23" s="15"/>
      <c r="H23" s="15" t="s">
        <v>35</v>
      </c>
      <c r="J23">
        <v>0.05</v>
      </c>
      <c r="K23">
        <v>30.867999999999999</v>
      </c>
    </row>
    <row r="24" spans="1:12" x14ac:dyDescent="0.3">
      <c r="A24" s="57">
        <v>45839</v>
      </c>
      <c r="B24" s="58">
        <v>3</v>
      </c>
      <c r="C24" s="15">
        <f t="shared" si="0"/>
        <v>23</v>
      </c>
      <c r="D24" s="25">
        <v>2115.85</v>
      </c>
      <c r="E24" s="26" t="s">
        <v>26</v>
      </c>
      <c r="F24" s="27">
        <v>1</v>
      </c>
      <c r="G24" s="15"/>
      <c r="H24" s="15" t="s">
        <v>35</v>
      </c>
      <c r="J24">
        <v>0.05</v>
      </c>
      <c r="K24">
        <v>27.35</v>
      </c>
    </row>
    <row r="25" spans="1:12" x14ac:dyDescent="0.3">
      <c r="A25" s="57">
        <v>45839</v>
      </c>
      <c r="B25" s="58">
        <v>3</v>
      </c>
      <c r="C25" s="15">
        <f t="shared" si="0"/>
        <v>24</v>
      </c>
      <c r="D25" s="25">
        <v>2116.6</v>
      </c>
      <c r="E25" s="26" t="s">
        <v>26</v>
      </c>
      <c r="F25" s="27">
        <v>2</v>
      </c>
      <c r="G25" s="15"/>
      <c r="H25" s="15" t="s">
        <v>35</v>
      </c>
      <c r="J25">
        <v>0.05</v>
      </c>
      <c r="K25">
        <v>28.106000000000002</v>
      </c>
    </row>
    <row r="26" spans="1:12" x14ac:dyDescent="0.3">
      <c r="A26" s="57">
        <v>45839</v>
      </c>
      <c r="B26" s="58">
        <v>3</v>
      </c>
      <c r="C26" s="15">
        <f t="shared" si="0"/>
        <v>25</v>
      </c>
      <c r="D26" s="25">
        <v>2117.35</v>
      </c>
      <c r="E26" s="26" t="s">
        <v>26</v>
      </c>
      <c r="F26" s="27">
        <v>3</v>
      </c>
      <c r="G26" s="15"/>
      <c r="H26" s="15" t="s">
        <v>35</v>
      </c>
      <c r="J26">
        <v>0.05</v>
      </c>
      <c r="K26">
        <v>28.879000000000001</v>
      </c>
    </row>
    <row r="27" spans="1:12" x14ac:dyDescent="0.3">
      <c r="A27" s="57">
        <v>45839</v>
      </c>
      <c r="B27" s="58">
        <v>3</v>
      </c>
      <c r="C27" s="15">
        <f t="shared" si="0"/>
        <v>26</v>
      </c>
      <c r="D27" s="25">
        <v>2117.35</v>
      </c>
      <c r="E27" s="26" t="s">
        <v>26</v>
      </c>
      <c r="F27" s="27">
        <v>3</v>
      </c>
      <c r="G27" s="15" t="s">
        <v>37</v>
      </c>
      <c r="H27" s="15" t="s">
        <v>81</v>
      </c>
      <c r="J27">
        <v>0.15</v>
      </c>
      <c r="K27" s="60">
        <v>8</v>
      </c>
      <c r="L27">
        <f>+K27*3.47/1000</f>
        <v>2.776E-2</v>
      </c>
    </row>
    <row r="28" spans="1:12" x14ac:dyDescent="0.3">
      <c r="A28" s="57">
        <v>45870</v>
      </c>
      <c r="B28" s="58">
        <v>3</v>
      </c>
      <c r="C28" s="15">
        <f t="shared" si="0"/>
        <v>27</v>
      </c>
      <c r="D28" s="25">
        <v>2118.1</v>
      </c>
      <c r="E28" s="26" t="s">
        <v>26</v>
      </c>
      <c r="F28" s="27">
        <v>4</v>
      </c>
      <c r="G28" s="15"/>
      <c r="H28" s="15" t="s">
        <v>35</v>
      </c>
      <c r="J28">
        <v>0.05</v>
      </c>
      <c r="K28">
        <v>29.536000000000001</v>
      </c>
    </row>
    <row r="29" spans="1:12" x14ac:dyDescent="0.3">
      <c r="A29" s="57">
        <v>45870</v>
      </c>
      <c r="B29" s="58">
        <v>3</v>
      </c>
      <c r="C29" s="15">
        <f t="shared" si="0"/>
        <v>28</v>
      </c>
      <c r="D29" s="25">
        <v>2118.1</v>
      </c>
      <c r="E29" s="26" t="s">
        <v>26</v>
      </c>
      <c r="F29" s="27">
        <v>4</v>
      </c>
      <c r="G29" s="15" t="s">
        <v>37</v>
      </c>
      <c r="H29" s="15" t="s">
        <v>81</v>
      </c>
      <c r="J29">
        <v>0.15</v>
      </c>
      <c r="K29" s="60">
        <v>8</v>
      </c>
      <c r="L29">
        <f>+K29*3.47/1000</f>
        <v>2.776E-2</v>
      </c>
    </row>
    <row r="30" spans="1:12" x14ac:dyDescent="0.3">
      <c r="A30" s="57">
        <v>45870</v>
      </c>
      <c r="B30" s="58">
        <v>3</v>
      </c>
      <c r="C30" s="15">
        <f t="shared" si="0"/>
        <v>29</v>
      </c>
      <c r="D30" s="25">
        <v>2118.85</v>
      </c>
      <c r="E30" s="26" t="s">
        <v>26</v>
      </c>
      <c r="F30" s="27">
        <v>5</v>
      </c>
      <c r="G30" s="15"/>
      <c r="H30" s="15" t="s">
        <v>35</v>
      </c>
      <c r="J30">
        <v>0.05</v>
      </c>
      <c r="K30">
        <v>30.158000000000001</v>
      </c>
    </row>
    <row r="31" spans="1:12" x14ac:dyDescent="0.3">
      <c r="A31" s="57">
        <v>45870</v>
      </c>
      <c r="B31" s="58">
        <v>3</v>
      </c>
      <c r="C31" s="15">
        <f t="shared" si="0"/>
        <v>30</v>
      </c>
      <c r="D31" s="25">
        <v>2119.6</v>
      </c>
      <c r="E31" s="26" t="s">
        <v>26</v>
      </c>
      <c r="F31" s="27">
        <v>6</v>
      </c>
      <c r="G31" s="15" t="s">
        <v>37</v>
      </c>
      <c r="H31" s="15" t="s">
        <v>36</v>
      </c>
      <c r="J31">
        <v>0.15</v>
      </c>
      <c r="K31">
        <v>30.867999999999999</v>
      </c>
      <c r="L31">
        <f>0.3*416.54/1000</f>
        <v>0.124962</v>
      </c>
    </row>
    <row r="32" spans="1:12" x14ac:dyDescent="0.3">
      <c r="A32" s="57">
        <v>45870</v>
      </c>
      <c r="B32" s="58">
        <v>3</v>
      </c>
      <c r="C32" s="15">
        <f t="shared" si="0"/>
        <v>31</v>
      </c>
      <c r="D32" s="25">
        <v>2120.35</v>
      </c>
      <c r="E32" s="26" t="s">
        <v>26</v>
      </c>
      <c r="F32" s="27">
        <v>1</v>
      </c>
      <c r="G32" s="15"/>
      <c r="H32" s="15" t="s">
        <v>35</v>
      </c>
      <c r="J32">
        <v>0.05</v>
      </c>
      <c r="K32">
        <v>27.35</v>
      </c>
    </row>
    <row r="33" spans="1:12" x14ac:dyDescent="0.3">
      <c r="A33" s="57">
        <v>45870</v>
      </c>
      <c r="B33" s="58">
        <v>3</v>
      </c>
      <c r="C33" s="15">
        <f t="shared" si="0"/>
        <v>32</v>
      </c>
      <c r="D33" s="25">
        <v>2121.1</v>
      </c>
      <c r="E33" s="26" t="s">
        <v>26</v>
      </c>
      <c r="F33" s="27">
        <v>2</v>
      </c>
      <c r="G33" s="15"/>
      <c r="H33" s="15" t="s">
        <v>35</v>
      </c>
      <c r="J33">
        <v>0.05</v>
      </c>
      <c r="K33">
        <v>28.106000000000002</v>
      </c>
    </row>
    <row r="34" spans="1:12" x14ac:dyDescent="0.3">
      <c r="A34" s="57">
        <v>45870</v>
      </c>
      <c r="B34" s="58">
        <v>3</v>
      </c>
      <c r="C34" s="15">
        <f t="shared" si="0"/>
        <v>33</v>
      </c>
      <c r="D34" s="25">
        <v>2121.1</v>
      </c>
      <c r="E34" s="26" t="s">
        <v>26</v>
      </c>
      <c r="F34" s="27">
        <v>2</v>
      </c>
      <c r="G34" s="15" t="s">
        <v>37</v>
      </c>
      <c r="H34" s="15" t="s">
        <v>81</v>
      </c>
      <c r="J34">
        <v>0.15</v>
      </c>
      <c r="K34" s="60">
        <v>8</v>
      </c>
      <c r="L34">
        <f>+K34*3.47/1000</f>
        <v>2.776E-2</v>
      </c>
    </row>
    <row r="35" spans="1:12" x14ac:dyDescent="0.3">
      <c r="A35" s="57">
        <v>45870</v>
      </c>
      <c r="B35" s="58">
        <v>3</v>
      </c>
      <c r="C35" s="15">
        <f t="shared" si="0"/>
        <v>34</v>
      </c>
      <c r="D35" s="25">
        <v>2121.85</v>
      </c>
      <c r="E35" s="26" t="s">
        <v>26</v>
      </c>
      <c r="F35" s="27">
        <v>3</v>
      </c>
      <c r="G35" s="15"/>
      <c r="H35" s="15" t="s">
        <v>35</v>
      </c>
      <c r="J35">
        <v>0.05</v>
      </c>
      <c r="K35">
        <v>28.879000000000001</v>
      </c>
    </row>
    <row r="36" spans="1:12" x14ac:dyDescent="0.3">
      <c r="A36" s="57">
        <v>45870</v>
      </c>
      <c r="B36" s="58">
        <v>3</v>
      </c>
      <c r="C36" s="15">
        <f t="shared" si="0"/>
        <v>35</v>
      </c>
      <c r="D36" s="25">
        <v>2122.6</v>
      </c>
      <c r="E36" s="26" t="s">
        <v>26</v>
      </c>
      <c r="F36" s="27">
        <v>4</v>
      </c>
      <c r="G36" s="15"/>
      <c r="H36" s="15" t="s">
        <v>35</v>
      </c>
      <c r="J36">
        <v>0.05</v>
      </c>
      <c r="K36">
        <v>29.536000000000001</v>
      </c>
    </row>
    <row r="37" spans="1:12" x14ac:dyDescent="0.3">
      <c r="A37" s="57">
        <v>45870</v>
      </c>
      <c r="B37" s="58">
        <v>3</v>
      </c>
      <c r="C37" s="15">
        <f t="shared" si="0"/>
        <v>36</v>
      </c>
      <c r="D37" s="25">
        <v>2122.6</v>
      </c>
      <c r="E37" s="26" t="s">
        <v>26</v>
      </c>
      <c r="F37" s="27">
        <v>4</v>
      </c>
      <c r="G37" s="15" t="s">
        <v>37</v>
      </c>
      <c r="H37" s="15" t="s">
        <v>84</v>
      </c>
      <c r="J37">
        <v>0.15</v>
      </c>
      <c r="K37" s="60">
        <v>6</v>
      </c>
      <c r="L37">
        <f>+K37*3.47/1000</f>
        <v>2.0820000000000002E-2</v>
      </c>
    </row>
    <row r="38" spans="1:12" x14ac:dyDescent="0.3">
      <c r="A38" s="57">
        <v>45870</v>
      </c>
      <c r="B38" s="58">
        <v>3</v>
      </c>
      <c r="C38" s="15">
        <f t="shared" si="0"/>
        <v>37</v>
      </c>
      <c r="D38" s="23">
        <v>2123.35</v>
      </c>
      <c r="E38" s="26" t="s">
        <v>26</v>
      </c>
      <c r="F38" s="27">
        <v>5</v>
      </c>
      <c r="G38" s="15"/>
      <c r="H38" s="15" t="s">
        <v>35</v>
      </c>
      <c r="J38">
        <v>0.05</v>
      </c>
      <c r="K38">
        <v>30.158000000000001</v>
      </c>
    </row>
    <row r="39" spans="1:12" x14ac:dyDescent="0.3">
      <c r="A39" s="57">
        <v>45870</v>
      </c>
      <c r="B39" s="58">
        <v>3</v>
      </c>
      <c r="C39" s="15">
        <f t="shared" si="0"/>
        <v>38</v>
      </c>
      <c r="D39" s="25">
        <v>2124.48</v>
      </c>
      <c r="E39" s="26" t="s">
        <v>26</v>
      </c>
      <c r="F39" s="27">
        <v>6</v>
      </c>
      <c r="G39" s="15" t="s">
        <v>85</v>
      </c>
      <c r="H39" s="15" t="s">
        <v>31</v>
      </c>
      <c r="J39" s="61">
        <v>0.3</v>
      </c>
      <c r="K39">
        <v>30.867999999999999</v>
      </c>
      <c r="L39">
        <f>0.3*1008.66/1000</f>
        <v>0.30259799999999998</v>
      </c>
    </row>
  </sheetData>
  <mergeCells count="1">
    <mergeCell ref="E1:F1"/>
  </mergeCells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FEBD-D874-4B08-AE7B-ABD5388C2A37}">
  <dimension ref="A2:I35"/>
  <sheetViews>
    <sheetView topLeftCell="A16" workbookViewId="0">
      <selection activeCell="B40" sqref="B40"/>
    </sheetView>
  </sheetViews>
  <sheetFormatPr defaultRowHeight="14.4" x14ac:dyDescent="0.3"/>
  <cols>
    <col min="2" max="2" width="83" bestFit="1" customWidth="1"/>
    <col min="4" max="4" width="11.33203125" bestFit="1" customWidth="1"/>
    <col min="5" max="5" width="14" bestFit="1" customWidth="1"/>
  </cols>
  <sheetData>
    <row r="2" spans="1:9" x14ac:dyDescent="0.3">
      <c r="E2" s="54" t="s">
        <v>89</v>
      </c>
      <c r="F2" s="59">
        <f>+_xlfn.MINIFS(DATA!M:M,DATA!Q:Q,"Q589/589-Çift Kat")</f>
        <v>0</v>
      </c>
      <c r="G2" s="59">
        <f>+_xlfn.MINIFS(DATA!M:M,DATA!Q:Q,"3xQ221/221-Çift Kat")</f>
        <v>0</v>
      </c>
      <c r="H2" s="30"/>
    </row>
    <row r="3" spans="1:9" x14ac:dyDescent="0.3">
      <c r="E3" s="54" t="s">
        <v>90</v>
      </c>
      <c r="F3" s="72">
        <f>+_xlfn.MAXIFS(DATA!M:M,DATA!Q:Q,"Q589/589-Çift Kat")+0.3</f>
        <v>0.3</v>
      </c>
      <c r="G3" s="59">
        <f>+_xlfn.MAXIFS(DATA!M:M,DATA!Q:Q,"3xQ221/221-Çift Kat")</f>
        <v>0</v>
      </c>
      <c r="H3" s="30"/>
      <c r="I3" s="73" t="s">
        <v>164</v>
      </c>
    </row>
    <row r="4" spans="1:9" x14ac:dyDescent="0.3">
      <c r="A4" s="62" t="s">
        <v>91</v>
      </c>
      <c r="B4" s="62" t="s">
        <v>9</v>
      </c>
      <c r="C4" s="13" t="s">
        <v>92</v>
      </c>
      <c r="D4" s="63" t="s">
        <v>93</v>
      </c>
      <c r="E4" s="13" t="s">
        <v>94</v>
      </c>
      <c r="F4" s="13" t="s">
        <v>95</v>
      </c>
      <c r="G4" s="13" t="s">
        <v>96</v>
      </c>
      <c r="H4" s="13" t="s">
        <v>97</v>
      </c>
    </row>
    <row r="5" spans="1:9" x14ac:dyDescent="0.3">
      <c r="A5" s="64" t="s">
        <v>98</v>
      </c>
      <c r="B5" s="65" t="s">
        <v>99</v>
      </c>
      <c r="C5" s="15" t="s">
        <v>100</v>
      </c>
      <c r="D5" s="66">
        <v>5075</v>
      </c>
      <c r="E5" s="67">
        <f>ROUND(SUM(F5:H5),3)</f>
        <v>72.915999999999997</v>
      </c>
      <c r="F5" s="30">
        <f>+ROUND(ABS(F2-F3)*29.15,3)</f>
        <v>8.7449999999999992</v>
      </c>
      <c r="G5" s="30">
        <f>+ROUND(ABS(G2-G3)*1.149,3)</f>
        <v>0</v>
      </c>
      <c r="H5" s="30">
        <f>+SUMPRODUCT('AYNA TAKİP'!J1:J38,'AYNA TAKİP'!K1:K38)</f>
        <v>64.171449999999993</v>
      </c>
    </row>
    <row r="6" spans="1:9" x14ac:dyDescent="0.3">
      <c r="A6" s="65" t="s">
        <v>101</v>
      </c>
      <c r="B6" s="65" t="s">
        <v>102</v>
      </c>
      <c r="C6" s="15" t="s">
        <v>100</v>
      </c>
      <c r="D6" s="66">
        <v>600</v>
      </c>
      <c r="E6" s="67">
        <f t="shared" ref="E6:E7" si="0">ROUND(SUM(F6:H6),3)</f>
        <v>0</v>
      </c>
      <c r="F6" s="30"/>
      <c r="G6" s="30"/>
      <c r="H6" s="30"/>
    </row>
    <row r="7" spans="1:9" x14ac:dyDescent="0.3">
      <c r="A7" s="65" t="s">
        <v>103</v>
      </c>
      <c r="B7" s="65" t="s">
        <v>104</v>
      </c>
      <c r="C7" s="15" t="s">
        <v>100</v>
      </c>
      <c r="D7" s="66">
        <v>1500</v>
      </c>
      <c r="E7" s="67">
        <f t="shared" si="0"/>
        <v>0</v>
      </c>
      <c r="F7" s="30"/>
      <c r="G7" s="30"/>
      <c r="H7" s="30"/>
    </row>
    <row r="8" spans="1:9" x14ac:dyDescent="0.3">
      <c r="A8" s="64" t="s">
        <v>105</v>
      </c>
      <c r="B8" s="65" t="s">
        <v>106</v>
      </c>
      <c r="C8" s="15" t="s">
        <v>100</v>
      </c>
      <c r="D8" s="66">
        <v>15334</v>
      </c>
      <c r="E8" s="67">
        <f>ROUND(SUM(F8:H8),3)</f>
        <v>74.248000000000005</v>
      </c>
      <c r="F8" s="68">
        <f>+ROUND(ABS(F2-F3)*3.022,3)*0.9</f>
        <v>0.81630000000000003</v>
      </c>
      <c r="G8" s="30">
        <f>+ROUND(ABS(G2-G3)*1.149,3)</f>
        <v>0</v>
      </c>
      <c r="H8" s="30">
        <f>+SUMPRODUCT('AYNA TAKİP'!J:J,'AYNA TAKİP'!K:K)</f>
        <v>73.431849999999997</v>
      </c>
    </row>
    <row r="9" spans="1:9" x14ac:dyDescent="0.3">
      <c r="A9" s="65" t="s">
        <v>107</v>
      </c>
      <c r="B9" s="65" t="s">
        <v>108</v>
      </c>
      <c r="C9" s="15" t="s">
        <v>109</v>
      </c>
      <c r="D9" s="66">
        <v>248</v>
      </c>
      <c r="E9" s="69"/>
      <c r="F9" s="30"/>
      <c r="G9" s="30"/>
      <c r="H9" s="30"/>
    </row>
    <row r="10" spans="1:9" x14ac:dyDescent="0.3">
      <c r="A10" s="65" t="s">
        <v>110</v>
      </c>
      <c r="B10" s="65" t="s">
        <v>111</v>
      </c>
      <c r="C10" s="15" t="s">
        <v>109</v>
      </c>
      <c r="D10" s="66">
        <v>371</v>
      </c>
      <c r="E10" s="69"/>
      <c r="F10" s="30"/>
      <c r="G10" s="30"/>
      <c r="H10" s="30"/>
    </row>
    <row r="11" spans="1:9" x14ac:dyDescent="0.3">
      <c r="A11" s="65" t="s">
        <v>112</v>
      </c>
      <c r="B11" s="65" t="s">
        <v>113</v>
      </c>
      <c r="C11" s="15" t="s">
        <v>114</v>
      </c>
      <c r="D11" s="66">
        <v>2250</v>
      </c>
      <c r="E11" s="69">
        <f>+SUM(DATA!Y:Y)</f>
        <v>0</v>
      </c>
      <c r="F11" s="30"/>
      <c r="G11" s="30"/>
      <c r="H11" s="30"/>
    </row>
    <row r="12" spans="1:9" x14ac:dyDescent="0.3">
      <c r="A12" s="65" t="s">
        <v>115</v>
      </c>
      <c r="B12" s="65" t="s">
        <v>116</v>
      </c>
      <c r="C12" s="15" t="s">
        <v>114</v>
      </c>
      <c r="D12" s="66">
        <v>8000</v>
      </c>
      <c r="E12" s="69">
        <f>+SUM(DATA!Z:Z)</f>
        <v>0</v>
      </c>
      <c r="F12" s="30"/>
      <c r="G12" s="30"/>
      <c r="H12" s="30"/>
    </row>
    <row r="13" spans="1:9" x14ac:dyDescent="0.3">
      <c r="A13" s="65" t="s">
        <v>117</v>
      </c>
      <c r="B13" s="65" t="s">
        <v>118</v>
      </c>
      <c r="C13" s="15" t="s">
        <v>114</v>
      </c>
      <c r="D13" s="66">
        <v>8288</v>
      </c>
      <c r="E13" s="69">
        <f>+SUM(DATA!AA:AA)</f>
        <v>0</v>
      </c>
      <c r="F13" s="30"/>
      <c r="G13" s="30"/>
      <c r="H13" s="30"/>
    </row>
    <row r="14" spans="1:9" x14ac:dyDescent="0.3">
      <c r="A14" s="65" t="s">
        <v>119</v>
      </c>
      <c r="B14" s="65" t="s">
        <v>120</v>
      </c>
      <c r="C14" s="15" t="s">
        <v>114</v>
      </c>
      <c r="D14" s="66">
        <v>12000</v>
      </c>
      <c r="E14" s="69">
        <f>+SUM(DATA!AB:AB)</f>
        <v>0</v>
      </c>
      <c r="F14" s="30"/>
      <c r="G14" s="30"/>
      <c r="H14" s="30"/>
    </row>
    <row r="15" spans="1:9" x14ac:dyDescent="0.3">
      <c r="A15" s="65" t="s">
        <v>121</v>
      </c>
      <c r="B15" s="65" t="s">
        <v>122</v>
      </c>
      <c r="C15" s="15" t="s">
        <v>114</v>
      </c>
      <c r="D15" s="66">
        <v>28000</v>
      </c>
      <c r="E15" s="69">
        <f>+SUM(DATA!AC:AC)</f>
        <v>20</v>
      </c>
      <c r="F15" s="30"/>
      <c r="G15" s="30"/>
      <c r="H15" s="30"/>
    </row>
    <row r="16" spans="1:9" x14ac:dyDescent="0.3">
      <c r="A16" s="65" t="s">
        <v>123</v>
      </c>
      <c r="B16" s="65" t="s">
        <v>124</v>
      </c>
      <c r="C16" s="15" t="s">
        <v>109</v>
      </c>
      <c r="D16" s="66">
        <v>375</v>
      </c>
      <c r="E16" s="69">
        <f>+SUM(DATA!AE:AE)</f>
        <v>0</v>
      </c>
      <c r="F16" s="30"/>
      <c r="G16" s="30"/>
      <c r="H16" s="30"/>
    </row>
    <row r="17" spans="1:8" x14ac:dyDescent="0.3">
      <c r="A17" s="65" t="s">
        <v>125</v>
      </c>
      <c r="B17" s="65" t="s">
        <v>126</v>
      </c>
      <c r="C17" s="15" t="s">
        <v>109</v>
      </c>
      <c r="D17" s="66">
        <v>388</v>
      </c>
      <c r="E17" s="69">
        <f>+SUM(DATA!AF:AF)</f>
        <v>0</v>
      </c>
      <c r="F17" s="30"/>
      <c r="G17" s="30"/>
      <c r="H17" s="30"/>
    </row>
    <row r="18" spans="1:8" x14ac:dyDescent="0.3">
      <c r="A18" s="64" t="s">
        <v>127</v>
      </c>
      <c r="B18" s="65" t="s">
        <v>128</v>
      </c>
      <c r="C18" s="15" t="s">
        <v>129</v>
      </c>
      <c r="D18" s="66">
        <v>102000</v>
      </c>
      <c r="E18" s="67">
        <f>ROUND(SUM(F18:G18),3)</f>
        <v>0</v>
      </c>
      <c r="F18" s="70">
        <f>SUMIFS(DATA!T:T,DATA!N:N,"KALICI",DATA!O:O,"Umbrella-1")*0.713518+SUMIFS(DATA!T:T,DATA!N:N,"KALICI",DATA!O:O,"Umbrella-2")*0.71664+SUMIFS(DATA!T:T,DATA!N:N,"KALICI",DATA!O:O,"Umbrella-3")*0.729202+SUMIFS(DATA!T:T,DATA!N:N,"KALICI",DATA!O:O,"Umbrella-4")*0.74693+SUMIFS(DATA!T:T,DATA!N:N,"KALICI",DATA!O:O,"Umbrella-5")*0.75958+SUMIFS(DATA!T:T,DATA!N:N,"KALICI",DATA!O:O,"Umbrella-6")*0.770217</f>
        <v>0</v>
      </c>
      <c r="G18" s="70">
        <f>SUMIFS(DATA!S:S,DATA!N:N,"GEÇİCİ",DATA!O:O,"Umbrella-1")*0.210818+SUMIFS(DATA!S:S,DATA!N:N,"GEÇİCİ",DATA!O:O,"Umbrella-2")*0.215206+SUMIFS(DATA!S:S,DATA!N:N,"GEÇİCİ",DATA!O:O,"Umbrella-3")*0.217336+SUMIFS(DATA!S:S,DATA!N:N,"GEÇİCİ",DATA!O:O,"Umbrella-4")*0.216782+SUMIFS(DATA!S:S,DATA!N:N,"GEÇİCİ",DATA!O:O,"Umbrella-5")*0.21691+SUMIFS(DATA!S:S,DATA!N:N,"GEÇİCİ",DATA!O:O,"Umbrella-6")*0.218869</f>
        <v>0</v>
      </c>
      <c r="H18" s="30"/>
    </row>
    <row r="19" spans="1:8" x14ac:dyDescent="0.3">
      <c r="A19" s="64" t="s">
        <v>130</v>
      </c>
      <c r="B19" s="65" t="s">
        <v>131</v>
      </c>
      <c r="C19" s="15" t="s">
        <v>109</v>
      </c>
      <c r="D19" s="66">
        <v>3400</v>
      </c>
      <c r="E19" s="69">
        <f>+SUM(DATA!V:V)</f>
        <v>0</v>
      </c>
      <c r="F19" s="30"/>
      <c r="G19" s="30"/>
      <c r="H19" s="30"/>
    </row>
    <row r="20" spans="1:8" x14ac:dyDescent="0.3">
      <c r="A20" s="65" t="s">
        <v>132</v>
      </c>
      <c r="B20" s="65" t="s">
        <v>133</v>
      </c>
      <c r="C20" s="15" t="s">
        <v>134</v>
      </c>
      <c r="D20" s="66">
        <v>510</v>
      </c>
      <c r="E20" s="69"/>
      <c r="F20" s="30"/>
      <c r="G20" s="30"/>
      <c r="H20" s="30"/>
    </row>
    <row r="21" spans="1:8" x14ac:dyDescent="0.3">
      <c r="A21" s="65" t="s">
        <v>135</v>
      </c>
      <c r="B21" s="65" t="s">
        <v>136</v>
      </c>
      <c r="C21" s="15" t="s">
        <v>134</v>
      </c>
      <c r="D21" s="66">
        <v>1200</v>
      </c>
      <c r="E21" s="69"/>
      <c r="F21" s="30"/>
      <c r="G21" s="30"/>
      <c r="H21" s="30"/>
    </row>
    <row r="22" spans="1:8" x14ac:dyDescent="0.3">
      <c r="A22" s="64" t="s">
        <v>137</v>
      </c>
      <c r="B22" s="65" t="s">
        <v>138</v>
      </c>
      <c r="C22" s="15" t="s">
        <v>109</v>
      </c>
      <c r="D22" s="66">
        <v>2160</v>
      </c>
      <c r="E22" s="69"/>
      <c r="F22" s="30"/>
      <c r="G22" s="30"/>
      <c r="H22" s="30"/>
    </row>
    <row r="23" spans="1:8" x14ac:dyDescent="0.3">
      <c r="A23" s="65" t="s">
        <v>139</v>
      </c>
      <c r="B23" s="65" t="s">
        <v>140</v>
      </c>
      <c r="C23" s="15" t="s">
        <v>134</v>
      </c>
      <c r="D23" s="66">
        <v>4150</v>
      </c>
      <c r="E23" s="69"/>
      <c r="F23" s="30"/>
      <c r="G23" s="30"/>
      <c r="H23" s="30"/>
    </row>
    <row r="24" spans="1:8" x14ac:dyDescent="0.3">
      <c r="A24" s="65" t="s">
        <v>141</v>
      </c>
      <c r="B24" s="65" t="s">
        <v>142</v>
      </c>
      <c r="C24" s="15" t="s">
        <v>134</v>
      </c>
      <c r="D24" s="66">
        <v>1500</v>
      </c>
      <c r="E24" s="69"/>
      <c r="F24" s="30"/>
      <c r="G24" s="30"/>
      <c r="H24" s="30"/>
    </row>
    <row r="25" spans="1:8" x14ac:dyDescent="0.3">
      <c r="A25" s="65" t="s">
        <v>143</v>
      </c>
      <c r="B25" s="65" t="s">
        <v>144</v>
      </c>
      <c r="C25" s="15" t="s">
        <v>134</v>
      </c>
      <c r="D25" s="66">
        <v>500</v>
      </c>
      <c r="E25" s="69"/>
      <c r="F25" s="30"/>
      <c r="G25" s="30"/>
      <c r="H25" s="30"/>
    </row>
    <row r="26" spans="1:8" x14ac:dyDescent="0.3">
      <c r="A26" s="65" t="s">
        <v>145</v>
      </c>
      <c r="B26" s="65" t="s">
        <v>146</v>
      </c>
      <c r="C26" s="15" t="s">
        <v>100</v>
      </c>
      <c r="D26" s="66">
        <v>6030</v>
      </c>
      <c r="E26" s="69"/>
      <c r="F26" s="30"/>
      <c r="G26" s="30"/>
      <c r="H26" s="30"/>
    </row>
    <row r="27" spans="1:8" x14ac:dyDescent="0.3">
      <c r="A27" s="65" t="s">
        <v>147</v>
      </c>
      <c r="B27" s="65" t="s">
        <v>148</v>
      </c>
      <c r="C27" s="15" t="s">
        <v>100</v>
      </c>
      <c r="D27" s="66">
        <v>10355</v>
      </c>
      <c r="E27" s="69"/>
      <c r="F27" s="30"/>
      <c r="G27" s="30"/>
      <c r="H27" s="30"/>
    </row>
    <row r="28" spans="1:8" x14ac:dyDescent="0.3">
      <c r="A28" s="65" t="s">
        <v>149</v>
      </c>
      <c r="B28" s="65" t="s">
        <v>150</v>
      </c>
      <c r="C28" s="15" t="s">
        <v>100</v>
      </c>
      <c r="D28" s="66">
        <v>10355</v>
      </c>
      <c r="E28" s="69"/>
      <c r="F28" s="30"/>
      <c r="G28" s="30"/>
      <c r="H28" s="30"/>
    </row>
    <row r="29" spans="1:8" x14ac:dyDescent="0.3">
      <c r="A29" s="65" t="s">
        <v>151</v>
      </c>
      <c r="B29" s="65" t="s">
        <v>152</v>
      </c>
      <c r="C29" s="15" t="s">
        <v>100</v>
      </c>
      <c r="D29" s="66">
        <v>10355</v>
      </c>
      <c r="E29" s="69"/>
      <c r="F29" s="30"/>
      <c r="G29" s="30"/>
      <c r="H29" s="30"/>
    </row>
    <row r="30" spans="1:8" x14ac:dyDescent="0.3">
      <c r="A30" s="65" t="s">
        <v>153</v>
      </c>
      <c r="B30" s="65" t="s">
        <v>154</v>
      </c>
      <c r="C30" s="15" t="s">
        <v>129</v>
      </c>
      <c r="D30" s="66">
        <v>46250</v>
      </c>
      <c r="E30" s="67">
        <f>ROUND(SUM(F30:G30),3)</f>
        <v>0</v>
      </c>
      <c r="F30" s="30">
        <f>ROUND(SUM(DATA!T:T)*(20*0.888*1.5+9*1.208*0.95)/1000,3)</f>
        <v>0</v>
      </c>
      <c r="G30" s="30"/>
      <c r="H30" s="30"/>
    </row>
    <row r="31" spans="1:8" x14ac:dyDescent="0.3">
      <c r="A31" s="65" t="s">
        <v>155</v>
      </c>
      <c r="B31" s="65" t="s">
        <v>156</v>
      </c>
      <c r="C31" s="15" t="s">
        <v>129</v>
      </c>
      <c r="D31" s="66">
        <v>92500</v>
      </c>
      <c r="E31" s="67">
        <f>ROUND(SUM(F31:G31),3)</f>
        <v>0</v>
      </c>
      <c r="F31" s="30">
        <f>+ROUND(COUNTIFS(DATA!AG:AG,"30 adet L=2m Ø12 Demir montajı yapıldı.")*30*0.888*2/1000,3)</f>
        <v>0</v>
      </c>
      <c r="G31" s="30"/>
      <c r="H31" s="30"/>
    </row>
    <row r="32" spans="1:8" x14ac:dyDescent="0.3">
      <c r="A32" s="65" t="s">
        <v>157</v>
      </c>
      <c r="B32" s="65" t="s">
        <v>158</v>
      </c>
      <c r="C32" s="15" t="s">
        <v>129</v>
      </c>
      <c r="D32" s="66">
        <v>97333</v>
      </c>
      <c r="E32" s="67">
        <f>ROUND(SUM(F32:H32),3)</f>
        <v>2.2189999999999999</v>
      </c>
      <c r="F32" s="30">
        <f>ROUND(SUM(DATA!T:T)*0.195718,3)</f>
        <v>0</v>
      </c>
      <c r="G32" s="30">
        <f>ROUND(SUM(DATA!S:S)*0.11171,3)</f>
        <v>1.2290000000000001</v>
      </c>
      <c r="H32" s="30">
        <f>+SUM('AYNA TAKİP'!L:L)</f>
        <v>0.98982599999999987</v>
      </c>
    </row>
    <row r="33" spans="1:8" x14ac:dyDescent="0.3">
      <c r="A33" s="65" t="s">
        <v>159</v>
      </c>
      <c r="B33" s="65" t="s">
        <v>160</v>
      </c>
      <c r="C33" s="15" t="s">
        <v>161</v>
      </c>
      <c r="D33" s="66">
        <v>150</v>
      </c>
      <c r="E33" s="69"/>
      <c r="F33" s="30"/>
      <c r="G33" s="30"/>
      <c r="H33" s="30"/>
    </row>
    <row r="34" spans="1:8" x14ac:dyDescent="0.3">
      <c r="A34" s="65" t="s">
        <v>162</v>
      </c>
      <c r="B34" s="65" t="s">
        <v>163</v>
      </c>
      <c r="C34" s="15" t="s">
        <v>161</v>
      </c>
      <c r="D34" s="66">
        <v>180</v>
      </c>
      <c r="E34" s="69"/>
      <c r="F34" s="30"/>
      <c r="G34" s="30"/>
      <c r="H34" s="30"/>
    </row>
    <row r="35" spans="1:8" x14ac:dyDescent="0.3">
      <c r="E35" s="71">
        <f>+SUMPRODUCT(D5:D34,E5:E34)</f>
        <v>2284549.4590000003</v>
      </c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6</vt:i4>
      </vt:variant>
    </vt:vector>
  </HeadingPairs>
  <TitlesOfParts>
    <vt:vector size="15" baseType="lpstr">
      <vt:lpstr>TUTANAK</vt:lpstr>
      <vt:lpstr>KAZI-İKSA</vt:lpstr>
      <vt:lpstr>BULON</vt:lpstr>
      <vt:lpstr>UMBRELLA ARCH</vt:lpstr>
      <vt:lpstr>ZEMİN ÇİVİSİ</vt:lpstr>
      <vt:lpstr>AYNA</vt:lpstr>
      <vt:lpstr>DATA</vt:lpstr>
      <vt:lpstr>AYNA TAKİP</vt:lpstr>
      <vt:lpstr>Kontrol</vt:lpstr>
      <vt:lpstr>AYNA!Yazdırma_Alanı</vt:lpstr>
      <vt:lpstr>BULON!Yazdırma_Alanı</vt:lpstr>
      <vt:lpstr>'KAZI-İKSA'!Yazdırma_Alanı</vt:lpstr>
      <vt:lpstr>TUTANAK!Yazdırma_Alanı</vt:lpstr>
      <vt:lpstr>'UMBRELLA ARCH'!Yazdırma_Alanı</vt:lpstr>
      <vt:lpstr>'ZEMİN ÇİVİSİ'!Yazdırma_Alanı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2026-05-20T08:02:08Z</cp:lastPrinted>
  <dcterms:created xsi:type="dcterms:W3CDTF">2015-06-05T18:19:34Z</dcterms:created>
  <dcterms:modified xsi:type="dcterms:W3CDTF">2026-05-20T08:02:13Z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2026-04-01T11:51:13Z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abfd0aad-6cef-409e-acc4-c357a2adc2a9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