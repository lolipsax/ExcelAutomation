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CB6B5832-CEF3-41F3-98BE-74AD637F11BE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r:id="rId2"/>
    <sheet name="BULON" sheetId="9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BULON!$C$1:$I$66</definedName>
    <definedName name="_xlnm.Print_Area" localSheetId="1">'KAZI-İKSA'!$A$1:$I$99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7" i="1" l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177" i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44" i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24" i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05" i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G8" i="13" l="1"/>
  <c r="E18" i="13"/>
  <c r="E32" i="13"/>
  <c r="F8" i="13"/>
  <c r="E8" i="13" s="1"/>
  <c r="F5" i="13"/>
  <c r="G5" i="13"/>
  <c r="L31" i="12"/>
  <c r="L22" i="12"/>
  <c r="L15" i="12"/>
  <c r="L8" i="12"/>
  <c r="L5" i="12"/>
  <c r="E5" i="13" l="1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0" i="2"/>
  <c r="D11" i="2" s="1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E35" i="13" s="1"/>
  <c r="H6" i="10"/>
  <c r="I6" i="6"/>
  <c r="I6" i="9"/>
  <c r="H6" i="11"/>
  <c r="C9" i="4"/>
  <c r="M4" i="2" a="1"/>
  <c r="M4" i="2" s="1"/>
  <c r="A4" i="4" l="1"/>
  <c r="A25" i="2"/>
  <c r="C4" i="10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Rahman BASAK</author>
  </authors>
  <commentList>
    <comment ref="M99" authorId="0" shapeId="0" xr:uid="{DE49804F-BB50-4893-9B02-F9EC116FDB21}">
      <text>
        <r>
          <rPr>
            <b/>
            <sz val="9"/>
            <color indexed="81"/>
            <rFont val="Tahoma"/>
            <family val="2"/>
            <charset val="162"/>
          </rPr>
          <t>Rahman BASAK:</t>
        </r>
        <r>
          <rPr>
            <sz val="9"/>
            <color indexed="81"/>
            <rFont val="Tahoma"/>
            <family val="2"/>
            <charset val="162"/>
          </rPr>
          <t xml:space="preserve">
0,54</t>
        </r>
      </text>
    </comment>
    <comment ref="M100" authorId="0" shapeId="0" xr:uid="{63552EDD-0AD2-4038-BD7A-A0652AB07E1B}">
      <text>
        <r>
          <rPr>
            <b/>
            <sz val="9"/>
            <color indexed="81"/>
            <rFont val="Tahoma"/>
            <family val="2"/>
            <charset val="162"/>
          </rPr>
          <t>Rahman BASAK:</t>
        </r>
        <r>
          <rPr>
            <sz val="9"/>
            <color indexed="81"/>
            <rFont val="Tahoma"/>
            <family val="2"/>
            <charset val="162"/>
          </rPr>
          <t xml:space="preserve">
0,54</t>
        </r>
      </text>
    </comment>
    <comment ref="M101" authorId="0" shapeId="0" xr:uid="{9455B2ED-16B8-4339-AE1C-0E4462012506}">
      <text>
        <r>
          <rPr>
            <b/>
            <sz val="9"/>
            <color indexed="81"/>
            <rFont val="Tahoma"/>
            <family val="2"/>
            <charset val="162"/>
          </rPr>
          <t>Rahman BASAK:</t>
        </r>
        <r>
          <rPr>
            <sz val="9"/>
            <color indexed="81"/>
            <rFont val="Tahoma"/>
            <family val="2"/>
            <charset val="162"/>
          </rPr>
          <t xml:space="preserve">
0,30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<sst xmlns="http://schemas.openxmlformats.org/spreadsheetml/2006/main" count="2930" uniqueCount="232">
  <si>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</si>
  <si>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</si>
  <si>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</si>
  <si>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</si>
  <si>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</si>
  <si>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</si>
  <si>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</si>
  <si>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</si>
  <si>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</si>
  <si>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</si>
  <si>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</si>
  <si>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</si>
  <si>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</si>
  <si>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</si>
  <si>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</si>
  <si>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</si>
  <si>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</si>
  <si>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</si>
  <si>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</si>
  <si>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</si>
  <si>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</si>
  <si>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</si>
  <si>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</si>
  <si>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</si>
  <si>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</si>
  <si>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</si>
  <si>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</si>
  <si>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</si>
  <si>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</si>
  <si>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</si>
  <si>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</si>
  <si>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</si>
  <si>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</si>
  <si>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</si>
  <si>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</si>
  <si>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</si>
  <si>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</si>
  <si>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</si>
  <si>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</si>
  <si>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</si>
  <si>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</si>
  <si>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</si>
  <si>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</si>
  <si>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</si>
  <si>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</si>
  <si>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</si>
  <si>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</si>
  <si>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</si>
  <si>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</si>
  <si>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</si>
  <si>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</si>
  <si>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</si>
  <si>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</si>
  <si>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</si>
  <si>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</si>
  <si>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</si>
  <si>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</si>
  <si>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</si>
  <si>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</si>
  <si>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</si>
  <si>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</si>
  <si>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</si>
  <si>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</si>
  <si>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</si>
  <si>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</si>
  <si>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</si>
  <si>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</si>
  <si>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</si>
  <si>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</si>
  <si>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</si>
  <si>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</si>
  <si>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</si>
  <si>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</si>
  <si>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</si>
  <si>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</si>
  <si>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İksa, Püskürtme Betonu Ve Hasır Çelik İcmali</t>
  </si>
  <si>
    <t>Bulon İcmali</t>
  </si>
  <si>
    <t>Zemin Çivisi İcmali</t>
  </si>
  <si>
    <t>Tünel Ayna İcmali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</si>
  <si>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</si>
  <si>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</si>
  <si>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</si>
  <si>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</si>
  <si>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</si>
  <si>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</si>
  <si>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</si>
  <si>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</si>
  <si>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</si>
  <si>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</si>
  <si>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</si>
  <si>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</si>
  <si>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</si>
  <si>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</si>
  <si>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</si>
  <si>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</si>
  <si>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</si>
  <si>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</si>
  <si>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</si>
  <si>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</si>
  <si>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</si>
  <si>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</si>
  <si>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</si>
  <si>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</si>
  <si>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</si>
  <si>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</si>
  <si>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</si>
  <si>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</si>
  <si>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</si>
  <si>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</si>
  <si>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</si>
  <si>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</si>
  <si>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</si>
  <si>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</si>
  <si>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</si>
  <si>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</si>
  <si>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</si>
  <si>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</si>
  <si>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</si>
  <si>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</si>
  <si>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</si>
  <si>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</si>
  <si>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</si>
  <si>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</si>
  <si>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</si>
  <si>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</si>
  <si>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</si>
  <si>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</si>
  <si>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</si>
  <si>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</si>
  <si>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</si>
  <si>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</si>
  <si>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</si>
  <si>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</si>
  <si>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</si>
  <si>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</si>
  <si>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</si>
  <si>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</si>
  <si>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</si>
  <si>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</si>
  <si>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</si>
  <si>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</si>
  <si>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</si>
  <si>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</si>
  <si>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</si>
  <si>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</si>
  <si>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</si>
  <si>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</si>
  <si>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</si>
  <si>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</si>
  <si>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</si>
  <si>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</si>
  <si>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</si>
  <si>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</si>
  <si>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</si>
  <si>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</si>
  <si>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</si>
  <si>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</si>
  <si>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</si>
  <si>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</si>
  <si>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</si>
  <si>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</si>
  <si>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</si>
  <si>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</si>
  <si>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</si>
  <si>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</si>
  <si>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</si>
  <si>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</si>
  <si>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</si>
  <si>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</si>
  <si>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(boş)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</si>
  <si>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</si>
  <si>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</si>
  <si>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</si>
  <si>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</si>
  <si>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</si>
  <si>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</si>
  <si>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</si>
  <si>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</si>
  <si>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</si>
  <si>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</si>
  <si>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</si>
  <si>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2026.03-006</t>
  </si>
  <si>
    <t>S06.H1.KY.P1.A3.002</t>
  </si>
  <si>
    <t>KAZI-PÜS-H.ÇELİK</t>
  </si>
  <si>
    <t>S06-Barbaros İstasyonu</t>
  </si>
  <si>
    <t>Hat-1 KY</t>
  </si>
  <si>
    <t>3.Aşama</t>
  </si>
  <si>
    <t>Alt Yarı</t>
  </si>
  <si>
    <t>KDO-NATM-S06-1166</t>
  </si>
  <si>
    <t>S06.H1.KY.P1.A3.001</t>
  </si>
  <si>
    <t>KDO-NATM-S06-1013</t>
  </si>
  <si>
    <t>KDO-NATM-S06-1167</t>
  </si>
  <si>
    <t>KDO-NATM-S06-1159</t>
  </si>
  <si>
    <t>KDO-NATM-S06-1154</t>
  </si>
  <si>
    <t>KDO-NATM-S06-1148</t>
  </si>
  <si>
    <t>KDO-NATM-S06-1143</t>
  </si>
  <si>
    <t>KDO-NATM-S06-1139</t>
  </si>
  <si>
    <t>KDO-NATM-S06-1135</t>
  </si>
  <si>
    <t>KDO-NATM-S06-1134</t>
  </si>
  <si>
    <t>KDO-NATM-S06-1126</t>
  </si>
  <si>
    <t>KDO-NATM-S06-1122</t>
  </si>
  <si>
    <t>KDO-NATM-S06-1117</t>
  </si>
  <si>
    <t>KDO-NATM-S06-1110</t>
  </si>
  <si>
    <t>KDO-NATM-S06-1109</t>
  </si>
  <si>
    <t>KDO-NATM-S06-1100</t>
  </si>
  <si>
    <t>KDO-NATM-S06-1096</t>
  </si>
  <si>
    <t>KDO-NATM-S06-1092</t>
  </si>
  <si>
    <t>KDO-NATM-S06-1087</t>
  </si>
  <si>
    <t>KDO-NATM-S06-1081</t>
  </si>
  <si>
    <t>KDO-NATM-S06-1072</t>
  </si>
  <si>
    <t>KDO-NATM-S06-1067</t>
  </si>
  <si>
    <t>KDO-NATM-S06-1062</t>
  </si>
  <si>
    <t>KDO-NATM-S06-1055</t>
  </si>
  <si>
    <t>2026.02-008</t>
  </si>
  <si>
    <t>KDO-NATM-S06-1046</t>
  </si>
  <si>
    <t>KDO-NATM-S06-1042</t>
  </si>
  <si>
    <t>KDO-NATM-S06-1034</t>
  </si>
  <si>
    <t>KDO-NATM-S06-1028</t>
  </si>
  <si>
    <t>KDO-NATM-S06-1022</t>
  </si>
  <si>
    <t>KDO-NATM-S06-1012</t>
  </si>
  <si>
    <t>1242,56 Kör Ayna</t>
  </si>
  <si>
    <t>TBT-NATM-S06-204</t>
  </si>
  <si>
    <t>TBT-NATM-S06-232</t>
  </si>
  <si>
    <t>TBT-NATM-S06-233</t>
  </si>
  <si>
    <t>TBT-NATM-S06-234</t>
  </si>
  <si>
    <t>2026.04-003</t>
  </si>
  <si>
    <t>S06.H1.KY.P1.A3.003</t>
  </si>
  <si>
    <t>KDO-NATM-S06-1171</t>
  </si>
  <si>
    <t>KDO-NATM-S06-1200</t>
  </si>
  <si>
    <t>KDO-NATM-S06-1204</t>
  </si>
  <si>
    <t>TBT-NATM-S06-241</t>
  </si>
  <si>
    <t>TBT-NATM-S06-242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</si>
</sst>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08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" fillId="0" borderId="1" xfId="0" pivotButton="1" applyFont="1" applyBorder="1" applyAlignment="1">
      <alignment horizontal="center" vertical="center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indent="2"/>
    </xf>
    <xf numFmtId="0" fontId="4" fillId="0" borderId="0" xfId="0" applyFont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pivotButton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8" xfId="0" applyBorder="1"/>
    <xf numFmtId="168" fontId="1" fillId="0" borderId="0" xfId="0" applyNumberFormat="1" applyFont="1"/>
    <xf numFmtId="0" fontId="3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8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8" fillId="0" borderId="1" xfId="0" applyNumberFormat="1" applyFont="1" applyBorder="1"/>
    <xf numFmtId="0" fontId="8" fillId="0" borderId="0" xfId="0" applyFont="1"/>
    <xf numFmtId="167" fontId="0" fillId="0" borderId="0" xfId="0" applyNumberFormat="1" applyAlignment="1">
      <alignment horizontal="left"/>
    </xf>
    <xf numFmtId="0" fontId="1" fillId="0" borderId="1" xfId="0" applyFont="1" applyBorder="1" applyAlignment="1">
      <alignment horizontal="right"/>
    </xf>
    <xf numFmtId="167" fontId="0" fillId="6" borderId="3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1" xfId="0" applyNumberForma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9" fontId="0" fillId="0" borderId="0" xfId="0" applyNumberFormat="1" applyAlignment="1">
      <alignment horizontal="left" indent="1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Virgül" xfId="1" builtinId="3"/>
  </cellStyles>
  <dxfs count="76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5.xml"/><Relationship Id="rId26" Type="http://schemas.microsoft.com/office/2007/relationships/slicerCache" Target="slicerCaches/slicerCache13.xml"/><Relationship Id="rId3" Type="http://schemas.openxmlformats.org/officeDocument/2006/relationships/worksheet" Target="worksheets/sheet3.xml"/><Relationship Id="rId21" Type="http://schemas.microsoft.com/office/2007/relationships/slicerCache" Target="slicerCaches/slicerCache8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4.xml"/><Relationship Id="rId25" Type="http://schemas.microsoft.com/office/2007/relationships/slicerCache" Target="slicerCaches/slicerCache1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29" Type="http://schemas.microsoft.com/office/2007/relationships/slicerCache" Target="slicerCaches/slicerCache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microsoft.com/office/2007/relationships/slicerCache" Target="slicerCaches/slicerCache11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microsoft.com/office/2007/relationships/slicerCache" Target="slicerCaches/slicerCache10.xml"/><Relationship Id="rId28" Type="http://schemas.microsoft.com/office/2007/relationships/slicerCache" Target="slicerCaches/slicerCache15.xml"/><Relationship Id="rId36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6.xml"/><Relationship Id="rId31" Type="http://schemas.microsoft.com/office/2007/relationships/slicerCache" Target="slicerCaches/slicerCache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microsoft.com/office/2007/relationships/slicerCache" Target="slicerCaches/slicerCache9.xml"/><Relationship Id="rId27" Type="http://schemas.microsoft.com/office/2007/relationships/slicerCache" Target="slicerCaches/slicerCache14.xml"/><Relationship Id="rId30" Type="http://schemas.microsoft.com/office/2007/relationships/slicerCache" Target="slicerCaches/slicerCache17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18</xdr:row>
      <xdr:rowOff>173820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67</xdr:row>
      <xdr:rowOff>19975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69</xdr:row>
      <xdr:rowOff>42808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59</xdr:row>
      <xdr:rowOff>127187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35</xdr:row>
      <xdr:rowOff>133623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35</xdr:row>
      <xdr:rowOff>133622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666090393519" createdVersion="8" refreshedVersion="8" minRefreshableVersion="3" recordCount="214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7">
        <s v="2026.03-006"/>
        <m/>
        <s v="2026.02-008"/>
        <s v="2026.04-003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7">
        <s v="S06.H1.KY.P1.A3.002"/>
        <s v="S06.H1.KY.P1.A3.001"/>
        <m/>
        <s v="S06.H1.KY.P1.A3.003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SÜREN" u="1"/>
        <s v="ZEMİN ÇİVİSİ" u="1"/>
        <s v="BULON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96">
        <s v="KDO-NATM-S06-1166"/>
        <s v="KDO-NATM-S06-1013"/>
        <s v="KDO-NATM-S06-1167"/>
        <s v="KDO-NATM-S06-1159"/>
        <s v="KDO-NATM-S06-1154"/>
        <s v="KDO-NATM-S06-1148"/>
        <s v="KDO-NATM-S06-1143"/>
        <s v="KDO-NATM-S06-1139"/>
        <s v="KDO-NATM-S06-1135"/>
        <s v="KDO-NATM-S06-1134"/>
        <s v="KDO-NATM-S06-1126"/>
        <s v="KDO-NATM-S06-1122"/>
        <s v="KDO-NATM-S06-1117"/>
        <s v="KDO-NATM-S06-1110"/>
        <s v="KDO-NATM-S06-1109"/>
        <s v="KDO-NATM-S06-1100"/>
        <s v="KDO-NATM-S06-1096"/>
        <s v="KDO-NATM-S06-1092"/>
        <s v="KDO-NATM-S06-1087"/>
        <s v="KDO-NATM-S06-1081"/>
        <s v="KDO-NATM-S06-1072"/>
        <s v="KDO-NATM-S06-1067"/>
        <s v="KDO-NATM-S06-1062"/>
        <s v="KDO-NATM-S06-1055"/>
        <s v="KDO-NATM-S06-1046"/>
        <s v="KDO-NATM-S06-1042"/>
        <s v="KDO-NATM-S06-1034"/>
        <s v="KDO-NATM-S06-1028"/>
        <s v="KDO-NATM-S06-1022"/>
        <s v="KDO-NATM-S06-1012"/>
        <m/>
        <s v="TBT-NATM-S06-204"/>
        <s v="TBT-NATM-S06-232"/>
        <s v="TBT-NATM-S06-233"/>
        <s v="TBT-NATM-S06-234"/>
        <s v="KDO-NATM-S06-1171"/>
        <s v="KDO-NATM-S06-1200"/>
        <s v="KDO-NATM-S06-1204"/>
        <s v="TBT-NATM-S06-241"/>
        <s v="TBT-NATM-S06-242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4-17T00:00:00" count="76">
        <d v="2026-03-31T00:00:00"/>
        <d v="2026-02-21T00:00:00"/>
        <d v="2026-03-30T00:00:00"/>
        <d v="2026-03-29T00:00:00"/>
        <d v="2026-03-28T00:00:00"/>
        <d v="2026-03-27T00:00:00"/>
        <d v="2026-03-26T00:00:00"/>
        <d v="2026-03-25T00:00:00"/>
        <d v="2026-03-23T00:00:00"/>
        <d v="2026-03-17T00:00:00"/>
        <d v="2026-03-16T00:00:00"/>
        <d v="2026-03-15T00:00:00"/>
        <d v="2026-03-13T00:00:00"/>
        <d v="2026-03-12T00:00:00"/>
        <d v="2026-03-11T00:00:00"/>
        <d v="2026-03-10T00:00:00"/>
        <d v="2026-03-09T00:00:00"/>
        <d v="2026-03-07T00:00:00"/>
        <d v="2026-03-06T00:00:00"/>
        <d v="2026-03-05T00:00:00"/>
        <d v="2026-03-03T00:00:00"/>
        <d v="2026-02-28T00:00:00"/>
        <d v="2026-02-27T00:00:00"/>
        <d v="2026-02-25T00:00:00"/>
        <d v="2026-02-24T00:00:00"/>
        <d v="2026-02-23T00:00:00"/>
        <m/>
        <d v="2026-04-01T00:00:00"/>
        <d v="2026-04-15T00:00:00"/>
        <d v="2026-04-16T00:00:00"/>
        <d v="2026-04-07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30"/>
    </cacheField>
    <cacheField name="Kilometre" numFmtId="0">
      <sharedItems containsBlank="1" containsMixedTypes="1" containsNumber="1" minValue="1242.8599999999999" maxValue="2124.9299999999998" count="258">
        <n v="1308.44"/>
        <n v="1315.19"/>
        <n v="1314.44"/>
        <n v="1313.69"/>
        <n v="1312.94"/>
        <n v="1312.19"/>
        <n v="1311.44"/>
        <n v="1310.69"/>
        <n v="1309.94"/>
        <n v="1309.19"/>
        <n v="1307.69"/>
        <n v="1306.94"/>
        <n v="1306.19"/>
        <n v="1305.44"/>
        <n v="1304.69"/>
        <n v="1303.94"/>
        <n v="1303.19"/>
        <n v="1302.44"/>
        <n v="1301.69"/>
        <n v="1300.94"/>
        <n v="1300.19"/>
        <n v="1299.44"/>
        <n v="1298.69"/>
        <n v="1297.94"/>
        <n v="1297.19"/>
        <n v="1296.44"/>
        <n v="1295.69"/>
        <n v="1294.94"/>
        <n v="1294.19"/>
        <n v="1293.44"/>
        <n v="1292.69"/>
        <n v="1291.94"/>
        <n v="1291.19"/>
        <n v="1290.44"/>
        <n v="1289.69"/>
        <n v="1288.94"/>
        <n v="1288.19"/>
        <n v="1287.44"/>
        <n v="1286.69"/>
        <n v="1285.94"/>
        <n v="1285.19"/>
        <n v="1284.44"/>
        <n v="1283.69"/>
        <n v="1282.94"/>
        <n v="1282.19"/>
        <n v="1281.44"/>
        <n v="1280.69"/>
        <n v="1279.94"/>
        <n v="1279.19"/>
        <n v="1278.44"/>
        <n v="1277.69"/>
        <n v="1276.94"/>
        <n v="1276.19"/>
        <n v="1275.44"/>
        <n v="1274.69"/>
        <n v="1273.94"/>
        <n v="1273.19"/>
        <n v="1272.44"/>
        <n v="1271.69"/>
        <n v="1270.94"/>
        <n v="1270.19"/>
        <n v="1269.44"/>
        <n v="1268.69"/>
        <n v="1267.94"/>
        <n v="1267.19"/>
        <n v="1266.44"/>
        <n v="1265.69"/>
        <n v="1264.94"/>
        <n v="1264.19"/>
        <n v="1263.44"/>
        <n v="1262.69"/>
        <n v="1261.94"/>
        <n v="1261.19"/>
        <n v="1260.44"/>
        <n v="1259.69"/>
        <n v="1258.94"/>
        <n v="1258.19"/>
        <n v="1257.44"/>
        <n v="1256.69"/>
        <n v="1255.94"/>
        <n v="1255.19"/>
        <n v="1254.44"/>
        <n v="1253.69"/>
        <n v="1252.94"/>
        <n v="1252.19"/>
        <n v="1251.44"/>
        <n v="1250.69"/>
        <n v="1249.94"/>
        <n v="1249.19"/>
        <n v="1248.44"/>
        <n v="1247.69"/>
        <n v="1246.94"/>
        <n v="1246.19"/>
        <n v="1245.44"/>
        <n v="1244.69"/>
        <n v="1243.94"/>
        <n v="1243.4000000000001"/>
        <n v="1242.8599999999999"/>
        <s v="1242,56 Kör Ayna"/>
        <m/>
        <n v="1255.57"/>
        <n v="1254.82"/>
        <n v="1254.07"/>
        <n v="1253.32"/>
        <n v="1252.57"/>
        <n v="1251.82"/>
        <n v="1251.07"/>
        <n v="1250.32"/>
        <n v="1249.57"/>
        <n v="1248.82"/>
        <n v="1248.07"/>
        <n v="1247.32"/>
        <n v="1246.57"/>
        <n v="1245.82"/>
        <n v="1245.07"/>
        <n v="1244.32"/>
        <n v="1243.67"/>
        <n v="1243.1300000000001"/>
        <n v="1285.57"/>
        <n v="1284.82"/>
        <n v="1284.07"/>
        <n v="1283.32"/>
        <n v="1282.57"/>
        <n v="1281.82"/>
        <n v="1281.07"/>
        <n v="1280.32"/>
        <n v="1279.57"/>
        <n v="1278.82"/>
        <n v="1278.07"/>
        <n v="1277.32"/>
        <n v="1276.57"/>
        <n v="1275.82"/>
        <n v="1275.07"/>
        <n v="1274.32"/>
        <n v="1273.57"/>
        <n v="1272.82"/>
        <n v="1272.07"/>
        <n v="1271.32"/>
        <n v="1270.57"/>
        <n v="1269.82"/>
        <n v="1269.07"/>
        <n v="1268.32"/>
        <n v="1267.57"/>
        <n v="1266.82"/>
        <n v="1266.07"/>
        <n v="1265.32"/>
        <n v="1264.57"/>
        <n v="1263.82"/>
        <n v="1263.07"/>
        <n v="1262.32"/>
        <n v="1261.57"/>
        <n v="1260.82"/>
        <n v="1260.07"/>
        <n v="1259.32"/>
        <n v="1258.57"/>
        <n v="1257.82"/>
        <n v="1257.07"/>
        <n v="1310.32"/>
        <n v="1309.57"/>
        <n v="1308.82"/>
        <n v="1308.07"/>
        <n v="1307.32"/>
        <n v="1306.57"/>
        <n v="1305.82"/>
        <n v="1305.07"/>
        <n v="1304.32"/>
        <n v="1303.57"/>
        <n v="1302.82"/>
        <n v="1302.07"/>
        <n v="1301.32"/>
        <n v="1300.57"/>
        <n v="1299.82"/>
        <n v="1299.07"/>
        <n v="1298.32"/>
        <n v="1297.57"/>
        <n v="1296.82"/>
        <n v="1296.07"/>
        <n v="1295.32"/>
        <n v="1294.57"/>
        <n v="1293.82"/>
        <n v="1293.07"/>
        <n v="1292.32"/>
        <n v="1291.57"/>
        <n v="1290.82"/>
        <n v="1290.07"/>
        <n v="1289.32"/>
        <n v="1288.57"/>
        <n v="1287.82"/>
        <n v="1287.07"/>
        <n v="1286.32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Gün (Tarih)" numFmtId="0" databaseField="0">
      <fieldGroup base="11">
        <rangePr groupBy="days" startDate="2026-02-21T00:00:00" endDate="2026-04-17T00:00:00"/>
        <groupItems count="368">
          <s v="&lt;21.02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7.04.2026"/>
        </groupItems>
      </fieldGroup>
    </cacheField>
    <cacheField name="Ay (Tarih)" numFmtId="0" databaseField="0">
      <fieldGroup base="11">
        <rangePr groupBy="months" startDate="2026-02-21T00:00:00" endDate="2026-04-17T00:00:00"/>
        <groupItems count="14">
          <s v="&lt;21.02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7.04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9.472563657408" createdVersion="8" refreshedVersion="8" minRefreshableVersion="3" recordCount="214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7">
        <s v="2026.03-006"/>
        <m/>
        <s v="2026.02-008"/>
        <s v="2026.04-003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7">
        <s v="S06.H1.KY.P1.A3.002"/>
        <s v="S06.H1.KY.P1.A3.001"/>
        <m/>
        <s v="S06.H1.KY.P1.A3.003"/>
        <n v="1" u="1"/>
        <n v="2" u="1"/>
        <n v="3" u="1"/>
      </sharedItems>
    </cacheField>
    <cacheField name="Kazı Boyu için Kullan" numFmtId="0">
      <sharedItems containsBlank="1" count="3">
        <b v="0"/>
        <m/>
        <b v="1" u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SÜREN" u="1"/>
        <s v="ZEMİN ÇİVİSİ" u="1"/>
        <s v="BULON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08">
        <s v="KDO-NATM-S06-1166"/>
        <s v="KDO-NATM-S06-1013"/>
        <s v="KDO-NATM-S06-1167"/>
        <s v="KDO-NATM-S06-1159"/>
        <s v="KDO-NATM-S06-1154"/>
        <s v="KDO-NATM-S06-1148"/>
        <s v="KDO-NATM-S06-1143"/>
        <s v="KDO-NATM-S06-1139"/>
        <s v="KDO-NATM-S06-1135"/>
        <s v="KDO-NATM-S06-1134"/>
        <s v="KDO-NATM-S06-1126"/>
        <s v="KDO-NATM-S06-1122"/>
        <s v="KDO-NATM-S06-1117"/>
        <s v="KDO-NATM-S06-1110"/>
        <s v="KDO-NATM-S06-1109"/>
        <s v="KDO-NATM-S06-1100"/>
        <s v="KDO-NATM-S06-1096"/>
        <s v="KDO-NATM-S06-1092"/>
        <s v="KDO-NATM-S06-1087"/>
        <s v="KDO-NATM-S06-1081"/>
        <s v="KDO-NATM-S06-1072"/>
        <s v="KDO-NATM-S06-1067"/>
        <s v="KDO-NATM-S06-1062"/>
        <s v="KDO-NATM-S06-1055"/>
        <s v="KDO-NATM-S06-1046"/>
        <s v="KDO-NATM-S06-1042"/>
        <s v="KDO-NATM-S06-1034"/>
        <s v="KDO-NATM-S06-1028"/>
        <s v="KDO-NATM-S06-1022"/>
        <s v="KDO-NATM-S06-1012"/>
        <m/>
        <s v="TBT-NATM-S06-204"/>
        <s v="TBT-NATM-S06-232"/>
        <s v="TBT-NATM-S06-233"/>
        <s v="TBT-NATM-S06-234"/>
        <s v="KDO-NATM-S06-1171"/>
        <s v="KDO-NATM-S06-1200"/>
        <s v="KDO-NATM-S06-1204"/>
        <s v="TBT-NATM-S06-241"/>
        <s v="TBT-NATM-S06-242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4-17T00:00:00" count="76">
        <d v="2026-03-31T00:00:00"/>
        <d v="2026-02-21T00:00:00"/>
        <d v="2026-03-30T00:00:00"/>
        <d v="2026-03-29T00:00:00"/>
        <d v="2026-03-28T00:00:00"/>
        <d v="2026-03-27T00:00:00"/>
        <d v="2026-03-26T00:00:00"/>
        <d v="2026-03-25T00:00:00"/>
        <d v="2026-03-23T00:00:00"/>
        <d v="2026-03-17T00:00:00"/>
        <d v="2026-03-16T00:00:00"/>
        <d v="2026-03-15T00:00:00"/>
        <d v="2026-03-13T00:00:00"/>
        <d v="2026-03-12T00:00:00"/>
        <d v="2026-03-11T00:00:00"/>
        <d v="2026-03-10T00:00:00"/>
        <d v="2026-03-09T00:00:00"/>
        <d v="2026-03-07T00:00:00"/>
        <d v="2026-03-06T00:00:00"/>
        <d v="2026-03-05T00:00:00"/>
        <d v="2026-03-03T00:00:00"/>
        <d v="2026-02-28T00:00:00"/>
        <d v="2026-02-27T00:00:00"/>
        <d v="2026-02-25T00:00:00"/>
        <d v="2026-02-24T00:00:00"/>
        <d v="2026-02-23T00:00:00"/>
        <m/>
        <d v="2026-04-01T00:00:00"/>
        <d v="2026-04-15T00:00:00"/>
        <d v="2026-04-16T00:00:00"/>
        <d v="2026-04-07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21"/>
    </cacheField>
    <cacheField name="Kilometre" numFmtId="0">
      <sharedItems containsBlank="1" containsMixedTypes="1" containsNumber="1" minValue="1242.8599999999999" maxValue="2124.9299999999998" count="258">
        <n v="1308.44"/>
        <n v="1315.19"/>
        <n v="1314.44"/>
        <n v="1313.69"/>
        <n v="1312.94"/>
        <n v="1312.19"/>
        <n v="1311.44"/>
        <n v="1310.69"/>
        <n v="1309.94"/>
        <n v="1309.19"/>
        <n v="1307.69"/>
        <n v="1306.94"/>
        <n v="1306.19"/>
        <n v="1305.44"/>
        <n v="1304.69"/>
        <n v="1303.94"/>
        <n v="1303.19"/>
        <n v="1302.44"/>
        <n v="1301.69"/>
        <n v="1300.94"/>
        <n v="1300.19"/>
        <n v="1299.44"/>
        <n v="1298.69"/>
        <n v="1297.94"/>
        <n v="1297.19"/>
        <n v="1296.44"/>
        <n v="1295.69"/>
        <n v="1294.94"/>
        <n v="1294.19"/>
        <n v="1293.44"/>
        <n v="1292.69"/>
        <n v="1291.94"/>
        <n v="1291.19"/>
        <n v="1290.44"/>
        <n v="1289.69"/>
        <n v="1288.94"/>
        <n v="1288.19"/>
        <n v="1287.44"/>
        <n v="1286.69"/>
        <n v="1285.94"/>
        <n v="1285.19"/>
        <n v="1284.44"/>
        <n v="1283.69"/>
        <n v="1282.94"/>
        <n v="1282.19"/>
        <n v="1281.44"/>
        <n v="1280.69"/>
        <n v="1279.94"/>
        <n v="1279.19"/>
        <n v="1278.44"/>
        <n v="1277.69"/>
        <n v="1276.94"/>
        <n v="1276.19"/>
        <n v="1275.44"/>
        <n v="1274.69"/>
        <n v="1273.94"/>
        <n v="1273.19"/>
        <n v="1272.44"/>
        <n v="1271.69"/>
        <n v="1270.94"/>
        <n v="1270.19"/>
        <n v="1269.44"/>
        <n v="1268.69"/>
        <n v="1267.94"/>
        <n v="1267.19"/>
        <n v="1266.44"/>
        <n v="1265.69"/>
        <n v="1264.94"/>
        <n v="1264.19"/>
        <n v="1263.44"/>
        <n v="1262.69"/>
        <n v="1261.94"/>
        <n v="1261.19"/>
        <n v="1260.44"/>
        <n v="1259.69"/>
        <n v="1258.94"/>
        <n v="1258.19"/>
        <n v="1257.44"/>
        <n v="1256.69"/>
        <n v="1255.94"/>
        <n v="1255.19"/>
        <n v="1254.44"/>
        <n v="1253.69"/>
        <n v="1252.94"/>
        <n v="1252.19"/>
        <n v="1251.44"/>
        <n v="1250.69"/>
        <n v="1249.94"/>
        <n v="1249.19"/>
        <n v="1248.44"/>
        <n v="1247.69"/>
        <n v="1246.94"/>
        <n v="1246.19"/>
        <n v="1245.44"/>
        <n v="1244.69"/>
        <n v="1243.94"/>
        <n v="1243.4000000000001"/>
        <n v="1242.8599999999999"/>
        <s v="1242,56 Kör Ayna"/>
        <m/>
        <n v="1255.57"/>
        <n v="1254.82"/>
        <n v="1254.07"/>
        <n v="1253.32"/>
        <n v="1252.57"/>
        <n v="1251.82"/>
        <n v="1251.07"/>
        <n v="1250.32"/>
        <n v="1249.57"/>
        <n v="1248.82"/>
        <n v="1248.07"/>
        <n v="1247.32"/>
        <n v="1246.57"/>
        <n v="1245.82"/>
        <n v="1245.07"/>
        <n v="1244.32"/>
        <n v="1243.67"/>
        <n v="1243.1300000000001"/>
        <n v="1285.57"/>
        <n v="1284.82"/>
        <n v="1284.07"/>
        <n v="1283.32"/>
        <n v="1282.57"/>
        <n v="1281.82"/>
        <n v="1281.07"/>
        <n v="1280.32"/>
        <n v="1279.57"/>
        <n v="1278.82"/>
        <n v="1278.07"/>
        <n v="1277.32"/>
        <n v="1276.57"/>
        <n v="1275.82"/>
        <n v="1275.07"/>
        <n v="1274.32"/>
        <n v="1273.57"/>
        <n v="1272.82"/>
        <n v="1272.07"/>
        <n v="1271.32"/>
        <n v="1270.57"/>
        <n v="1269.82"/>
        <n v="1269.07"/>
        <n v="1268.32"/>
        <n v="1267.57"/>
        <n v="1266.82"/>
        <n v="1266.07"/>
        <n v="1265.32"/>
        <n v="1264.57"/>
        <n v="1263.82"/>
        <n v="1263.07"/>
        <n v="1262.32"/>
        <n v="1261.57"/>
        <n v="1260.82"/>
        <n v="1260.07"/>
        <n v="1259.32"/>
        <n v="1258.57"/>
        <n v="1257.82"/>
        <n v="1257.07"/>
        <n v="1310.32"/>
        <n v="1309.57"/>
        <n v="1308.82"/>
        <n v="1308.07"/>
        <n v="1307.32"/>
        <n v="1306.57"/>
        <n v="1305.82"/>
        <n v="1305.07"/>
        <n v="1304.32"/>
        <n v="1303.57"/>
        <n v="1302.82"/>
        <n v="1302.07"/>
        <n v="1301.32"/>
        <n v="1300.57"/>
        <n v="1299.82"/>
        <n v="1299.07"/>
        <n v="1298.32"/>
        <n v="1297.57"/>
        <n v="1296.82"/>
        <n v="1296.07"/>
        <n v="1295.32"/>
        <n v="1294.57"/>
        <n v="1293.82"/>
        <n v="1293.07"/>
        <n v="1292.32"/>
        <n v="1291.57"/>
        <n v="1290.82"/>
        <n v="1290.07"/>
        <n v="1289.32"/>
        <n v="1288.57"/>
        <n v="1287.82"/>
        <n v="1287.07"/>
        <n v="1286.32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containsInteger="1" minValue="1" maxValue="6" count="13">
        <s v="Umbrella-3"/>
        <m/>
        <s v="Umbrella-1"/>
        <s v="Umbrella-2"/>
        <s v="Umbrella-4"/>
        <s v="Umbrella-5"/>
        <s v="Umbrella-6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s v="Q589/589-Çift Kat"/>
        <m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s v="30 cm atıldı"/>
        <m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Gün (Tarih)" numFmtId="0" databaseField="0">
      <fieldGroup base="11">
        <rangePr groupBy="days" startDate="2026-02-21T00:00:00" endDate="2026-04-17T00:00:00"/>
        <groupItems count="368">
          <s v="&lt;21.02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7.04.2026"/>
        </groupItems>
      </fieldGroup>
    </cacheField>
    <cacheField name="Ay (Tarih)" numFmtId="0" databaseField="0">
      <fieldGroup base="11">
        <rangePr groupBy="months" startDate="2026-02-21T00:00:00" endDate="2026-04-17T00:00:00"/>
        <groupItems count="14">
          <s v="&lt;21.02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7.04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b v="0"/>
    <m/>
    <x v="0"/>
    <s v="S06-Barbaros İstasyonu"/>
    <s v="Hat-1 KY"/>
    <s v="P1"/>
    <s v="3.Aşama"/>
    <x v="0"/>
    <x v="0"/>
    <x v="0"/>
    <x v="0"/>
    <s v="KALICI"/>
    <s v="Umbrella-3"/>
    <s v="Tamamlandı"/>
    <s v="Q589/589-Çift Kat"/>
    <s v="30 cm atıldı"/>
    <m/>
    <m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1"/>
    <m/>
    <m/>
    <s v="Tamamlandı"/>
    <s v="Q589/589-Çift Kat"/>
    <s v="30 cm atıldı"/>
    <m/>
    <m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2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3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4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5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6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7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8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KY"/>
    <s v="P1"/>
    <s v="3.Aşama"/>
    <x v="0"/>
    <x v="1"/>
    <x v="1"/>
    <x v="9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0"/>
    <x v="0"/>
    <x v="0"/>
    <s v="KALICI"/>
    <s v="Umbrella-3"/>
    <s v="Tamamlandı"/>
    <s v="Q589/589-Çift Kat"/>
    <s v="30 cm atıldı"/>
    <m/>
    <m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0"/>
    <x v="0"/>
    <x v="10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0"/>
    <x v="0"/>
    <x v="11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0"/>
    <x v="0"/>
    <x v="12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0"/>
    <x v="0"/>
    <x v="13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"/>
    <x v="0"/>
    <x v="14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"/>
    <x v="0"/>
    <x v="15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3"/>
    <x v="2"/>
    <x v="16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3"/>
    <x v="2"/>
    <x v="17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3"/>
    <x v="2"/>
    <x v="18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4"/>
    <x v="3"/>
    <x v="19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4"/>
    <x v="3"/>
    <x v="20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4"/>
    <x v="3"/>
    <x v="21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5"/>
    <x v="4"/>
    <x v="22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5"/>
    <x v="4"/>
    <x v="23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5"/>
    <x v="4"/>
    <x v="24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6"/>
    <x v="5"/>
    <x v="25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6"/>
    <x v="5"/>
    <x v="26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6"/>
    <x v="5"/>
    <x v="27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7"/>
    <x v="6"/>
    <x v="28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7"/>
    <x v="6"/>
    <x v="29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7"/>
    <x v="6"/>
    <x v="30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8"/>
    <x v="7"/>
    <x v="31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8"/>
    <x v="7"/>
    <x v="32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8"/>
    <x v="7"/>
    <x v="33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9"/>
    <x v="7"/>
    <x v="34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9"/>
    <x v="7"/>
    <x v="35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9"/>
    <x v="7"/>
    <x v="36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0"/>
    <x v="8"/>
    <x v="37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0"/>
    <x v="8"/>
    <x v="38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0"/>
    <x v="8"/>
    <x v="39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1"/>
    <x v="9"/>
    <x v="40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1"/>
    <x v="9"/>
    <x v="41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1"/>
    <x v="9"/>
    <x v="42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2"/>
    <x v="10"/>
    <x v="43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2"/>
    <x v="10"/>
    <x v="44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2"/>
    <x v="10"/>
    <x v="45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3"/>
    <x v="11"/>
    <x v="46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3"/>
    <x v="11"/>
    <x v="47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3"/>
    <x v="11"/>
    <x v="48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4"/>
    <x v="11"/>
    <x v="49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4"/>
    <x v="11"/>
    <x v="50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4"/>
    <x v="11"/>
    <x v="51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5"/>
    <x v="12"/>
    <x v="52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5"/>
    <x v="12"/>
    <x v="53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5"/>
    <x v="12"/>
    <x v="54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6"/>
    <x v="13"/>
    <x v="55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6"/>
    <x v="13"/>
    <x v="56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6"/>
    <x v="13"/>
    <x v="57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7"/>
    <x v="14"/>
    <x v="58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7"/>
    <x v="14"/>
    <x v="59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7"/>
    <x v="14"/>
    <x v="60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8"/>
    <x v="15"/>
    <x v="61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8"/>
    <x v="15"/>
    <x v="62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8"/>
    <x v="15"/>
    <x v="63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9"/>
    <x v="16"/>
    <x v="64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9"/>
    <x v="16"/>
    <x v="65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19"/>
    <x v="16"/>
    <x v="66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0"/>
    <x v="17"/>
    <x v="67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0"/>
    <x v="17"/>
    <x v="68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0"/>
    <x v="17"/>
    <x v="69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1"/>
    <x v="18"/>
    <x v="70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1"/>
    <x v="18"/>
    <x v="71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1"/>
    <x v="18"/>
    <x v="72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2"/>
    <x v="19"/>
    <x v="73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2"/>
    <x v="19"/>
    <x v="74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2"/>
    <x v="19"/>
    <x v="75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3"/>
    <x v="20"/>
    <x v="76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3"/>
    <x v="20"/>
    <x v="77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23"/>
    <x v="20"/>
    <x v="78"/>
    <s v="KALICI"/>
    <s v="Umbrella-6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4"/>
    <x v="21"/>
    <x v="79"/>
    <s v="KALICI"/>
    <s v="Umbrella-1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4"/>
    <x v="21"/>
    <x v="80"/>
    <s v="KALICI"/>
    <s v="Umbrella-2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4"/>
    <x v="21"/>
    <x v="81"/>
    <s v="KALICI"/>
    <s v="Umbrella-3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5"/>
    <x v="22"/>
    <x v="82"/>
    <s v="KALICI"/>
    <s v="Umbrella-4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5"/>
    <x v="22"/>
    <x v="83"/>
    <s v="KALICI"/>
    <s v="Umbrella-5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5"/>
    <x v="22"/>
    <x v="84"/>
    <s v="KALICI"/>
    <s v="Umbrella-6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6"/>
    <x v="23"/>
    <x v="85"/>
    <s v="KALICI"/>
    <s v="Umbrella-1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6"/>
    <x v="23"/>
    <x v="86"/>
    <s v="KALICI"/>
    <s v="Umbrella-2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6"/>
    <x v="23"/>
    <x v="87"/>
    <s v="KALICI"/>
    <s v="Umbrella-3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7"/>
    <x v="24"/>
    <x v="88"/>
    <s v="KALICI"/>
    <s v="Umbrella-4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7"/>
    <x v="24"/>
    <x v="89"/>
    <s v="KALICI"/>
    <s v="Umbrella-5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7"/>
    <x v="24"/>
    <x v="90"/>
    <s v="KALICI"/>
    <s v="Umbrella-6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8"/>
    <x v="25"/>
    <x v="91"/>
    <s v="KALICI"/>
    <s v="Umbrella-1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8"/>
    <x v="25"/>
    <x v="92"/>
    <s v="KALICI"/>
    <s v="Umbrella-2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8"/>
    <x v="25"/>
    <x v="93"/>
    <s v="KALICI"/>
    <s v="Umbrella-3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9"/>
    <x v="1"/>
    <x v="94"/>
    <s v="KALICI"/>
    <s v="Umbrella-4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9"/>
    <x v="1"/>
    <x v="95"/>
    <s v="KALICI"/>
    <s v="Umbrella-5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9"/>
    <x v="1"/>
    <x v="96"/>
    <s v="KALICI"/>
    <s v="Umbrella-6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29"/>
    <x v="1"/>
    <x v="97"/>
    <s v="KALICI"/>
    <s v="Umbrella-6"/>
    <s v="Tamamlandı"/>
    <s v="Q589/589-Çift Kat"/>
    <s v="30 cm atıldı"/>
    <m/>
    <n v="1"/>
    <m/>
    <m/>
    <m/>
    <m/>
    <m/>
    <m/>
    <m/>
    <m/>
    <m/>
  </r>
  <r>
    <x v="2"/>
    <x v="1"/>
    <b v="0"/>
    <m/>
    <x v="0"/>
    <s v="S06-Barbaros İstasyonu"/>
    <s v="Hat-1 KY"/>
    <s v="P1"/>
    <s v="3.Aşama"/>
    <x v="0"/>
    <x v="1"/>
    <x v="1"/>
    <x v="98"/>
    <s v="KALICI"/>
    <s v="Umbrella-6"/>
    <s v="Tamamlandı"/>
    <s v="Q589/589-Çift Kat"/>
    <s v="30 cm atıldı"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31"/>
    <x v="14"/>
    <x v="100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1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2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3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4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5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6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7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8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09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0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1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2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3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4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5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6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1"/>
    <x v="14"/>
    <x v="117"/>
    <n v="0.75"/>
    <m/>
    <m/>
    <m/>
    <m/>
    <m/>
    <m/>
    <m/>
    <m/>
    <m/>
    <m/>
    <m/>
    <m/>
    <m/>
    <m/>
    <n v="3"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32"/>
    <x v="7"/>
    <x v="118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19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0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1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2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3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4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5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6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7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8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29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30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31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32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33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34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35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2"/>
    <x v="7"/>
    <x v="136"/>
    <n v="0.75"/>
    <m/>
    <m/>
    <m/>
    <m/>
    <m/>
    <m/>
    <m/>
    <m/>
    <m/>
    <m/>
    <m/>
    <m/>
    <m/>
    <m/>
    <n v="3"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33"/>
    <x v="7"/>
    <x v="137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38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39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0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1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2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3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4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5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6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7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8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49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50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51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52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53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54"/>
    <n v="0.75"/>
    <m/>
    <m/>
    <m/>
    <m/>
    <m/>
    <m/>
    <m/>
    <m/>
    <m/>
    <m/>
    <m/>
    <m/>
    <m/>
    <m/>
    <n v="3"/>
  </r>
  <r>
    <x v="0"/>
    <x v="0"/>
    <b v="0"/>
    <m/>
    <x v="0"/>
    <s v="S06-Barbaros İstasyonu"/>
    <s v="Hat-1 KY"/>
    <s v="P1"/>
    <s v="3.Aşama"/>
    <x v="0"/>
    <x v="33"/>
    <x v="7"/>
    <x v="155"/>
    <n v="0.75"/>
    <m/>
    <m/>
    <m/>
    <m/>
    <m/>
    <m/>
    <m/>
    <m/>
    <m/>
    <m/>
    <m/>
    <m/>
    <m/>
    <m/>
    <n v="3"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0"/>
    <x v="0"/>
    <b v="0"/>
    <m/>
    <x v="0"/>
    <s v="S06-Barbaros İstasyonu"/>
    <s v="Hat-1 KY"/>
    <s v="P1"/>
    <s v="3.Aşama"/>
    <x v="0"/>
    <x v="34"/>
    <x v="7"/>
    <x v="156"/>
    <n v="0.75"/>
    <m/>
    <m/>
    <m/>
    <m/>
    <m/>
    <m/>
    <m/>
    <m/>
    <m/>
    <m/>
    <m/>
    <m/>
    <m/>
    <m/>
    <n v="3"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5"/>
    <x v="27"/>
    <x v="0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5"/>
    <x v="27"/>
    <x v="9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5"/>
    <x v="27"/>
    <x v="8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6"/>
    <x v="28"/>
    <x v="7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6"/>
    <x v="28"/>
    <x v="6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6"/>
    <x v="28"/>
    <x v="5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7"/>
    <x v="29"/>
    <x v="4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7"/>
    <x v="29"/>
    <x v="3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7"/>
    <x v="29"/>
    <x v="2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7"/>
    <x v="29"/>
    <x v="1"/>
    <s v="KALICI"/>
    <m/>
    <s v="Tamamlandı"/>
    <s v="Q589/589-Çift Kat"/>
    <s v="30 cm atıldı"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8"/>
    <x v="30"/>
    <x v="157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58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59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0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1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2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3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4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5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6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7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8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69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70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71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72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73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74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8"/>
    <x v="30"/>
    <x v="175"/>
    <n v="0.75"/>
    <m/>
    <m/>
    <m/>
    <m/>
    <m/>
    <m/>
    <m/>
    <m/>
    <m/>
    <m/>
    <m/>
    <m/>
    <m/>
    <m/>
    <n v="3"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3"/>
    <x v="3"/>
    <b v="0"/>
    <m/>
    <x v="0"/>
    <s v="S06-Barbaros İstasyonu"/>
    <s v="Hat-1 KY"/>
    <s v="P1"/>
    <s v="3.Aşama"/>
    <x v="0"/>
    <x v="39"/>
    <x v="30"/>
    <x v="176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77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78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79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0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1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2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3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4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5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6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7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8"/>
    <n v="0.75"/>
    <m/>
    <m/>
    <m/>
    <m/>
    <m/>
    <m/>
    <m/>
    <m/>
    <m/>
    <m/>
    <m/>
    <m/>
    <m/>
    <m/>
    <n v="3"/>
  </r>
  <r>
    <x v="3"/>
    <x v="3"/>
    <b v="0"/>
    <m/>
    <x v="0"/>
    <s v="S06-Barbaros İstasyonu"/>
    <s v="Hat-1 KY"/>
    <s v="P1"/>
    <s v="3.Aşama"/>
    <x v="0"/>
    <x v="39"/>
    <x v="30"/>
    <x v="189"/>
    <n v="0.75"/>
    <m/>
    <m/>
    <m/>
    <m/>
    <m/>
    <m/>
    <m/>
    <m/>
    <m/>
    <m/>
    <m/>
    <m/>
    <m/>
    <m/>
    <n v="3"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  <r>
    <x v="1"/>
    <x v="2"/>
    <m/>
    <m/>
    <x v="1"/>
    <m/>
    <m/>
    <m/>
    <m/>
    <x v="1"/>
    <x v="30"/>
    <x v="26"/>
    <x v="99"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x v="0"/>
    <m/>
    <x v="0"/>
    <s v="S06-Barbaros İstasyonu"/>
    <s v="Hat-1 KY"/>
    <s v="P1"/>
    <s v="3.Aşama"/>
    <x v="0"/>
    <x v="0"/>
    <x v="0"/>
    <x v="0"/>
    <s v="KALICI"/>
    <x v="0"/>
    <s v="Tamamlandı"/>
    <x v="0"/>
    <x v="0"/>
    <m/>
    <m/>
  </r>
  <r>
    <x v="1"/>
    <x v="1"/>
    <x v="0"/>
    <m/>
    <x v="0"/>
    <s v="S06-Barbaros İstasyonu"/>
    <s v="Hat-1 KY"/>
    <s v="P1"/>
    <s v="3.Aşama"/>
    <x v="0"/>
    <x v="1"/>
    <x v="1"/>
    <x v="1"/>
    <m/>
    <x v="1"/>
    <s v="Tamamlandı"/>
    <x v="0"/>
    <x v="0"/>
    <m/>
    <m/>
  </r>
  <r>
    <x v="1"/>
    <x v="1"/>
    <x v="0"/>
    <m/>
    <x v="0"/>
    <s v="S06-Barbaros İstasyonu"/>
    <s v="Hat-1 KY"/>
    <s v="P1"/>
    <s v="3.Aşama"/>
    <x v="0"/>
    <x v="1"/>
    <x v="1"/>
    <x v="2"/>
    <s v="KALICI"/>
    <x v="2"/>
    <s v="Tamamlandı"/>
    <x v="0"/>
    <x v="0"/>
    <m/>
    <n v="1"/>
  </r>
  <r>
    <x v="1"/>
    <x v="1"/>
    <x v="0"/>
    <m/>
    <x v="0"/>
    <s v="S06-Barbaros İstasyonu"/>
    <s v="Hat-1 KY"/>
    <s v="P1"/>
    <s v="3.Aşama"/>
    <x v="0"/>
    <x v="1"/>
    <x v="1"/>
    <x v="3"/>
    <s v="KALICI"/>
    <x v="3"/>
    <s v="Tamamlandı"/>
    <x v="0"/>
    <x v="0"/>
    <m/>
    <n v="1"/>
  </r>
  <r>
    <x v="1"/>
    <x v="1"/>
    <x v="0"/>
    <m/>
    <x v="0"/>
    <s v="S06-Barbaros İstasyonu"/>
    <s v="Hat-1 KY"/>
    <s v="P1"/>
    <s v="3.Aşama"/>
    <x v="0"/>
    <x v="1"/>
    <x v="1"/>
    <x v="4"/>
    <s v="KALICI"/>
    <x v="0"/>
    <s v="Tamamlandı"/>
    <x v="0"/>
    <x v="0"/>
    <m/>
    <n v="1"/>
  </r>
  <r>
    <x v="1"/>
    <x v="1"/>
    <x v="0"/>
    <m/>
    <x v="0"/>
    <s v="S06-Barbaros İstasyonu"/>
    <s v="Hat-1 KY"/>
    <s v="P1"/>
    <s v="3.Aşama"/>
    <x v="0"/>
    <x v="1"/>
    <x v="1"/>
    <x v="5"/>
    <s v="KALICI"/>
    <x v="4"/>
    <s v="Tamamlandı"/>
    <x v="0"/>
    <x v="0"/>
    <m/>
    <n v="1"/>
  </r>
  <r>
    <x v="1"/>
    <x v="1"/>
    <x v="0"/>
    <m/>
    <x v="0"/>
    <s v="S06-Barbaros İstasyonu"/>
    <s v="Hat-1 KY"/>
    <s v="P1"/>
    <s v="3.Aşama"/>
    <x v="0"/>
    <x v="1"/>
    <x v="1"/>
    <x v="6"/>
    <s v="KALICI"/>
    <x v="5"/>
    <s v="Tamamlandı"/>
    <x v="0"/>
    <x v="0"/>
    <m/>
    <n v="1"/>
  </r>
  <r>
    <x v="1"/>
    <x v="1"/>
    <x v="0"/>
    <m/>
    <x v="0"/>
    <s v="S06-Barbaros İstasyonu"/>
    <s v="Hat-1 KY"/>
    <s v="P1"/>
    <s v="3.Aşama"/>
    <x v="0"/>
    <x v="1"/>
    <x v="1"/>
    <x v="7"/>
    <s v="KALICI"/>
    <x v="6"/>
    <s v="Tamamlandı"/>
    <x v="0"/>
    <x v="0"/>
    <m/>
    <n v="1"/>
  </r>
  <r>
    <x v="1"/>
    <x v="1"/>
    <x v="0"/>
    <m/>
    <x v="0"/>
    <s v="S06-Barbaros İstasyonu"/>
    <s v="Hat-1 KY"/>
    <s v="P1"/>
    <s v="3.Aşama"/>
    <x v="0"/>
    <x v="1"/>
    <x v="1"/>
    <x v="8"/>
    <s v="KALICI"/>
    <x v="2"/>
    <s v="Tamamlandı"/>
    <x v="0"/>
    <x v="0"/>
    <m/>
    <n v="1"/>
  </r>
  <r>
    <x v="1"/>
    <x v="1"/>
    <x v="0"/>
    <m/>
    <x v="0"/>
    <s v="S06-Barbaros İstasyonu"/>
    <s v="Hat-1 KY"/>
    <s v="P1"/>
    <s v="3.Aşama"/>
    <x v="0"/>
    <x v="1"/>
    <x v="1"/>
    <x v="9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0"/>
    <x v="0"/>
    <x v="0"/>
    <s v="KALICI"/>
    <x v="0"/>
    <s v="Tamamlandı"/>
    <x v="0"/>
    <x v="0"/>
    <m/>
    <m/>
  </r>
  <r>
    <x v="0"/>
    <x v="0"/>
    <x v="0"/>
    <m/>
    <x v="0"/>
    <s v="S06-Barbaros İstasyonu"/>
    <s v="Hat-1 KY"/>
    <s v="P1"/>
    <s v="3.Aşama"/>
    <x v="0"/>
    <x v="0"/>
    <x v="0"/>
    <x v="10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0"/>
    <x v="0"/>
    <x v="11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0"/>
    <x v="0"/>
    <x v="12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0"/>
    <x v="0"/>
    <x v="13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"/>
    <x v="0"/>
    <x v="14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"/>
    <x v="0"/>
    <x v="15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3"/>
    <x v="2"/>
    <x v="16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3"/>
    <x v="2"/>
    <x v="17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3"/>
    <x v="2"/>
    <x v="18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4"/>
    <x v="3"/>
    <x v="19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4"/>
    <x v="3"/>
    <x v="20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4"/>
    <x v="3"/>
    <x v="21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5"/>
    <x v="4"/>
    <x v="22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5"/>
    <x v="4"/>
    <x v="23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5"/>
    <x v="4"/>
    <x v="24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6"/>
    <x v="5"/>
    <x v="25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6"/>
    <x v="5"/>
    <x v="26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6"/>
    <x v="5"/>
    <x v="27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7"/>
    <x v="6"/>
    <x v="28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7"/>
    <x v="6"/>
    <x v="29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7"/>
    <x v="6"/>
    <x v="30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8"/>
    <x v="7"/>
    <x v="31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8"/>
    <x v="7"/>
    <x v="32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8"/>
    <x v="7"/>
    <x v="33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9"/>
    <x v="7"/>
    <x v="34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9"/>
    <x v="7"/>
    <x v="35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9"/>
    <x v="7"/>
    <x v="36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0"/>
    <x v="8"/>
    <x v="37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0"/>
    <x v="8"/>
    <x v="38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0"/>
    <x v="8"/>
    <x v="39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1"/>
    <x v="9"/>
    <x v="40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1"/>
    <x v="9"/>
    <x v="41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1"/>
    <x v="9"/>
    <x v="42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2"/>
    <x v="10"/>
    <x v="43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2"/>
    <x v="10"/>
    <x v="44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2"/>
    <x v="10"/>
    <x v="45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3"/>
    <x v="11"/>
    <x v="46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3"/>
    <x v="11"/>
    <x v="47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3"/>
    <x v="11"/>
    <x v="48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4"/>
    <x v="11"/>
    <x v="49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4"/>
    <x v="11"/>
    <x v="50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4"/>
    <x v="11"/>
    <x v="51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5"/>
    <x v="12"/>
    <x v="52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5"/>
    <x v="12"/>
    <x v="53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5"/>
    <x v="12"/>
    <x v="54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6"/>
    <x v="13"/>
    <x v="55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6"/>
    <x v="13"/>
    <x v="56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6"/>
    <x v="13"/>
    <x v="57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7"/>
    <x v="14"/>
    <x v="58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7"/>
    <x v="14"/>
    <x v="59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7"/>
    <x v="14"/>
    <x v="60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8"/>
    <x v="15"/>
    <x v="61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8"/>
    <x v="15"/>
    <x v="62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8"/>
    <x v="15"/>
    <x v="63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9"/>
    <x v="16"/>
    <x v="64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9"/>
    <x v="16"/>
    <x v="65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19"/>
    <x v="16"/>
    <x v="66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0"/>
    <x v="17"/>
    <x v="67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0"/>
    <x v="17"/>
    <x v="68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0"/>
    <x v="17"/>
    <x v="69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1"/>
    <x v="18"/>
    <x v="70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1"/>
    <x v="18"/>
    <x v="71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1"/>
    <x v="18"/>
    <x v="72"/>
    <s v="KALICI"/>
    <x v="6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2"/>
    <x v="19"/>
    <x v="73"/>
    <s v="KALICI"/>
    <x v="2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2"/>
    <x v="19"/>
    <x v="74"/>
    <s v="KALICI"/>
    <x v="3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2"/>
    <x v="19"/>
    <x v="75"/>
    <s v="KALICI"/>
    <x v="0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3"/>
    <x v="20"/>
    <x v="76"/>
    <s v="KALICI"/>
    <x v="4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3"/>
    <x v="20"/>
    <x v="77"/>
    <s v="KALICI"/>
    <x v="5"/>
    <s v="Tamamlandı"/>
    <x v="0"/>
    <x v="0"/>
    <m/>
    <n v="1"/>
  </r>
  <r>
    <x v="0"/>
    <x v="0"/>
    <x v="0"/>
    <m/>
    <x v="0"/>
    <s v="S06-Barbaros İstasyonu"/>
    <s v="Hat-1 KY"/>
    <s v="P1"/>
    <s v="3.Aşama"/>
    <x v="0"/>
    <x v="23"/>
    <x v="20"/>
    <x v="78"/>
    <s v="KALICI"/>
    <x v="6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4"/>
    <x v="21"/>
    <x v="79"/>
    <s v="KALICI"/>
    <x v="2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4"/>
    <x v="21"/>
    <x v="80"/>
    <s v="KALICI"/>
    <x v="3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4"/>
    <x v="21"/>
    <x v="81"/>
    <s v="KALICI"/>
    <x v="0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5"/>
    <x v="22"/>
    <x v="82"/>
    <s v="KALICI"/>
    <x v="4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5"/>
    <x v="22"/>
    <x v="83"/>
    <s v="KALICI"/>
    <x v="5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5"/>
    <x v="22"/>
    <x v="84"/>
    <s v="KALICI"/>
    <x v="6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6"/>
    <x v="23"/>
    <x v="85"/>
    <s v="KALICI"/>
    <x v="2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6"/>
    <x v="23"/>
    <x v="86"/>
    <s v="KALICI"/>
    <x v="3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6"/>
    <x v="23"/>
    <x v="87"/>
    <s v="KALICI"/>
    <x v="0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7"/>
    <x v="24"/>
    <x v="88"/>
    <s v="KALICI"/>
    <x v="4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7"/>
    <x v="24"/>
    <x v="89"/>
    <s v="KALICI"/>
    <x v="5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7"/>
    <x v="24"/>
    <x v="90"/>
    <s v="KALICI"/>
    <x v="6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8"/>
    <x v="25"/>
    <x v="91"/>
    <s v="KALICI"/>
    <x v="2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8"/>
    <x v="25"/>
    <x v="92"/>
    <s v="KALICI"/>
    <x v="3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8"/>
    <x v="25"/>
    <x v="93"/>
    <s v="KALICI"/>
    <x v="0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9"/>
    <x v="1"/>
    <x v="94"/>
    <s v="KALICI"/>
    <x v="4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9"/>
    <x v="1"/>
    <x v="95"/>
    <s v="KALICI"/>
    <x v="5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9"/>
    <x v="1"/>
    <x v="96"/>
    <s v="KALICI"/>
    <x v="6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29"/>
    <x v="1"/>
    <x v="97"/>
    <s v="KALICI"/>
    <x v="6"/>
    <s v="Tamamlandı"/>
    <x v="0"/>
    <x v="0"/>
    <m/>
    <n v="1"/>
  </r>
  <r>
    <x v="2"/>
    <x v="1"/>
    <x v="0"/>
    <m/>
    <x v="0"/>
    <s v="S06-Barbaros İstasyonu"/>
    <s v="Hat-1 KY"/>
    <s v="P1"/>
    <s v="3.Aşama"/>
    <x v="0"/>
    <x v="1"/>
    <x v="1"/>
    <x v="98"/>
    <s v="KALICI"/>
    <x v="6"/>
    <s v="Tamamlandı"/>
    <x v="0"/>
    <x v="0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0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1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2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3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4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5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6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7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8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09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0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1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2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3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4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5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6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1"/>
    <x v="14"/>
    <x v="117"/>
    <n v="0.75"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18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19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0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1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2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3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4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5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6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7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8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29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30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31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32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33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34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35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2"/>
    <x v="7"/>
    <x v="136"/>
    <n v="0.75"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37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38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39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0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1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2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3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4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5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6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7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8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49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50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51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52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53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54"/>
    <n v="0.75"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3"/>
    <x v="7"/>
    <x v="155"/>
    <n v="0.75"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0"/>
    <x v="0"/>
    <x v="0"/>
    <m/>
    <x v="0"/>
    <s v="S06-Barbaros İstasyonu"/>
    <s v="Hat-1 KY"/>
    <s v="P1"/>
    <s v="3.Aşama"/>
    <x v="0"/>
    <x v="34"/>
    <x v="7"/>
    <x v="156"/>
    <n v="0.75"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5"/>
    <x v="27"/>
    <x v="0"/>
    <s v="KALICI"/>
    <x v="0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5"/>
    <x v="27"/>
    <x v="9"/>
    <s v="KALICI"/>
    <x v="3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5"/>
    <x v="27"/>
    <x v="8"/>
    <s v="KALICI"/>
    <x v="2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6"/>
    <x v="28"/>
    <x v="7"/>
    <s v="KALICI"/>
    <x v="6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6"/>
    <x v="28"/>
    <x v="6"/>
    <s v="KALICI"/>
    <x v="5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6"/>
    <x v="28"/>
    <x v="5"/>
    <s v="KALICI"/>
    <x v="4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7"/>
    <x v="29"/>
    <x v="4"/>
    <s v="KALICI"/>
    <x v="0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7"/>
    <x v="29"/>
    <x v="3"/>
    <s v="KALICI"/>
    <x v="3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7"/>
    <x v="29"/>
    <x v="2"/>
    <s v="KALICI"/>
    <x v="2"/>
    <s v="Tamamlandı"/>
    <x v="0"/>
    <x v="0"/>
    <m/>
    <n v="1"/>
  </r>
  <r>
    <x v="3"/>
    <x v="3"/>
    <x v="0"/>
    <m/>
    <x v="0"/>
    <s v="S06-Barbaros İstasyonu"/>
    <s v="Hat-1 KY"/>
    <s v="P1"/>
    <s v="3.Aşama"/>
    <x v="0"/>
    <x v="37"/>
    <x v="29"/>
    <x v="1"/>
    <s v="KALICI"/>
    <x v="1"/>
    <s v="Tamamlandı"/>
    <x v="0"/>
    <x v="0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57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58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59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0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1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2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3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4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5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6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7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8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69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70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71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72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73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74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8"/>
    <x v="30"/>
    <x v="175"/>
    <n v="0.75"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76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77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78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79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0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1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2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3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4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5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6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7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8"/>
    <n v="0.75"/>
    <x v="1"/>
    <m/>
    <x v="1"/>
    <x v="1"/>
    <m/>
    <m/>
  </r>
  <r>
    <x v="3"/>
    <x v="3"/>
    <x v="0"/>
    <m/>
    <x v="0"/>
    <s v="S06-Barbaros İstasyonu"/>
    <s v="Hat-1 KY"/>
    <s v="P1"/>
    <s v="3.Aşama"/>
    <x v="0"/>
    <x v="39"/>
    <x v="30"/>
    <x v="189"/>
    <n v="0.75"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  <r>
    <x v="1"/>
    <x v="2"/>
    <x v="1"/>
    <m/>
    <x v="1"/>
    <m/>
    <m/>
    <m/>
    <m/>
    <x v="1"/>
    <x v="30"/>
    <x v="26"/>
    <x v="99"/>
    <m/>
    <x v="1"/>
    <m/>
    <x v="1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3:H57" firstHeaderRow="0" firstDataRow="1" firstDataCol="6"/>
  <pivotFields count="22">
    <pivotField compact="0" outline="0" showAll="0">
      <items count="8">
        <item m="1" x="4"/>
        <item m="1" x="5"/>
        <item m="1" x="6"/>
        <item x="2"/>
        <item x="0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8">
        <item h="1" m="1" x="4"/>
        <item h="1" m="1" x="5"/>
        <item h="1" m="1" x="6"/>
        <item h="1" x="1"/>
        <item h="1" x="0"/>
        <item x="3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m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m="1" x="4"/>
        <item x="0"/>
        <item h="1" m="1" x="2"/>
        <item h="1" m="1" x="6"/>
        <item h="1" m="1" x="3"/>
        <item h="1" m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08">
        <item x="29"/>
        <item x="1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0"/>
        <item x="2"/>
        <item x="35"/>
        <item x="36"/>
        <item x="37"/>
        <item m="1" x="78"/>
        <item m="1" x="40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41"/>
        <item m="1" x="42"/>
        <item m="1" x="43"/>
        <item m="1" x="44"/>
        <item m="1" x="45"/>
        <item m="1" x="46"/>
        <item m="1" x="48"/>
        <item m="1" x="49"/>
        <item m="1" x="50"/>
        <item m="1" x="51"/>
        <item m="1" x="52"/>
        <item m="1" x="53"/>
        <item m="1" x="96"/>
        <item m="1" x="55"/>
        <item m="1" x="56"/>
        <item m="1" x="57"/>
        <item m="1" x="58"/>
        <item m="1" x="59"/>
        <item m="1" x="101"/>
        <item m="1" x="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2"/>
        <item m="1" x="102"/>
        <item m="1" x="73"/>
        <item m="1" x="103"/>
        <item m="1" x="74"/>
        <item m="1" x="75"/>
        <item m="1" x="104"/>
        <item m="1" x="77"/>
        <item m="1" x="97"/>
        <item m="1" x="105"/>
        <item m="1" x="106"/>
        <item m="1" x="107"/>
        <item m="1" x="98"/>
        <item m="1" x="99"/>
        <item m="1" x="100"/>
        <item x="31"/>
        <item x="32"/>
        <item x="33"/>
        <item x="34"/>
        <item x="38"/>
        <item x="39"/>
        <item m="1" x="47"/>
        <item m="1" x="54"/>
        <item m="1" x="61"/>
        <item m="1" x="71"/>
        <item m="1" x="7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6">
        <item m="1" x="62"/>
        <item m="1" x="31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32"/>
        <item m="1" x="33"/>
        <item m="1" x="34"/>
        <item m="1" x="75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1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27"/>
        <item x="30"/>
        <item x="28"/>
        <item x="29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58">
        <item x="97"/>
        <item x="117"/>
        <item x="96"/>
        <item x="116"/>
        <item x="95"/>
        <item x="115"/>
        <item x="94"/>
        <item x="114"/>
        <item x="93"/>
        <item x="113"/>
        <item x="92"/>
        <item x="112"/>
        <item x="91"/>
        <item x="111"/>
        <item x="90"/>
        <item x="110"/>
        <item x="89"/>
        <item x="109"/>
        <item x="88"/>
        <item x="108"/>
        <item x="87"/>
        <item x="107"/>
        <item x="86"/>
        <item x="106"/>
        <item x="85"/>
        <item x="105"/>
        <item x="84"/>
        <item x="104"/>
        <item x="83"/>
        <item x="103"/>
        <item x="82"/>
        <item x="102"/>
        <item x="81"/>
        <item x="101"/>
        <item x="80"/>
        <item x="100"/>
        <item x="79"/>
        <item x="78"/>
        <item x="156"/>
        <item x="77"/>
        <item x="155"/>
        <item x="76"/>
        <item x="154"/>
        <item x="75"/>
        <item x="153"/>
        <item x="74"/>
        <item x="152"/>
        <item x="73"/>
        <item x="151"/>
        <item x="72"/>
        <item x="150"/>
        <item x="71"/>
        <item x="149"/>
        <item x="70"/>
        <item x="148"/>
        <item x="69"/>
        <item x="147"/>
        <item x="68"/>
        <item x="146"/>
        <item x="67"/>
        <item x="145"/>
        <item x="66"/>
        <item x="144"/>
        <item x="65"/>
        <item x="143"/>
        <item x="64"/>
        <item x="142"/>
        <item x="63"/>
        <item x="141"/>
        <item x="62"/>
        <item x="140"/>
        <item x="61"/>
        <item x="139"/>
        <item x="60"/>
        <item x="138"/>
        <item x="59"/>
        <item x="137"/>
        <item x="58"/>
        <item x="136"/>
        <item x="57"/>
        <item x="135"/>
        <item x="56"/>
        <item x="134"/>
        <item x="55"/>
        <item x="133"/>
        <item x="54"/>
        <item x="132"/>
        <item x="53"/>
        <item x="131"/>
        <item x="52"/>
        <item x="130"/>
        <item x="51"/>
        <item x="129"/>
        <item x="50"/>
        <item x="128"/>
        <item x="49"/>
        <item x="127"/>
        <item x="48"/>
        <item x="126"/>
        <item x="47"/>
        <item x="125"/>
        <item x="46"/>
        <item x="124"/>
        <item x="45"/>
        <item x="123"/>
        <item x="44"/>
        <item x="122"/>
        <item x="43"/>
        <item x="121"/>
        <item x="42"/>
        <item x="120"/>
        <item x="41"/>
        <item x="119"/>
        <item x="40"/>
        <item x="118"/>
        <item x="39"/>
        <item x="189"/>
        <item x="38"/>
        <item x="188"/>
        <item x="37"/>
        <item x="187"/>
        <item x="36"/>
        <item x="186"/>
        <item x="35"/>
        <item x="185"/>
        <item x="34"/>
        <item x="184"/>
        <item x="33"/>
        <item x="183"/>
        <item x="32"/>
        <item x="182"/>
        <item x="31"/>
        <item x="181"/>
        <item x="30"/>
        <item x="180"/>
        <item x="29"/>
        <item x="179"/>
        <item x="28"/>
        <item x="178"/>
        <item x="27"/>
        <item x="177"/>
        <item x="26"/>
        <item x="176"/>
        <item x="25"/>
        <item x="175"/>
        <item x="24"/>
        <item x="174"/>
        <item x="23"/>
        <item x="173"/>
        <item x="22"/>
        <item x="172"/>
        <item x="21"/>
        <item x="171"/>
        <item x="20"/>
        <item x="170"/>
        <item x="19"/>
        <item x="169"/>
        <item x="18"/>
        <item x="168"/>
        <item x="17"/>
        <item x="167"/>
        <item x="16"/>
        <item x="166"/>
        <item x="15"/>
        <item x="165"/>
        <item x="14"/>
        <item x="164"/>
        <item x="13"/>
        <item x="163"/>
        <item x="12"/>
        <item x="162"/>
        <item x="11"/>
        <item x="161"/>
        <item x="10"/>
        <item x="160"/>
        <item x="0"/>
        <item x="159"/>
        <item x="9"/>
        <item x="158"/>
        <item x="8"/>
        <item x="157"/>
        <item x="7"/>
        <item x="6"/>
        <item x="5"/>
        <item x="4"/>
        <item x="3"/>
        <item x="2"/>
        <item x="1"/>
        <item m="1" x="199"/>
        <item m="1" x="200"/>
        <item m="1" x="190"/>
        <item m="1" x="201"/>
        <item m="1" x="191"/>
        <item m="1" x="202"/>
        <item m="1" x="192"/>
        <item m="1" x="203"/>
        <item m="1" x="193"/>
        <item m="1" x="210"/>
        <item m="1" x="194"/>
        <item m="1" x="211"/>
        <item m="1" x="195"/>
        <item m="1" x="212"/>
        <item m="1" x="196"/>
        <item m="1" x="213"/>
        <item m="1" x="197"/>
        <item m="1" x="214"/>
        <item m="1" x="198"/>
        <item m="1" x="215"/>
        <item m="1" x="204"/>
        <item m="1" x="222"/>
        <item m="1" x="205"/>
        <item m="1" x="223"/>
        <item m="1" x="206"/>
        <item m="1" x="224"/>
        <item m="1" x="207"/>
        <item m="1" x="225"/>
        <item m="1" x="208"/>
        <item m="1" x="226"/>
        <item m="1" x="209"/>
        <item m="1" x="227"/>
        <item m="1" x="216"/>
        <item m="1" x="228"/>
        <item m="1" x="217"/>
        <item m="1" x="238"/>
        <item m="1" x="218"/>
        <item m="1" x="239"/>
        <item m="1" x="219"/>
        <item m="1" x="240"/>
        <item m="1" x="220"/>
        <item m="1" x="241"/>
        <item m="1" x="221"/>
        <item m="1" x="242"/>
        <item m="1" x="229"/>
        <item m="1" x="243"/>
        <item m="1" x="230"/>
        <item m="1" x="247"/>
        <item m="1" x="231"/>
        <item m="1" x="234"/>
        <item m="1" x="248"/>
        <item m="1" x="232"/>
        <item m="1" x="249"/>
        <item m="1" x="233"/>
        <item m="1" x="250"/>
        <item m="1" x="235"/>
        <item m="1" x="251"/>
        <item m="1" x="236"/>
        <item m="1" x="252"/>
        <item m="1" x="237"/>
        <item m="1" x="253"/>
        <item m="1" x="244"/>
        <item m="1" x="254"/>
        <item m="1" x="245"/>
        <item m="1" x="255"/>
        <item m="1" x="246"/>
        <item m="1" x="256"/>
        <item m="1" x="257"/>
        <item x="98"/>
        <item x="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3">
        <item m="1" x="7"/>
        <item m="1" x="8"/>
        <item m="1" x="9"/>
        <item m="1" x="10"/>
        <item m="1" x="11"/>
        <item m="1" x="12"/>
        <item x="1"/>
        <item x="2"/>
        <item x="3"/>
        <item x="0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44">
    <i>
      <x v="30"/>
      <x v="71"/>
      <x v="175"/>
      <x v="3"/>
      <x v="1"/>
      <x v="9"/>
    </i>
    <i r="2">
      <x v="177"/>
      <x v="3"/>
      <x v="1"/>
      <x v="8"/>
    </i>
    <i r="2">
      <x v="179"/>
      <x v="3"/>
      <x v="1"/>
      <x v="7"/>
    </i>
    <i>
      <x v="31"/>
      <x v="73"/>
      <x v="181"/>
      <x v="3"/>
      <x v="1"/>
      <x v="12"/>
    </i>
    <i r="2">
      <x v="182"/>
      <x v="3"/>
      <x v="1"/>
      <x v="11"/>
    </i>
    <i r="2">
      <x v="183"/>
      <x v="3"/>
      <x v="1"/>
      <x v="10"/>
    </i>
    <i>
      <x v="32"/>
      <x v="74"/>
      <x v="184"/>
      <x v="3"/>
      <x v="1"/>
      <x v="9"/>
    </i>
    <i r="2">
      <x v="185"/>
      <x v="3"/>
      <x v="1"/>
      <x v="8"/>
    </i>
    <i r="2">
      <x v="186"/>
      <x v="3"/>
      <x v="1"/>
      <x v="7"/>
    </i>
    <i r="2">
      <x v="187"/>
      <x v="3"/>
      <x v="1"/>
      <x v="6"/>
    </i>
    <i>
      <x v="100"/>
      <x v="72"/>
      <x v="144"/>
      <x v="2"/>
      <x v="2"/>
      <x v="6"/>
    </i>
    <i r="2">
      <x v="146"/>
      <x v="2"/>
      <x v="2"/>
      <x v="6"/>
    </i>
    <i r="2">
      <x v="148"/>
      <x v="2"/>
      <x v="2"/>
      <x v="6"/>
    </i>
    <i r="2">
      <x v="150"/>
      <x v="2"/>
      <x v="2"/>
      <x v="6"/>
    </i>
    <i r="2">
      <x v="152"/>
      <x v="2"/>
      <x v="2"/>
      <x v="6"/>
    </i>
    <i r="2">
      <x v="154"/>
      <x v="2"/>
      <x v="2"/>
      <x v="6"/>
    </i>
    <i r="2">
      <x v="156"/>
      <x v="2"/>
      <x v="2"/>
      <x v="6"/>
    </i>
    <i r="2">
      <x v="158"/>
      <x v="2"/>
      <x v="2"/>
      <x v="6"/>
    </i>
    <i r="2">
      <x v="160"/>
      <x v="2"/>
      <x v="2"/>
      <x v="6"/>
    </i>
    <i r="2">
      <x v="162"/>
      <x v="2"/>
      <x v="2"/>
      <x v="6"/>
    </i>
    <i r="2">
      <x v="164"/>
      <x v="2"/>
      <x v="2"/>
      <x v="6"/>
    </i>
    <i r="2">
      <x v="166"/>
      <x v="2"/>
      <x v="2"/>
      <x v="6"/>
    </i>
    <i r="2">
      <x v="168"/>
      <x v="2"/>
      <x v="2"/>
      <x v="6"/>
    </i>
    <i r="2">
      <x v="170"/>
      <x v="2"/>
      <x v="2"/>
      <x v="6"/>
    </i>
    <i r="2">
      <x v="172"/>
      <x v="2"/>
      <x v="2"/>
      <x v="6"/>
    </i>
    <i r="2">
      <x v="174"/>
      <x v="2"/>
      <x v="2"/>
      <x v="6"/>
    </i>
    <i r="2">
      <x v="176"/>
      <x v="2"/>
      <x v="2"/>
      <x v="6"/>
    </i>
    <i r="2">
      <x v="178"/>
      <x v="2"/>
      <x v="2"/>
      <x v="6"/>
    </i>
    <i r="2">
      <x v="180"/>
      <x v="2"/>
      <x v="2"/>
      <x v="6"/>
    </i>
    <i>
      <x v="101"/>
      <x v="72"/>
      <x v="116"/>
      <x v="2"/>
      <x v="2"/>
      <x v="6"/>
    </i>
    <i r="2">
      <x v="118"/>
      <x v="2"/>
      <x v="2"/>
      <x v="6"/>
    </i>
    <i r="2">
      <x v="120"/>
      <x v="2"/>
      <x v="2"/>
      <x v="6"/>
    </i>
    <i r="2">
      <x v="122"/>
      <x v="2"/>
      <x v="2"/>
      <x v="6"/>
    </i>
    <i r="2">
      <x v="124"/>
      <x v="2"/>
      <x v="2"/>
      <x v="6"/>
    </i>
    <i r="2">
      <x v="126"/>
      <x v="2"/>
      <x v="2"/>
      <x v="6"/>
    </i>
    <i r="2">
      <x v="128"/>
      <x v="2"/>
      <x v="2"/>
      <x v="6"/>
    </i>
    <i r="2">
      <x v="130"/>
      <x v="2"/>
      <x v="2"/>
      <x v="6"/>
    </i>
    <i r="2">
      <x v="132"/>
      <x v="2"/>
      <x v="2"/>
      <x v="6"/>
    </i>
    <i r="2">
      <x v="134"/>
      <x v="2"/>
      <x v="2"/>
      <x v="6"/>
    </i>
    <i r="2">
      <x v="136"/>
      <x v="2"/>
      <x v="2"/>
      <x v="6"/>
    </i>
    <i r="2">
      <x v="138"/>
      <x v="2"/>
      <x v="2"/>
      <x v="6"/>
    </i>
    <i r="2">
      <x v="140"/>
      <x v="2"/>
      <x v="2"/>
      <x v="6"/>
    </i>
    <i r="2">
      <x v="142"/>
      <x v="2"/>
      <x v="2"/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75">
    <format dxfId="766">
      <pivotArea dataOnly="0" labelOnly="1" outline="0" fieldPosition="0">
        <references count="1">
          <reference field="10" count="12">
            <x v="64"/>
            <x v="70"/>
            <x v="82"/>
            <x v="84"/>
            <x v="87"/>
            <x v="89"/>
            <x v="90"/>
            <x v="91"/>
            <x v="92"/>
            <x v="93"/>
            <x v="94"/>
            <x v="95"/>
          </reference>
        </references>
      </pivotArea>
    </format>
    <format dxfId="765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764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763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762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761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760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759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758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757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756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755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754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753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752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751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750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749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748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747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746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745">
      <pivotArea dataOnly="0" labelOnly="1" outline="0" fieldPosition="0">
        <references count="4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0"/>
          </reference>
          <reference field="16" count="1">
            <x v="0"/>
          </reference>
        </references>
      </pivotArea>
    </format>
    <format dxfId="744">
      <pivotArea dataOnly="0" labelOnly="1" outline="0" fieldPosition="0">
        <references count="4">
          <reference field="10" count="1" selected="0">
            <x v="87"/>
          </reference>
          <reference field="11" count="1" selected="0">
            <x v="8"/>
          </reference>
          <reference field="12" count="1" selected="0">
            <x v="243"/>
          </reference>
          <reference field="16" count="1">
            <x v="1"/>
          </reference>
        </references>
      </pivotArea>
    </format>
    <format dxfId="743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42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41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40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39">
      <pivotArea dataOnly="0" labelOnly="1" outline="0" fieldPosition="0">
        <references count="6">
          <reference field="10" count="1" selected="0">
            <x v="84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38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7">
      <pivotArea dataOnly="0" labelOnly="1" outline="0" fieldPosition="0">
        <references count="6">
          <reference field="10" count="1" selected="0">
            <x v="89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6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5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4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3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2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1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30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29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28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27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26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25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24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23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22">
      <pivotArea dataOnly="0" labelOnly="1" outline="0" fieldPosition="0">
        <references count="6">
          <reference field="10" count="1" selected="0">
            <x v="84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21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20">
      <pivotArea dataOnly="0" labelOnly="1" outline="0" fieldPosition="0">
        <references count="6">
          <reference field="10" count="1" selected="0">
            <x v="89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9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8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7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6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5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4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3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2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1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0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9">
      <pivotArea dataOnly="0" labelOnly="1" outline="0" fieldPosition="0">
        <references count="5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708">
      <pivotArea dataOnly="0" labelOnly="1" outline="0" fieldPosition="0">
        <references count="5">
          <reference field="10" count="1" selected="0">
            <x v="87"/>
          </reference>
          <reference field="11" count="1" selected="0">
            <x v="8"/>
          </reference>
          <reference field="12" count="1" selected="0">
            <x v="24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707">
      <pivotArea field="10" type="button" dataOnly="0" labelOnly="1" outline="0" axis="axisRow" fieldPosition="0"/>
    </format>
    <format dxfId="706">
      <pivotArea field="11" type="button" dataOnly="0" labelOnly="1" outline="0" axis="axisRow" fieldPosition="1"/>
    </format>
    <format dxfId="705">
      <pivotArea field="12" type="button" dataOnly="0" labelOnly="1" outline="0" axis="axisRow" fieldPosition="2"/>
    </format>
    <format dxfId="704">
      <pivotArea field="16" type="button" dataOnly="0" labelOnly="1" outline="0" axis="axisRow" fieldPosition="3"/>
    </format>
    <format dxfId="703">
      <pivotArea field="17" type="button" dataOnly="0" labelOnly="1" outline="0" axis="axisRow" fieldPosition="4"/>
    </format>
    <format dxfId="702">
      <pivotArea field="14" type="button" dataOnly="0" labelOnly="1" outline="0" axis="axisRow" fieldPosition="5"/>
    </format>
    <format dxfId="701">
      <pivotArea field="10" type="button" dataOnly="0" labelOnly="1" outline="0" axis="axisRow" fieldPosition="0"/>
    </format>
    <format dxfId="700">
      <pivotArea field="11" type="button" dataOnly="0" labelOnly="1" outline="0" axis="axisRow" fieldPosition="1"/>
    </format>
    <format dxfId="699">
      <pivotArea field="12" type="button" dataOnly="0" labelOnly="1" outline="0" axis="axisRow" fieldPosition="2"/>
    </format>
    <format dxfId="698">
      <pivotArea field="16" type="button" dataOnly="0" labelOnly="1" outline="0" axis="axisRow" fieldPosition="3"/>
    </format>
    <format dxfId="697">
      <pivotArea field="17" type="button" dataOnly="0" labelOnly="1" outline="0" axis="axisRow" fieldPosition="4"/>
    </format>
    <format dxfId="696">
      <pivotArea field="14" type="button" dataOnly="0" labelOnly="1" outline="0" axis="axisRow" fieldPosition="5"/>
    </format>
    <format dxfId="695">
      <pivotArea dataOnly="0" labelOnly="1" outline="0" fieldPosition="0">
        <references count="1">
          <reference field="10" count="10">
            <x v="82"/>
            <x v="84"/>
            <x v="87"/>
            <x v="89"/>
            <x v="90"/>
            <x v="91"/>
            <x v="92"/>
            <x v="93"/>
            <x v="94"/>
            <x v="95"/>
          </reference>
        </references>
      </pivotArea>
    </format>
    <format dxfId="694">
      <pivotArea dataOnly="0" labelOnly="1" outline="0" fieldPosition="0">
        <references count="2">
          <reference field="10" count="1" selected="0">
            <x v="82"/>
          </reference>
          <reference field="11" count="1">
            <x v="7"/>
          </reference>
        </references>
      </pivotArea>
    </format>
    <format dxfId="693">
      <pivotArea dataOnly="0" labelOnly="1" outline="0" fieldPosition="0">
        <references count="2">
          <reference field="10" count="1" selected="0">
            <x v="87"/>
          </reference>
          <reference field="11" count="1">
            <x v="8"/>
          </reference>
        </references>
      </pivotArea>
    </format>
    <format dxfId="692">
      <pivotArea dataOnly="0" labelOnly="1" outline="0" fieldPosition="0">
        <references count="2">
          <reference field="10" count="1" selected="0">
            <x v="89"/>
          </reference>
          <reference field="11" count="1">
            <x v="2"/>
          </reference>
        </references>
      </pivotArea>
    </format>
    <format dxfId="691">
      <pivotArea dataOnly="0" labelOnly="1" outline="0" fieldPosition="0">
        <references count="2">
          <reference field="10" count="1" selected="0">
            <x v="90"/>
          </reference>
          <reference field="11" count="1">
            <x v="9"/>
          </reference>
        </references>
      </pivotArea>
    </format>
    <format dxfId="690">
      <pivotArea dataOnly="0" labelOnly="1" outline="0" fieldPosition="0">
        <references count="2">
          <reference field="10" count="1" selected="0">
            <x v="91"/>
          </reference>
          <reference field="11" count="1">
            <x v="10"/>
          </reference>
        </references>
      </pivotArea>
    </format>
    <format dxfId="689">
      <pivotArea dataOnly="0" labelOnly="1" outline="0" fieldPosition="0">
        <references count="2">
          <reference field="10" count="1" selected="0">
            <x v="92"/>
          </reference>
          <reference field="11" count="1">
            <x v="11"/>
          </reference>
        </references>
      </pivotArea>
    </format>
    <format dxfId="688">
      <pivotArea dataOnly="0" labelOnly="1" outline="0" fieldPosition="0">
        <references count="2">
          <reference field="10" count="1" selected="0">
            <x v="93"/>
          </reference>
          <reference field="11" count="1">
            <x v="3"/>
          </reference>
        </references>
      </pivotArea>
    </format>
    <format dxfId="687">
      <pivotArea dataOnly="0" labelOnly="1" outline="0" fieldPosition="0">
        <references count="2">
          <reference field="10" count="1" selected="0">
            <x v="94"/>
          </reference>
          <reference field="11" count="1">
            <x v="4"/>
          </reference>
        </references>
      </pivotArea>
    </format>
    <format dxfId="686">
      <pivotArea dataOnly="0" labelOnly="1" outline="0" fieldPosition="0">
        <references count="2">
          <reference field="10" count="1" selected="0">
            <x v="95"/>
          </reference>
          <reference field="11" count="1">
            <x v="5"/>
          </reference>
        </references>
      </pivotArea>
    </format>
    <format dxfId="685">
      <pivotArea dataOnly="0" labelOnly="1" outline="0" fieldPosition="0">
        <references count="1">
          <reference field="10" count="10">
            <x v="82"/>
            <x v="84"/>
            <x v="87"/>
            <x v="89"/>
            <x v="90"/>
            <x v="91"/>
            <x v="92"/>
            <x v="93"/>
            <x v="94"/>
            <x v="95"/>
          </reference>
        </references>
      </pivotArea>
    </format>
    <format dxfId="684">
      <pivotArea dataOnly="0" labelOnly="1" outline="0" fieldPosition="0">
        <references count="2">
          <reference field="10" count="1" selected="0">
            <x v="82"/>
          </reference>
          <reference field="11" count="1">
            <x v="7"/>
          </reference>
        </references>
      </pivotArea>
    </format>
    <format dxfId="683">
      <pivotArea dataOnly="0" labelOnly="1" outline="0" fieldPosition="0">
        <references count="2">
          <reference field="10" count="1" selected="0">
            <x v="87"/>
          </reference>
          <reference field="11" count="1">
            <x v="8"/>
          </reference>
        </references>
      </pivotArea>
    </format>
    <format dxfId="682">
      <pivotArea dataOnly="0" labelOnly="1" outline="0" fieldPosition="0">
        <references count="2">
          <reference field="10" count="1" selected="0">
            <x v="89"/>
          </reference>
          <reference field="11" count="1">
            <x v="2"/>
          </reference>
        </references>
      </pivotArea>
    </format>
    <format dxfId="681">
      <pivotArea dataOnly="0" labelOnly="1" outline="0" fieldPosition="0">
        <references count="2">
          <reference field="10" count="1" selected="0">
            <x v="90"/>
          </reference>
          <reference field="11" count="1">
            <x v="9"/>
          </reference>
        </references>
      </pivotArea>
    </format>
    <format dxfId="680">
      <pivotArea dataOnly="0" labelOnly="1" outline="0" fieldPosition="0">
        <references count="2">
          <reference field="10" count="1" selected="0">
            <x v="91"/>
          </reference>
          <reference field="11" count="1">
            <x v="10"/>
          </reference>
        </references>
      </pivotArea>
    </format>
    <format dxfId="679">
      <pivotArea dataOnly="0" labelOnly="1" outline="0" fieldPosition="0">
        <references count="2">
          <reference field="10" count="1" selected="0">
            <x v="92"/>
          </reference>
          <reference field="11" count="1">
            <x v="11"/>
          </reference>
        </references>
      </pivotArea>
    </format>
    <format dxfId="678">
      <pivotArea dataOnly="0" labelOnly="1" outline="0" fieldPosition="0">
        <references count="2">
          <reference field="10" count="1" selected="0">
            <x v="93"/>
          </reference>
          <reference field="11" count="1">
            <x v="3"/>
          </reference>
        </references>
      </pivotArea>
    </format>
    <format dxfId="677">
      <pivotArea dataOnly="0" labelOnly="1" outline="0" fieldPosition="0">
        <references count="2">
          <reference field="10" count="1" selected="0">
            <x v="94"/>
          </reference>
          <reference field="11" count="1">
            <x v="4"/>
          </reference>
        </references>
      </pivotArea>
    </format>
    <format dxfId="676">
      <pivotArea dataOnly="0" labelOnly="1" outline="0" fieldPosition="0">
        <references count="2">
          <reference field="10" count="1" selected="0">
            <x v="95"/>
          </reference>
          <reference field="11" count="1">
            <x v="5"/>
          </reference>
        </references>
      </pivotArea>
    </format>
    <format dxfId="675">
      <pivotArea dataOnly="0" labelOnly="1" outline="0" fieldPosition="0">
        <references count="1">
          <reference field="10" count="10">
            <x v="82"/>
            <x v="84"/>
            <x v="87"/>
            <x v="89"/>
            <x v="90"/>
            <x v="91"/>
            <x v="92"/>
            <x v="93"/>
            <x v="94"/>
            <x v="95"/>
          </reference>
        </references>
      </pivotArea>
    </format>
    <format dxfId="674">
      <pivotArea dataOnly="0" labelOnly="1" outline="0" fieldPosition="0">
        <references count="2">
          <reference field="10" count="1" selected="0">
            <x v="82"/>
          </reference>
          <reference field="11" count="1">
            <x v="7"/>
          </reference>
        </references>
      </pivotArea>
    </format>
    <format dxfId="673">
      <pivotArea dataOnly="0" labelOnly="1" outline="0" fieldPosition="0">
        <references count="2">
          <reference field="10" count="1" selected="0">
            <x v="87"/>
          </reference>
          <reference field="11" count="1">
            <x v="8"/>
          </reference>
        </references>
      </pivotArea>
    </format>
    <format dxfId="672">
      <pivotArea dataOnly="0" labelOnly="1" outline="0" fieldPosition="0">
        <references count="2">
          <reference field="10" count="1" selected="0">
            <x v="89"/>
          </reference>
          <reference field="11" count="1">
            <x v="2"/>
          </reference>
        </references>
      </pivotArea>
    </format>
    <format dxfId="671">
      <pivotArea dataOnly="0" labelOnly="1" outline="0" fieldPosition="0">
        <references count="2">
          <reference field="10" count="1" selected="0">
            <x v="90"/>
          </reference>
          <reference field="11" count="1">
            <x v="9"/>
          </reference>
        </references>
      </pivotArea>
    </format>
    <format dxfId="670">
      <pivotArea dataOnly="0" labelOnly="1" outline="0" fieldPosition="0">
        <references count="2">
          <reference field="10" count="1" selected="0">
            <x v="91"/>
          </reference>
          <reference field="11" count="1">
            <x v="10"/>
          </reference>
        </references>
      </pivotArea>
    </format>
    <format dxfId="669">
      <pivotArea dataOnly="0" labelOnly="1" outline="0" fieldPosition="0">
        <references count="2">
          <reference field="10" count="1" selected="0">
            <x v="92"/>
          </reference>
          <reference field="11" count="1">
            <x v="11"/>
          </reference>
        </references>
      </pivotArea>
    </format>
    <format dxfId="668">
      <pivotArea dataOnly="0" labelOnly="1" outline="0" fieldPosition="0">
        <references count="2">
          <reference field="10" count="1" selected="0">
            <x v="93"/>
          </reference>
          <reference field="11" count="1">
            <x v="3"/>
          </reference>
        </references>
      </pivotArea>
    </format>
    <format dxfId="667">
      <pivotArea dataOnly="0" labelOnly="1" outline="0" fieldPosition="0">
        <references count="2">
          <reference field="10" count="1" selected="0">
            <x v="94"/>
          </reference>
          <reference field="11" count="1">
            <x v="4"/>
          </reference>
        </references>
      </pivotArea>
    </format>
    <format dxfId="666">
      <pivotArea dataOnly="0" labelOnly="1" outline="0" fieldPosition="0">
        <references count="2">
          <reference field="10" count="1" selected="0">
            <x v="95"/>
          </reference>
          <reference field="11" count="1">
            <x v="5"/>
          </reference>
        </references>
      </pivotArea>
    </format>
    <format dxfId="665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664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663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662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661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660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659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658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657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656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655">
      <pivotArea dataOnly="0" labelOnly="1" outline="0" fieldPosition="0">
        <references count="4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0"/>
          </reference>
          <reference field="16" count="1">
            <x v="0"/>
          </reference>
        </references>
      </pivotArea>
    </format>
    <format dxfId="654">
      <pivotArea dataOnly="0" labelOnly="1" outline="0" fieldPosition="0">
        <references count="4">
          <reference field="10" count="1" selected="0">
            <x v="87"/>
          </reference>
          <reference field="11" count="1" selected="0">
            <x v="8"/>
          </reference>
          <reference field="12" count="1" selected="0">
            <x v="243"/>
          </reference>
          <reference field="16" count="1">
            <x v="1"/>
          </reference>
        </references>
      </pivotArea>
    </format>
    <format dxfId="653">
      <pivotArea dataOnly="0" labelOnly="1" outline="0" fieldPosition="0">
        <references count="5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52">
      <pivotArea dataOnly="0" labelOnly="1" outline="0" fieldPosition="0">
        <references count="5">
          <reference field="10" count="1" selected="0">
            <x v="87"/>
          </reference>
          <reference field="11" count="1" selected="0">
            <x v="8"/>
          </reference>
          <reference field="12" count="1" selected="0">
            <x v="24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51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50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9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8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7">
      <pivotArea dataOnly="0" labelOnly="1" outline="0" fieldPosition="0">
        <references count="6">
          <reference field="10" count="1" selected="0">
            <x v="84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6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5">
      <pivotArea dataOnly="0" labelOnly="1" outline="0" fieldPosition="0">
        <references count="6">
          <reference field="10" count="1" selected="0">
            <x v="89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4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3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2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1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0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9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8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7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6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5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4">
      <pivotArea dataOnly="0" labelOnly="1" outline="0" fieldPosition="0">
        <references count="2">
          <reference field="10" count="1" selected="0">
            <x v="82"/>
          </reference>
          <reference field="11" count="1">
            <x v="7"/>
          </reference>
        </references>
      </pivotArea>
    </format>
    <format dxfId="633">
      <pivotArea dataOnly="0" labelOnly="1" outline="0" fieldPosition="0">
        <references count="2">
          <reference field="10" count="1" selected="0">
            <x v="87"/>
          </reference>
          <reference field="11" count="1">
            <x v="8"/>
          </reference>
        </references>
      </pivotArea>
    </format>
    <format dxfId="632">
      <pivotArea dataOnly="0" labelOnly="1" outline="0" fieldPosition="0">
        <references count="2">
          <reference field="10" count="1" selected="0">
            <x v="89"/>
          </reference>
          <reference field="11" count="1">
            <x v="2"/>
          </reference>
        </references>
      </pivotArea>
    </format>
    <format dxfId="631">
      <pivotArea dataOnly="0" labelOnly="1" outline="0" fieldPosition="0">
        <references count="2">
          <reference field="10" count="1" selected="0">
            <x v="90"/>
          </reference>
          <reference field="11" count="1">
            <x v="9"/>
          </reference>
        </references>
      </pivotArea>
    </format>
    <format dxfId="630">
      <pivotArea dataOnly="0" labelOnly="1" outline="0" fieldPosition="0">
        <references count="2">
          <reference field="10" count="1" selected="0">
            <x v="91"/>
          </reference>
          <reference field="11" count="1">
            <x v="10"/>
          </reference>
        </references>
      </pivotArea>
    </format>
    <format dxfId="629">
      <pivotArea dataOnly="0" labelOnly="1" outline="0" fieldPosition="0">
        <references count="2">
          <reference field="10" count="1" selected="0">
            <x v="92"/>
          </reference>
          <reference field="11" count="1">
            <x v="11"/>
          </reference>
        </references>
      </pivotArea>
    </format>
    <format dxfId="628">
      <pivotArea dataOnly="0" labelOnly="1" outline="0" fieldPosition="0">
        <references count="2">
          <reference field="10" count="1" selected="0">
            <x v="93"/>
          </reference>
          <reference field="11" count="1">
            <x v="3"/>
          </reference>
        </references>
      </pivotArea>
    </format>
    <format dxfId="627">
      <pivotArea dataOnly="0" labelOnly="1" outline="0" fieldPosition="0">
        <references count="2">
          <reference field="10" count="1" selected="0">
            <x v="94"/>
          </reference>
          <reference field="11" count="1">
            <x v="4"/>
          </reference>
        </references>
      </pivotArea>
    </format>
    <format dxfId="626">
      <pivotArea dataOnly="0" labelOnly="1" outline="0" fieldPosition="0">
        <references count="2">
          <reference field="10" count="1" selected="0">
            <x v="95"/>
          </reference>
          <reference field="11" count="1">
            <x v="5"/>
          </reference>
        </references>
      </pivotArea>
    </format>
    <format dxfId="625">
      <pivotArea outline="0" collapsedLevelsAreSubtotals="1" fieldPosition="0"/>
    </format>
    <format dxfId="624">
      <pivotArea dataOnly="0" labelOnly="1" outline="0" fieldPosition="0">
        <references count="1">
          <reference field="10" count="10">
            <x v="35"/>
            <x v="36"/>
            <x v="37"/>
            <x v="38"/>
            <x v="40"/>
            <x v="41"/>
            <x v="42"/>
            <x v="43"/>
            <x v="44"/>
            <x v="45"/>
          </reference>
        </references>
      </pivotArea>
    </format>
    <format dxfId="623">
      <pivotArea dataOnly="0" labelOnly="1" grandRow="1" outline="0" fieldPosition="0"/>
    </format>
    <format dxfId="622">
      <pivotArea dataOnly="0" labelOnly="1" outline="0" fieldPosition="0">
        <references count="2">
          <reference field="10" count="1" selected="0">
            <x v="35"/>
          </reference>
          <reference field="11" count="1">
            <x v="2"/>
          </reference>
        </references>
      </pivotArea>
    </format>
    <format dxfId="621">
      <pivotArea dataOnly="0" labelOnly="1" outline="0" fieldPosition="0">
        <references count="2">
          <reference field="10" count="1" selected="0">
            <x v="36"/>
          </reference>
          <reference field="11" count="1">
            <x v="3"/>
          </reference>
        </references>
      </pivotArea>
    </format>
    <format dxfId="620">
      <pivotArea dataOnly="0" labelOnly="1" outline="0" fieldPosition="0">
        <references count="2">
          <reference field="10" count="1" selected="0">
            <x v="37"/>
          </reference>
          <reference field="11" count="1">
            <x v="4"/>
          </reference>
        </references>
      </pivotArea>
    </format>
    <format dxfId="619">
      <pivotArea dataOnly="0" labelOnly="1" outline="0" fieldPosition="0">
        <references count="2">
          <reference field="10" count="1" selected="0">
            <x v="38"/>
          </reference>
          <reference field="11" count="1">
            <x v="5"/>
          </reference>
        </references>
      </pivotArea>
    </format>
    <format dxfId="618">
      <pivotArea dataOnly="0" labelOnly="1" outline="0" fieldPosition="0">
        <references count="2">
          <reference field="10" count="1" selected="0">
            <x v="40"/>
          </reference>
          <reference field="11" count="1">
            <x v="7"/>
          </reference>
        </references>
      </pivotArea>
    </format>
    <format dxfId="617">
      <pivotArea dataOnly="0" labelOnly="1" outline="0" fieldPosition="0">
        <references count="2">
          <reference field="10" count="1" selected="0">
            <x v="42"/>
          </reference>
          <reference field="11" count="1">
            <x v="8"/>
          </reference>
        </references>
      </pivotArea>
    </format>
    <format dxfId="616">
      <pivotArea dataOnly="0" labelOnly="1" outline="0" fieldPosition="0">
        <references count="2">
          <reference field="10" count="1" selected="0">
            <x v="43"/>
          </reference>
          <reference field="11" count="1">
            <x v="9"/>
          </reference>
        </references>
      </pivotArea>
    </format>
    <format dxfId="615">
      <pivotArea dataOnly="0" labelOnly="1" outline="0" fieldPosition="0">
        <references count="2">
          <reference field="10" count="1" selected="0">
            <x v="44"/>
          </reference>
          <reference field="11" count="1">
            <x v="10"/>
          </reference>
        </references>
      </pivotArea>
    </format>
    <format dxfId="614">
      <pivotArea dataOnly="0" labelOnly="1" outline="0" fieldPosition="0">
        <references count="2">
          <reference field="10" count="1" selected="0">
            <x v="45"/>
          </reference>
          <reference field="11" count="1">
            <x v="11"/>
          </reference>
        </references>
      </pivotArea>
    </format>
    <format dxfId="613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612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611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610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609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608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607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606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605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604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603">
      <pivotArea dataOnly="0" labelOnly="1" outline="0" fieldPosition="0">
        <references count="4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602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>
            <x v="0"/>
          </reference>
        </references>
      </pivotArea>
    </format>
    <format dxfId="601">
      <pivotArea dataOnly="0" labelOnly="1" outline="0" fieldPosition="0">
        <references count="4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>
            <x v="1"/>
          </reference>
        </references>
      </pivotArea>
    </format>
    <format dxfId="600">
      <pivotArea dataOnly="0" labelOnly="1" outline="0" fieldPosition="0">
        <references count="5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99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98">
      <pivotArea dataOnly="0" labelOnly="1" outline="0" fieldPosition="0">
        <references count="5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97">
      <pivotArea dataOnly="0" labelOnly="1" outline="0" fieldPosition="0">
        <references count="6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6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5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4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3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2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1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0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89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88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87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86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5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4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3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2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1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0">
      <pivotArea outline="0" collapsedLevelsAreSubtotals="1" fieldPosition="0"/>
    </format>
    <format dxfId="579">
      <pivotArea dataOnly="0" labelOnly="1" outline="0" fieldPosition="0">
        <references count="1">
          <reference field="10" count="10">
            <x v="35"/>
            <x v="36"/>
            <x v="37"/>
            <x v="38"/>
            <x v="40"/>
            <x v="41"/>
            <x v="42"/>
            <x v="43"/>
            <x v="44"/>
            <x v="45"/>
          </reference>
        </references>
      </pivotArea>
    </format>
    <format dxfId="578">
      <pivotArea dataOnly="0" labelOnly="1" grandRow="1" outline="0" fieldPosition="0"/>
    </format>
    <format dxfId="577">
      <pivotArea dataOnly="0" labelOnly="1" outline="0" fieldPosition="0">
        <references count="2">
          <reference field="10" count="1" selected="0">
            <x v="35"/>
          </reference>
          <reference field="11" count="1">
            <x v="2"/>
          </reference>
        </references>
      </pivotArea>
    </format>
    <format dxfId="576">
      <pivotArea dataOnly="0" labelOnly="1" outline="0" fieldPosition="0">
        <references count="2">
          <reference field="10" count="1" selected="0">
            <x v="36"/>
          </reference>
          <reference field="11" count="1">
            <x v="3"/>
          </reference>
        </references>
      </pivotArea>
    </format>
    <format dxfId="575">
      <pivotArea dataOnly="0" labelOnly="1" outline="0" fieldPosition="0">
        <references count="2">
          <reference field="10" count="1" selected="0">
            <x v="37"/>
          </reference>
          <reference field="11" count="1">
            <x v="4"/>
          </reference>
        </references>
      </pivotArea>
    </format>
    <format dxfId="574">
      <pivotArea dataOnly="0" labelOnly="1" outline="0" fieldPosition="0">
        <references count="2">
          <reference field="10" count="1" selected="0">
            <x v="38"/>
          </reference>
          <reference field="11" count="1">
            <x v="5"/>
          </reference>
        </references>
      </pivotArea>
    </format>
    <format dxfId="573">
      <pivotArea dataOnly="0" labelOnly="1" outline="0" fieldPosition="0">
        <references count="2">
          <reference field="10" count="1" selected="0">
            <x v="40"/>
          </reference>
          <reference field="11" count="1">
            <x v="7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42"/>
          </reference>
          <reference field="11" count="1">
            <x v="8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43"/>
          </reference>
          <reference field="11" count="1">
            <x v="9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44"/>
          </reference>
          <reference field="11" count="1">
            <x v="10"/>
          </reference>
        </references>
      </pivotArea>
    </format>
    <format dxfId="569">
      <pivotArea dataOnly="0" labelOnly="1" outline="0" fieldPosition="0">
        <references count="2">
          <reference field="10" count="1" selected="0">
            <x v="45"/>
          </reference>
          <reference field="11" count="1">
            <x v="11"/>
          </reference>
        </references>
      </pivotArea>
    </format>
    <format dxfId="568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567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566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565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559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558">
      <pivotArea dataOnly="0" labelOnly="1" outline="0" fieldPosition="0">
        <references count="4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557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>
            <x v="0"/>
          </reference>
        </references>
      </pivotArea>
    </format>
    <format dxfId="556">
      <pivotArea dataOnly="0" labelOnly="1" outline="0" fieldPosition="0">
        <references count="4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>
            <x v="1"/>
          </reference>
        </references>
      </pivotArea>
    </format>
    <format dxfId="555">
      <pivotArea dataOnly="0" labelOnly="1" outline="0" fieldPosition="0">
        <references count="5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4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53">
      <pivotArea dataOnly="0" labelOnly="1" outline="0" fieldPosition="0">
        <references count="5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2">
      <pivotArea dataOnly="0" labelOnly="1" outline="0" fieldPosition="0">
        <references count="6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1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0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9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7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6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5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534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533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532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53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530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529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528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527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526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525">
      <pivotArea type="all" dataOnly="0" outline="0" fieldPosition="0"/>
    </format>
    <format dxfId="524">
      <pivotArea outline="0" collapsedLevelsAreSubtotals="1" fieldPosition="0"/>
    </format>
    <format dxfId="523">
      <pivotArea field="10" type="button" dataOnly="0" labelOnly="1" outline="0" axis="axisRow" fieldPosition="0"/>
    </format>
    <format dxfId="522">
      <pivotArea field="11" type="button" dataOnly="0" labelOnly="1" outline="0" axis="axisRow" fieldPosition="1"/>
    </format>
    <format dxfId="521">
      <pivotArea field="12" type="button" dataOnly="0" labelOnly="1" outline="0" axis="axisRow" fieldPosition="2"/>
    </format>
    <format dxfId="520">
      <pivotArea field="16" type="button" dataOnly="0" labelOnly="1" outline="0" axis="axisRow" fieldPosition="3"/>
    </format>
    <format dxfId="519">
      <pivotArea field="17" type="button" dataOnly="0" labelOnly="1" outline="0" axis="axisRow" fieldPosition="4"/>
    </format>
    <format dxfId="518">
      <pivotArea field="14" type="button" dataOnly="0" labelOnly="1" outline="0" axis="axisRow" fieldPosition="5"/>
    </format>
    <format dxfId="517">
      <pivotArea dataOnly="0" labelOnly="1" outline="0" fieldPosition="0">
        <references count="1">
          <reference field="10" count="10">
            <x v="35"/>
            <x v="36"/>
            <x v="37"/>
            <x v="38"/>
            <x v="40"/>
            <x v="41"/>
            <x v="42"/>
            <x v="43"/>
            <x v="44"/>
            <x v="45"/>
          </reference>
        </references>
      </pivotArea>
    </format>
    <format dxfId="516">
      <pivotArea dataOnly="0" labelOnly="1" grandRow="1" outline="0" fieldPosition="0"/>
    </format>
    <format dxfId="515">
      <pivotArea dataOnly="0" labelOnly="1" outline="0" fieldPosition="0">
        <references count="2">
          <reference field="10" count="1" selected="0">
            <x v="35"/>
          </reference>
          <reference field="11" count="1">
            <x v="2"/>
          </reference>
        </references>
      </pivotArea>
    </format>
    <format dxfId="514">
      <pivotArea dataOnly="0" labelOnly="1" outline="0" fieldPosition="0">
        <references count="2">
          <reference field="10" count="1" selected="0">
            <x v="36"/>
          </reference>
          <reference field="11" count="1">
            <x v="3"/>
          </reference>
        </references>
      </pivotArea>
    </format>
    <format dxfId="513">
      <pivotArea dataOnly="0" labelOnly="1" outline="0" fieldPosition="0">
        <references count="2">
          <reference field="10" count="1" selected="0">
            <x v="37"/>
          </reference>
          <reference field="11" count="1">
            <x v="4"/>
          </reference>
        </references>
      </pivotArea>
    </format>
    <format dxfId="512">
      <pivotArea dataOnly="0" labelOnly="1" outline="0" fieldPosition="0">
        <references count="2">
          <reference field="10" count="1" selected="0">
            <x v="38"/>
          </reference>
          <reference field="11" count="1">
            <x v="5"/>
          </reference>
        </references>
      </pivotArea>
    </format>
    <format dxfId="511">
      <pivotArea dataOnly="0" labelOnly="1" outline="0" fieldPosition="0">
        <references count="2">
          <reference field="10" count="1" selected="0">
            <x v="40"/>
          </reference>
          <reference field="11" count="1">
            <x v="7"/>
          </reference>
        </references>
      </pivotArea>
    </format>
    <format dxfId="510">
      <pivotArea dataOnly="0" labelOnly="1" outline="0" fieldPosition="0">
        <references count="2">
          <reference field="10" count="1" selected="0">
            <x v="42"/>
          </reference>
          <reference field="11" count="1">
            <x v="8"/>
          </reference>
        </references>
      </pivotArea>
    </format>
    <format dxfId="509">
      <pivotArea dataOnly="0" labelOnly="1" outline="0" fieldPosition="0">
        <references count="2">
          <reference field="10" count="1" selected="0">
            <x v="43"/>
          </reference>
          <reference field="11" count="1">
            <x v="9"/>
          </reference>
        </references>
      </pivotArea>
    </format>
    <format dxfId="508">
      <pivotArea dataOnly="0" labelOnly="1" outline="0" fieldPosition="0">
        <references count="2">
          <reference field="10" count="1" selected="0">
            <x v="44"/>
          </reference>
          <reference field="11" count="1">
            <x v="10"/>
          </reference>
        </references>
      </pivotArea>
    </format>
    <format dxfId="507">
      <pivotArea dataOnly="0" labelOnly="1" outline="0" fieldPosition="0">
        <references count="2">
          <reference field="10" count="1" selected="0">
            <x v="45"/>
          </reference>
          <reference field="11" count="1">
            <x v="11"/>
          </reference>
        </references>
      </pivotArea>
    </format>
    <format dxfId="506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505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504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503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50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501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500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499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498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497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496">
      <pivotArea dataOnly="0" labelOnly="1" outline="0" fieldPosition="0">
        <references count="4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495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>
            <x v="0"/>
          </reference>
        </references>
      </pivotArea>
    </format>
    <format dxfId="494">
      <pivotArea dataOnly="0" labelOnly="1" outline="0" fieldPosition="0">
        <references count="4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>
            <x v="1"/>
          </reference>
        </references>
      </pivotArea>
    </format>
    <format dxfId="493">
      <pivotArea dataOnly="0" labelOnly="1" outline="0" fieldPosition="0">
        <references count="5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92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91">
      <pivotArea dataOnly="0" labelOnly="1" outline="0" fieldPosition="0">
        <references count="5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9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8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7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6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5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4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83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82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81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80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79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78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77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76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75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74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2">
      <pivotArea type="all" dataOnly="0" outline="0" fieldPosition="0"/>
    </format>
    <format dxfId="471">
      <pivotArea outline="0" collapsedLevelsAreSubtotals="1" fieldPosition="0"/>
    </format>
    <format dxfId="470">
      <pivotArea field="10" type="button" dataOnly="0" labelOnly="1" outline="0" axis="axisRow" fieldPosition="0"/>
    </format>
    <format dxfId="469">
      <pivotArea field="11" type="button" dataOnly="0" labelOnly="1" outline="0" axis="axisRow" fieldPosition="1"/>
    </format>
    <format dxfId="468">
      <pivotArea field="12" type="button" dataOnly="0" labelOnly="1" outline="0" axis="axisRow" fieldPosition="2"/>
    </format>
    <format dxfId="467">
      <pivotArea field="16" type="button" dataOnly="0" labelOnly="1" outline="0" axis="axisRow" fieldPosition="3"/>
    </format>
    <format dxfId="466">
      <pivotArea field="17" type="button" dataOnly="0" labelOnly="1" outline="0" axis="axisRow" fieldPosition="4"/>
    </format>
    <format dxfId="465">
      <pivotArea field="14" type="button" dataOnly="0" labelOnly="1" outline="0" axis="axisRow" fieldPosition="5"/>
    </format>
    <format dxfId="464">
      <pivotArea dataOnly="0" labelOnly="1" outline="0" fieldPosition="0">
        <references count="1">
          <reference field="10" count="10">
            <x v="35"/>
            <x v="36"/>
            <x v="37"/>
            <x v="38"/>
            <x v="40"/>
            <x v="41"/>
            <x v="42"/>
            <x v="43"/>
            <x v="44"/>
            <x v="45"/>
          </reference>
        </references>
      </pivotArea>
    </format>
    <format dxfId="463">
      <pivotArea dataOnly="0" labelOnly="1" grandRow="1" outline="0" fieldPosition="0"/>
    </format>
    <format dxfId="462">
      <pivotArea dataOnly="0" labelOnly="1" outline="0" fieldPosition="0">
        <references count="4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461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>
            <x v="0"/>
          </reference>
        </references>
      </pivotArea>
    </format>
    <format dxfId="460">
      <pivotArea dataOnly="0" labelOnly="1" outline="0" fieldPosition="0">
        <references count="4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>
            <x v="1"/>
          </reference>
        </references>
      </pivotArea>
    </format>
    <format dxfId="459">
      <pivotArea dataOnly="0" labelOnly="1" outline="0" fieldPosition="0">
        <references count="5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58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57">
      <pivotArea dataOnly="0" labelOnly="1" outline="0" fieldPosition="0">
        <references count="5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56">
      <pivotArea dataOnly="0" labelOnly="1" outline="0" fieldPosition="0">
        <references count="6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5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4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3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2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1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0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9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8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7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6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5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4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3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8">
      <pivotArea type="all" dataOnly="0" outline="0" fieldPosition="0"/>
    </format>
    <format dxfId="437">
      <pivotArea outline="0" collapsedLevelsAreSubtotals="1" fieldPosition="0"/>
    </format>
    <format dxfId="436">
      <pivotArea field="10" type="button" dataOnly="0" labelOnly="1" outline="0" axis="axisRow" fieldPosition="0"/>
    </format>
    <format dxfId="435">
      <pivotArea field="11" type="button" dataOnly="0" labelOnly="1" outline="0" axis="axisRow" fieldPosition="1"/>
    </format>
    <format dxfId="434">
      <pivotArea field="12" type="button" dataOnly="0" labelOnly="1" outline="0" axis="axisRow" fieldPosition="2"/>
    </format>
    <format dxfId="433">
      <pivotArea field="16" type="button" dataOnly="0" labelOnly="1" outline="0" axis="axisRow" fieldPosition="3"/>
    </format>
    <format dxfId="432">
      <pivotArea field="17" type="button" dataOnly="0" labelOnly="1" outline="0" axis="axisRow" fieldPosition="4"/>
    </format>
    <format dxfId="431">
      <pivotArea field="14" type="button" dataOnly="0" labelOnly="1" outline="0" axis="axisRow" fieldPosition="5"/>
    </format>
    <format dxfId="430">
      <pivotArea dataOnly="0" labelOnly="1" outline="0" fieldPosition="0">
        <references count="1">
          <reference field="10" count="10">
            <x v="35"/>
            <x v="36"/>
            <x v="37"/>
            <x v="38"/>
            <x v="40"/>
            <x v="41"/>
            <x v="42"/>
            <x v="43"/>
            <x v="44"/>
            <x v="45"/>
          </reference>
        </references>
      </pivotArea>
    </format>
    <format dxfId="429">
      <pivotArea dataOnly="0" labelOnly="1" grandRow="1" outline="0" fieldPosition="0"/>
    </format>
    <format dxfId="428">
      <pivotArea dataOnly="0" labelOnly="1" outline="0" fieldPosition="0">
        <references count="2">
          <reference field="10" count="1" selected="0">
            <x v="35"/>
          </reference>
          <reference field="11" count="1">
            <x v="2"/>
          </reference>
        </references>
      </pivotArea>
    </format>
    <format dxfId="427">
      <pivotArea dataOnly="0" labelOnly="1" outline="0" fieldPosition="0">
        <references count="2">
          <reference field="10" count="1" selected="0">
            <x v="36"/>
          </reference>
          <reference field="11" count="1">
            <x v="3"/>
          </reference>
        </references>
      </pivotArea>
    </format>
    <format dxfId="426">
      <pivotArea dataOnly="0" labelOnly="1" outline="0" fieldPosition="0">
        <references count="2">
          <reference field="10" count="1" selected="0">
            <x v="37"/>
          </reference>
          <reference field="11" count="1">
            <x v="4"/>
          </reference>
        </references>
      </pivotArea>
    </format>
    <format dxfId="425">
      <pivotArea dataOnly="0" labelOnly="1" outline="0" fieldPosition="0">
        <references count="2">
          <reference field="10" count="1" selected="0">
            <x v="38"/>
          </reference>
          <reference field="11" count="1">
            <x v="5"/>
          </reference>
        </references>
      </pivotArea>
    </format>
    <format dxfId="424">
      <pivotArea dataOnly="0" labelOnly="1" outline="0" fieldPosition="0">
        <references count="2">
          <reference field="10" count="1" selected="0">
            <x v="40"/>
          </reference>
          <reference field="11" count="1">
            <x v="7"/>
          </reference>
        </references>
      </pivotArea>
    </format>
    <format dxfId="423">
      <pivotArea dataOnly="0" labelOnly="1" outline="0" fieldPosition="0">
        <references count="2">
          <reference field="10" count="1" selected="0">
            <x v="42"/>
          </reference>
          <reference field="11" count="1">
            <x v="8"/>
          </reference>
        </references>
      </pivotArea>
    </format>
    <format dxfId="422">
      <pivotArea dataOnly="0" labelOnly="1" outline="0" fieldPosition="0">
        <references count="2">
          <reference field="10" count="1" selected="0">
            <x v="43"/>
          </reference>
          <reference field="11" count="1">
            <x v="9"/>
          </reference>
        </references>
      </pivotArea>
    </format>
    <format dxfId="421">
      <pivotArea dataOnly="0" labelOnly="1" outline="0" fieldPosition="0">
        <references count="2">
          <reference field="10" count="1" selected="0">
            <x v="44"/>
          </reference>
          <reference field="11" count="1">
            <x v="10"/>
          </reference>
        </references>
      </pivotArea>
    </format>
    <format dxfId="420">
      <pivotArea dataOnly="0" labelOnly="1" outline="0" fieldPosition="0">
        <references count="2">
          <reference field="10" count="1" selected="0">
            <x v="45"/>
          </reference>
          <reference field="11" count="1">
            <x v="11"/>
          </reference>
        </references>
      </pivotArea>
    </format>
    <format dxfId="419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418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417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416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415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414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413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412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411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410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409">
      <pivotArea dataOnly="0" labelOnly="1" outline="0" fieldPosition="0">
        <references count="4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>
            <x v="1"/>
          </reference>
        </references>
      </pivotArea>
    </format>
    <format dxfId="408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>
            <x v="0"/>
          </reference>
        </references>
      </pivotArea>
    </format>
    <format dxfId="407">
      <pivotArea dataOnly="0" labelOnly="1" outline="0" fieldPosition="0">
        <references count="4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>
            <x v="1"/>
          </reference>
        </references>
      </pivotArea>
    </format>
    <format dxfId="406">
      <pivotArea dataOnly="0" labelOnly="1" outline="0" fieldPosition="0">
        <references count="5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05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04">
      <pivotArea dataOnly="0" labelOnly="1" outline="0" fieldPosition="0">
        <references count="5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03">
      <pivotArea dataOnly="0" labelOnly="1" outline="0" fieldPosition="0">
        <references count="6">
          <reference field="10" count="1" selected="0">
            <x v="35"/>
          </reference>
          <reference field="11" count="1" selected="0">
            <x v="2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2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1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3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0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9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4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8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5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7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6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5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4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7"/>
          </reference>
          <reference field="12" count="1" selected="0">
            <x v="236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3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2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8"/>
          </reference>
          <reference field="12" count="1" selected="0">
            <x v="24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1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0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9"/>
          </reference>
          <reference field="12" count="1" selected="0">
            <x v="24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9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10"/>
          </reference>
          <reference field="12" count="1" selected="0">
            <x v="25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7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1"/>
          </reference>
          <reference field="12" count="1" selected="0">
            <x v="25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5">
      <pivotArea dataOnly="0" labelOnly="1" outline="0" fieldPosition="0">
        <references count="2">
          <reference field="10" count="1" selected="0">
            <x v="35"/>
          </reference>
          <reference field="11" count="1">
            <x v="2"/>
          </reference>
        </references>
      </pivotArea>
    </format>
    <format dxfId="384">
      <pivotArea dataOnly="0" labelOnly="1" outline="0" fieldPosition="0">
        <references count="2">
          <reference field="10" count="1" selected="0">
            <x v="36"/>
          </reference>
          <reference field="11" count="1">
            <x v="3"/>
          </reference>
        </references>
      </pivotArea>
    </format>
    <format dxfId="383">
      <pivotArea dataOnly="0" labelOnly="1" outline="0" fieldPosition="0">
        <references count="2">
          <reference field="10" count="1" selected="0">
            <x v="37"/>
          </reference>
          <reference field="11" count="1">
            <x v="4"/>
          </reference>
        </references>
      </pivotArea>
    </format>
    <format dxfId="382">
      <pivotArea dataOnly="0" labelOnly="1" outline="0" fieldPosition="0">
        <references count="2">
          <reference field="10" count="1" selected="0">
            <x v="38"/>
          </reference>
          <reference field="11" count="1">
            <x v="5"/>
          </reference>
        </references>
      </pivotArea>
    </format>
    <format dxfId="381">
      <pivotArea dataOnly="0" labelOnly="1" outline="0" fieldPosition="0">
        <references count="2">
          <reference field="10" count="1" selected="0">
            <x v="40"/>
          </reference>
          <reference field="11" count="1">
            <x v="7"/>
          </reference>
        </references>
      </pivotArea>
    </format>
    <format dxfId="380">
      <pivotArea dataOnly="0" labelOnly="1" outline="0" fieldPosition="0">
        <references count="2">
          <reference field="10" count="1" selected="0">
            <x v="42"/>
          </reference>
          <reference field="11" count="1">
            <x v="8"/>
          </reference>
        </references>
      </pivotArea>
    </format>
    <format dxfId="379">
      <pivotArea dataOnly="0" labelOnly="1" outline="0" fieldPosition="0">
        <references count="2">
          <reference field="10" count="1" selected="0">
            <x v="43"/>
          </reference>
          <reference field="11" count="1">
            <x v="9"/>
          </reference>
        </references>
      </pivotArea>
    </format>
    <format dxfId="378">
      <pivotArea dataOnly="0" labelOnly="1" outline="0" fieldPosition="0">
        <references count="2">
          <reference field="10" count="1" selected="0">
            <x v="44"/>
          </reference>
          <reference field="11" count="1">
            <x v="10"/>
          </reference>
        </references>
      </pivotArea>
    </format>
    <format dxfId="377">
      <pivotArea dataOnly="0" labelOnly="1" outline="0" fieldPosition="0">
        <references count="2">
          <reference field="10" count="1" selected="0">
            <x v="45"/>
          </reference>
          <reference field="11" count="1">
            <x v="11"/>
          </reference>
        </references>
      </pivotArea>
    </format>
    <format dxfId="3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5">
      <pivotArea grandRow="1" outline="0" collapsedLevelsAreSubtotals="1" fieldPosition="0"/>
    </format>
    <format dxfId="374">
      <pivotArea dataOnly="0" labelOnly="1" grandRow="1" outline="0" fieldPosition="0"/>
    </format>
    <format dxfId="373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2"/>
          </reference>
          <reference field="12" count="1">
            <x v="230"/>
          </reference>
        </references>
      </pivotArea>
    </format>
    <format dxfId="372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3"/>
          </reference>
          <reference field="12" count="2">
            <x v="232"/>
            <x v="234"/>
          </reference>
        </references>
      </pivotArea>
    </format>
    <format dxfId="371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4"/>
          </reference>
          <reference field="12" count="2">
            <x v="236"/>
            <x v="239"/>
          </reference>
        </references>
      </pivotArea>
    </format>
    <format dxfId="370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5"/>
          </reference>
          <reference field="12" count="1">
            <x v="241"/>
          </reference>
        </references>
      </pivotArea>
    </format>
    <format dxfId="369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7"/>
          </reference>
          <reference field="12" count="4">
            <x v="230"/>
            <x v="232"/>
            <x v="234"/>
            <x v="236"/>
          </reference>
        </references>
      </pivotArea>
    </format>
    <format dxfId="368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1">
            <x v="239"/>
          </reference>
        </references>
      </pivotArea>
    </format>
    <format dxfId="367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8"/>
          </reference>
          <reference field="12" count="1">
            <x v="243"/>
          </reference>
        </references>
      </pivotArea>
    </format>
    <format dxfId="366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9"/>
          </reference>
          <reference field="12" count="2">
            <x v="245"/>
            <x v="247"/>
          </reference>
        </references>
      </pivotArea>
    </format>
    <format dxfId="365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10"/>
          </reference>
          <reference field="12" count="2">
            <x v="249"/>
            <x v="251"/>
          </reference>
        </references>
      </pivotArea>
    </format>
    <format dxfId="364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1"/>
          </reference>
          <reference field="12" count="1">
            <x v="253"/>
          </reference>
        </references>
      </pivotArea>
    </format>
    <format dxfId="3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1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4"/>
          </reference>
          <reference field="12" count="2">
            <x v="192"/>
            <x v="194"/>
          </reference>
        </references>
      </pivotArea>
    </format>
    <format dxfId="360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5"/>
          </reference>
          <reference field="12" count="2">
            <x v="196"/>
            <x v="198"/>
          </reference>
        </references>
      </pivotArea>
    </format>
    <format dxfId="359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6"/>
          </reference>
          <reference field="12" count="2">
            <x v="200"/>
            <x v="202"/>
          </reference>
        </references>
      </pivotArea>
    </format>
    <format dxfId="358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4"/>
          </reference>
          <reference field="12" count="1">
            <x v="190"/>
          </reference>
        </references>
      </pivotArea>
    </format>
    <format dxfId="357">
      <pivotArea dataOnly="0" labelOnly="1" outline="0" fieldPosition="0">
        <references count="4">
          <reference field="10" count="1" selected="0">
            <x v="52"/>
          </reference>
          <reference field="11" count="1" selected="0">
            <x v="14"/>
          </reference>
          <reference field="12" count="1" selected="0">
            <x v="190"/>
          </reference>
          <reference field="16" count="1">
            <x v="3"/>
          </reference>
        </references>
      </pivotArea>
    </format>
    <format dxfId="356">
      <pivotArea dataOnly="0" labelOnly="1" outline="0" fieldPosition="0">
        <references count="4">
          <reference field="10" count="1" selected="0">
            <x v="56"/>
          </reference>
          <reference field="11" count="1" selected="0">
            <x v="19"/>
          </reference>
          <reference field="12" count="1" selected="0">
            <x v="190"/>
          </reference>
          <reference field="16" count="1">
            <x v="4"/>
          </reference>
        </references>
      </pivotArea>
    </format>
    <format dxfId="355">
      <pivotArea dataOnly="0" labelOnly="1" outline="0" fieldPosition="0">
        <references count="4">
          <reference field="10" count="1" selected="0">
            <x v="57"/>
          </reference>
          <reference field="11" count="1" selected="0">
            <x v="20"/>
          </reference>
          <reference field="12" count="1" selected="0">
            <x v="204"/>
          </reference>
          <reference field="16" count="1">
            <x v="3"/>
          </reference>
        </references>
      </pivotArea>
    </format>
    <format dxfId="354">
      <pivotArea dataOnly="0" labelOnly="1" outline="0" fieldPosition="0">
        <references count="4">
          <reference field="10" count="1" selected="0">
            <x v="61"/>
          </reference>
          <reference field="11" count="1" selected="0">
            <x v="24"/>
          </reference>
          <reference field="12" count="1" selected="0">
            <x v="200"/>
          </reference>
          <reference field="16" count="1">
            <x v="4"/>
          </reference>
        </references>
      </pivotArea>
    </format>
    <format dxfId="353">
      <pivotArea dataOnly="0" labelOnly="1" outline="0" fieldPosition="0">
        <references count="4">
          <reference field="10" count="1" selected="0">
            <x v="63"/>
          </reference>
          <reference field="11" count="1" selected="0">
            <x v="25"/>
          </reference>
          <reference field="12" count="1" selected="0">
            <x v="216"/>
          </reference>
          <reference field="16" count="1">
            <x v="3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19"/>
          </reference>
          <reference field="12" count="1" selected="0">
            <x v="190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51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9"/>
          </reference>
          <reference field="12" count="5">
            <x v="190"/>
            <x v="192"/>
            <x v="194"/>
            <x v="196"/>
            <x v="198"/>
          </reference>
        </references>
      </pivotArea>
    </format>
    <format dxfId="350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20"/>
          </reference>
          <reference field="12" count="2">
            <x v="204"/>
            <x v="206"/>
          </reference>
        </references>
      </pivotArea>
    </format>
    <format dxfId="349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21"/>
          </reference>
          <reference field="12" count="1">
            <x v="208"/>
          </reference>
        </references>
      </pivotArea>
    </format>
    <format dxfId="348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22"/>
          </reference>
          <reference field="12" count="3">
            <x v="210"/>
            <x v="212"/>
            <x v="214"/>
          </reference>
        </references>
      </pivotArea>
    </format>
    <format dxfId="347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24"/>
          </reference>
          <reference field="12" count="4">
            <x v="200"/>
            <x v="202"/>
            <x v="204"/>
            <x v="206"/>
          </reference>
        </references>
      </pivotArea>
    </format>
    <format dxfId="346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24"/>
          </reference>
          <reference field="12" count="2">
            <x v="208"/>
            <x v="210"/>
          </reference>
        </references>
      </pivotArea>
    </format>
    <format dxfId="345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25"/>
          </reference>
          <reference field="12" count="2">
            <x v="216"/>
            <x v="218"/>
          </reference>
        </references>
      </pivotArea>
    </format>
    <format dxfId="344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26"/>
          </reference>
          <reference field="12" count="3">
            <x v="220"/>
            <x v="222"/>
            <x v="224"/>
          </reference>
        </references>
      </pivotArea>
    </format>
    <format dxfId="343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27"/>
          </reference>
          <reference field="12" count="1">
            <x v="226"/>
          </reference>
        </references>
      </pivotArea>
    </format>
    <format dxfId="342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29"/>
          </reference>
          <reference field="12" count="4">
            <x v="212"/>
            <x v="214"/>
            <x v="216"/>
            <x v="218"/>
          </reference>
        </references>
      </pivotArea>
    </format>
    <format dxfId="341">
      <pivotArea dataOnly="0" labelOnly="1" outline="0" fieldPosition="0">
        <references count="3">
          <reference field="10" count="1" selected="0">
            <x v="69"/>
          </reference>
          <reference field="11" count="1" selected="0">
            <x v="29"/>
          </reference>
          <reference field="12" count="2">
            <x v="220"/>
            <x v="228"/>
          </reference>
        </references>
      </pivotArea>
    </format>
    <format dxfId="340">
      <pivotArea dataOnly="0" labelOnly="1" outline="0" fieldPosition="0">
        <references count="3">
          <reference field="10" count="1" selected="0">
            <x v="71"/>
          </reference>
          <reference field="11" count="1" selected="0">
            <x v="30"/>
          </reference>
          <reference field="12" count="1">
            <x v="230"/>
          </reference>
        </references>
      </pivotArea>
    </format>
    <format dxfId="339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31"/>
          </reference>
          <reference field="12" count="2">
            <x v="232"/>
            <x v="234"/>
          </reference>
        </references>
      </pivotArea>
    </format>
    <format dxfId="338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32"/>
          </reference>
          <reference field="12" count="1">
            <x v="236"/>
          </reference>
        </references>
      </pivotArea>
    </format>
    <format dxfId="337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3"/>
          </reference>
          <reference field="12" count="2">
            <x v="239"/>
            <x v="241"/>
          </reference>
        </references>
      </pivotArea>
    </format>
    <format dxfId="336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35"/>
          </reference>
          <reference field="12" count="4">
            <x v="222"/>
            <x v="224"/>
            <x v="226"/>
            <x v="228"/>
          </reference>
        </references>
      </pivotArea>
    </format>
    <format dxfId="335">
      <pivotArea dataOnly="0" labelOnly="1" outline="0" fieldPosition="0">
        <references count="3">
          <reference field="10" count="1" selected="0">
            <x v="77"/>
          </reference>
          <reference field="11" count="1" selected="0">
            <x v="35"/>
          </reference>
          <reference field="12" count="1">
            <x v="230"/>
          </reference>
        </references>
      </pivotArea>
    </format>
    <format dxfId="334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36"/>
          </reference>
          <reference field="12" count="4">
            <x v="232"/>
            <x v="234"/>
            <x v="237"/>
            <x v="243"/>
          </reference>
        </references>
      </pivotArea>
    </format>
    <format dxfId="333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37"/>
          </reference>
          <reference field="12" count="1">
            <x v="245"/>
          </reference>
        </references>
      </pivotArea>
    </format>
    <format dxfId="332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38"/>
          </reference>
          <reference field="12" count="1">
            <x v="247"/>
          </reference>
        </references>
      </pivotArea>
    </format>
    <format dxfId="331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40"/>
          </reference>
          <reference field="12" count="2">
            <x v="249"/>
            <x v="251"/>
          </reference>
        </references>
      </pivotArea>
    </format>
    <format dxfId="330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41"/>
          </reference>
          <reference field="12" count="1">
            <x v="253"/>
          </reference>
        </references>
      </pivotArea>
    </format>
    <format dxfId="329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44"/>
          </reference>
          <reference field="12" count="1" selected="0">
            <x v="254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28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42"/>
          </reference>
          <reference field="12" count="4">
            <x v="239"/>
            <x v="241"/>
            <x v="243"/>
            <x v="245"/>
          </reference>
        </references>
      </pivotArea>
    </format>
    <format dxfId="327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42"/>
          </reference>
          <reference field="12" count="1">
            <x v="247"/>
          </reference>
        </references>
      </pivotArea>
    </format>
    <format dxfId="326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44"/>
          </reference>
          <reference field="12" count="4">
            <x v="249"/>
            <x v="251"/>
            <x v="253"/>
            <x v="254"/>
          </reference>
        </references>
      </pivotArea>
    </format>
    <format dxfId="325">
      <pivotArea outline="0" fieldPosition="0">
        <references count="7">
          <reference field="4294967294" count="1" selected="0">
            <x v="0"/>
          </reference>
          <reference field="10" count="1" selected="0">
            <x v="76"/>
          </reference>
          <reference field="11" count="1" selected="0">
            <x v="35"/>
          </reference>
          <reference field="12" count="4" selected="0">
            <x v="222"/>
            <x v="224"/>
            <x v="226"/>
            <x v="228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24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45"/>
          </reference>
          <reference field="12" count="4">
            <x v="0"/>
            <x v="2"/>
            <x v="4"/>
            <x v="6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45"/>
          </reference>
          <reference field="12" count="10">
            <x v="177"/>
            <x v="179"/>
            <x v="181"/>
            <x v="182"/>
            <x v="183"/>
            <x v="184"/>
            <x v="185"/>
            <x v="186"/>
            <x v="187"/>
            <x v="256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46"/>
          </reference>
          <reference field="12" count="3">
            <x v="8"/>
            <x v="10"/>
            <x v="12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47"/>
          </reference>
          <reference field="12" count="3">
            <x v="14"/>
            <x v="16"/>
            <x v="18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8"/>
          </reference>
          <reference field="12" count="3">
            <x v="20"/>
            <x v="22"/>
            <x v="24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9"/>
          </reference>
          <reference field="12" count="3">
            <x v="26"/>
            <x v="28"/>
            <x v="30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0"/>
          </reference>
          <reference field="12" count="3">
            <x v="32"/>
            <x v="34"/>
            <x v="36"/>
          </reference>
        </references>
      </pivotArea>
    </format>
    <format dxfId="317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51"/>
          </reference>
          <reference field="12" count="3">
            <x v="37"/>
            <x v="39"/>
            <x v="41"/>
          </reference>
        </references>
      </pivotArea>
    </format>
    <format dxfId="316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2"/>
          </reference>
          <reference field="12" count="3">
            <x v="43"/>
            <x v="45"/>
            <x v="47"/>
          </reference>
        </references>
      </pivotArea>
    </format>
    <format dxfId="315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53"/>
          </reference>
          <reference field="12" count="3">
            <x v="49"/>
            <x v="51"/>
            <x v="53"/>
          </reference>
        </references>
      </pivotArea>
    </format>
    <format dxfId="314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54"/>
          </reference>
          <reference field="12" count="3">
            <x v="55"/>
            <x v="57"/>
            <x v="59"/>
          </reference>
        </references>
      </pivotArea>
    </format>
    <format dxfId="313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55"/>
          </reference>
          <reference field="12" count="3">
            <x v="61"/>
            <x v="63"/>
            <x v="65"/>
          </reference>
        </references>
      </pivotArea>
    </format>
    <format dxfId="312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56"/>
          </reference>
          <reference field="12" count="3">
            <x v="67"/>
            <x v="69"/>
            <x v="71"/>
          </reference>
        </references>
      </pivotArea>
    </format>
    <format dxfId="311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57"/>
          </reference>
          <reference field="12" count="3">
            <x v="73"/>
            <x v="75"/>
            <x v="77"/>
          </reference>
        </references>
      </pivotArea>
    </format>
    <format dxfId="310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58"/>
          </reference>
          <reference field="12" count="3">
            <x v="79"/>
            <x v="81"/>
            <x v="83"/>
          </reference>
        </references>
      </pivotArea>
    </format>
    <format dxfId="309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59"/>
          </reference>
          <reference field="12" count="3">
            <x v="85"/>
            <x v="87"/>
            <x v="89"/>
          </reference>
        </references>
      </pivotArea>
    </format>
    <format dxfId="308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60"/>
          </reference>
          <reference field="12" count="3">
            <x v="91"/>
            <x v="93"/>
            <x v="95"/>
          </reference>
        </references>
      </pivotArea>
    </format>
    <format dxfId="307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60"/>
          </reference>
          <reference field="12" count="3">
            <x v="97"/>
            <x v="99"/>
            <x v="101"/>
          </reference>
        </references>
      </pivotArea>
    </format>
    <format dxfId="306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61"/>
          </reference>
          <reference field="12" count="3">
            <x v="103"/>
            <x v="105"/>
            <x v="107"/>
          </reference>
        </references>
      </pivotArea>
    </format>
    <format dxfId="305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62"/>
          </reference>
          <reference field="12" count="3">
            <x v="109"/>
            <x v="111"/>
            <x v="113"/>
          </reference>
        </references>
      </pivotArea>
    </format>
    <format dxfId="304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63"/>
          </reference>
          <reference field="12" count="3">
            <x v="115"/>
            <x v="117"/>
            <x v="119"/>
          </reference>
        </references>
      </pivotArea>
    </format>
    <format dxfId="303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64"/>
          </reference>
          <reference field="12" count="3">
            <x v="121"/>
            <x v="123"/>
            <x v="125"/>
          </reference>
        </references>
      </pivotArea>
    </format>
    <format dxfId="302">
      <pivotArea dataOnly="0" labelOnly="1" outline="0" fieldPosition="0">
        <references count="3">
          <reference field="10" count="1" selected="0">
            <x v="22"/>
          </reference>
          <reference field="11" count="1" selected="0">
            <x v="64"/>
          </reference>
          <reference field="12" count="3">
            <x v="127"/>
            <x v="129"/>
            <x v="131"/>
          </reference>
        </references>
      </pivotArea>
    </format>
    <format dxfId="301">
      <pivotArea dataOnly="0" labelOnly="1" outline="0" fieldPosition="0">
        <references count="3">
          <reference field="10" count="1" selected="0">
            <x v="23"/>
          </reference>
          <reference field="11" count="1" selected="0">
            <x v="65"/>
          </reference>
          <reference field="12" count="3">
            <x v="133"/>
            <x v="135"/>
            <x v="137"/>
          </reference>
        </references>
      </pivotArea>
    </format>
    <format dxfId="300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66"/>
          </reference>
          <reference field="12" count="3">
            <x v="139"/>
            <x v="141"/>
            <x v="143"/>
          </reference>
        </references>
      </pivotArea>
    </format>
    <format dxfId="299">
      <pivotArea dataOnly="0" labelOnly="1" outline="0" fieldPosition="0">
        <references count="3">
          <reference field="10" count="1" selected="0">
            <x v="25"/>
          </reference>
          <reference field="11" count="1" selected="0">
            <x v="67"/>
          </reference>
          <reference field="12" count="3">
            <x v="145"/>
            <x v="147"/>
            <x v="149"/>
          </reference>
        </references>
      </pivotArea>
    </format>
    <format dxfId="298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68"/>
          </reference>
          <reference field="12" count="3">
            <x v="151"/>
            <x v="153"/>
            <x v="155"/>
          </reference>
        </references>
      </pivotArea>
    </format>
    <format dxfId="297">
      <pivotArea dataOnly="0" labelOnly="1" outline="0" fieldPosition="0">
        <references count="3">
          <reference field="10" count="1" selected="0">
            <x v="27"/>
          </reference>
          <reference field="11" count="1" selected="0">
            <x v="69"/>
          </reference>
          <reference field="12" count="3">
            <x v="157"/>
            <x v="159"/>
            <x v="161"/>
          </reference>
        </references>
      </pivotArea>
    </format>
    <format dxfId="296">
      <pivotArea dataOnly="0" labelOnly="1" outline="0" fieldPosition="0">
        <references count="3">
          <reference field="10" count="1" selected="0">
            <x v="28"/>
          </reference>
          <reference field="11" count="1" selected="0">
            <x v="70"/>
          </reference>
          <reference field="12" count="5">
            <x v="167"/>
            <x v="169"/>
            <x v="171"/>
            <x v="173"/>
            <x v="175"/>
          </reference>
        </references>
      </pivotArea>
    </format>
    <format dxfId="295">
      <pivotArea dataOnly="0" labelOnly="1" outline="0" fieldPosition="0">
        <references count="3">
          <reference field="10" count="1" selected="0">
            <x v="29"/>
          </reference>
          <reference field="11" count="1" selected="0">
            <x v="70"/>
          </reference>
          <reference field="12" count="2">
            <x v="163"/>
            <x v="165"/>
          </reference>
        </references>
      </pivotArea>
    </format>
    <format dxfId="294">
      <pivotArea dataOnly="0" labelOnly="1" outline="0" fieldPosition="0">
        <references count="3">
          <reference field="10" count="1" selected="0">
            <x v="30"/>
          </reference>
          <reference field="11" count="1" selected="0">
            <x v="71"/>
          </reference>
          <reference field="12" count="3">
            <x v="175"/>
            <x v="177"/>
            <x v="179"/>
          </reference>
        </references>
      </pivotArea>
    </format>
    <format dxfId="293">
      <pivotArea dataOnly="0" labelOnly="1" outline="0" fieldPosition="0">
        <references count="3">
          <reference field="10" count="1" selected="0">
            <x v="31"/>
          </reference>
          <reference field="11" count="1" selected="0">
            <x v="73"/>
          </reference>
          <reference field="12" count="3">
            <x v="181"/>
            <x v="182"/>
            <x v="183"/>
          </reference>
        </references>
      </pivotArea>
    </format>
    <format dxfId="292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74"/>
          </reference>
          <reference field="12" count="4">
            <x v="184"/>
            <x v="185"/>
            <x v="186"/>
            <x v="187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2" applyNumberFormats="0" applyBorderFormats="0" applyFontFormats="0" applyPatternFormats="0" applyAlignmentFormats="0" applyWidthHeightFormats="1" dataCaption="Değerler" grandTotalCaption="Genel Toplam (adet)" updatedVersion="8" minRefreshableVersion="3" itemPrintTitles="1" createdVersion="8" indent="0" compact="0" compactData="0" multipleFieldFilters="0">
  <location ref="C13:H57" firstHeaderRow="0" firstDataRow="1" firstDataCol="3"/>
  <pivotFields count="31">
    <pivotField compact="0" outline="0" showAll="0">
      <items count="8">
        <item h="1" m="1" x="4"/>
        <item h="1" m="1" x="5"/>
        <item h="1" m="1" x="6"/>
        <item h="1" x="2"/>
        <item h="1" x="0"/>
        <item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h="1" m="1" x="4"/>
        <item h="1" m="1" x="5"/>
        <item h="1" m="1" x="6"/>
        <item h="1" x="1"/>
        <item h="1" x="0"/>
        <item x="3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h="1" m="1" x="4"/>
        <item x="0"/>
        <item h="1" m="1" x="2"/>
        <item h="1" m="1" x="6"/>
        <item h="1" m="1" x="3"/>
        <item h="1" m="1" x="5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m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6">
        <item x="29"/>
        <item x="1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0"/>
        <item x="2"/>
        <item x="35"/>
        <item x="36"/>
        <item x="37"/>
        <item m="1" x="78"/>
        <item m="1" x="40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41"/>
        <item m="1" x="42"/>
        <item m="1" x="43"/>
        <item m="1" x="44"/>
        <item m="1" x="45"/>
        <item m="1" x="46"/>
        <item m="1" x="48"/>
        <item m="1" x="49"/>
        <item m="1" x="50"/>
        <item m="1" x="51"/>
        <item m="1" x="52"/>
        <item m="1" x="53"/>
        <item m="1" x="55"/>
        <item m="1" x="56"/>
        <item m="1" x="57"/>
        <item m="1" x="58"/>
        <item m="1" x="59"/>
        <item m="1" x="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2"/>
        <item m="1" x="73"/>
        <item m="1" x="74"/>
        <item m="1" x="75"/>
        <item m="1" x="77"/>
        <item x="31"/>
        <item x="32"/>
        <item x="33"/>
        <item x="34"/>
        <item x="38"/>
        <item x="39"/>
        <item m="1" x="47"/>
        <item m="1" x="54"/>
        <item m="1" x="61"/>
        <item m="1" x="71"/>
        <item m="1" x="7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32"/>
        <item m="1" x="33"/>
        <item m="1" x="34"/>
        <item m="1" x="75"/>
        <item x="26"/>
        <item m="1" x="31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6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8">
        <item m="1" x="220"/>
        <item m="1" x="221"/>
        <item m="1" x="229"/>
        <item m="1" x="230"/>
        <item m="1" x="231"/>
        <item m="1" x="232"/>
        <item m="1" x="233"/>
        <item m="1" x="235"/>
        <item m="1" x="236"/>
        <item m="1" x="237"/>
        <item m="1" x="244"/>
        <item m="1" x="245"/>
        <item m="1" x="246"/>
        <item m="1" x="257"/>
        <item x="9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204"/>
        <item m="1" x="205"/>
        <item m="1" x="206"/>
        <item m="1" x="207"/>
        <item m="1" x="208"/>
        <item m="1" x="209"/>
        <item m="1" x="216"/>
        <item m="1" x="217"/>
        <item m="1" x="218"/>
        <item m="1" x="219"/>
        <item m="1" x="199"/>
        <item m="1" x="200"/>
        <item m="1" x="201"/>
        <item m="1" x="202"/>
        <item m="1" x="203"/>
        <item m="1" x="210"/>
        <item m="1" x="211"/>
        <item m="1" x="212"/>
        <item m="1" x="213"/>
        <item m="1" x="214"/>
        <item m="1" x="215"/>
        <item m="1" x="222"/>
        <item m="1" x="223"/>
        <item m="1" x="224"/>
        <item m="1" x="225"/>
        <item m="1" x="226"/>
        <item m="1" x="227"/>
        <item m="1" x="228"/>
        <item m="1" x="234"/>
        <item m="1" x="238"/>
        <item m="1" x="239"/>
        <item m="1" x="240"/>
        <item m="1" x="241"/>
        <item m="1" x="242"/>
        <item m="1" x="243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44">
    <i>
      <x v="30"/>
      <x v="72"/>
      <x v="69"/>
    </i>
    <i r="2">
      <x v="77"/>
    </i>
    <i r="2">
      <x v="78"/>
    </i>
    <i>
      <x v="31"/>
      <x v="73"/>
      <x v="74"/>
    </i>
    <i r="2">
      <x v="75"/>
    </i>
    <i r="2">
      <x v="76"/>
    </i>
    <i>
      <x v="32"/>
      <x v="74"/>
      <x v="70"/>
    </i>
    <i r="2">
      <x v="71"/>
    </i>
    <i r="2">
      <x v="72"/>
    </i>
    <i r="2">
      <x v="73"/>
    </i>
    <i>
      <x v="88"/>
      <x v="75"/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>
      <x v="89"/>
      <x v="75"/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100">
    <format dxfId="291">
      <pivotArea field="10" type="button" dataOnly="0" labelOnly="1" outline="0" axis="axisRow" fieldPosition="0"/>
    </format>
    <format dxfId="290">
      <pivotArea field="11" type="button" dataOnly="0" labelOnly="1" outline="0" axis="axisRow" fieldPosition="1"/>
    </format>
    <format dxfId="289">
      <pivotArea field="12" type="button" dataOnly="0" labelOnly="1" outline="0" axis="axisRow" fieldPosition="2"/>
    </format>
    <format dxfId="2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7">
      <pivotArea outline="0" collapsedLevelsAreSubtotals="1" fieldPosition="0"/>
    </format>
    <format dxfId="286">
      <pivotArea dataOnly="0" labelOnly="1" outline="0" fieldPosition="0">
        <references count="1">
          <reference field="10" count="6">
            <x v="46"/>
            <x v="47"/>
            <x v="48"/>
            <x v="49"/>
            <x v="50"/>
            <x v="51"/>
          </reference>
        </references>
      </pivotArea>
    </format>
    <format dxfId="285">
      <pivotArea dataOnly="0" labelOnly="1" grandRow="1" outline="0" fieldPosition="0"/>
    </format>
    <format dxfId="284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283">
      <pivotArea dataOnly="0" labelOnly="1" outline="0" fieldPosition="0">
        <references count="2">
          <reference field="10" count="1" selected="0">
            <x v="47"/>
          </reference>
          <reference field="11" count="1">
            <x v="12"/>
          </reference>
        </references>
      </pivotArea>
    </format>
    <format dxfId="282">
      <pivotArea dataOnly="0" labelOnly="1" outline="0" fieldPosition="0">
        <references count="2">
          <reference field="10" count="1" selected="0">
            <x v="48"/>
          </reference>
          <reference field="11" count="1">
            <x v="13"/>
          </reference>
        </references>
      </pivotArea>
    </format>
    <format dxfId="281">
      <pivotArea dataOnly="0" labelOnly="1" outline="0" fieldPosition="0">
        <references count="2">
          <reference field="10" count="1" selected="0">
            <x v="49"/>
          </reference>
          <reference field="11" count="1">
            <x v="14"/>
          </reference>
        </references>
      </pivotArea>
    </format>
    <format dxfId="280">
      <pivotArea dataOnly="0" labelOnly="1" outline="0" fieldPosition="0">
        <references count="2">
          <reference field="10" count="1" selected="0">
            <x v="50"/>
          </reference>
          <reference field="11" count="1">
            <x v="15"/>
          </reference>
        </references>
      </pivotArea>
    </format>
    <format dxfId="279">
      <pivotArea dataOnly="0" labelOnly="1" outline="0" fieldPosition="0">
        <references count="2">
          <reference field="10" count="1" selected="0">
            <x v="51"/>
          </reference>
          <reference field="11" count="1">
            <x v="16"/>
          </reference>
        </references>
      </pivotArea>
    </format>
    <format dxfId="278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77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76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75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74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73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72">
      <pivotArea outline="0" collapsedLevelsAreSubtotals="1" fieldPosition="0"/>
    </format>
    <format dxfId="271">
      <pivotArea dataOnly="0" labelOnly="1" outline="0" fieldPosition="0">
        <references count="1">
          <reference field="10" count="6">
            <x v="46"/>
            <x v="47"/>
            <x v="48"/>
            <x v="49"/>
            <x v="50"/>
            <x v="51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268">
      <pivotArea dataOnly="0" labelOnly="1" outline="0" fieldPosition="0">
        <references count="2">
          <reference field="10" count="1" selected="0">
            <x v="47"/>
          </reference>
          <reference field="11" count="1">
            <x v="12"/>
          </reference>
        </references>
      </pivotArea>
    </format>
    <format dxfId="267">
      <pivotArea dataOnly="0" labelOnly="1" outline="0" fieldPosition="0">
        <references count="2">
          <reference field="10" count="1" selected="0">
            <x v="48"/>
          </reference>
          <reference field="11" count="1">
            <x v="13"/>
          </reference>
        </references>
      </pivotArea>
    </format>
    <format dxfId="266">
      <pivotArea dataOnly="0" labelOnly="1" outline="0" fieldPosition="0">
        <references count="2">
          <reference field="10" count="1" selected="0">
            <x v="49"/>
          </reference>
          <reference field="11" count="1">
            <x v="14"/>
          </reference>
        </references>
      </pivotArea>
    </format>
    <format dxfId="265">
      <pivotArea dataOnly="0" labelOnly="1" outline="0" fieldPosition="0">
        <references count="2">
          <reference field="10" count="1" selected="0">
            <x v="50"/>
          </reference>
          <reference field="11" count="1">
            <x v="15"/>
          </reference>
        </references>
      </pivotArea>
    </format>
    <format dxfId="264">
      <pivotArea dataOnly="0" labelOnly="1" outline="0" fieldPosition="0">
        <references count="2">
          <reference field="10" count="1" selected="0">
            <x v="51"/>
          </reference>
          <reference field="11" count="1">
            <x v="16"/>
          </reference>
        </references>
      </pivotArea>
    </format>
    <format dxfId="263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60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59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8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7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56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55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54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53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2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1">
      <pivotArea outline="0" collapsedLevelsAreSubtotals="1" fieldPosition="0"/>
    </format>
    <format dxfId="250">
      <pivotArea dataOnly="0" labelOnly="1" outline="0" fieldPosition="0">
        <references count="1">
          <reference field="10" count="6">
            <x v="46"/>
            <x v="47"/>
            <x v="48"/>
            <x v="49"/>
            <x v="50"/>
            <x v="51"/>
          </reference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247">
      <pivotArea dataOnly="0" labelOnly="1" outline="0" fieldPosition="0">
        <references count="2">
          <reference field="10" count="1" selected="0">
            <x v="47"/>
          </reference>
          <reference field="11" count="1">
            <x v="12"/>
          </reference>
        </references>
      </pivotArea>
    </format>
    <format dxfId="246">
      <pivotArea dataOnly="0" labelOnly="1" outline="0" fieldPosition="0">
        <references count="2">
          <reference field="10" count="1" selected="0">
            <x v="48"/>
          </reference>
          <reference field="11" count="1">
            <x v="13"/>
          </reference>
        </references>
      </pivotArea>
    </format>
    <format dxfId="245">
      <pivotArea dataOnly="0" labelOnly="1" outline="0" fieldPosition="0">
        <references count="2">
          <reference field="10" count="1" selected="0">
            <x v="49"/>
          </reference>
          <reference field="11" count="1">
            <x v="14"/>
          </reference>
        </references>
      </pivotArea>
    </format>
    <format dxfId="244">
      <pivotArea dataOnly="0" labelOnly="1" outline="0" fieldPosition="0">
        <references count="2">
          <reference field="10" count="1" selected="0">
            <x v="50"/>
          </reference>
          <reference field="11" count="1">
            <x v="15"/>
          </reference>
        </references>
      </pivotArea>
    </format>
    <format dxfId="243">
      <pivotArea dataOnly="0" labelOnly="1" outline="0" fieldPosition="0">
        <references count="2">
          <reference field="10" count="1" selected="0">
            <x v="51"/>
          </reference>
          <reference field="11" count="1">
            <x v="16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10" type="button" dataOnly="0" labelOnly="1" outline="0" axis="axisRow" fieldPosition="0"/>
    </format>
    <format dxfId="233">
      <pivotArea field="11" type="button" dataOnly="0" labelOnly="1" outline="0" axis="axisRow" fieldPosition="1"/>
    </format>
    <format dxfId="232">
      <pivotArea field="12" type="button" dataOnly="0" labelOnly="1" outline="0" axis="axisRow" fieldPosition="2"/>
    </format>
    <format dxfId="231">
      <pivotArea dataOnly="0" labelOnly="1" outline="0" fieldPosition="0">
        <references count="1">
          <reference field="10" count="6">
            <x v="46"/>
            <x v="47"/>
            <x v="48"/>
            <x v="49"/>
            <x v="50"/>
            <x v="51"/>
          </reference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228">
      <pivotArea dataOnly="0" labelOnly="1" outline="0" fieldPosition="0">
        <references count="2">
          <reference field="10" count="1" selected="0">
            <x v="47"/>
          </reference>
          <reference field="11" count="1">
            <x v="12"/>
          </reference>
        </references>
      </pivotArea>
    </format>
    <format dxfId="227">
      <pivotArea dataOnly="0" labelOnly="1" outline="0" fieldPosition="0">
        <references count="2">
          <reference field="10" count="1" selected="0">
            <x v="48"/>
          </reference>
          <reference field="11" count="1">
            <x v="13"/>
          </reference>
        </references>
      </pivotArea>
    </format>
    <format dxfId="226">
      <pivotArea dataOnly="0" labelOnly="1" outline="0" fieldPosition="0">
        <references count="2">
          <reference field="10" count="1" selected="0">
            <x v="49"/>
          </reference>
          <reference field="11" count="1">
            <x v="14"/>
          </reference>
        </references>
      </pivotArea>
    </format>
    <format dxfId="225">
      <pivotArea dataOnly="0" labelOnly="1" outline="0" fieldPosition="0">
        <references count="2">
          <reference field="10" count="1" selected="0">
            <x v="50"/>
          </reference>
          <reference field="11" count="1">
            <x v="15"/>
          </reference>
        </references>
      </pivotArea>
    </format>
    <format dxfId="224">
      <pivotArea dataOnly="0" labelOnly="1" outline="0" fieldPosition="0">
        <references count="2">
          <reference field="10" count="1" selected="0">
            <x v="51"/>
          </reference>
          <reference field="11" count="1">
            <x v="16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21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20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19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18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6">
      <pivotArea grandRow="1" outline="0" collapsedLevelsAreSubtotals="1" fieldPosition="0"/>
    </format>
    <format dxfId="215">
      <pivotArea dataOnly="0" labelOnly="1" grandRow="1" outline="0" fieldPosition="0"/>
    </format>
    <format dxfId="2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3">
      <pivotArea dataOnly="0" labelOnly="1" outline="0" fieldPosition="0">
        <references count="2">
          <reference field="10" count="1" selected="0">
            <x v="90"/>
          </reference>
          <reference field="11" count="1">
            <x v="21"/>
          </reference>
        </references>
      </pivotArea>
    </format>
    <format dxfId="212">
      <pivotArea dataOnly="0" labelOnly="1" outline="0" fieldPosition="0">
        <references count="2">
          <reference field="10" count="1" selected="0">
            <x v="91"/>
          </reference>
          <reference field="11" count="1">
            <x v="26"/>
          </reference>
        </references>
      </pivotArea>
    </format>
    <format dxfId="211">
      <pivotArea dataOnly="0" labelOnly="1" outline="0" fieldPosition="0">
        <references count="1">
          <reference field="12" count="0"/>
        </references>
      </pivotArea>
    </format>
    <format dxfId="210">
      <pivotArea dataOnly="0" labelOnly="1" outline="0" fieldPosition="0">
        <references count="1">
          <reference field="12" count="0"/>
        </references>
      </pivotArea>
    </format>
    <format dxfId="209">
      <pivotArea dataOnly="0" labelOnly="1" outline="0" fieldPosition="0">
        <references count="2">
          <reference field="10" count="1" selected="0">
            <x v="92"/>
          </reference>
          <reference field="11" count="1">
            <x v="31"/>
          </reference>
        </references>
      </pivotArea>
    </format>
    <format dxfId="208">
      <pivotArea dataOnly="0" labelOnly="1" outline="0" fieldPosition="0">
        <references count="2">
          <reference field="10" count="1" selected="0">
            <x v="93"/>
          </reference>
          <reference field="11" count="1">
            <x v="42"/>
          </reference>
        </references>
      </pivotArea>
    </format>
    <format dxfId="207">
      <pivotArea dataOnly="0" labelOnly="1" outline="0" fieldPosition="0">
        <references count="2">
          <reference field="10" count="1" selected="0">
            <x v="94"/>
          </reference>
          <reference field="11" count="1">
            <x v="44"/>
          </reference>
        </references>
      </pivotArea>
    </format>
    <format dxfId="206">
      <pivotArea outline="0" fieldPosition="0">
        <references count="4">
          <reference field="4294967294" count="2" selected="0">
            <x v="1"/>
            <x v="2"/>
          </reference>
          <reference field="10" count="1" selected="0">
            <x v="6"/>
          </reference>
          <reference field="11" count="1" selected="0">
            <x v="67"/>
          </reference>
          <reference field="12" count="1" selected="0">
            <x v="150"/>
          </reference>
        </references>
      </pivotArea>
    </format>
    <format dxfId="205">
      <pivotArea outline="0" fieldPosition="0">
        <references count="4">
          <reference field="4294967294" count="1" selected="0">
            <x v="0"/>
          </reference>
          <reference field="10" count="1" selected="0">
            <x v="6"/>
          </reference>
          <reference field="11" count="1" selected="0">
            <x v="67"/>
          </reference>
          <reference field="12" count="1" selected="0">
            <x v="150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7"/>
          </reference>
          <reference field="12" count="1">
            <x v="150"/>
          </reference>
        </references>
      </pivotArea>
    </format>
    <format dxfId="203">
      <pivotArea outline="0" fieldPosition="0">
        <references count="4">
          <reference field="4294967294" count="2" selected="0">
            <x v="1"/>
            <x v="2"/>
          </reference>
          <reference field="10" count="1" selected="0">
            <x v="7"/>
          </reference>
          <reference field="11" count="1" selected="0">
            <x v="66"/>
          </reference>
          <reference field="12" count="1" selected="0">
            <x v="145"/>
          </reference>
        </references>
      </pivotArea>
    </format>
    <format dxfId="202">
      <pivotArea outline="0" fieldPosition="0">
        <references count="4">
          <reference field="4294967294" count="1" selected="0">
            <x v="0"/>
          </reference>
          <reference field="10" count="1" selected="0">
            <x v="7"/>
          </reference>
          <reference field="11" count="1" selected="0">
            <x v="66"/>
          </reference>
          <reference field="12" count="1" selected="0">
            <x v="145"/>
          </reference>
        </references>
      </pivotArea>
    </format>
    <format dxfId="201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6"/>
          </reference>
          <reference field="12" count="1">
            <x v="145"/>
          </reference>
        </references>
      </pivotArea>
    </format>
    <format dxfId="200">
      <pivotArea outline="0" fieldPosition="0">
        <references count="4">
          <reference field="4294967294" count="2" selected="0">
            <x v="1"/>
            <x v="2"/>
          </reference>
          <reference field="10" count="1" selected="0">
            <x v="10"/>
          </reference>
          <reference field="11" count="1" selected="0">
            <x v="63"/>
          </reference>
          <reference field="12" count="1" selected="0">
            <x v="137"/>
          </reference>
        </references>
      </pivotArea>
    </format>
    <format dxfId="199">
      <pivotArea outline="0" fieldPosition="0">
        <references count="4">
          <reference field="4294967294" count="2" selected="0">
            <x v="1"/>
            <x v="2"/>
          </reference>
          <reference field="10" count="1" selected="0">
            <x v="10"/>
          </reference>
          <reference field="11" count="1" selected="0">
            <x v="63"/>
          </reference>
          <reference field="12" count="1" selected="0">
            <x v="138"/>
          </reference>
        </references>
      </pivotArea>
    </format>
    <format dxfId="198">
      <pivotArea outline="0" fieldPosition="0">
        <references count="4">
          <reference field="4294967294" count="1" selected="0">
            <x v="0"/>
          </reference>
          <reference field="10" count="1" selected="0">
            <x v="10"/>
          </reference>
          <reference field="11" count="1" selected="0">
            <x v="63"/>
          </reference>
          <reference field="12" count="1" selected="0">
            <x v="137"/>
          </reference>
        </references>
      </pivotArea>
    </format>
    <format dxfId="197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63"/>
          </reference>
          <reference field="12" count="1">
            <x v="137"/>
          </reference>
        </references>
      </pivotArea>
    </format>
    <format dxfId="196">
      <pivotArea outline="0" fieldPosition="0">
        <references count="4">
          <reference field="4294967294" count="1" selected="0">
            <x v="0"/>
          </reference>
          <reference field="10" count="1" selected="0">
            <x v="10"/>
          </reference>
          <reference field="11" count="1" selected="0">
            <x v="63"/>
          </reference>
          <reference field="12" count="1" selected="0">
            <x v="138"/>
          </reference>
        </references>
      </pivotArea>
    </format>
    <format dxfId="19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63"/>
          </reference>
          <reference field="12" count="1">
            <x v="138"/>
          </reference>
        </references>
      </pivotArea>
    </format>
    <format dxfId="194">
      <pivotArea dataOnly="0" labelOnly="1" outline="0" fieldPosition="0">
        <references count="2">
          <reference field="10" count="1" selected="0">
            <x v="88"/>
          </reference>
          <reference field="11" count="1">
            <x v="75"/>
          </reference>
        </references>
      </pivotArea>
    </format>
    <format dxfId="193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75"/>
          </reference>
          <reference field="12" count="32"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</reference>
        </references>
      </pivotArea>
    </format>
    <format dxfId="192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75"/>
          </reference>
          <reference field="12" count="1">
            <x v="24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1">
      <pivotArea field="10" type="button" dataOnly="0" labelOnly="1" outline="0" axis="axisRow" fieldPosition="0"/>
    </format>
    <format dxfId="190">
      <pivotArea field="11" type="button" dataOnly="0" labelOnly="1" outline="0" axis="axisRow" fieldPosition="1"/>
    </format>
    <format dxfId="189">
      <pivotArea field="12" type="button" dataOnly="0" labelOnly="1" outline="0" axis="axisRow" fieldPosition="2"/>
    </format>
    <format dxfId="188">
      <pivotArea dataOnly="0" labelOnly="1" outline="0" axis="axisValues" fieldPosition="0"/>
    </format>
    <format dxfId="187">
      <pivotArea field="10" type="button" dataOnly="0" labelOnly="1" outline="0" axis="axisRow" fieldPosition="0"/>
    </format>
    <format dxfId="186">
      <pivotArea field="11" type="button" dataOnly="0" labelOnly="1" outline="0" axis="axisRow" fieldPosition="1"/>
    </format>
    <format dxfId="185">
      <pivotArea field="12" type="button" dataOnly="0" labelOnly="1" outline="0" axis="axisRow" fieldPosition="2"/>
    </format>
    <format dxfId="184">
      <pivotArea dataOnly="0" labelOnly="1" outline="0" axis="axisValues" fieldPosition="0"/>
    </format>
    <format dxfId="183">
      <pivotArea outline="0" collapsedLevelsAreSubtotals="1" fieldPosition="0"/>
    </format>
    <format dxfId="182">
      <pivotArea dataOnly="0" labelOnly="1" grandRow="1" outline="0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outline="0" collapsedLevelsAreSubtotals="1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0" type="button" dataOnly="0" labelOnly="1" outline="0" axis="axisRow" fieldPosition="0"/>
    </format>
    <format dxfId="174">
      <pivotArea field="11" type="button" dataOnly="0" labelOnly="1" outline="0" axis="axisRow" fieldPosition="1"/>
    </format>
    <format dxfId="173">
      <pivotArea field="12" type="button" dataOnly="0" labelOnly="1" outline="0" axis="axisRow" fieldPosition="2"/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170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9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2">
      <pivotArea dataOnly="0" labelOnly="1" outline="0" fieldPosition="0">
        <references count="1">
          <reference field="10" count="0"/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9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0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7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6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5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3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9">
      <pivotArea field="10" type="button" dataOnly="0" labelOnly="1" outline="0" axis="axisRow" fieldPosition="0"/>
    </format>
    <format dxfId="88">
      <pivotArea field="11" type="button" dataOnly="0" labelOnly="1" outline="0" axis="axisRow" fieldPosition="1"/>
    </format>
    <format dxfId="87">
      <pivotArea field="12" type="button" dataOnly="0" labelOnly="1" outline="0" axis="axisRow" fieldPosition="2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dataOnly="0" labelOnly="1" outline="0" fieldPosition="0">
        <references count="1">
          <reference field="1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8">
      <pivotArea outline="0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1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0" type="button" dataOnly="0" labelOnly="1" outline="0" axis="axisRow" fieldPosition="0"/>
    </format>
    <format dxfId="49">
      <pivotArea field="11" type="button" dataOnly="0" labelOnly="1" outline="0" axis="axisRow" fieldPosition="1"/>
    </format>
    <format dxfId="48">
      <pivotArea field="12" type="button" dataOnly="0" labelOnly="1" outline="0" axis="axisRow" fieldPosition="2"/>
    </format>
    <format dxfId="47">
      <pivotArea dataOnly="0" labelOnly="1" outline="0" fieldPosition="0">
        <references count="1">
          <reference field="1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1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30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6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3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2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7">
        <i x="1"/>
        <i x="0"/>
        <i x="3" s="1"/>
        <i x="4" nd="1"/>
        <i x="5" nd="1"/>
        <i x="6" nd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0" s="1"/>
        <i x="4" nd="1"/>
        <i x="2" nd="1"/>
        <i x="6" nd="1"/>
        <i x="3" nd="1"/>
        <i x="5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7">
        <i x="3" s="1"/>
        <i x="4" nd="1"/>
        <i x="5" nd="1"/>
        <i x="6" nd="1"/>
        <i x="1" nd="1"/>
        <i x="0" nd="1"/>
        <i x="2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0" s="1"/>
        <i x="4" nd="1"/>
        <i x="2" nd="1"/>
        <i x="6" nd="1"/>
        <i x="3" nd="1"/>
        <i x="5" nd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nd="1"/>
        <i x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7">
        <i x="4" s="1"/>
        <i x="5" s="1"/>
        <i x="6" s="1"/>
        <i x="1" s="1"/>
        <i x="0" s="1"/>
        <i x="3" s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4" s="1"/>
        <i x="0" s="1"/>
        <i x="2" s="1"/>
        <i x="6" s="1"/>
        <i x="3" s="1"/>
        <i x="5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nd="1"/>
        <i x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7">
        <i x="3" s="1"/>
        <i x="4" nd="1"/>
        <i x="5" nd="1"/>
        <i x="6" nd="1"/>
        <i x="2" nd="1"/>
        <i x="0" nd="1"/>
        <i x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7">
        <i x="3" s="1"/>
        <i x="4" s="1" nd="1"/>
        <i x="5" s="1" nd="1"/>
        <i x="6" s="1" nd="1"/>
        <i x="2" s="1" nd="1"/>
        <i x="0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E12" sqref="E12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97" t="s">
        <v>40</v>
      </c>
      <c r="B2" s="97"/>
      <c r="C2" s="97"/>
      <c r="D2" s="97"/>
      <c r="E2" s="97"/>
      <c r="F2" s="97"/>
      <c r="G2" s="97"/>
      <c r="H2" s="97"/>
      <c r="I2" s="97"/>
    </row>
    <row r="3" spans="1:13" ht="15" customHeight="1" x14ac:dyDescent="0.3">
      <c r="L3" t="s">
        <v>59</v>
      </c>
      <c r="M3" s="34" t="str" cm="1">
        <f t="array" ref="M3">+TEXT(MIN(IF(DATA!A:A=D6,DATA!L:L)),"gg.aa.yyyy")</f>
        <v>01.04.2026</v>
      </c>
    </row>
    <row r="4" spans="1:13" ht="15" customHeight="1" x14ac:dyDescent="0.3">
      <c r="A4" s="28" t="s">
        <v>46</v>
      </c>
      <c r="B4" s="28"/>
      <c r="C4" s="28" t="s">
        <v>43</v>
      </c>
      <c r="D4" s="101" t="str">
        <f>+DATA!F3&amp;" "&amp;DATA!G3&amp;" "&amp;DATA!I3&amp;" ("&amp;DATA!J3&amp;") "&amp;" '"&amp;DATA!H3&amp;"' Tipi Tünel İmalatları"</f>
        <v>S06-Barbaros İstasyonu Hat-1 KY 3.Aşama (Alt Yarı)  'P1' Tipi Tünel İmalatları</v>
      </c>
      <c r="E4" s="101"/>
      <c r="F4" s="101"/>
      <c r="G4" s="101"/>
      <c r="H4" s="101"/>
      <c r="I4" s="101"/>
      <c r="L4" t="s">
        <v>60</v>
      </c>
      <c r="M4" s="34" t="str" cm="1">
        <f t="array" ref="M4">+TEXT(MAX(IF(DATA!A:A=D6,DATA!L:L)),"gg.aa.yyyy")</f>
        <v>16.04.2026</v>
      </c>
    </row>
    <row r="5" spans="1:13" ht="15" customHeight="1" x14ac:dyDescent="0.3">
      <c r="A5" s="28"/>
      <c r="B5" s="28"/>
      <c r="C5" s="28"/>
      <c r="D5" s="101"/>
      <c r="E5" s="101"/>
      <c r="F5" s="101"/>
      <c r="G5" s="101"/>
      <c r="H5" s="101"/>
      <c r="I5" s="101"/>
    </row>
    <row r="6" spans="1:13" ht="15" customHeight="1" x14ac:dyDescent="0.3">
      <c r="A6" s="28" t="s">
        <v>41</v>
      </c>
      <c r="B6" s="37" t="s">
        <v>42</v>
      </c>
      <c r="C6" s="28" t="s">
        <v>43</v>
      </c>
      <c r="D6" s="58" t="s">
        <v>225</v>
      </c>
      <c r="J6" t="s">
        <v>81</v>
      </c>
    </row>
    <row r="7" spans="1:13" ht="15" customHeight="1" x14ac:dyDescent="0.3">
      <c r="A7" s="28"/>
      <c r="B7" s="37" t="s">
        <v>44</v>
      </c>
      <c r="C7" s="28" t="s">
        <v>43</v>
      </c>
      <c r="D7" s="102" t="s">
        <v>226</v>
      </c>
      <c r="E7" s="102"/>
      <c r="F7" s="102"/>
      <c r="J7" t="s">
        <v>81</v>
      </c>
    </row>
    <row r="8" spans="1:13" ht="15" customHeight="1" x14ac:dyDescent="0.3">
      <c r="A8" s="28" t="s">
        <v>45</v>
      </c>
      <c r="B8" s="28"/>
      <c r="C8" s="28" t="s">
        <v>43</v>
      </c>
      <c r="D8" s="99">
        <v>46142</v>
      </c>
      <c r="E8" s="100"/>
      <c r="F8" s="100"/>
      <c r="J8" t="s">
        <v>81</v>
      </c>
    </row>
    <row r="9" spans="1:13" ht="15" customHeight="1" x14ac:dyDescent="0.3">
      <c r="A9" s="28" t="s">
        <v>46</v>
      </c>
      <c r="B9" s="28"/>
      <c r="C9" s="28" t="s">
        <v>43</v>
      </c>
      <c r="D9" s="33" t="s">
        <v>47</v>
      </c>
    </row>
    <row r="10" spans="1:13" ht="15" customHeight="1" x14ac:dyDescent="0.3">
      <c r="A10" s="28" t="s">
        <v>48</v>
      </c>
      <c r="B10" s="28"/>
      <c r="C10" s="28" t="s">
        <v>43</v>
      </c>
      <c r="D10" s="56">
        <f>+IF('KAZI-İKSA'!A14&lt;&gt;0,1,0)</f>
        <v>1</v>
      </c>
      <c r="E10" t="s">
        <v>75</v>
      </c>
    </row>
    <row r="11" spans="1:13" ht="15" customHeight="1" x14ac:dyDescent="0.3">
      <c r="A11" s="28"/>
      <c r="B11" s="28"/>
      <c r="C11" s="28"/>
      <c r="D11" s="56">
        <f>+IF(BULON!C15&lt;&gt;0,TUTANAK!D10+1,TUTANAK!D10)</f>
        <v>2</v>
      </c>
      <c r="E11" t="s">
        <v>76</v>
      </c>
    </row>
    <row r="12" spans="1:13" ht="15" customHeight="1" x14ac:dyDescent="0.3">
      <c r="A12" s="28"/>
      <c r="B12" s="28"/>
      <c r="C12" s="28"/>
      <c r="D12" s="56"/>
    </row>
    <row r="13" spans="1:13" ht="15" customHeight="1" x14ac:dyDescent="0.3">
      <c r="A13" s="28"/>
      <c r="B13" s="28"/>
      <c r="C13" s="28"/>
      <c r="D13" s="56"/>
      <c r="E13" t="s">
        <v>77</v>
      </c>
    </row>
    <row r="14" spans="1:13" ht="15" customHeight="1" x14ac:dyDescent="0.3">
      <c r="A14" s="28"/>
      <c r="B14" s="28"/>
      <c r="C14" s="28"/>
      <c r="D14" s="56"/>
      <c r="E14" t="s">
        <v>78</v>
      </c>
    </row>
    <row r="15" spans="1:13" ht="15" customHeight="1" x14ac:dyDescent="0.3">
      <c r="A15" s="28"/>
      <c r="B15" s="28"/>
      <c r="C15" s="28"/>
    </row>
    <row r="16" spans="1:13" ht="15" customHeight="1" x14ac:dyDescent="0.3">
      <c r="A16" s="28" t="s">
        <v>49</v>
      </c>
      <c r="B16" s="28"/>
      <c r="C16" s="28" t="s">
        <v>43</v>
      </c>
      <c r="D16" s="95" t="s">
        <v>50</v>
      </c>
      <c r="E16" s="95"/>
      <c r="F16" s="95"/>
      <c r="G16" s="95"/>
      <c r="H16" s="95"/>
      <c r="I16" s="95"/>
    </row>
    <row r="17" spans="1:9" ht="15" customHeight="1" x14ac:dyDescent="0.3">
      <c r="A17" s="28"/>
      <c r="B17" s="28"/>
      <c r="C17" s="28"/>
      <c r="D17" s="95"/>
      <c r="E17" s="95"/>
      <c r="F17" s="95"/>
      <c r="G17" s="95"/>
      <c r="H17" s="95"/>
      <c r="I17" s="95"/>
    </row>
    <row r="18" spans="1:9" ht="15" customHeight="1" x14ac:dyDescent="0.3">
      <c r="A18" s="28"/>
      <c r="B18" s="28"/>
      <c r="C18" s="28"/>
      <c r="D18" s="95"/>
      <c r="E18" s="95"/>
      <c r="F18" s="95"/>
      <c r="G18" s="95"/>
      <c r="H18" s="95"/>
      <c r="I18" s="95"/>
    </row>
    <row r="19" spans="1:9" ht="15" customHeight="1" x14ac:dyDescent="0.3">
      <c r="A19" s="28" t="s">
        <v>51</v>
      </c>
      <c r="B19" s="28"/>
      <c r="C19" s="28" t="s">
        <v>43</v>
      </c>
      <c r="D19" s="96" t="s">
        <v>52</v>
      </c>
      <c r="E19" s="96"/>
      <c r="F19" s="96"/>
      <c r="G19" s="96"/>
      <c r="H19" s="96"/>
      <c r="I19" s="96"/>
    </row>
    <row r="20" spans="1:9" ht="15" customHeight="1" x14ac:dyDescent="0.3">
      <c r="A20" s="28" t="s">
        <v>53</v>
      </c>
      <c r="B20" s="28"/>
      <c r="C20" s="28" t="s">
        <v>43</v>
      </c>
      <c r="D20" s="99">
        <v>45639</v>
      </c>
      <c r="E20" s="99"/>
      <c r="F20" s="99"/>
    </row>
    <row r="21" spans="1:9" ht="15" customHeight="1" x14ac:dyDescent="0.3">
      <c r="A21" s="28" t="s">
        <v>54</v>
      </c>
      <c r="B21" s="28"/>
      <c r="C21" s="28" t="s">
        <v>43</v>
      </c>
      <c r="D21" s="99">
        <v>45653</v>
      </c>
      <c r="E21" s="99"/>
      <c r="F21" s="99"/>
    </row>
    <row r="22" spans="1:9" ht="15" customHeight="1" x14ac:dyDescent="0.3">
      <c r="A22" s="28" t="s">
        <v>55</v>
      </c>
      <c r="B22" s="28"/>
      <c r="C22" s="28" t="s">
        <v>43</v>
      </c>
      <c r="D22" s="100" t="s">
        <v>56</v>
      </c>
      <c r="E22" s="100"/>
      <c r="F22" s="100"/>
    </row>
    <row r="23" spans="1:9" ht="15" customHeight="1" x14ac:dyDescent="0.3">
      <c r="A23" s="28" t="s">
        <v>57</v>
      </c>
      <c r="B23" s="28"/>
      <c r="C23" s="28" t="s">
        <v>43</v>
      </c>
      <c r="D23" s="99">
        <v>47093</v>
      </c>
      <c r="E23" s="99"/>
      <c r="F23" s="99"/>
    </row>
    <row r="24" spans="1:9" ht="15" customHeight="1" x14ac:dyDescent="0.3">
      <c r="D24" s="32"/>
    </row>
    <row r="25" spans="1:9" ht="15" customHeight="1" x14ac:dyDescent="0.3">
      <c r="A25" s="98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01.04.2026 - 16.04.2026 tarihleri arasında Şartnamesine uygun olarak yapılan imalatlar ekli tablolarda belirtilmiştir.</v>
      </c>
      <c r="B25" s="98"/>
      <c r="C25" s="98"/>
      <c r="D25" s="98"/>
      <c r="E25" s="98"/>
      <c r="F25" s="98"/>
      <c r="G25" s="98"/>
      <c r="H25" s="98"/>
      <c r="I25" s="98"/>
    </row>
    <row r="26" spans="1:9" ht="15" customHeight="1" x14ac:dyDescent="0.3">
      <c r="A26" s="98"/>
      <c r="B26" s="98"/>
      <c r="C26" s="98"/>
      <c r="D26" s="98"/>
      <c r="E26" s="98"/>
      <c r="F26" s="98"/>
      <c r="G26" s="98"/>
      <c r="H26" s="98"/>
      <c r="I26" s="98"/>
    </row>
    <row r="27" spans="1:9" ht="15" customHeight="1" x14ac:dyDescent="0.3">
      <c r="A27" s="98"/>
      <c r="B27" s="98"/>
      <c r="C27" s="98"/>
      <c r="D27" s="98"/>
      <c r="E27" s="98"/>
      <c r="F27" s="98"/>
      <c r="G27" s="98"/>
      <c r="H27" s="98"/>
      <c r="I27" s="98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94"/>
      <c r="B34" s="94"/>
      <c r="C34" s="87"/>
      <c r="D34" s="87"/>
      <c r="E34" s="87"/>
      <c r="F34" s="87"/>
      <c r="G34" s="87"/>
      <c r="H34" s="87"/>
      <c r="I34" s="87"/>
    </row>
    <row r="35" spans="1:9" ht="15" customHeight="1" x14ac:dyDescent="0.3">
      <c r="A35" s="92"/>
      <c r="B35" s="92"/>
      <c r="C35" s="92"/>
      <c r="D35" s="92"/>
      <c r="E35" s="92"/>
      <c r="F35" s="92"/>
      <c r="G35" s="92"/>
      <c r="H35" s="92"/>
      <c r="I35" s="92"/>
    </row>
    <row r="36" spans="1:9" ht="15" customHeight="1" x14ac:dyDescent="0.3">
      <c r="A36" s="92"/>
      <c r="B36" s="92"/>
      <c r="C36" s="92"/>
      <c r="D36" s="92"/>
      <c r="E36" s="92"/>
      <c r="F36" s="92"/>
      <c r="G36" s="92"/>
      <c r="H36" s="92"/>
      <c r="I36" s="92"/>
    </row>
    <row r="45" spans="1:9" ht="15" customHeight="1" x14ac:dyDescent="0.3">
      <c r="A45" s="93"/>
      <c r="B45" s="93"/>
      <c r="C45" s="93"/>
      <c r="D45" s="93"/>
      <c r="E45" s="93"/>
      <c r="F45" s="93"/>
      <c r="G45" s="93"/>
      <c r="H45" s="93"/>
      <c r="I45" s="93"/>
    </row>
    <row r="46" spans="1:9" ht="15" customHeight="1" x14ac:dyDescent="0.3">
      <c r="A46" s="93"/>
      <c r="B46" s="93"/>
      <c r="C46" s="93"/>
      <c r="D46" s="93"/>
      <c r="E46" s="93"/>
      <c r="F46" s="93"/>
      <c r="G46" s="93"/>
      <c r="H46" s="93"/>
      <c r="I46" s="93"/>
    </row>
  </sheetData>
  <mergeCells count="23">
    <mergeCell ref="A2:I2"/>
    <mergeCell ref="A25:I27"/>
    <mergeCell ref="D20:F20"/>
    <mergeCell ref="D21:F21"/>
    <mergeCell ref="D22:F22"/>
    <mergeCell ref="D23:F23"/>
    <mergeCell ref="D4:I5"/>
    <mergeCell ref="D7:F7"/>
    <mergeCell ref="D8:F8"/>
    <mergeCell ref="A34:B34"/>
    <mergeCell ref="C34:F34"/>
    <mergeCell ref="G34:I34"/>
    <mergeCell ref="D16:I18"/>
    <mergeCell ref="D19:I19"/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</mergeCells>
  <conditionalFormatting sqref="D10">
    <cfRule type="cellIs" dxfId="18" priority="10" operator="equal">
      <formula>0</formula>
    </cfRule>
  </conditionalFormatting>
  <conditionalFormatting sqref="D11">
    <cfRule type="cellIs" dxfId="17" priority="8" operator="equal">
      <formula>$D$10</formula>
    </cfRule>
  </conditionalFormatting>
  <conditionalFormatting sqref="D12">
    <cfRule type="cellIs" dxfId="16" priority="7" operator="equal">
      <formula>$D$11</formula>
    </cfRule>
  </conditionalFormatting>
  <conditionalFormatting sqref="D13">
    <cfRule type="cellIs" dxfId="15" priority="6" operator="equal">
      <formula>$D$12</formula>
    </cfRule>
  </conditionalFormatting>
  <conditionalFormatting sqref="D14">
    <cfRule type="cellIs" dxfId="14" priority="5" operator="equal">
      <formula>$D$13</formula>
    </cfRule>
  </conditionalFormatting>
  <conditionalFormatting sqref="E10">
    <cfRule type="expression" dxfId="13" priority="9">
      <formula>$D$10=0</formula>
    </cfRule>
  </conditionalFormatting>
  <conditionalFormatting sqref="E11">
    <cfRule type="expression" dxfId="12" priority="4">
      <formula>$D$11=$D$10</formula>
    </cfRule>
  </conditionalFormatting>
  <conditionalFormatting sqref="E12">
    <cfRule type="expression" dxfId="11" priority="3">
      <formula>$D$12=$D$11</formula>
    </cfRule>
  </conditionalFormatting>
  <conditionalFormatting sqref="E13">
    <cfRule type="expression" dxfId="10" priority="2">
      <formula>$D$13=$D$12</formula>
    </cfRule>
  </conditionalFormatting>
  <conditionalFormatting sqref="E14">
    <cfRule type="expression" dxfId="9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</sheetPr>
  <dimension ref="A2:I170"/>
  <sheetViews>
    <sheetView tabSelected="1" view="pageBreakPreview" topLeftCell="A3" zoomScale="85" zoomScaleNormal="85" zoomScaleSheetLayoutView="85" workbookViewId="0">
      <selection activeCell="E12" sqref="E12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.33203125" bestFit="1" customWidth="1"/>
    <col min="7" max="7" width="9" bestFit="1" customWidth="1"/>
    <col min="8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87" t="s">
        <v>172</v>
      </c>
      <c r="B2" s="87"/>
      <c r="C2" s="87"/>
      <c r="D2" s="87"/>
      <c r="E2" s="87"/>
      <c r="F2" s="87"/>
      <c r="G2" s="87"/>
      <c r="H2" s="87"/>
    </row>
    <row r="3" spans="1:9" ht="15" customHeight="1" x14ac:dyDescent="0.3">
      <c r="A3" s="87" t="s">
        <v>80</v>
      </c>
      <c r="B3" s="87"/>
      <c r="C3" s="87"/>
      <c r="D3" s="87"/>
      <c r="E3" s="87"/>
      <c r="F3" s="87"/>
      <c r="G3" s="87"/>
      <c r="H3" s="87"/>
    </row>
    <row r="4" spans="1:9" ht="15" customHeight="1" x14ac:dyDescent="0.3">
      <c r="A4" s="87" t="str">
        <f>+"İKSA, PÜSKÜRTME BETONU VE HASIR ÇELİK İCMALİ  (" &amp; TUTANAK!$M$3&amp; "-"&amp; TUTANAK!$M$4&amp; ")"</f>
        <v>İKSA, PÜSKÜRTME BETONU VE HASIR ÇELİK İCMALİ  (01.04.2026-16.04.2026)</v>
      </c>
      <c r="B4" s="87"/>
      <c r="C4" s="87"/>
      <c r="D4" s="87"/>
      <c r="E4" s="87"/>
      <c r="F4" s="87"/>
      <c r="G4" s="87"/>
      <c r="H4" s="87"/>
    </row>
    <row r="5" spans="1:9" ht="15" customHeight="1" x14ac:dyDescent="0.3">
      <c r="A5" s="91" t="str">
        <f>+DATA!H3</f>
        <v>P1</v>
      </c>
      <c r="B5" s="91"/>
      <c r="C5" s="91"/>
      <c r="D5" s="91"/>
      <c r="E5" s="91"/>
      <c r="F5" s="91"/>
      <c r="G5" s="91"/>
      <c r="H5" s="91"/>
    </row>
    <row r="6" spans="1:9" ht="15" customHeight="1" x14ac:dyDescent="0.3">
      <c r="A6" s="42"/>
      <c r="B6" s="42"/>
      <c r="C6" s="42"/>
      <c r="D6" s="42"/>
      <c r="E6" s="42"/>
      <c r="H6" s="37" t="s">
        <v>73</v>
      </c>
      <c r="I6" s="33">
        <f>+TUTANAK!$D$10</f>
        <v>1</v>
      </c>
    </row>
    <row r="7" spans="1:9" ht="15" customHeight="1" x14ac:dyDescent="0.3">
      <c r="A7" s="43" t="s">
        <v>72</v>
      </c>
      <c r="B7" t="str">
        <f>+DATA!$F$3&amp;" "&amp;DATA!$G$3&amp;" "&amp;DATA!$H$3&amp;" Tüneli "&amp;DATA!$I$3&amp;" ("&amp;DATA!$J$3&amp;")"</f>
        <v>S06-Barbaros İstasyonu Hat-1 KY P1 Tüneli 3.Aşama (Alt Yarı)</v>
      </c>
    </row>
    <row r="8" spans="1:9" ht="15" customHeight="1" x14ac:dyDescent="0.3">
      <c r="A8" s="43" t="s">
        <v>69</v>
      </c>
      <c r="B8" s="89" t="str">
        <f>+TUTANAK!$D$6</f>
        <v>2026.04-003</v>
      </c>
      <c r="C8" s="89"/>
    </row>
    <row r="9" spans="1:9" ht="15" customHeight="1" x14ac:dyDescent="0.3">
      <c r="A9" s="43" t="s">
        <v>70</v>
      </c>
      <c r="B9" s="88" t="str">
        <f>+TUTANAK!$D$7</f>
        <v>S06.H1.KY.P1.A3.003</v>
      </c>
      <c r="C9" s="88"/>
    </row>
    <row r="10" spans="1:9" ht="15" customHeight="1" x14ac:dyDescent="0.3">
      <c r="A10" s="43" t="s">
        <v>71</v>
      </c>
      <c r="B10" s="89">
        <f>+TUTANAK!$D$8</f>
        <v>46142</v>
      </c>
      <c r="C10" s="90"/>
    </row>
    <row r="11" spans="1:9" ht="15" customHeight="1" x14ac:dyDescent="0.3">
      <c r="A11" s="38"/>
      <c r="B11" s="35"/>
      <c r="C11" s="36"/>
    </row>
    <row r="12" spans="1:9" ht="15" customHeight="1" x14ac:dyDescent="0.3">
      <c r="A12" s="38"/>
      <c r="B12" s="35"/>
      <c r="C12" s="36"/>
    </row>
    <row r="13" spans="1:9" ht="57.6" x14ac:dyDescent="0.3">
      <c r="A13" s="41" t="s">
        <v>27</v>
      </c>
      <c r="B13" s="41" t="s">
        <v>7</v>
      </c>
      <c r="C13" s="41" t="s">
        <v>8</v>
      </c>
      <c r="D13" s="41" t="s">
        <v>11</v>
      </c>
      <c r="E13" s="41" t="s">
        <v>12</v>
      </c>
      <c r="F13" s="41" t="s">
        <v>68</v>
      </c>
      <c r="G13" s="19" t="s">
        <v>170</v>
      </c>
      <c r="H13" s="19" t="s">
        <v>171</v>
      </c>
    </row>
    <row r="14" spans="1:9" ht="14.4" x14ac:dyDescent="0.3">
      <c r="A14" s="18" t="s">
        <v>227</v>
      </c>
      <c r="B14" s="39">
        <v>46113</v>
      </c>
      <c r="C14" s="29">
        <v>1308.44</v>
      </c>
      <c r="D14" s="18" t="s">
        <v>84</v>
      </c>
      <c r="E14" s="18" t="s">
        <v>31</v>
      </c>
      <c r="F14" s="18" t="s">
        <v>64</v>
      </c>
      <c r="G14" s="18"/>
      <c r="H14" s="18">
        <v>1</v>
      </c>
    </row>
    <row r="15" spans="1:9" ht="15" customHeight="1" x14ac:dyDescent="0.3">
      <c r="A15" s="18" t="s">
        <v>227</v>
      </c>
      <c r="B15" s="39">
        <v>46113</v>
      </c>
      <c r="C15" s="29">
        <v>1309.19</v>
      </c>
      <c r="D15" s="18" t="s">
        <v>84</v>
      </c>
      <c r="E15" s="18" t="s">
        <v>31</v>
      </c>
      <c r="F15" s="18" t="s">
        <v>63</v>
      </c>
      <c r="G15" s="18"/>
      <c r="H15" s="18">
        <v>1</v>
      </c>
    </row>
    <row r="16" spans="1:9" ht="15" customHeight="1" x14ac:dyDescent="0.3">
      <c r="A16" s="18" t="s">
        <v>227</v>
      </c>
      <c r="B16" s="39">
        <v>46113</v>
      </c>
      <c r="C16" s="29">
        <v>1309.94</v>
      </c>
      <c r="D16" s="18" t="s">
        <v>84</v>
      </c>
      <c r="E16" s="18" t="s">
        <v>31</v>
      </c>
      <c r="F16" s="18" t="s">
        <v>29</v>
      </c>
      <c r="G16" s="18"/>
      <c r="H16" s="18">
        <v>1</v>
      </c>
    </row>
    <row r="17" spans="1:8" ht="15" customHeight="1" x14ac:dyDescent="0.3">
      <c r="A17" s="18" t="s">
        <v>228</v>
      </c>
      <c r="B17" s="39">
        <v>46127</v>
      </c>
      <c r="C17" s="29">
        <v>1310.69</v>
      </c>
      <c r="D17" s="18" t="s">
        <v>84</v>
      </c>
      <c r="E17" s="18" t="s">
        <v>31</v>
      </c>
      <c r="F17" s="18" t="s">
        <v>67</v>
      </c>
      <c r="G17" s="18"/>
      <c r="H17" s="18">
        <v>1</v>
      </c>
    </row>
    <row r="18" spans="1:8" ht="15" customHeight="1" x14ac:dyDescent="0.3">
      <c r="A18" s="18" t="s">
        <v>228</v>
      </c>
      <c r="B18" s="39">
        <v>46127</v>
      </c>
      <c r="C18" s="29">
        <v>1311.44</v>
      </c>
      <c r="D18" s="18" t="s">
        <v>84</v>
      </c>
      <c r="E18" s="18" t="s">
        <v>31</v>
      </c>
      <c r="F18" s="18" t="s">
        <v>66</v>
      </c>
      <c r="G18" s="18"/>
      <c r="H18" s="18">
        <v>1</v>
      </c>
    </row>
    <row r="19" spans="1:8" ht="15" customHeight="1" x14ac:dyDescent="0.3">
      <c r="A19" s="18" t="s">
        <v>228</v>
      </c>
      <c r="B19" s="39">
        <v>46127</v>
      </c>
      <c r="C19" s="29">
        <v>1312.19</v>
      </c>
      <c r="D19" s="18" t="s">
        <v>84</v>
      </c>
      <c r="E19" s="18" t="s">
        <v>31</v>
      </c>
      <c r="F19" s="18" t="s">
        <v>65</v>
      </c>
      <c r="G19" s="18"/>
      <c r="H19" s="18">
        <v>1</v>
      </c>
    </row>
    <row r="20" spans="1:8" ht="14.4" x14ac:dyDescent="0.3">
      <c r="A20" s="18" t="s">
        <v>229</v>
      </c>
      <c r="B20" s="39">
        <v>46128</v>
      </c>
      <c r="C20" s="29">
        <v>1312.94</v>
      </c>
      <c r="D20" s="18" t="s">
        <v>84</v>
      </c>
      <c r="E20" s="18" t="s">
        <v>31</v>
      </c>
      <c r="F20" s="18" t="s">
        <v>64</v>
      </c>
      <c r="G20" s="18"/>
      <c r="H20" s="18">
        <v>1</v>
      </c>
    </row>
    <row r="21" spans="1:8" ht="14.4" x14ac:dyDescent="0.3">
      <c r="A21" s="18" t="s">
        <v>229</v>
      </c>
      <c r="B21" s="39">
        <v>46128</v>
      </c>
      <c r="C21" s="29">
        <v>1313.69</v>
      </c>
      <c r="D21" s="18" t="s">
        <v>84</v>
      </c>
      <c r="E21" s="18" t="s">
        <v>31</v>
      </c>
      <c r="F21" s="18" t="s">
        <v>63</v>
      </c>
      <c r="G21" s="18"/>
      <c r="H21" s="18">
        <v>1</v>
      </c>
    </row>
    <row r="22" spans="1:8" ht="15" customHeight="1" x14ac:dyDescent="0.3">
      <c r="A22" s="18" t="s">
        <v>229</v>
      </c>
      <c r="B22" s="39">
        <v>46128</v>
      </c>
      <c r="C22" s="29">
        <v>1314.44</v>
      </c>
      <c r="D22" s="18" t="s">
        <v>84</v>
      </c>
      <c r="E22" s="18" t="s">
        <v>31</v>
      </c>
      <c r="F22" s="18" t="s">
        <v>29</v>
      </c>
      <c r="G22" s="18"/>
      <c r="H22" s="18">
        <v>1</v>
      </c>
    </row>
    <row r="23" spans="1:8" ht="14.4" x14ac:dyDescent="0.3">
      <c r="A23" s="18" t="s">
        <v>229</v>
      </c>
      <c r="B23" s="39">
        <v>46128</v>
      </c>
      <c r="C23" s="29">
        <v>1315.19</v>
      </c>
      <c r="D23" s="18" t="s">
        <v>84</v>
      </c>
      <c r="E23" s="18" t="s">
        <v>31</v>
      </c>
      <c r="F23" s="18" t="s">
        <v>169</v>
      </c>
      <c r="G23" s="18"/>
      <c r="H23" s="18"/>
    </row>
    <row r="24" spans="1:8" ht="14.4" hidden="1" x14ac:dyDescent="0.3">
      <c r="A24" s="18" t="s">
        <v>230</v>
      </c>
      <c r="B24" s="39">
        <v>46119</v>
      </c>
      <c r="C24" s="18">
        <v>1296.82</v>
      </c>
      <c r="D24" s="18" t="s">
        <v>169</v>
      </c>
      <c r="E24" s="18" t="s">
        <v>169</v>
      </c>
      <c r="F24" s="18" t="s">
        <v>169</v>
      </c>
      <c r="G24" s="18"/>
      <c r="H24" s="18"/>
    </row>
    <row r="25" spans="1:8" ht="14.4" hidden="1" x14ac:dyDescent="0.3">
      <c r="A25" s="18" t="s">
        <v>230</v>
      </c>
      <c r="B25" s="39">
        <v>46119</v>
      </c>
      <c r="C25" s="18">
        <v>1297.57</v>
      </c>
      <c r="D25" s="18" t="s">
        <v>169</v>
      </c>
      <c r="E25" s="18" t="s">
        <v>169</v>
      </c>
      <c r="F25" s="18" t="s">
        <v>169</v>
      </c>
      <c r="G25" s="18"/>
      <c r="H25" s="18"/>
    </row>
    <row r="26" spans="1:8" ht="15" hidden="1" customHeight="1" x14ac:dyDescent="0.3">
      <c r="A26" s="18" t="s">
        <v>230</v>
      </c>
      <c r="B26" s="39">
        <v>46119</v>
      </c>
      <c r="C26" s="18">
        <v>1298.32</v>
      </c>
      <c r="D26" s="18" t="s">
        <v>169</v>
      </c>
      <c r="E26" s="18" t="s">
        <v>169</v>
      </c>
      <c r="F26" s="18" t="s">
        <v>169</v>
      </c>
      <c r="G26" s="18"/>
      <c r="H26" s="18"/>
    </row>
    <row r="27" spans="1:8" ht="15" hidden="1" customHeight="1" x14ac:dyDescent="0.3">
      <c r="A27" s="18" t="s">
        <v>230</v>
      </c>
      <c r="B27" s="39">
        <v>46119</v>
      </c>
      <c r="C27" s="18">
        <v>1299.07</v>
      </c>
      <c r="D27" s="18" t="s">
        <v>169</v>
      </c>
      <c r="E27" s="18" t="s">
        <v>169</v>
      </c>
      <c r="F27" s="18" t="s">
        <v>169</v>
      </c>
      <c r="G27" s="18"/>
      <c r="H27" s="18"/>
    </row>
    <row r="28" spans="1:8" ht="15" hidden="1" customHeight="1" x14ac:dyDescent="0.3">
      <c r="A28" s="18" t="s">
        <v>230</v>
      </c>
      <c r="B28" s="39">
        <v>46119</v>
      </c>
      <c r="C28" s="18">
        <v>1299.82</v>
      </c>
      <c r="D28" s="18" t="s">
        <v>169</v>
      </c>
      <c r="E28" s="18" t="s">
        <v>169</v>
      </c>
      <c r="F28" s="18" t="s">
        <v>169</v>
      </c>
      <c r="G28" s="18"/>
      <c r="H28" s="18"/>
    </row>
    <row r="29" spans="1:8" ht="15" hidden="1" customHeight="1" x14ac:dyDescent="0.3">
      <c r="A29" s="18" t="s">
        <v>230</v>
      </c>
      <c r="B29" s="39">
        <v>46119</v>
      </c>
      <c r="C29" s="18">
        <v>1300.57</v>
      </c>
      <c r="D29" s="18" t="s">
        <v>169</v>
      </c>
      <c r="E29" s="18" t="s">
        <v>169</v>
      </c>
      <c r="F29" s="18" t="s">
        <v>169</v>
      </c>
      <c r="G29" s="18"/>
      <c r="H29" s="18"/>
    </row>
    <row r="30" spans="1:8" ht="15" hidden="1" customHeight="1" x14ac:dyDescent="0.3">
      <c r="A30" s="18" t="s">
        <v>230</v>
      </c>
      <c r="B30" s="39">
        <v>46119</v>
      </c>
      <c r="C30" s="18">
        <v>1301.32</v>
      </c>
      <c r="D30" s="18" t="s">
        <v>169</v>
      </c>
      <c r="E30" s="18" t="s">
        <v>169</v>
      </c>
      <c r="F30" s="18" t="s">
        <v>169</v>
      </c>
      <c r="G30" s="18"/>
      <c r="H30" s="18"/>
    </row>
    <row r="31" spans="1:8" ht="15" hidden="1" customHeight="1" x14ac:dyDescent="0.3">
      <c r="A31" s="18" t="s">
        <v>230</v>
      </c>
      <c r="B31" s="39">
        <v>46119</v>
      </c>
      <c r="C31" s="18">
        <v>1302.07</v>
      </c>
      <c r="D31" s="18" t="s">
        <v>169</v>
      </c>
      <c r="E31" s="18" t="s">
        <v>169</v>
      </c>
      <c r="F31" s="18" t="s">
        <v>169</v>
      </c>
      <c r="G31" s="18"/>
      <c r="H31" s="18"/>
    </row>
    <row r="32" spans="1:8" ht="14.4" hidden="1" x14ac:dyDescent="0.3">
      <c r="A32" s="18" t="s">
        <v>230</v>
      </c>
      <c r="B32" s="39">
        <v>46119</v>
      </c>
      <c r="C32" s="18">
        <v>1302.82</v>
      </c>
      <c r="D32" s="18" t="s">
        <v>169</v>
      </c>
      <c r="E32" s="18" t="s">
        <v>169</v>
      </c>
      <c r="F32" s="18" t="s">
        <v>169</v>
      </c>
      <c r="G32" s="18"/>
      <c r="H32" s="18"/>
    </row>
    <row r="33" spans="1:9" ht="15" hidden="1" customHeight="1" x14ac:dyDescent="0.3">
      <c r="A33" s="18" t="s">
        <v>230</v>
      </c>
      <c r="B33" s="39">
        <v>46119</v>
      </c>
      <c r="C33" s="18">
        <v>1303.57</v>
      </c>
      <c r="D33" s="18" t="s">
        <v>169</v>
      </c>
      <c r="E33" s="18" t="s">
        <v>169</v>
      </c>
      <c r="F33" s="18" t="s">
        <v>169</v>
      </c>
      <c r="G33" s="18"/>
      <c r="H33" s="18"/>
    </row>
    <row r="34" spans="1:9" ht="15" hidden="1" customHeight="1" x14ac:dyDescent="0.3">
      <c r="A34" s="18" t="s">
        <v>230</v>
      </c>
      <c r="B34" s="39">
        <v>46119</v>
      </c>
      <c r="C34" s="18">
        <v>1304.32</v>
      </c>
      <c r="D34" s="18" t="s">
        <v>169</v>
      </c>
      <c r="E34" s="18" t="s">
        <v>169</v>
      </c>
      <c r="F34" s="18" t="s">
        <v>169</v>
      </c>
      <c r="G34" s="18"/>
      <c r="H34" s="18"/>
    </row>
    <row r="35" spans="1:9" ht="14.4" hidden="1" x14ac:dyDescent="0.3">
      <c r="A35" s="18" t="s">
        <v>230</v>
      </c>
      <c r="B35" s="39">
        <v>46119</v>
      </c>
      <c r="C35" s="18">
        <v>1305.07</v>
      </c>
      <c r="D35" s="18" t="s">
        <v>169</v>
      </c>
      <c r="E35" s="18" t="s">
        <v>169</v>
      </c>
      <c r="F35" s="18" t="s">
        <v>169</v>
      </c>
      <c r="G35" s="18"/>
      <c r="H35" s="18"/>
    </row>
    <row r="36" spans="1:9" ht="14.4" hidden="1" x14ac:dyDescent="0.3">
      <c r="A36" s="18" t="s">
        <v>230</v>
      </c>
      <c r="B36" s="39">
        <v>46119</v>
      </c>
      <c r="C36" s="18">
        <v>1305.82</v>
      </c>
      <c r="D36" s="18" t="s">
        <v>169</v>
      </c>
      <c r="E36" s="18" t="s">
        <v>169</v>
      </c>
      <c r="F36" s="18" t="s">
        <v>169</v>
      </c>
      <c r="G36" s="18"/>
      <c r="H36" s="18"/>
    </row>
    <row r="37" spans="1:9" ht="14.4" hidden="1" x14ac:dyDescent="0.3">
      <c r="A37" s="18" t="s">
        <v>230</v>
      </c>
      <c r="B37" s="39">
        <v>46119</v>
      </c>
      <c r="C37" s="18">
        <v>1306.57</v>
      </c>
      <c r="D37" s="18" t="s">
        <v>169</v>
      </c>
      <c r="E37" s="18" t="s">
        <v>169</v>
      </c>
      <c r="F37" s="18" t="s">
        <v>169</v>
      </c>
      <c r="G37" s="18"/>
      <c r="H37" s="18"/>
    </row>
    <row r="38" spans="1:9" ht="15" hidden="1" customHeight="1" x14ac:dyDescent="0.3">
      <c r="A38" s="18" t="s">
        <v>230</v>
      </c>
      <c r="B38" s="39">
        <v>46119</v>
      </c>
      <c r="C38" s="18">
        <v>1307.32</v>
      </c>
      <c r="D38" s="18" t="s">
        <v>169</v>
      </c>
      <c r="E38" s="18" t="s">
        <v>169</v>
      </c>
      <c r="F38" s="18" t="s">
        <v>169</v>
      </c>
      <c r="G38" s="18"/>
      <c r="H38" s="18"/>
    </row>
    <row r="39" spans="1:9" ht="15" hidden="1" customHeight="1" x14ac:dyDescent="0.3">
      <c r="A39" s="18" t="s">
        <v>230</v>
      </c>
      <c r="B39" s="39">
        <v>46119</v>
      </c>
      <c r="C39" s="18">
        <v>1308.07</v>
      </c>
      <c r="D39" s="18" t="s">
        <v>169</v>
      </c>
      <c r="E39" s="18" t="s">
        <v>169</v>
      </c>
      <c r="F39" s="18" t="s">
        <v>169</v>
      </c>
      <c r="G39" s="18"/>
      <c r="H39" s="18"/>
    </row>
    <row r="40" spans="1:9" ht="14.4" hidden="1" x14ac:dyDescent="0.3">
      <c r="A40" s="18" t="s">
        <v>230</v>
      </c>
      <c r="B40" s="39">
        <v>46119</v>
      </c>
      <c r="C40" s="18">
        <v>1308.82</v>
      </c>
      <c r="D40" s="18" t="s">
        <v>169</v>
      </c>
      <c r="E40" s="18" t="s">
        <v>169</v>
      </c>
      <c r="F40" s="18" t="s">
        <v>169</v>
      </c>
      <c r="G40" s="18"/>
      <c r="H40" s="18"/>
    </row>
    <row r="41" spans="1:9" ht="14.4" hidden="1" x14ac:dyDescent="0.3">
      <c r="A41" s="18" t="s">
        <v>230</v>
      </c>
      <c r="B41" s="39">
        <v>46119</v>
      </c>
      <c r="C41" s="18">
        <v>1309.57</v>
      </c>
      <c r="D41" s="18" t="s">
        <v>169</v>
      </c>
      <c r="E41" s="18" t="s">
        <v>169</v>
      </c>
      <c r="F41" s="18" t="s">
        <v>169</v>
      </c>
      <c r="G41" s="18"/>
      <c r="H41" s="18"/>
    </row>
    <row r="42" spans="1:9" ht="14.4" hidden="1" x14ac:dyDescent="0.3">
      <c r="A42" s="18" t="s">
        <v>230</v>
      </c>
      <c r="B42" s="39">
        <v>46119</v>
      </c>
      <c r="C42" s="18">
        <v>1310.32</v>
      </c>
      <c r="D42" s="18" t="s">
        <v>169</v>
      </c>
      <c r="E42" s="18" t="s">
        <v>169</v>
      </c>
      <c r="F42" s="18" t="s">
        <v>169</v>
      </c>
      <c r="G42" s="18"/>
      <c r="H42" s="18"/>
      <c r="I42" s="84"/>
    </row>
    <row r="43" spans="1:9" ht="14.4" hidden="1" x14ac:dyDescent="0.3">
      <c r="A43" s="18" t="s">
        <v>231</v>
      </c>
      <c r="B43" s="39">
        <v>46119</v>
      </c>
      <c r="C43" s="18">
        <v>1286.32</v>
      </c>
      <c r="D43" s="18" t="s">
        <v>169</v>
      </c>
      <c r="E43" s="18" t="s">
        <v>169</v>
      </c>
      <c r="F43" s="18" t="s">
        <v>169</v>
      </c>
      <c r="G43" s="18"/>
      <c r="H43" s="18"/>
      <c r="I43" s="84"/>
    </row>
    <row r="44" spans="1:9" ht="14.4" hidden="1" x14ac:dyDescent="0.3">
      <c r="A44" s="18" t="s">
        <v>231</v>
      </c>
      <c r="B44" s="39">
        <v>46119</v>
      </c>
      <c r="C44" s="18">
        <v>1287.07</v>
      </c>
      <c r="D44" s="18" t="s">
        <v>169</v>
      </c>
      <c r="E44" s="18" t="s">
        <v>169</v>
      </c>
      <c r="F44" s="18" t="s">
        <v>169</v>
      </c>
      <c r="G44" s="18"/>
      <c r="H44" s="18"/>
      <c r="I44" s="84"/>
    </row>
    <row r="45" spans="1:9" ht="14.4" hidden="1" x14ac:dyDescent="0.3">
      <c r="A45" s="18" t="s">
        <v>231</v>
      </c>
      <c r="B45" s="39">
        <v>46119</v>
      </c>
      <c r="C45" s="18">
        <v>1287.82</v>
      </c>
      <c r="D45" s="18" t="s">
        <v>169</v>
      </c>
      <c r="E45" s="18" t="s">
        <v>169</v>
      </c>
      <c r="F45" s="18" t="s">
        <v>169</v>
      </c>
      <c r="G45" s="18"/>
      <c r="H45" s="18"/>
      <c r="I45" s="84"/>
    </row>
    <row r="46" spans="1:9" ht="14.4" hidden="1" x14ac:dyDescent="0.3">
      <c r="A46" s="18" t="s">
        <v>231</v>
      </c>
      <c r="B46" s="39">
        <v>46119</v>
      </c>
      <c r="C46" s="18">
        <v>1288.57</v>
      </c>
      <c r="D46" s="18" t="s">
        <v>169</v>
      </c>
      <c r="E46" s="18" t="s">
        <v>169</v>
      </c>
      <c r="F46" s="18" t="s">
        <v>169</v>
      </c>
      <c r="G46" s="18"/>
      <c r="H46" s="18"/>
      <c r="I46" s="84"/>
    </row>
    <row r="47" spans="1:9" ht="14.4" hidden="1" x14ac:dyDescent="0.3">
      <c r="A47" s="18" t="s">
        <v>231</v>
      </c>
      <c r="B47" s="39">
        <v>46119</v>
      </c>
      <c r="C47" s="18">
        <v>1289.32</v>
      </c>
      <c r="D47" s="18" t="s">
        <v>169</v>
      </c>
      <c r="E47" s="18" t="s">
        <v>169</v>
      </c>
      <c r="F47" s="18" t="s">
        <v>169</v>
      </c>
      <c r="G47" s="18"/>
      <c r="H47" s="18"/>
      <c r="I47" s="84"/>
    </row>
    <row r="48" spans="1:9" ht="14.4" hidden="1" x14ac:dyDescent="0.3">
      <c r="A48" s="18" t="s">
        <v>231</v>
      </c>
      <c r="B48" s="39">
        <v>46119</v>
      </c>
      <c r="C48" s="18">
        <v>1290.07</v>
      </c>
      <c r="D48" s="18" t="s">
        <v>169</v>
      </c>
      <c r="E48" s="18" t="s">
        <v>169</v>
      </c>
      <c r="F48" s="18" t="s">
        <v>169</v>
      </c>
      <c r="G48" s="18"/>
      <c r="H48" s="18"/>
      <c r="I48" s="84"/>
    </row>
    <row r="49" spans="1:9" ht="14.4" hidden="1" x14ac:dyDescent="0.3">
      <c r="A49" s="18" t="s">
        <v>231</v>
      </c>
      <c r="B49" s="39">
        <v>46119</v>
      </c>
      <c r="C49" s="18">
        <v>1290.82</v>
      </c>
      <c r="D49" s="18" t="s">
        <v>169</v>
      </c>
      <c r="E49" s="18" t="s">
        <v>169</v>
      </c>
      <c r="F49" s="18" t="s">
        <v>169</v>
      </c>
      <c r="G49" s="18"/>
      <c r="H49" s="18"/>
      <c r="I49" s="84"/>
    </row>
    <row r="50" spans="1:9" ht="14.4" hidden="1" x14ac:dyDescent="0.3">
      <c r="A50" s="18" t="s">
        <v>231</v>
      </c>
      <c r="B50" s="39">
        <v>46119</v>
      </c>
      <c r="C50" s="18">
        <v>1291.57</v>
      </c>
      <c r="D50" s="18" t="s">
        <v>169</v>
      </c>
      <c r="E50" s="18" t="s">
        <v>169</v>
      </c>
      <c r="F50" s="18" t="s">
        <v>169</v>
      </c>
      <c r="G50" s="18"/>
      <c r="H50" s="18"/>
      <c r="I50" s="84"/>
    </row>
    <row r="51" spans="1:9" ht="14.4" hidden="1" x14ac:dyDescent="0.3">
      <c r="A51" s="18" t="s">
        <v>231</v>
      </c>
      <c r="B51" s="39">
        <v>46119</v>
      </c>
      <c r="C51" s="18">
        <v>1292.32</v>
      </c>
      <c r="D51" s="18" t="s">
        <v>169</v>
      </c>
      <c r="E51" s="18" t="s">
        <v>169</v>
      </c>
      <c r="F51" s="18" t="s">
        <v>169</v>
      </c>
      <c r="G51" s="18"/>
      <c r="H51" s="18"/>
      <c r="I51" s="84"/>
    </row>
    <row r="52" spans="1:9" ht="14.4" hidden="1" x14ac:dyDescent="0.3">
      <c r="A52" s="18" t="s">
        <v>231</v>
      </c>
      <c r="B52" s="39">
        <v>46119</v>
      </c>
      <c r="C52" s="18">
        <v>1293.07</v>
      </c>
      <c r="D52" s="18" t="s">
        <v>169</v>
      </c>
      <c r="E52" s="18" t="s">
        <v>169</v>
      </c>
      <c r="F52" s="18" t="s">
        <v>169</v>
      </c>
      <c r="G52" s="18"/>
      <c r="H52" s="18"/>
      <c r="I52" s="84"/>
    </row>
    <row r="53" spans="1:9" ht="14.4" hidden="1" x14ac:dyDescent="0.3">
      <c r="A53" s="18" t="s">
        <v>231</v>
      </c>
      <c r="B53" s="39">
        <v>46119</v>
      </c>
      <c r="C53" s="18">
        <v>1293.82</v>
      </c>
      <c r="D53" s="18" t="s">
        <v>169</v>
      </c>
      <c r="E53" s="18" t="s">
        <v>169</v>
      </c>
      <c r="F53" s="18" t="s">
        <v>169</v>
      </c>
      <c r="G53" s="18"/>
      <c r="H53" s="18"/>
      <c r="I53" s="84"/>
    </row>
    <row r="54" spans="1:9" ht="14.4" hidden="1" x14ac:dyDescent="0.3">
      <c r="A54" s="18" t="s">
        <v>231</v>
      </c>
      <c r="B54" s="39">
        <v>46119</v>
      </c>
      <c r="C54" s="18">
        <v>1294.57</v>
      </c>
      <c r="D54" s="18" t="s">
        <v>169</v>
      </c>
      <c r="E54" s="18" t="s">
        <v>169</v>
      </c>
      <c r="F54" s="18" t="s">
        <v>169</v>
      </c>
      <c r="G54" s="18"/>
      <c r="H54" s="18"/>
      <c r="I54" s="84"/>
    </row>
    <row r="55" spans="1:9" ht="14.4" hidden="1" x14ac:dyDescent="0.3">
      <c r="A55" s="18" t="s">
        <v>231</v>
      </c>
      <c r="B55" s="39">
        <v>46119</v>
      </c>
      <c r="C55" s="18">
        <v>1295.32</v>
      </c>
      <c r="D55" s="18" t="s">
        <v>169</v>
      </c>
      <c r="E55" s="18" t="s">
        <v>169</v>
      </c>
      <c r="F55" s="18" t="s">
        <v>169</v>
      </c>
      <c r="G55" s="18"/>
      <c r="H55" s="18"/>
      <c r="I55" s="84"/>
    </row>
    <row r="56" spans="1:9" ht="14.4" hidden="1" x14ac:dyDescent="0.3">
      <c r="A56" s="18" t="s">
        <v>231</v>
      </c>
      <c r="B56" s="39">
        <v>46119</v>
      </c>
      <c r="C56" s="18">
        <v>1296.07</v>
      </c>
      <c r="D56" s="18" t="s">
        <v>169</v>
      </c>
      <c r="E56" s="18" t="s">
        <v>169</v>
      </c>
      <c r="F56" s="18" t="s">
        <v>169</v>
      </c>
      <c r="G56" s="18"/>
      <c r="H56" s="18"/>
      <c r="I56" s="84"/>
    </row>
    <row r="57" spans="1:9" ht="14.4" x14ac:dyDescent="0.3">
      <c r="A57" s="15" t="s">
        <v>62</v>
      </c>
      <c r="B57" s="15"/>
      <c r="C57" s="15"/>
      <c r="D57" s="15"/>
      <c r="E57" s="15"/>
      <c r="F57" s="15"/>
      <c r="G57" s="15"/>
      <c r="H57" s="15">
        <v>9</v>
      </c>
      <c r="I57" s="84"/>
    </row>
    <row r="66" ht="14.4" x14ac:dyDescent="0.3"/>
    <row r="67" ht="14.4" x14ac:dyDescent="0.3"/>
    <row r="68" ht="14.4" x14ac:dyDescent="0.3"/>
    <row r="78" ht="14.4" x14ac:dyDescent="0.3"/>
    <row r="79" ht="14.4" x14ac:dyDescent="0.3"/>
    <row r="80" ht="14.4" x14ac:dyDescent="0.3"/>
    <row r="81" ht="14.4" x14ac:dyDescent="0.3"/>
    <row r="113" ht="15" hidden="1" customHeight="1" x14ac:dyDescent="0.3"/>
    <row r="114" ht="15" hidden="1" customHeight="1" x14ac:dyDescent="0.3"/>
    <row r="115" ht="15" hidden="1" customHeight="1" x14ac:dyDescent="0.3"/>
    <row r="116" ht="15" hidden="1" customHeight="1" x14ac:dyDescent="0.3"/>
    <row r="117" ht="15" hidden="1" customHeight="1" x14ac:dyDescent="0.3"/>
    <row r="118" ht="15" hidden="1" customHeight="1" x14ac:dyDescent="0.3"/>
    <row r="119" ht="15" hidden="1" customHeight="1" x14ac:dyDescent="0.3"/>
    <row r="120" ht="15" hidden="1" customHeight="1" x14ac:dyDescent="0.3"/>
    <row r="121" ht="15" hidden="1" customHeight="1" x14ac:dyDescent="0.3"/>
    <row r="122" ht="15" hidden="1" customHeight="1" x14ac:dyDescent="0.3"/>
    <row r="123" ht="15" hidden="1" customHeight="1" x14ac:dyDescent="0.3"/>
    <row r="124" ht="15" hidden="1" customHeight="1" x14ac:dyDescent="0.3"/>
    <row r="125" ht="15" hidden="1" customHeight="1" x14ac:dyDescent="0.3"/>
    <row r="126" ht="15" hidden="1" customHeight="1" x14ac:dyDescent="0.3"/>
    <row r="127" ht="15" hidden="1" customHeight="1" x14ac:dyDescent="0.3"/>
    <row r="128" ht="15" hidden="1" customHeight="1" x14ac:dyDescent="0.3"/>
    <row r="129" ht="15" hidden="1" customHeight="1" x14ac:dyDescent="0.3"/>
    <row r="130" ht="15" hidden="1" customHeight="1" x14ac:dyDescent="0.3"/>
    <row r="131" ht="15" hidden="1" customHeight="1" x14ac:dyDescent="0.3"/>
    <row r="132" ht="15" hidden="1" customHeight="1" x14ac:dyDescent="0.3"/>
    <row r="133" ht="15" hidden="1" customHeight="1" x14ac:dyDescent="0.3"/>
    <row r="134" ht="15" hidden="1" customHeight="1" x14ac:dyDescent="0.3"/>
    <row r="135" ht="15" hidden="1" customHeight="1" x14ac:dyDescent="0.3"/>
    <row r="136" ht="15" hidden="1" customHeight="1" x14ac:dyDescent="0.3"/>
    <row r="137" ht="15" hidden="1" customHeight="1" x14ac:dyDescent="0.3"/>
    <row r="138" ht="15" hidden="1" customHeight="1" x14ac:dyDescent="0.3"/>
    <row r="139" ht="15" hidden="1" customHeight="1" x14ac:dyDescent="0.3"/>
    <row r="140" ht="15" hidden="1" customHeight="1" x14ac:dyDescent="0.3"/>
    <row r="141" ht="15" hidden="1" customHeight="1" x14ac:dyDescent="0.3"/>
    <row r="142" ht="15" hidden="1" customHeight="1" x14ac:dyDescent="0.3"/>
    <row r="143" ht="15" hidden="1" customHeight="1" x14ac:dyDescent="0.3"/>
    <row r="144" ht="15" hidden="1" customHeight="1" x14ac:dyDescent="0.3"/>
    <row r="145" ht="15" hidden="1" customHeight="1" x14ac:dyDescent="0.3"/>
    <row r="146" ht="15" hidden="1" customHeight="1" x14ac:dyDescent="0.3"/>
    <row r="147" ht="15" hidden="1" customHeight="1" x14ac:dyDescent="0.3"/>
    <row r="148" ht="15" hidden="1" customHeight="1" x14ac:dyDescent="0.3"/>
    <row r="149" ht="15" hidden="1" customHeight="1" x14ac:dyDescent="0.3"/>
    <row r="150" ht="15" hidden="1" customHeight="1" x14ac:dyDescent="0.3"/>
    <row r="151" ht="15" hidden="1" customHeight="1" x14ac:dyDescent="0.3"/>
    <row r="152" ht="15" hidden="1" customHeight="1" x14ac:dyDescent="0.3"/>
    <row r="153" ht="15" hidden="1" customHeight="1" x14ac:dyDescent="0.3"/>
    <row r="154" ht="15" hidden="1" customHeight="1" x14ac:dyDescent="0.3"/>
    <row r="155" ht="15" hidden="1" customHeight="1" x14ac:dyDescent="0.3"/>
    <row r="156" ht="15" hidden="1" customHeight="1" x14ac:dyDescent="0.3"/>
    <row r="157" ht="15" hidden="1" customHeight="1" x14ac:dyDescent="0.3"/>
    <row r="158" ht="15" hidden="1" customHeight="1" x14ac:dyDescent="0.3"/>
    <row r="159" ht="15" hidden="1" customHeight="1" x14ac:dyDescent="0.3"/>
    <row r="160" ht="15" hidden="1" customHeight="1" x14ac:dyDescent="0.3"/>
    <row r="161" ht="15" hidden="1" customHeight="1" x14ac:dyDescent="0.3"/>
    <row r="162" ht="15" hidden="1" customHeight="1" x14ac:dyDescent="0.3"/>
    <row r="163" ht="15" hidden="1" customHeight="1" x14ac:dyDescent="0.3"/>
    <row r="164" ht="15" hidden="1" customHeight="1" x14ac:dyDescent="0.3"/>
    <row r="165" ht="15" hidden="1" customHeight="1" x14ac:dyDescent="0.3"/>
    <row r="166" ht="15" hidden="1" customHeight="1" x14ac:dyDescent="0.3"/>
    <row r="167" ht="15" hidden="1" customHeight="1" x14ac:dyDescent="0.3"/>
    <row r="168" ht="15" hidden="1" customHeight="1" x14ac:dyDescent="0.3"/>
    <row r="169" ht="15" hidden="1" customHeight="1" x14ac:dyDescent="0.3"/>
    <row r="170" ht="14.4" x14ac:dyDescent="0.3"/>
  </sheetData>
  <mergeCells count="7">
    <mergeCell ref="A2:H2"/>
    <mergeCell ref="B9:C9"/>
    <mergeCell ref="B10:C10"/>
    <mergeCell ref="B8:C8"/>
    <mergeCell ref="A4:H4"/>
    <mergeCell ref="A5:H5"/>
    <mergeCell ref="A3:H3"/>
  </mergeCells>
  <conditionalFormatting sqref="A16:A33 A35:A42 A58:A126">
    <cfRule type="cellIs" dxfId="8" priority="1" operator="equal">
      <formula>"(boş)"</formula>
    </cfRule>
  </conditionalFormatting>
  <conditionalFormatting sqref="A13:F15 A127:F132">
    <cfRule type="cellIs" dxfId="7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1" fitToHeight="0" orientation="portrait" r:id="rId2"/>
  <headerFooter>
    <oddFooter>&amp;C&amp;G</oddFooter>
  </headerFooter>
  <rowBreaks count="1" manualBreakCount="1">
    <brk id="99" max="8" man="1"/>
  </rowBreaks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211"/>
  <sheetViews>
    <sheetView tabSelected="1" view="pageBreakPreview" zoomScale="70" zoomScaleNormal="85" zoomScaleSheetLayoutView="70" workbookViewId="0">
      <selection activeCell="E12" sqref="E12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8"/>
      <c r="C2" s="87" t="s">
        <v>79</v>
      </c>
      <c r="D2" s="87"/>
      <c r="E2" s="87"/>
      <c r="F2" s="87"/>
      <c r="G2" s="87"/>
      <c r="H2" s="87"/>
      <c r="I2" s="28"/>
    </row>
    <row r="3" spans="2:9" ht="15" customHeight="1" x14ac:dyDescent="0.3">
      <c r="B3" s="28"/>
      <c r="C3" s="87" t="s">
        <v>80</v>
      </c>
      <c r="D3" s="87"/>
      <c r="E3" s="87"/>
      <c r="F3" s="87"/>
      <c r="G3" s="87"/>
      <c r="H3" s="87"/>
      <c r="I3" s="28"/>
    </row>
    <row r="4" spans="2:9" ht="15" customHeight="1" x14ac:dyDescent="0.3">
      <c r="B4" s="28"/>
      <c r="C4" s="87" t="str">
        <f>+"BULON İCMALİ  (" &amp; TUTANAK!$M$3&amp; "-"&amp; TUTANAK!$M$4&amp; ")"</f>
        <v>BULON İCMALİ  (01.04.2026-16.04.2026)</v>
      </c>
      <c r="D4" s="87"/>
      <c r="E4" s="87"/>
      <c r="F4" s="87"/>
      <c r="G4" s="87"/>
      <c r="H4" s="87"/>
      <c r="I4" s="28"/>
    </row>
    <row r="5" spans="2:9" ht="15" customHeight="1" x14ac:dyDescent="0.3">
      <c r="B5" s="50"/>
      <c r="C5" s="91" t="s">
        <v>24</v>
      </c>
      <c r="D5" s="91"/>
      <c r="E5" s="91"/>
      <c r="F5" s="91"/>
      <c r="G5" s="91"/>
      <c r="H5" s="91"/>
      <c r="I5" s="50"/>
    </row>
    <row r="6" spans="2:9" ht="15" customHeight="1" x14ac:dyDescent="0.3">
      <c r="B6" s="42"/>
      <c r="C6" s="42"/>
      <c r="D6" s="42"/>
      <c r="E6" s="42"/>
      <c r="F6" s="42"/>
      <c r="H6" s="37" t="s">
        <v>73</v>
      </c>
      <c r="I6" s="33">
        <f>+TUTANAK!$D$11</f>
        <v>2</v>
      </c>
    </row>
    <row r="7" spans="2:9" ht="15" customHeight="1" x14ac:dyDescent="0.3">
      <c r="C7" s="43" t="s">
        <v>72</v>
      </c>
      <c r="D7" t="str">
        <f>+DATA!$F$3&amp;" "&amp;DATA!$G$3&amp;" "&amp;DATA!$H$3&amp;" Tüneli "&amp;DATA!$I$3&amp;" ("&amp;DATA!$J$3&amp;")"</f>
        <v>S06-Barbaros İstasyonu Hat-1 KY P1 Tüneli 3.Aşama (Alt Yarı)</v>
      </c>
    </row>
    <row r="8" spans="2:9" ht="15" customHeight="1" x14ac:dyDescent="0.3">
      <c r="C8" s="43" t="s">
        <v>69</v>
      </c>
      <c r="D8" s="89" t="str">
        <f>+TUTANAK!$D$6</f>
        <v>2026.04-003</v>
      </c>
      <c r="E8" s="89"/>
    </row>
    <row r="9" spans="2:9" ht="15" customHeight="1" x14ac:dyDescent="0.3">
      <c r="C9" s="43" t="s">
        <v>70</v>
      </c>
      <c r="D9" s="88" t="str">
        <f>+TUTANAK!$D$7</f>
        <v>S06.H1.KY.P1.A3.003</v>
      </c>
      <c r="E9" s="88"/>
    </row>
    <row r="10" spans="2:9" ht="15" customHeight="1" x14ac:dyDescent="0.3">
      <c r="C10" s="43" t="s">
        <v>71</v>
      </c>
      <c r="D10" s="89">
        <f>+TUTANAK!$D$8</f>
        <v>46142</v>
      </c>
      <c r="E10" s="89"/>
    </row>
    <row r="11" spans="2:9" ht="15" customHeight="1" x14ac:dyDescent="0.3">
      <c r="D11" s="36"/>
    </row>
    <row r="12" spans="2:9" ht="15" customHeight="1" x14ac:dyDescent="0.3">
      <c r="B12" s="48"/>
      <c r="C12" s="86"/>
      <c r="D12" s="45"/>
      <c r="E12" s="45"/>
      <c r="F12" s="45"/>
      <c r="G12" s="45"/>
    </row>
    <row r="13" spans="2:9" ht="28.8" x14ac:dyDescent="0.3">
      <c r="B13" s="49"/>
      <c r="C13" s="46" t="s">
        <v>27</v>
      </c>
      <c r="D13" s="46" t="s">
        <v>7</v>
      </c>
      <c r="E13" s="46" t="s">
        <v>8</v>
      </c>
      <c r="F13" s="47" t="s">
        <v>173</v>
      </c>
      <c r="G13" s="47" t="s">
        <v>174</v>
      </c>
      <c r="H13" s="19" t="s">
        <v>175</v>
      </c>
    </row>
    <row r="14" spans="2:9" ht="14.4" hidden="1" x14ac:dyDescent="0.3">
      <c r="C14" s="34" t="s">
        <v>227</v>
      </c>
      <c r="D14" s="85">
        <v>46113</v>
      </c>
      <c r="E14" s="54">
        <v>1308.44</v>
      </c>
      <c r="F14" s="18"/>
      <c r="G14" s="18"/>
      <c r="H14" s="18"/>
    </row>
    <row r="15" spans="2:9" ht="15" hidden="1" customHeight="1" x14ac:dyDescent="0.3">
      <c r="C15" s="34" t="s">
        <v>227</v>
      </c>
      <c r="D15" s="85">
        <v>46113</v>
      </c>
      <c r="E15" s="54">
        <v>1309.94</v>
      </c>
      <c r="F15" s="18"/>
      <c r="G15" s="18"/>
      <c r="H15" s="18"/>
    </row>
    <row r="16" spans="2:9" ht="14.4" hidden="1" x14ac:dyDescent="0.3">
      <c r="C16" s="34" t="s">
        <v>227</v>
      </c>
      <c r="D16" s="85">
        <v>46113</v>
      </c>
      <c r="E16" s="54">
        <v>1309.19</v>
      </c>
      <c r="F16" s="18"/>
      <c r="G16" s="18"/>
      <c r="H16" s="18"/>
    </row>
    <row r="17" spans="3:8" ht="15" hidden="1" customHeight="1" x14ac:dyDescent="0.3">
      <c r="C17" s="34" t="s">
        <v>228</v>
      </c>
      <c r="D17" s="85">
        <v>46127</v>
      </c>
      <c r="E17" s="54">
        <v>1312.19</v>
      </c>
      <c r="F17" s="18"/>
      <c r="G17" s="18"/>
      <c r="H17" s="18"/>
    </row>
    <row r="18" spans="3:8" ht="15" hidden="1" customHeight="1" x14ac:dyDescent="0.3">
      <c r="C18" s="34" t="s">
        <v>228</v>
      </c>
      <c r="D18" s="85">
        <v>46127</v>
      </c>
      <c r="E18" s="54">
        <v>1311.44</v>
      </c>
      <c r="F18" s="18"/>
      <c r="G18" s="18"/>
      <c r="H18" s="18"/>
    </row>
    <row r="19" spans="3:8" ht="15" hidden="1" customHeight="1" x14ac:dyDescent="0.3">
      <c r="C19" s="34" t="s">
        <v>228</v>
      </c>
      <c r="D19" s="85">
        <v>46127</v>
      </c>
      <c r="E19" s="54">
        <v>1310.69</v>
      </c>
      <c r="F19" s="18"/>
      <c r="G19" s="18"/>
      <c r="H19" s="18"/>
    </row>
    <row r="20" spans="3:8" ht="14.4" hidden="1" x14ac:dyDescent="0.3">
      <c r="C20" s="34" t="s">
        <v>229</v>
      </c>
      <c r="D20" s="85">
        <v>46128</v>
      </c>
      <c r="E20" s="54">
        <v>1315.19</v>
      </c>
      <c r="F20" s="18"/>
      <c r="G20" s="18"/>
      <c r="H20" s="18"/>
    </row>
    <row r="21" spans="3:8" ht="15" hidden="1" customHeight="1" x14ac:dyDescent="0.3">
      <c r="C21" s="34" t="s">
        <v>229</v>
      </c>
      <c r="D21" s="85">
        <v>46128</v>
      </c>
      <c r="E21" s="54">
        <v>1314.44</v>
      </c>
      <c r="F21" s="18"/>
      <c r="G21" s="18"/>
      <c r="H21" s="18"/>
    </row>
    <row r="22" spans="3:8" ht="15" hidden="1" customHeight="1" x14ac:dyDescent="0.3">
      <c r="C22" s="34" t="s">
        <v>229</v>
      </c>
      <c r="D22" s="85">
        <v>46128</v>
      </c>
      <c r="E22" s="54">
        <v>1313.69</v>
      </c>
      <c r="F22" s="18"/>
      <c r="G22" s="18"/>
      <c r="H22" s="18"/>
    </row>
    <row r="23" spans="3:8" ht="14.4" hidden="1" x14ac:dyDescent="0.3">
      <c r="C23" s="34" t="s">
        <v>229</v>
      </c>
      <c r="D23" s="85">
        <v>46128</v>
      </c>
      <c r="E23" s="54">
        <v>1312.94</v>
      </c>
      <c r="F23" s="18"/>
      <c r="G23" s="18"/>
      <c r="H23" s="18"/>
    </row>
    <row r="24" spans="3:8" ht="15" customHeight="1" x14ac:dyDescent="0.3">
      <c r="C24" s="34" t="s">
        <v>230</v>
      </c>
      <c r="D24" s="59">
        <v>46119</v>
      </c>
      <c r="E24" s="54">
        <v>1310.32</v>
      </c>
      <c r="F24" s="18"/>
      <c r="G24" s="18"/>
      <c r="H24" s="18">
        <v>3</v>
      </c>
    </row>
    <row r="25" spans="3:8" ht="14.4" x14ac:dyDescent="0.3">
      <c r="C25" s="34" t="s">
        <v>230</v>
      </c>
      <c r="D25" s="59">
        <v>46119</v>
      </c>
      <c r="E25" s="54">
        <v>1309.57</v>
      </c>
      <c r="F25" s="18"/>
      <c r="G25" s="18"/>
      <c r="H25" s="18">
        <v>3</v>
      </c>
    </row>
    <row r="26" spans="3:8" ht="15" customHeight="1" x14ac:dyDescent="0.3">
      <c r="C26" s="34" t="s">
        <v>230</v>
      </c>
      <c r="D26" s="59">
        <v>46119</v>
      </c>
      <c r="E26" s="54">
        <v>1308.82</v>
      </c>
      <c r="F26" s="18"/>
      <c r="G26" s="18"/>
      <c r="H26" s="18">
        <v>3</v>
      </c>
    </row>
    <row r="27" spans="3:8" ht="15" customHeight="1" x14ac:dyDescent="0.3">
      <c r="C27" s="34" t="s">
        <v>230</v>
      </c>
      <c r="D27" s="59">
        <v>46119</v>
      </c>
      <c r="E27" s="54">
        <v>1308.07</v>
      </c>
      <c r="F27" s="18"/>
      <c r="G27" s="18"/>
      <c r="H27" s="18">
        <v>3</v>
      </c>
    </row>
    <row r="28" spans="3:8" ht="15" customHeight="1" x14ac:dyDescent="0.3">
      <c r="C28" s="34" t="s">
        <v>230</v>
      </c>
      <c r="D28" s="59">
        <v>46119</v>
      </c>
      <c r="E28" s="54">
        <v>1307.32</v>
      </c>
      <c r="F28" s="18"/>
      <c r="G28" s="18"/>
      <c r="H28" s="18">
        <v>3</v>
      </c>
    </row>
    <row r="29" spans="3:8" ht="15" customHeight="1" x14ac:dyDescent="0.3">
      <c r="C29" s="34" t="s">
        <v>230</v>
      </c>
      <c r="D29" s="59">
        <v>46119</v>
      </c>
      <c r="E29" s="54">
        <v>1306.57</v>
      </c>
      <c r="F29" s="18"/>
      <c r="G29" s="18"/>
      <c r="H29" s="18">
        <v>3</v>
      </c>
    </row>
    <row r="30" spans="3:8" ht="15" customHeight="1" x14ac:dyDescent="0.3">
      <c r="C30" s="34" t="s">
        <v>230</v>
      </c>
      <c r="D30" s="59">
        <v>46119</v>
      </c>
      <c r="E30" s="54">
        <v>1305.82</v>
      </c>
      <c r="F30" s="18"/>
      <c r="G30" s="18"/>
      <c r="H30" s="18">
        <v>3</v>
      </c>
    </row>
    <row r="31" spans="3:8" ht="15" customHeight="1" x14ac:dyDescent="0.3">
      <c r="C31" s="34" t="s">
        <v>230</v>
      </c>
      <c r="D31" s="59">
        <v>46119</v>
      </c>
      <c r="E31" s="54">
        <v>1305.07</v>
      </c>
      <c r="F31" s="18"/>
      <c r="G31" s="18"/>
      <c r="H31" s="18">
        <v>3</v>
      </c>
    </row>
    <row r="32" spans="3:8" ht="14.4" x14ac:dyDescent="0.3">
      <c r="C32" s="34" t="s">
        <v>230</v>
      </c>
      <c r="D32" s="59">
        <v>46119</v>
      </c>
      <c r="E32" s="54">
        <v>1304.32</v>
      </c>
      <c r="F32" s="18"/>
      <c r="G32" s="18"/>
      <c r="H32" s="18">
        <v>3</v>
      </c>
    </row>
    <row r="33" spans="2:10" ht="15" customHeight="1" x14ac:dyDescent="0.3">
      <c r="C33" s="34" t="s">
        <v>230</v>
      </c>
      <c r="D33" s="59">
        <v>46119</v>
      </c>
      <c r="E33" s="54">
        <v>1303.57</v>
      </c>
      <c r="F33" s="18"/>
      <c r="G33" s="18"/>
      <c r="H33" s="18">
        <v>3</v>
      </c>
    </row>
    <row r="34" spans="2:10" ht="15" customHeight="1" x14ac:dyDescent="0.3">
      <c r="C34" s="34" t="s">
        <v>230</v>
      </c>
      <c r="D34" s="59">
        <v>46119</v>
      </c>
      <c r="E34" s="54">
        <v>1302.82</v>
      </c>
      <c r="F34" s="18"/>
      <c r="G34" s="18"/>
      <c r="H34" s="18">
        <v>3</v>
      </c>
    </row>
    <row r="35" spans="2:10" ht="15" customHeight="1" x14ac:dyDescent="0.3">
      <c r="C35" s="34" t="s">
        <v>230</v>
      </c>
      <c r="D35" s="59">
        <v>46119</v>
      </c>
      <c r="E35" s="54">
        <v>1302.07</v>
      </c>
      <c r="F35" s="18"/>
      <c r="G35" s="18"/>
      <c r="H35" s="18">
        <v>3</v>
      </c>
    </row>
    <row r="36" spans="2:10" ht="15" customHeight="1" x14ac:dyDescent="0.3">
      <c r="C36" s="34" t="s">
        <v>230</v>
      </c>
      <c r="D36" s="59">
        <v>46119</v>
      </c>
      <c r="E36" s="54">
        <v>1301.32</v>
      </c>
      <c r="F36" s="18"/>
      <c r="G36" s="18"/>
      <c r="H36" s="18">
        <v>3</v>
      </c>
    </row>
    <row r="37" spans="2:10" ht="15" customHeight="1" x14ac:dyDescent="0.3">
      <c r="C37" s="34" t="s">
        <v>230</v>
      </c>
      <c r="D37" s="59">
        <v>46119</v>
      </c>
      <c r="E37" s="54">
        <v>1300.57</v>
      </c>
      <c r="F37" s="18"/>
      <c r="G37" s="18"/>
      <c r="H37" s="18">
        <v>3</v>
      </c>
    </row>
    <row r="38" spans="2:10" ht="15" customHeight="1" x14ac:dyDescent="0.3">
      <c r="C38" s="34" t="s">
        <v>230</v>
      </c>
      <c r="D38" s="59">
        <v>46119</v>
      </c>
      <c r="E38" s="54">
        <v>1299.82</v>
      </c>
      <c r="F38" s="18"/>
      <c r="G38" s="18"/>
      <c r="H38" s="18">
        <v>3</v>
      </c>
    </row>
    <row r="39" spans="2:10" ht="15" customHeight="1" x14ac:dyDescent="0.3">
      <c r="C39" s="34" t="s">
        <v>230</v>
      </c>
      <c r="D39" s="59">
        <v>46119</v>
      </c>
      <c r="E39" s="54">
        <v>1299.07</v>
      </c>
      <c r="F39" s="18"/>
      <c r="G39" s="18"/>
      <c r="H39" s="18">
        <v>3</v>
      </c>
    </row>
    <row r="40" spans="2:10" ht="15" customHeight="1" x14ac:dyDescent="0.3">
      <c r="C40" s="34" t="s">
        <v>230</v>
      </c>
      <c r="D40" s="59">
        <v>46119</v>
      </c>
      <c r="E40" s="54">
        <v>1298.32</v>
      </c>
      <c r="F40" s="18"/>
      <c r="G40" s="18"/>
      <c r="H40" s="18">
        <v>3</v>
      </c>
    </row>
    <row r="41" spans="2:10" ht="15" customHeight="1" x14ac:dyDescent="0.3">
      <c r="C41" s="34" t="s">
        <v>230</v>
      </c>
      <c r="D41" s="59">
        <v>46119</v>
      </c>
      <c r="E41" s="54">
        <v>1297.57</v>
      </c>
      <c r="F41" s="18"/>
      <c r="G41" s="18"/>
      <c r="H41" s="18">
        <v>3</v>
      </c>
    </row>
    <row r="42" spans="2:10" ht="14.4" x14ac:dyDescent="0.3">
      <c r="B42" s="51"/>
      <c r="C42" s="34" t="s">
        <v>230</v>
      </c>
      <c r="D42" s="59">
        <v>46119</v>
      </c>
      <c r="E42" s="54">
        <v>1296.82</v>
      </c>
      <c r="F42" s="18"/>
      <c r="G42" s="18"/>
      <c r="H42" s="18">
        <v>3</v>
      </c>
      <c r="I42" s="28"/>
      <c r="J42" s="28"/>
    </row>
    <row r="43" spans="2:10" ht="14.4" x14ac:dyDescent="0.3">
      <c r="B43" s="44"/>
      <c r="C43" s="34" t="s">
        <v>231</v>
      </c>
      <c r="D43" s="59">
        <v>46119</v>
      </c>
      <c r="E43" s="54">
        <v>1296.07</v>
      </c>
      <c r="F43" s="18"/>
      <c r="G43" s="18"/>
      <c r="H43" s="18">
        <v>3</v>
      </c>
      <c r="I43" s="44"/>
      <c r="J43" s="44"/>
    </row>
    <row r="44" spans="2:10" ht="14.4" x14ac:dyDescent="0.3">
      <c r="B44" s="44"/>
      <c r="C44" s="34" t="s">
        <v>231</v>
      </c>
      <c r="D44" s="59">
        <v>46119</v>
      </c>
      <c r="E44" s="54">
        <v>1295.32</v>
      </c>
      <c r="F44" s="18"/>
      <c r="G44" s="18"/>
      <c r="H44" s="18">
        <v>3</v>
      </c>
      <c r="I44" s="44"/>
      <c r="J44" s="44"/>
    </row>
    <row r="45" spans="2:10" ht="15" customHeight="1" x14ac:dyDescent="0.3">
      <c r="C45" s="34" t="s">
        <v>231</v>
      </c>
      <c r="D45" s="59">
        <v>46119</v>
      </c>
      <c r="E45" s="54">
        <v>1294.57</v>
      </c>
      <c r="F45" s="18"/>
      <c r="G45" s="18"/>
      <c r="H45" s="18">
        <v>3</v>
      </c>
    </row>
    <row r="46" spans="2:10" ht="15" customHeight="1" x14ac:dyDescent="0.3">
      <c r="C46" s="34" t="s">
        <v>231</v>
      </c>
      <c r="D46" s="59">
        <v>46119</v>
      </c>
      <c r="E46" s="54">
        <v>1293.82</v>
      </c>
      <c r="F46" s="18"/>
      <c r="G46" s="18"/>
      <c r="H46" s="18">
        <v>3</v>
      </c>
    </row>
    <row r="47" spans="2:10" ht="15" customHeight="1" x14ac:dyDescent="0.3">
      <c r="C47" s="34" t="s">
        <v>231</v>
      </c>
      <c r="D47" s="59">
        <v>46119</v>
      </c>
      <c r="E47" s="54">
        <v>1293.07</v>
      </c>
      <c r="F47" s="18"/>
      <c r="G47" s="18"/>
      <c r="H47" s="18">
        <v>3</v>
      </c>
    </row>
    <row r="48" spans="2:10" ht="15" customHeight="1" x14ac:dyDescent="0.3">
      <c r="C48" s="34" t="s">
        <v>231</v>
      </c>
      <c r="D48" s="59">
        <v>46119</v>
      </c>
      <c r="E48" s="54">
        <v>1292.32</v>
      </c>
      <c r="F48" s="18"/>
      <c r="G48" s="18"/>
      <c r="H48" s="18">
        <v>3</v>
      </c>
    </row>
    <row r="49" spans="3:8" ht="15" customHeight="1" x14ac:dyDescent="0.3">
      <c r="C49" s="34" t="s">
        <v>231</v>
      </c>
      <c r="D49" s="59">
        <v>46119</v>
      </c>
      <c r="E49" s="54">
        <v>1291.57</v>
      </c>
      <c r="F49" s="18"/>
      <c r="G49" s="18"/>
      <c r="H49" s="18">
        <v>3</v>
      </c>
    </row>
    <row r="50" spans="3:8" ht="15" customHeight="1" x14ac:dyDescent="0.3">
      <c r="C50" s="34" t="s">
        <v>231</v>
      </c>
      <c r="D50" s="59">
        <v>46119</v>
      </c>
      <c r="E50" s="54">
        <v>1290.82</v>
      </c>
      <c r="F50" s="18"/>
      <c r="G50" s="18"/>
      <c r="H50" s="18">
        <v>3</v>
      </c>
    </row>
    <row r="51" spans="3:8" ht="15" customHeight="1" x14ac:dyDescent="0.3">
      <c r="C51" s="34" t="s">
        <v>231</v>
      </c>
      <c r="D51" s="59">
        <v>46119</v>
      </c>
      <c r="E51" s="54">
        <v>1290.07</v>
      </c>
      <c r="F51" s="18"/>
      <c r="G51" s="18"/>
      <c r="H51" s="18">
        <v>3</v>
      </c>
    </row>
    <row r="52" spans="3:8" ht="15" customHeight="1" x14ac:dyDescent="0.3">
      <c r="C52" s="34" t="s">
        <v>231</v>
      </c>
      <c r="D52" s="59">
        <v>46119</v>
      </c>
      <c r="E52" s="54">
        <v>1289.32</v>
      </c>
      <c r="F52" s="18"/>
      <c r="G52" s="18"/>
      <c r="H52" s="18">
        <v>3</v>
      </c>
    </row>
    <row r="53" spans="3:8" ht="15" customHeight="1" x14ac:dyDescent="0.3">
      <c r="C53" s="34" t="s">
        <v>231</v>
      </c>
      <c r="D53" s="59">
        <v>46119</v>
      </c>
      <c r="E53" s="54">
        <v>1288.57</v>
      </c>
      <c r="F53" s="18"/>
      <c r="G53" s="18"/>
      <c r="H53" s="18">
        <v>3</v>
      </c>
    </row>
    <row r="54" spans="3:8" ht="15" customHeight="1" x14ac:dyDescent="0.3">
      <c r="C54" s="34" t="s">
        <v>231</v>
      </c>
      <c r="D54" s="59">
        <v>46119</v>
      </c>
      <c r="E54" s="54">
        <v>1287.82</v>
      </c>
      <c r="F54" s="18"/>
      <c r="G54" s="18"/>
      <c r="H54" s="18">
        <v>3</v>
      </c>
    </row>
    <row r="55" spans="3:8" ht="15" customHeight="1" x14ac:dyDescent="0.3">
      <c r="C55" s="34" t="s">
        <v>231</v>
      </c>
      <c r="D55" s="59">
        <v>46119</v>
      </c>
      <c r="E55" s="54">
        <v>1287.07</v>
      </c>
      <c r="F55" s="18"/>
      <c r="G55" s="18"/>
      <c r="H55" s="18">
        <v>3</v>
      </c>
    </row>
    <row r="56" spans="3:8" ht="15" customHeight="1" x14ac:dyDescent="0.3">
      <c r="C56" s="34" t="s">
        <v>231</v>
      </c>
      <c r="D56" s="59">
        <v>46119</v>
      </c>
      <c r="E56" s="54">
        <v>1286.32</v>
      </c>
      <c r="F56" s="18"/>
      <c r="G56" s="18"/>
      <c r="H56" s="18">
        <v>3</v>
      </c>
    </row>
    <row r="57" spans="3:8" ht="14.4" x14ac:dyDescent="0.3">
      <c r="C57" s="15" t="s">
        <v>176</v>
      </c>
      <c r="D57" s="15"/>
      <c r="E57" s="15"/>
      <c r="F57" s="15"/>
      <c r="G57" s="15"/>
      <c r="H57" s="15">
        <v>99</v>
      </c>
    </row>
    <row r="141" ht="14.4" x14ac:dyDescent="0.3"/>
    <row r="211" ht="14.4" x14ac:dyDescent="0.3"/>
  </sheetData>
  <mergeCells count="7">
    <mergeCell ref="D10:E10"/>
    <mergeCell ref="C2:H2"/>
    <mergeCell ref="C4:H4"/>
    <mergeCell ref="C5:H5"/>
    <mergeCell ref="D8:E8"/>
    <mergeCell ref="D9:E9"/>
    <mergeCell ref="C3:H3"/>
  </mergeCells>
  <conditionalFormatting sqref="B34:B123 B124:E129">
    <cfRule type="cellIs" dxfId="6" priority="2" operator="equal">
      <formula>"(boş)"</formula>
    </cfRule>
  </conditionalFormatting>
  <conditionalFormatting sqref="C42:C54">
    <cfRule type="cellIs" dxfId="5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rowBreaks count="1" manualBreakCount="1">
    <brk id="121" min="2" max="8" man="1"/>
  </rowBreaks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8"/>
      <c r="C2" s="87" t="s">
        <v>79</v>
      </c>
      <c r="D2" s="87"/>
      <c r="E2" s="87"/>
      <c r="F2" s="87"/>
      <c r="G2" s="87"/>
      <c r="H2" s="87"/>
      <c r="I2" s="28"/>
    </row>
    <row r="3" spans="2:9" ht="15" customHeight="1" x14ac:dyDescent="0.3">
      <c r="B3" s="28"/>
      <c r="C3" s="87" t="s">
        <v>80</v>
      </c>
      <c r="D3" s="87"/>
      <c r="E3" s="87"/>
      <c r="F3" s="87"/>
      <c r="G3" s="87"/>
      <c r="H3" s="87"/>
      <c r="I3" s="28"/>
    </row>
    <row r="4" spans="2:9" ht="15" customHeight="1" x14ac:dyDescent="0.3">
      <c r="B4" s="28"/>
      <c r="C4" s="87" t="str">
        <f>+"UMBRELLA ARCH İCMALİ  (" &amp; TUTANAK!$M$3&amp; "-"&amp; TUTANAK!$M$4&amp; ")"</f>
        <v>UMBRELLA ARCH İCMALİ  (01.04.2026-16.04.2026)</v>
      </c>
      <c r="D4" s="87"/>
      <c r="E4" s="87"/>
      <c r="F4" s="87"/>
      <c r="G4" s="87"/>
      <c r="H4" s="87"/>
      <c r="I4" s="28"/>
    </row>
    <row r="5" spans="2:9" ht="15" customHeight="1" x14ac:dyDescent="0.3">
      <c r="B5" s="50"/>
      <c r="C5" s="91" t="s">
        <v>24</v>
      </c>
      <c r="D5" s="91"/>
      <c r="E5" s="91"/>
      <c r="F5" s="91"/>
      <c r="G5" s="91"/>
      <c r="H5" s="91"/>
      <c r="I5" s="50"/>
    </row>
    <row r="6" spans="2:9" ht="15" customHeight="1" x14ac:dyDescent="0.3">
      <c r="B6" s="42"/>
      <c r="C6" s="42"/>
      <c r="D6" s="42"/>
      <c r="E6" s="42"/>
      <c r="F6" s="42"/>
      <c r="G6" s="37" t="s">
        <v>73</v>
      </c>
      <c r="H6" s="33">
        <f>+TUTANAK!$D$12</f>
        <v>0</v>
      </c>
      <c r="I6" s="42"/>
    </row>
    <row r="7" spans="2:9" ht="27.6" customHeight="1" x14ac:dyDescent="0.3">
      <c r="D7" s="43" t="s">
        <v>72</v>
      </c>
      <c r="E7" s="98" t="str">
        <f>+DATA!$F$3&amp;" "&amp;DATA!$G$3&amp;" "&amp;DATA!$H$3&amp;" Tüneli "&amp;DATA!$I$3&amp;" ("&amp;DATA!$J$3&amp;")"</f>
        <v>S06-Barbaros İstasyonu Hat-1 KY P1 Tüneli 3.Aşama (Alt Yarı)</v>
      </c>
      <c r="F7" s="98"/>
    </row>
    <row r="8" spans="2:9" ht="15" customHeight="1" x14ac:dyDescent="0.3">
      <c r="D8" s="43" t="s">
        <v>69</v>
      </c>
      <c r="E8" s="35" t="str">
        <f>+TUTANAK!$D$6</f>
        <v>2026.04-003</v>
      </c>
    </row>
    <row r="9" spans="2:9" ht="15" customHeight="1" x14ac:dyDescent="0.3">
      <c r="D9" s="43" t="s">
        <v>70</v>
      </c>
      <c r="E9" s="78" t="str">
        <f>+TUTANAK!$D$7</f>
        <v>S06.H1.KY.P1.A3.003</v>
      </c>
      <c r="F9" s="78"/>
    </row>
    <row r="10" spans="2:9" ht="15" customHeight="1" x14ac:dyDescent="0.3">
      <c r="D10" s="43" t="s">
        <v>71</v>
      </c>
      <c r="E10" s="35">
        <f>+TUTANAK!$D$8</f>
        <v>46142</v>
      </c>
      <c r="F10" s="35"/>
    </row>
    <row r="11" spans="2:9" ht="15" customHeight="1" x14ac:dyDescent="0.3">
      <c r="D11" s="36"/>
    </row>
    <row r="12" spans="2:9" ht="14.4" x14ac:dyDescent="0.3">
      <c r="B12" s="48"/>
      <c r="F12" s="48"/>
      <c r="G12" s="48"/>
    </row>
    <row r="14" spans="2:9" ht="14.4" x14ac:dyDescent="0.3">
      <c r="D14" s="15" t="s">
        <v>27</v>
      </c>
      <c r="E14" s="15" t="s">
        <v>7</v>
      </c>
      <c r="F14" s="15" t="s">
        <v>8</v>
      </c>
      <c r="G14" s="15" t="s">
        <v>179</v>
      </c>
    </row>
    <row r="15" spans="2:9" ht="14.4" x14ac:dyDescent="0.3">
      <c r="D15" s="18" t="s">
        <v>87</v>
      </c>
      <c r="E15" s="59">
        <v>45874</v>
      </c>
      <c r="F15" s="54">
        <v>2119.6</v>
      </c>
      <c r="G15" s="52">
        <v>423</v>
      </c>
    </row>
    <row r="16" spans="2:9" ht="14.4" x14ac:dyDescent="0.3">
      <c r="D16" s="79" t="s">
        <v>180</v>
      </c>
      <c r="E16" s="53"/>
      <c r="F16" s="53"/>
      <c r="G16" s="60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1"/>
      <c r="C55" s="94"/>
      <c r="D55" s="94"/>
      <c r="E55" s="87"/>
      <c r="F55" s="87"/>
      <c r="G55" s="87"/>
      <c r="H55" s="87"/>
      <c r="I55" s="28"/>
      <c r="J55" s="28"/>
    </row>
    <row r="56" spans="2:10" ht="15" customHeight="1" x14ac:dyDescent="0.3">
      <c r="B56" s="44"/>
      <c r="C56" s="103"/>
      <c r="D56" s="103"/>
      <c r="E56" s="103"/>
      <c r="F56" s="103"/>
      <c r="G56" s="103"/>
      <c r="H56" s="103"/>
      <c r="I56" s="44"/>
      <c r="J56" s="44"/>
    </row>
    <row r="57" spans="2:10" ht="15" customHeight="1" x14ac:dyDescent="0.3">
      <c r="B57" s="44"/>
      <c r="C57" s="44"/>
      <c r="D57" s="44"/>
      <c r="E57" s="44"/>
      <c r="F57" s="44"/>
      <c r="G57" s="44"/>
      <c r="H57" s="44"/>
      <c r="I57" s="44"/>
      <c r="J57" s="44"/>
    </row>
    <row r="66" spans="3:8" ht="15" customHeight="1" x14ac:dyDescent="0.3">
      <c r="C66" s="93"/>
      <c r="D66" s="93"/>
      <c r="E66" s="93"/>
      <c r="F66" s="93"/>
      <c r="G66" s="93"/>
      <c r="H66" s="93"/>
    </row>
    <row r="67" spans="3:8" ht="15" customHeight="1" x14ac:dyDescent="0.3">
      <c r="C67" s="93"/>
      <c r="D67" s="93"/>
      <c r="E67" s="93"/>
      <c r="F67" s="93"/>
      <c r="G67" s="93"/>
      <c r="H67" s="93"/>
    </row>
  </sheetData>
  <mergeCells count="17">
    <mergeCell ref="C66:D66"/>
    <mergeCell ref="E66:F66"/>
    <mergeCell ref="G66:H66"/>
    <mergeCell ref="C67:D67"/>
    <mergeCell ref="E67:F67"/>
    <mergeCell ref="G67:H67"/>
    <mergeCell ref="C55:D55"/>
    <mergeCell ref="E55:F55"/>
    <mergeCell ref="G55:H55"/>
    <mergeCell ref="C56:D56"/>
    <mergeCell ref="E56:F56"/>
    <mergeCell ref="G56:H56"/>
    <mergeCell ref="C3:H3"/>
    <mergeCell ref="C2:H2"/>
    <mergeCell ref="C4:H4"/>
    <mergeCell ref="C5:H5"/>
    <mergeCell ref="E7:F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8"/>
      <c r="C2" s="87" t="s">
        <v>79</v>
      </c>
      <c r="D2" s="87"/>
      <c r="E2" s="87"/>
      <c r="F2" s="87"/>
      <c r="G2" s="87"/>
      <c r="H2" s="87"/>
      <c r="I2" s="28"/>
    </row>
    <row r="3" spans="2:9" ht="15" customHeight="1" x14ac:dyDescent="0.3">
      <c r="B3" s="28"/>
      <c r="C3" s="87" t="s">
        <v>80</v>
      </c>
      <c r="D3" s="87"/>
      <c r="E3" s="87"/>
      <c r="F3" s="87"/>
      <c r="G3" s="87"/>
      <c r="H3" s="87"/>
      <c r="I3" s="28"/>
    </row>
    <row r="4" spans="2:9" ht="15" customHeight="1" x14ac:dyDescent="0.3">
      <c r="B4" s="28"/>
      <c r="C4" s="87" t="str">
        <f>+"ZEMİN ÇİVİSİ İCMALİ  (" &amp; TUTANAK!$M$3&amp; "-"&amp; TUTANAK!$M$4&amp; ")"</f>
        <v>ZEMİN ÇİVİSİ İCMALİ  (01.04.2026-16.04.2026)</v>
      </c>
      <c r="D4" s="87"/>
      <c r="E4" s="87"/>
      <c r="F4" s="87"/>
      <c r="G4" s="87"/>
      <c r="H4" s="87"/>
      <c r="I4" s="28"/>
    </row>
    <row r="5" spans="2:9" ht="15" customHeight="1" x14ac:dyDescent="0.3">
      <c r="B5" s="50"/>
      <c r="C5" s="91" t="s">
        <v>24</v>
      </c>
      <c r="D5" s="91"/>
      <c r="E5" s="91"/>
      <c r="F5" s="91"/>
      <c r="G5" s="91"/>
      <c r="H5" s="91"/>
      <c r="I5" s="50"/>
    </row>
    <row r="6" spans="2:9" ht="15" customHeight="1" x14ac:dyDescent="0.3">
      <c r="B6" s="42"/>
      <c r="C6" s="42"/>
      <c r="D6" s="42"/>
      <c r="E6" s="42"/>
      <c r="F6" s="42"/>
      <c r="G6" s="37" t="s">
        <v>73</v>
      </c>
      <c r="H6" s="33">
        <f>+TUTANAK!$D$13</f>
        <v>0</v>
      </c>
      <c r="I6" s="42"/>
    </row>
    <row r="7" spans="2:9" ht="15" customHeight="1" x14ac:dyDescent="0.3">
      <c r="C7" s="43" t="s">
        <v>72</v>
      </c>
      <c r="D7" t="str">
        <f>+DATA!$F$3&amp;" "&amp;DATA!$G$3&amp;" "&amp;DATA!$H$3&amp;" Tüneli "&amp;DATA!$I$3&amp;" ("&amp;DATA!$J$3&amp;")"</f>
        <v>S06-Barbaros İstasyonu Hat-1 KY P1 Tüneli 3.Aşama (Alt Yarı)</v>
      </c>
    </row>
    <row r="8" spans="2:9" ht="15" customHeight="1" x14ac:dyDescent="0.3">
      <c r="C8" s="43" t="s">
        <v>69</v>
      </c>
      <c r="D8" s="89" t="str">
        <f>+TUTANAK!$D$6</f>
        <v>2026.04-003</v>
      </c>
      <c r="E8" s="89"/>
    </row>
    <row r="9" spans="2:9" ht="15" customHeight="1" x14ac:dyDescent="0.3">
      <c r="C9" s="43" t="s">
        <v>70</v>
      </c>
      <c r="D9" s="88" t="str">
        <f>+TUTANAK!$D$7</f>
        <v>S06.H1.KY.P1.A3.003</v>
      </c>
      <c r="E9" s="88"/>
    </row>
    <row r="10" spans="2:9" ht="15" customHeight="1" x14ac:dyDescent="0.3">
      <c r="C10" s="43" t="s">
        <v>71</v>
      </c>
      <c r="D10" s="89">
        <f>+TUTANAK!$D$8</f>
        <v>46142</v>
      </c>
      <c r="E10" s="89"/>
    </row>
    <row r="11" spans="2:9" ht="15" customHeight="1" x14ac:dyDescent="0.3">
      <c r="D11" s="36"/>
    </row>
    <row r="12" spans="2:9" ht="15" customHeight="1" x14ac:dyDescent="0.3">
      <c r="B12" s="48"/>
      <c r="D12" s="48"/>
      <c r="E12" s="48"/>
      <c r="F12" s="48"/>
      <c r="G12" s="48"/>
    </row>
    <row r="13" spans="2:9" ht="28.8" customHeight="1" x14ac:dyDescent="0.3">
      <c r="C13" s="41" t="s">
        <v>27</v>
      </c>
      <c r="D13" s="41" t="s">
        <v>7</v>
      </c>
      <c r="E13" s="41" t="s">
        <v>8</v>
      </c>
      <c r="F13" s="19" t="s">
        <v>177</v>
      </c>
      <c r="G13" s="19" t="s">
        <v>178</v>
      </c>
    </row>
    <row r="14" spans="2:9" ht="14.4" x14ac:dyDescent="0.3">
      <c r="C14" s="52" t="s">
        <v>87</v>
      </c>
      <c r="D14" s="59">
        <v>45874</v>
      </c>
      <c r="E14" s="54">
        <v>2119.6</v>
      </c>
      <c r="F14" s="52">
        <v>162</v>
      </c>
      <c r="G14" s="34"/>
    </row>
    <row r="15" spans="2:9" ht="14.4" x14ac:dyDescent="0.3">
      <c r="C15" s="60" t="s">
        <v>180</v>
      </c>
      <c r="D15" s="60"/>
      <c r="E15" s="60"/>
      <c r="F15" s="60">
        <v>162</v>
      </c>
      <c r="G15" s="53"/>
    </row>
    <row r="17" ht="14.4" x14ac:dyDescent="0.3"/>
    <row r="19" ht="14.4" x14ac:dyDescent="0.3"/>
    <row r="42" spans="2:10" ht="15" customHeight="1" x14ac:dyDescent="0.3">
      <c r="B42" s="51"/>
      <c r="C42" s="94"/>
      <c r="D42" s="94"/>
      <c r="E42" s="87"/>
      <c r="F42" s="87"/>
      <c r="G42" s="87"/>
      <c r="H42" s="87"/>
      <c r="I42" s="28"/>
      <c r="J42" s="28"/>
    </row>
    <row r="43" spans="2:10" ht="15" customHeight="1" x14ac:dyDescent="0.3">
      <c r="B43" s="44"/>
      <c r="C43" s="103"/>
      <c r="D43" s="103"/>
      <c r="E43" s="103"/>
      <c r="F43" s="103"/>
      <c r="G43" s="103"/>
      <c r="H43" s="103"/>
      <c r="I43" s="44"/>
      <c r="J43" s="44"/>
    </row>
    <row r="44" spans="2:10" ht="15" customHeight="1" x14ac:dyDescent="0.3">
      <c r="B44" s="44"/>
      <c r="C44" s="44"/>
      <c r="D44" s="44"/>
      <c r="E44" s="44"/>
      <c r="F44" s="44"/>
      <c r="G44" s="44"/>
      <c r="H44" s="44"/>
      <c r="I44" s="44"/>
      <c r="J44" s="44"/>
    </row>
    <row r="53" spans="3:8" ht="15" customHeight="1" x14ac:dyDescent="0.3">
      <c r="C53" s="93"/>
      <c r="D53" s="93"/>
      <c r="E53" s="93"/>
      <c r="F53" s="93"/>
      <c r="G53" s="93"/>
      <c r="H53" s="93"/>
    </row>
    <row r="54" spans="3:8" ht="15" customHeight="1" x14ac:dyDescent="0.3">
      <c r="C54" s="93"/>
      <c r="D54" s="93"/>
      <c r="E54" s="93"/>
      <c r="F54" s="93"/>
      <c r="G54" s="93"/>
      <c r="H54" s="93"/>
    </row>
  </sheetData>
  <mergeCells count="19">
    <mergeCell ref="C53:D53"/>
    <mergeCell ref="E53:F53"/>
    <mergeCell ref="G53:H53"/>
    <mergeCell ref="C54:D54"/>
    <mergeCell ref="E54:F54"/>
    <mergeCell ref="G54:H54"/>
    <mergeCell ref="C42:D42"/>
    <mergeCell ref="E42:F42"/>
    <mergeCell ref="G42:H42"/>
    <mergeCell ref="C43:D43"/>
    <mergeCell ref="E43:F43"/>
    <mergeCell ref="G43:H43"/>
    <mergeCell ref="D10:E10"/>
    <mergeCell ref="C3:H3"/>
    <mergeCell ref="C2:H2"/>
    <mergeCell ref="C4:H4"/>
    <mergeCell ref="C5:H5"/>
    <mergeCell ref="D8:E8"/>
    <mergeCell ref="D9:E9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zoomScaleNormal="100" zoomScaleSheetLayoutView="100" workbookViewId="0">
      <selection activeCell="D16" sqref="D16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87" t="s">
        <v>79</v>
      </c>
      <c r="B2" s="87"/>
      <c r="C2" s="87"/>
      <c r="D2" s="87"/>
      <c r="E2" s="87"/>
      <c r="F2" s="87"/>
      <c r="G2" s="87"/>
      <c r="H2" s="87"/>
    </row>
    <row r="3" spans="1:8" customFormat="1" ht="15" customHeight="1" x14ac:dyDescent="0.3">
      <c r="A3" s="87" t="s">
        <v>80</v>
      </c>
      <c r="B3" s="87"/>
      <c r="C3" s="87"/>
      <c r="D3" s="87"/>
      <c r="E3" s="87"/>
      <c r="F3" s="87"/>
      <c r="G3" s="87"/>
      <c r="H3" s="87"/>
    </row>
    <row r="4" spans="1:8" customFormat="1" ht="15" customHeight="1" x14ac:dyDescent="0.3">
      <c r="A4" s="87" t="str">
        <f>+"AYNA İCMALİ  (" &amp; TUTANAK!$M$3&amp; "-"&amp; TUTANAK!$M$4&amp; ")"</f>
        <v>AYNA İCMALİ  (01.04.2026-16.04.2026)</v>
      </c>
      <c r="B4" s="87"/>
      <c r="C4" s="87"/>
      <c r="D4" s="87"/>
      <c r="E4" s="87"/>
      <c r="F4" s="87"/>
      <c r="G4" s="87"/>
      <c r="H4" s="87"/>
    </row>
    <row r="5" spans="1:8" customFormat="1" ht="15" customHeight="1" x14ac:dyDescent="0.3">
      <c r="A5" s="91" t="s">
        <v>24</v>
      </c>
      <c r="B5" s="91"/>
      <c r="C5" s="91"/>
      <c r="D5" s="91"/>
      <c r="E5" s="91"/>
      <c r="F5" s="91"/>
      <c r="G5" s="91"/>
      <c r="H5" s="91"/>
    </row>
    <row r="6" spans="1:8" customFormat="1" ht="15" customHeight="1" x14ac:dyDescent="0.3">
      <c r="A6" s="42"/>
      <c r="B6" s="42"/>
      <c r="C6" s="42"/>
      <c r="D6" s="42"/>
      <c r="E6" s="42"/>
      <c r="F6" s="42"/>
      <c r="G6" s="37" t="s">
        <v>73</v>
      </c>
      <c r="H6" s="33">
        <f>+TUTANAK!$D$14</f>
        <v>0</v>
      </c>
    </row>
    <row r="7" spans="1:8" customFormat="1" ht="15" customHeight="1" x14ac:dyDescent="0.3">
      <c r="A7" s="43" t="s">
        <v>72</v>
      </c>
      <c r="C7" t="str">
        <f>+DATA!$F$3&amp;" "&amp;DATA!$G$3&amp;" "&amp;DATA!$H$3&amp;" Tüneli "&amp;DATA!$I$3&amp;" ("&amp;DATA!$J$3&amp;")"</f>
        <v>S06-Barbaros İstasyonu Hat-1 KY P1 Tüneli 3.Aşama (Alt Yarı)</v>
      </c>
      <c r="E7" s="2"/>
      <c r="F7" s="2"/>
      <c r="G7" s="2"/>
      <c r="H7" s="2"/>
    </row>
    <row r="8" spans="1:8" customFormat="1" ht="15" customHeight="1" x14ac:dyDescent="0.3">
      <c r="A8" s="43" t="s">
        <v>69</v>
      </c>
      <c r="B8" s="32"/>
      <c r="C8" s="32" t="str">
        <f>+TUTANAK!$D$6</f>
        <v>2026.04-003</v>
      </c>
      <c r="D8" s="32"/>
    </row>
    <row r="9" spans="1:8" customFormat="1" ht="15" customHeight="1" x14ac:dyDescent="0.3">
      <c r="A9" s="43" t="s">
        <v>70</v>
      </c>
      <c r="B9" s="57"/>
      <c r="C9" s="88" t="str">
        <f>+TUTANAK!$D$7</f>
        <v>S06.H1.KY.P1.A3.003</v>
      </c>
      <c r="D9" s="88"/>
    </row>
    <row r="10" spans="1:8" customFormat="1" ht="15" customHeight="1" x14ac:dyDescent="0.3">
      <c r="A10" s="43" t="s">
        <v>71</v>
      </c>
      <c r="B10" s="32"/>
      <c r="C10" s="35">
        <f>+TUTANAK!$D$8</f>
        <v>46142</v>
      </c>
      <c r="D10" s="32"/>
    </row>
    <row r="11" spans="1:8" customFormat="1" ht="15" customHeight="1" x14ac:dyDescent="0.3">
      <c r="A11" s="43"/>
      <c r="B11" s="35"/>
      <c r="C11" s="35"/>
    </row>
    <row r="12" spans="1:8" customFormat="1" ht="15" customHeight="1" x14ac:dyDescent="0.3">
      <c r="A12" s="43"/>
      <c r="B12" s="35"/>
      <c r="C12" s="35"/>
    </row>
    <row r="13" spans="1:8" ht="15" customHeight="1" x14ac:dyDescent="0.3">
      <c r="B13" s="107" t="s">
        <v>32</v>
      </c>
      <c r="C13" s="107"/>
      <c r="D13" s="107"/>
      <c r="E13" s="107"/>
      <c r="F13" s="107"/>
      <c r="G13" s="107"/>
    </row>
    <row r="14" spans="1:8" s="3" customFormat="1" ht="30" customHeight="1" x14ac:dyDescent="0.3">
      <c r="A14" s="105" t="s">
        <v>33</v>
      </c>
      <c r="B14" s="105"/>
      <c r="C14" s="15" t="s">
        <v>38</v>
      </c>
      <c r="D14" s="106" t="s">
        <v>6</v>
      </c>
      <c r="E14" s="106"/>
      <c r="F14" s="15" t="s">
        <v>11</v>
      </c>
      <c r="G14" s="105" t="s">
        <v>34</v>
      </c>
      <c r="H14" s="105"/>
    </row>
    <row r="15" spans="1:8" ht="15" customHeight="1" x14ac:dyDescent="0.3">
      <c r="A15" s="104">
        <v>1</v>
      </c>
      <c r="B15" s="104"/>
      <c r="C15" s="29">
        <v>2118.1</v>
      </c>
      <c r="D15" s="30" t="s">
        <v>26</v>
      </c>
      <c r="E15" s="31">
        <v>4</v>
      </c>
      <c r="F15" s="18"/>
      <c r="G15" s="104" t="s">
        <v>35</v>
      </c>
      <c r="H15" s="104"/>
    </row>
    <row r="16" spans="1:8" ht="15" customHeight="1" x14ac:dyDescent="0.3">
      <c r="A16" s="104">
        <v>2</v>
      </c>
      <c r="B16" s="104"/>
      <c r="C16" s="29">
        <v>2118.1</v>
      </c>
      <c r="D16" s="30" t="s">
        <v>26</v>
      </c>
      <c r="E16" s="31">
        <v>4</v>
      </c>
      <c r="F16" s="18" t="s">
        <v>37</v>
      </c>
      <c r="G16" s="104" t="s">
        <v>83</v>
      </c>
      <c r="H16" s="104"/>
    </row>
    <row r="17" spans="1:8" ht="15" customHeight="1" x14ac:dyDescent="0.3">
      <c r="A17" s="104">
        <v>3</v>
      </c>
      <c r="B17" s="104"/>
      <c r="C17" s="29">
        <v>2118.85</v>
      </c>
      <c r="D17" s="30" t="s">
        <v>26</v>
      </c>
      <c r="E17" s="31">
        <v>5</v>
      </c>
      <c r="F17" s="18"/>
      <c r="G17" s="104" t="s">
        <v>35</v>
      </c>
      <c r="H17" s="104"/>
    </row>
    <row r="18" spans="1:8" ht="15" customHeight="1" x14ac:dyDescent="0.3">
      <c r="A18" s="104">
        <v>4</v>
      </c>
      <c r="B18" s="104"/>
      <c r="C18" s="29">
        <v>2119.6</v>
      </c>
      <c r="D18" s="30" t="s">
        <v>26</v>
      </c>
      <c r="E18" s="31">
        <v>6</v>
      </c>
      <c r="F18" s="18" t="s">
        <v>37</v>
      </c>
      <c r="G18" s="104" t="s">
        <v>36</v>
      </c>
      <c r="H18" s="104"/>
    </row>
    <row r="19" spans="1:8" ht="15" customHeight="1" x14ac:dyDescent="0.3">
      <c r="A19" s="104">
        <v>5</v>
      </c>
      <c r="B19" s="104"/>
      <c r="C19" s="29">
        <v>2120.35</v>
      </c>
      <c r="D19" s="30" t="s">
        <v>26</v>
      </c>
      <c r="E19" s="31">
        <v>1</v>
      </c>
      <c r="F19" s="18"/>
      <c r="G19" s="104" t="s">
        <v>35</v>
      </c>
      <c r="H19" s="104"/>
    </row>
    <row r="20" spans="1:8" ht="15" customHeight="1" x14ac:dyDescent="0.3">
      <c r="A20" s="104">
        <v>6</v>
      </c>
      <c r="B20" s="104"/>
      <c r="C20" s="29">
        <v>2121.1</v>
      </c>
      <c r="D20" s="30" t="s">
        <v>26</v>
      </c>
      <c r="E20" s="31">
        <v>2</v>
      </c>
      <c r="F20" s="18"/>
      <c r="G20" s="104" t="s">
        <v>35</v>
      </c>
      <c r="H20" s="104"/>
    </row>
    <row r="21" spans="1:8" ht="15" customHeight="1" x14ac:dyDescent="0.3">
      <c r="A21" s="104">
        <v>7</v>
      </c>
      <c r="B21" s="104"/>
      <c r="C21" s="29">
        <v>2121.1</v>
      </c>
      <c r="D21" s="30" t="s">
        <v>26</v>
      </c>
      <c r="E21" s="31">
        <v>2</v>
      </c>
      <c r="F21" s="18" t="s">
        <v>37</v>
      </c>
      <c r="G21" s="104" t="s">
        <v>83</v>
      </c>
      <c r="H21" s="104"/>
    </row>
    <row r="22" spans="1:8" ht="15" customHeight="1" x14ac:dyDescent="0.3">
      <c r="A22" s="104">
        <v>8</v>
      </c>
      <c r="B22" s="104"/>
      <c r="C22" s="29">
        <v>2121.85</v>
      </c>
      <c r="D22" s="30" t="s">
        <v>26</v>
      </c>
      <c r="E22" s="31">
        <v>3</v>
      </c>
      <c r="F22" s="18"/>
      <c r="G22" s="104" t="s">
        <v>35</v>
      </c>
      <c r="H22" s="104"/>
    </row>
    <row r="23" spans="1:8" ht="15" customHeight="1" x14ac:dyDescent="0.3">
      <c r="A23" s="104">
        <v>9</v>
      </c>
      <c r="B23" s="104"/>
      <c r="C23" s="29">
        <v>2122.6</v>
      </c>
      <c r="D23" s="30" t="s">
        <v>26</v>
      </c>
      <c r="E23" s="31">
        <v>4</v>
      </c>
      <c r="F23" s="18"/>
      <c r="G23" s="104" t="s">
        <v>35</v>
      </c>
      <c r="H23" s="104"/>
    </row>
    <row r="24" spans="1:8" ht="15" customHeight="1" x14ac:dyDescent="0.3">
      <c r="A24" s="104">
        <v>10</v>
      </c>
      <c r="B24" s="104"/>
      <c r="C24" s="29">
        <v>2122.6</v>
      </c>
      <c r="D24" s="30" t="s">
        <v>26</v>
      </c>
      <c r="E24" s="31">
        <v>4</v>
      </c>
      <c r="F24" s="18" t="s">
        <v>37</v>
      </c>
      <c r="G24" s="104" t="s">
        <v>88</v>
      </c>
      <c r="H24" s="104"/>
    </row>
    <row r="25" spans="1:8" ht="15" customHeight="1" x14ac:dyDescent="0.3">
      <c r="A25" s="104">
        <v>11</v>
      </c>
      <c r="B25" s="104"/>
      <c r="C25" s="27">
        <v>2123.35</v>
      </c>
      <c r="D25" s="30" t="s">
        <v>26</v>
      </c>
      <c r="E25" s="31">
        <v>5</v>
      </c>
      <c r="F25" s="18"/>
      <c r="G25" s="104" t="s">
        <v>35</v>
      </c>
      <c r="H25" s="104"/>
    </row>
    <row r="26" spans="1:8" ht="15" customHeight="1" x14ac:dyDescent="0.3">
      <c r="A26" s="104">
        <v>12</v>
      </c>
      <c r="B26" s="104"/>
      <c r="C26" s="29">
        <v>2124.48</v>
      </c>
      <c r="D26" s="30" t="s">
        <v>26</v>
      </c>
      <c r="E26" s="31">
        <v>6</v>
      </c>
      <c r="F26" s="18" t="s">
        <v>89</v>
      </c>
      <c r="G26" s="104" t="s">
        <v>31</v>
      </c>
      <c r="H26" s="104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94"/>
      <c r="B39" s="94"/>
      <c r="C39" s="94"/>
      <c r="D39" s="87"/>
      <c r="E39" s="87"/>
      <c r="F39" s="87"/>
      <c r="G39" s="87"/>
      <c r="H39" s="87"/>
    </row>
    <row r="40" spans="1:8" ht="15" customHeight="1" x14ac:dyDescent="0.3">
      <c r="A40" s="103"/>
      <c r="B40" s="103"/>
      <c r="C40" s="103"/>
      <c r="D40" s="103"/>
      <c r="E40" s="103"/>
      <c r="F40" s="103"/>
      <c r="G40" s="103"/>
      <c r="H40" s="103"/>
    </row>
    <row r="41" spans="1:8" ht="15" customHeight="1" x14ac:dyDescent="0.3">
      <c r="A41" s="103"/>
      <c r="B41" s="103"/>
      <c r="C41" s="103"/>
      <c r="D41" s="44"/>
      <c r="E41" s="44"/>
      <c r="F41" s="44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93"/>
      <c r="B50" s="93"/>
      <c r="C50" s="93"/>
      <c r="D50" s="93"/>
      <c r="E50" s="93"/>
      <c r="F50" s="93"/>
      <c r="G50" s="93"/>
      <c r="H50" s="93"/>
    </row>
    <row r="51" spans="1:8" ht="15" customHeight="1" x14ac:dyDescent="0.3">
      <c r="A51" s="93"/>
      <c r="B51" s="93"/>
      <c r="C51" s="93"/>
      <c r="D51" s="93"/>
      <c r="E51" s="93"/>
      <c r="F51" s="93"/>
      <c r="G51" s="93"/>
      <c r="H51" s="93"/>
    </row>
  </sheetData>
  <mergeCells count="45">
    <mergeCell ref="D14:E14"/>
    <mergeCell ref="B13:G13"/>
    <mergeCell ref="A2:H2"/>
    <mergeCell ref="A4:H4"/>
    <mergeCell ref="A5:H5"/>
    <mergeCell ref="A3:H3"/>
    <mergeCell ref="C9:D9"/>
    <mergeCell ref="A14:B14"/>
    <mergeCell ref="F39:H39"/>
    <mergeCell ref="F40:H40"/>
    <mergeCell ref="D39:E39"/>
    <mergeCell ref="D40:E40"/>
    <mergeCell ref="A39:C39"/>
    <mergeCell ref="A40:C41"/>
    <mergeCell ref="F50:H50"/>
    <mergeCell ref="F51:H51"/>
    <mergeCell ref="D50:E50"/>
    <mergeCell ref="D51:E51"/>
    <mergeCell ref="A50:C50"/>
    <mergeCell ref="A51:C51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14"/>
  <sheetViews>
    <sheetView topLeftCell="F162" zoomScale="85" zoomScaleNormal="85" workbookViewId="0">
      <selection activeCell="O174" sqref="O174"/>
    </sheetView>
  </sheetViews>
  <sheetFormatPr defaultColWidth="8.88671875" defaultRowHeight="15" customHeight="1" x14ac:dyDescent="0.3"/>
  <cols>
    <col min="1" max="1" width="15.6640625" style="3" bestFit="1" customWidth="1"/>
    <col min="2" max="2" width="20.33203125" style="3" bestFit="1" customWidth="1"/>
    <col min="3" max="4" width="12.33203125" style="14" customWidth="1"/>
    <col min="5" max="5" width="18.88671875" style="14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20.33203125" style="3" bestFit="1" customWidth="1"/>
    <col min="14" max="14" width="8.6640625" style="3" customWidth="1"/>
    <col min="15" max="15" width="10.88671875" style="3" bestFit="1" customWidth="1"/>
    <col min="16" max="16" width="15.88671875" style="3" customWidth="1"/>
    <col min="17" max="17" width="19" style="3" customWidth="1"/>
    <col min="18" max="18" width="18" style="3" customWidth="1"/>
    <col min="19" max="20" width="16.109375" style="3" customWidth="1"/>
    <col min="21" max="21" width="2.109375" style="3" customWidth="1"/>
    <col min="22" max="22" width="13.109375" style="3" customWidth="1"/>
    <col min="23" max="23" width="10.6640625" style="3" customWidth="1"/>
    <col min="24" max="24" width="2.109375" style="3" customWidth="1"/>
    <col min="25" max="29" width="15.88671875" style="3" customWidth="1"/>
    <col min="30" max="30" width="2.109375" style="3" customWidth="1"/>
    <col min="31" max="31" width="19.6640625" style="3" customWidth="1"/>
    <col min="32" max="32" width="18.88671875" style="3" customWidth="1"/>
    <col min="33" max="33" width="37.109375" style="3" customWidth="1"/>
    <col min="34" max="16384" width="8.88671875" style="3"/>
  </cols>
  <sheetData>
    <row r="1" spans="1:33" ht="30" customHeight="1" x14ac:dyDescent="0.3">
      <c r="A1" s="20" t="s">
        <v>82</v>
      </c>
      <c r="B1" s="20" t="s">
        <v>61</v>
      </c>
      <c r="C1" s="20" t="s">
        <v>0</v>
      </c>
      <c r="D1" s="20" t="s">
        <v>1</v>
      </c>
      <c r="E1" s="20" t="s">
        <v>2</v>
      </c>
      <c r="F1" s="22" t="s">
        <v>3</v>
      </c>
      <c r="G1" s="22" t="s">
        <v>4</v>
      </c>
      <c r="H1" s="22" t="s">
        <v>5</v>
      </c>
      <c r="I1" s="22" t="s">
        <v>58</v>
      </c>
      <c r="J1" s="22" t="s">
        <v>6</v>
      </c>
      <c r="K1" s="15" t="s">
        <v>27</v>
      </c>
      <c r="L1" s="15" t="s">
        <v>7</v>
      </c>
      <c r="M1" s="15" t="s">
        <v>8</v>
      </c>
      <c r="N1" s="15" t="s">
        <v>9</v>
      </c>
      <c r="O1" s="15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74</v>
      </c>
      <c r="V1" s="1" t="s">
        <v>22</v>
      </c>
      <c r="W1" s="1" t="s">
        <v>23</v>
      </c>
      <c r="X1" s="3" t="s">
        <v>74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74</v>
      </c>
      <c r="AE1" s="6" t="s">
        <v>16</v>
      </c>
      <c r="AF1" s="6" t="s">
        <v>17</v>
      </c>
      <c r="AG1" s="15" t="s">
        <v>39</v>
      </c>
    </row>
    <row r="2" spans="1:33" ht="15" customHeight="1" x14ac:dyDescent="0.3">
      <c r="A2" s="25" t="s">
        <v>181</v>
      </c>
      <c r="B2" s="80" t="s">
        <v>182</v>
      </c>
      <c r="C2" s="21" t="b">
        <v>0</v>
      </c>
      <c r="D2" s="21"/>
      <c r="E2" s="21" t="s">
        <v>183</v>
      </c>
      <c r="F2" s="23" t="s">
        <v>184</v>
      </c>
      <c r="G2" s="24" t="s">
        <v>185</v>
      </c>
      <c r="H2" s="24" t="s">
        <v>24</v>
      </c>
      <c r="I2" s="24" t="s">
        <v>186</v>
      </c>
      <c r="J2" s="24" t="s">
        <v>187</v>
      </c>
      <c r="K2" s="17" t="s">
        <v>188</v>
      </c>
      <c r="L2" s="26">
        <v>46112</v>
      </c>
      <c r="M2" s="27">
        <v>1308.44</v>
      </c>
      <c r="N2" s="16" t="s">
        <v>28</v>
      </c>
      <c r="O2" s="40" t="s">
        <v>64</v>
      </c>
      <c r="P2" s="13" t="s">
        <v>30</v>
      </c>
      <c r="Q2" s="13" t="s">
        <v>84</v>
      </c>
      <c r="R2" s="13" t="s">
        <v>31</v>
      </c>
      <c r="S2" s="10"/>
      <c r="T2" s="10"/>
      <c r="U2" s="55"/>
      <c r="V2" s="7"/>
      <c r="W2" s="7"/>
      <c r="X2" s="55"/>
      <c r="Y2" s="8"/>
      <c r="Z2" s="8"/>
      <c r="AA2" s="8"/>
      <c r="AB2" s="8"/>
      <c r="AC2" s="8"/>
      <c r="AD2" s="55"/>
      <c r="AE2" s="9"/>
      <c r="AF2" s="9"/>
      <c r="AG2" s="16"/>
    </row>
    <row r="3" spans="1:33" ht="15" customHeight="1" x14ac:dyDescent="0.3">
      <c r="A3" s="25"/>
      <c r="B3" s="80" t="s">
        <v>189</v>
      </c>
      <c r="C3" s="21" t="b">
        <v>0</v>
      </c>
      <c r="D3" s="21"/>
      <c r="E3" s="21" t="s">
        <v>183</v>
      </c>
      <c r="F3" s="24" t="s">
        <v>184</v>
      </c>
      <c r="G3" s="24" t="s">
        <v>185</v>
      </c>
      <c r="H3" s="24" t="s">
        <v>24</v>
      </c>
      <c r="I3" s="24" t="s">
        <v>186</v>
      </c>
      <c r="J3" s="24" t="s">
        <v>187</v>
      </c>
      <c r="K3" s="17" t="s">
        <v>190</v>
      </c>
      <c r="L3" s="26">
        <v>46074</v>
      </c>
      <c r="M3" s="27">
        <v>1315.19</v>
      </c>
      <c r="N3" s="17"/>
      <c r="O3" s="40"/>
      <c r="P3" s="13" t="s">
        <v>30</v>
      </c>
      <c r="Q3" s="13" t="s">
        <v>84</v>
      </c>
      <c r="R3" s="13" t="s">
        <v>31</v>
      </c>
      <c r="S3" s="10"/>
      <c r="T3" s="10"/>
      <c r="U3" s="81"/>
      <c r="V3" s="11"/>
      <c r="W3" s="11"/>
      <c r="X3" s="81"/>
      <c r="Y3" s="12"/>
      <c r="Z3" s="12"/>
      <c r="AA3" s="12"/>
      <c r="AB3" s="12"/>
      <c r="AC3" s="12"/>
      <c r="AD3" s="81"/>
      <c r="AE3" s="13"/>
      <c r="AF3" s="13"/>
      <c r="AG3" s="17"/>
    </row>
    <row r="4" spans="1:33" ht="15" customHeight="1" x14ac:dyDescent="0.3">
      <c r="A4" s="25"/>
      <c r="B4" s="80" t="s">
        <v>189</v>
      </c>
      <c r="C4" s="21" t="b">
        <v>0</v>
      </c>
      <c r="D4" s="21"/>
      <c r="E4" s="21" t="s">
        <v>183</v>
      </c>
      <c r="F4" s="24" t="s">
        <v>184</v>
      </c>
      <c r="G4" s="24" t="s">
        <v>185</v>
      </c>
      <c r="H4" s="24" t="s">
        <v>24</v>
      </c>
      <c r="I4" s="24" t="s">
        <v>186</v>
      </c>
      <c r="J4" s="24" t="s">
        <v>187</v>
      </c>
      <c r="K4" s="17" t="s">
        <v>190</v>
      </c>
      <c r="L4" s="26">
        <v>46074</v>
      </c>
      <c r="M4" s="27">
        <v>1314.44</v>
      </c>
      <c r="N4" s="17" t="s">
        <v>28</v>
      </c>
      <c r="O4" s="40" t="s">
        <v>29</v>
      </c>
      <c r="P4" s="13" t="s">
        <v>30</v>
      </c>
      <c r="Q4" s="13" t="s">
        <v>84</v>
      </c>
      <c r="R4" s="13" t="s">
        <v>31</v>
      </c>
      <c r="S4" s="10"/>
      <c r="T4" s="10">
        <v>1</v>
      </c>
      <c r="U4" s="81"/>
      <c r="V4" s="11"/>
      <c r="W4" s="11"/>
      <c r="X4" s="81"/>
      <c r="Y4" s="12"/>
      <c r="Z4" s="12"/>
      <c r="AA4" s="12"/>
      <c r="AB4" s="12"/>
      <c r="AC4" s="12"/>
      <c r="AD4" s="81"/>
      <c r="AE4" s="13"/>
      <c r="AF4" s="13"/>
      <c r="AG4" s="17"/>
    </row>
    <row r="5" spans="1:33" ht="15" customHeight="1" x14ac:dyDescent="0.3">
      <c r="A5" s="25"/>
      <c r="B5" s="80" t="s">
        <v>189</v>
      </c>
      <c r="C5" s="21" t="b">
        <v>0</v>
      </c>
      <c r="D5" s="21"/>
      <c r="E5" s="21" t="s">
        <v>183</v>
      </c>
      <c r="F5" s="24" t="s">
        <v>184</v>
      </c>
      <c r="G5" s="24" t="s">
        <v>185</v>
      </c>
      <c r="H5" s="24" t="s">
        <v>24</v>
      </c>
      <c r="I5" s="24" t="s">
        <v>186</v>
      </c>
      <c r="J5" s="24" t="s">
        <v>187</v>
      </c>
      <c r="K5" s="17" t="s">
        <v>190</v>
      </c>
      <c r="L5" s="26">
        <v>46074</v>
      </c>
      <c r="M5" s="27">
        <v>1313.69</v>
      </c>
      <c r="N5" s="17" t="s">
        <v>28</v>
      </c>
      <c r="O5" s="40" t="s">
        <v>63</v>
      </c>
      <c r="P5" s="13" t="s">
        <v>30</v>
      </c>
      <c r="Q5" s="13" t="s">
        <v>84</v>
      </c>
      <c r="R5" s="13" t="s">
        <v>31</v>
      </c>
      <c r="S5" s="10"/>
      <c r="T5" s="10">
        <v>1</v>
      </c>
      <c r="U5" s="81"/>
      <c r="V5" s="11"/>
      <c r="W5" s="11"/>
      <c r="X5" s="81"/>
      <c r="Y5" s="12"/>
      <c r="Z5" s="12"/>
      <c r="AA5" s="12"/>
      <c r="AB5" s="12"/>
      <c r="AC5" s="12"/>
      <c r="AD5" s="81"/>
      <c r="AE5" s="13"/>
      <c r="AF5" s="13"/>
      <c r="AG5" s="17"/>
    </row>
    <row r="6" spans="1:33" ht="15" customHeight="1" x14ac:dyDescent="0.3">
      <c r="A6" s="25"/>
      <c r="B6" s="80" t="s">
        <v>189</v>
      </c>
      <c r="C6" s="21" t="b">
        <v>0</v>
      </c>
      <c r="D6" s="21"/>
      <c r="E6" s="21" t="s">
        <v>183</v>
      </c>
      <c r="F6" s="24" t="s">
        <v>184</v>
      </c>
      <c r="G6" s="24" t="s">
        <v>185</v>
      </c>
      <c r="H6" s="24" t="s">
        <v>24</v>
      </c>
      <c r="I6" s="24" t="s">
        <v>186</v>
      </c>
      <c r="J6" s="24" t="s">
        <v>187</v>
      </c>
      <c r="K6" s="17" t="s">
        <v>190</v>
      </c>
      <c r="L6" s="26">
        <v>46074</v>
      </c>
      <c r="M6" s="27">
        <v>1312.94</v>
      </c>
      <c r="N6" s="17" t="s">
        <v>28</v>
      </c>
      <c r="O6" s="40" t="s">
        <v>64</v>
      </c>
      <c r="P6" s="13" t="s">
        <v>30</v>
      </c>
      <c r="Q6" s="13" t="s">
        <v>84</v>
      </c>
      <c r="R6" s="13" t="s">
        <v>31</v>
      </c>
      <c r="S6" s="10"/>
      <c r="T6" s="10">
        <v>1</v>
      </c>
      <c r="U6" s="81"/>
      <c r="V6" s="11"/>
      <c r="W6" s="11"/>
      <c r="X6" s="81"/>
      <c r="Y6" s="12"/>
      <c r="Z6" s="12"/>
      <c r="AA6" s="12"/>
      <c r="AB6" s="12"/>
      <c r="AC6" s="12"/>
      <c r="AD6" s="81"/>
      <c r="AE6" s="13"/>
      <c r="AF6" s="13"/>
      <c r="AG6" s="17"/>
    </row>
    <row r="7" spans="1:33" ht="15" customHeight="1" x14ac:dyDescent="0.3">
      <c r="A7" s="25"/>
      <c r="B7" s="80" t="s">
        <v>189</v>
      </c>
      <c r="C7" s="21" t="b">
        <v>0</v>
      </c>
      <c r="D7" s="21"/>
      <c r="E7" s="21" t="s">
        <v>183</v>
      </c>
      <c r="F7" s="24" t="s">
        <v>184</v>
      </c>
      <c r="G7" s="24" t="s">
        <v>185</v>
      </c>
      <c r="H7" s="24" t="s">
        <v>24</v>
      </c>
      <c r="I7" s="24" t="s">
        <v>186</v>
      </c>
      <c r="J7" s="24" t="s">
        <v>187</v>
      </c>
      <c r="K7" s="17" t="s">
        <v>190</v>
      </c>
      <c r="L7" s="26">
        <v>46074</v>
      </c>
      <c r="M7" s="27">
        <v>1312.19</v>
      </c>
      <c r="N7" s="17" t="s">
        <v>28</v>
      </c>
      <c r="O7" s="40" t="s">
        <v>65</v>
      </c>
      <c r="P7" s="13" t="s">
        <v>30</v>
      </c>
      <c r="Q7" s="13" t="s">
        <v>84</v>
      </c>
      <c r="R7" s="13" t="s">
        <v>31</v>
      </c>
      <c r="S7" s="10"/>
      <c r="T7" s="10">
        <v>1</v>
      </c>
      <c r="U7" s="81"/>
      <c r="V7" s="11"/>
      <c r="W7" s="11"/>
      <c r="X7" s="81"/>
      <c r="Y7" s="12"/>
      <c r="Z7" s="12"/>
      <c r="AA7" s="12"/>
      <c r="AB7" s="12"/>
      <c r="AC7" s="12"/>
      <c r="AD7" s="81"/>
      <c r="AE7" s="13"/>
      <c r="AF7" s="13"/>
      <c r="AG7" s="17"/>
    </row>
    <row r="8" spans="1:33" ht="15" customHeight="1" x14ac:dyDescent="0.3">
      <c r="A8" s="25"/>
      <c r="B8" s="80" t="s">
        <v>189</v>
      </c>
      <c r="C8" s="21" t="b">
        <v>0</v>
      </c>
      <c r="D8" s="21"/>
      <c r="E8" s="21" t="s">
        <v>183</v>
      </c>
      <c r="F8" s="24" t="s">
        <v>184</v>
      </c>
      <c r="G8" s="24" t="s">
        <v>185</v>
      </c>
      <c r="H8" s="24" t="s">
        <v>24</v>
      </c>
      <c r="I8" s="24" t="s">
        <v>186</v>
      </c>
      <c r="J8" s="24" t="s">
        <v>187</v>
      </c>
      <c r="K8" s="17" t="s">
        <v>190</v>
      </c>
      <c r="L8" s="26">
        <v>46074</v>
      </c>
      <c r="M8" s="27">
        <v>1311.44</v>
      </c>
      <c r="N8" s="17" t="s">
        <v>28</v>
      </c>
      <c r="O8" s="40" t="s">
        <v>66</v>
      </c>
      <c r="P8" s="13" t="s">
        <v>30</v>
      </c>
      <c r="Q8" s="13" t="s">
        <v>84</v>
      </c>
      <c r="R8" s="13" t="s">
        <v>31</v>
      </c>
      <c r="S8" s="10"/>
      <c r="T8" s="10">
        <v>1</v>
      </c>
      <c r="U8" s="81"/>
      <c r="V8" s="11"/>
      <c r="W8" s="11"/>
      <c r="X8" s="81"/>
      <c r="Y8" s="12"/>
      <c r="Z8" s="12"/>
      <c r="AA8" s="12"/>
      <c r="AB8" s="12"/>
      <c r="AC8" s="12"/>
      <c r="AD8" s="81"/>
      <c r="AE8" s="13"/>
      <c r="AF8" s="13"/>
      <c r="AG8" s="17"/>
    </row>
    <row r="9" spans="1:33" ht="15" customHeight="1" x14ac:dyDescent="0.3">
      <c r="A9" s="25"/>
      <c r="B9" s="80" t="s">
        <v>189</v>
      </c>
      <c r="C9" s="21" t="b">
        <v>0</v>
      </c>
      <c r="D9" s="21"/>
      <c r="E9" s="21" t="s">
        <v>183</v>
      </c>
      <c r="F9" s="24" t="s">
        <v>184</v>
      </c>
      <c r="G9" s="24" t="s">
        <v>185</v>
      </c>
      <c r="H9" s="24" t="s">
        <v>24</v>
      </c>
      <c r="I9" s="24" t="s">
        <v>186</v>
      </c>
      <c r="J9" s="24" t="s">
        <v>187</v>
      </c>
      <c r="K9" s="17" t="s">
        <v>190</v>
      </c>
      <c r="L9" s="26">
        <v>46074</v>
      </c>
      <c r="M9" s="27">
        <v>1310.69</v>
      </c>
      <c r="N9" s="17" t="s">
        <v>28</v>
      </c>
      <c r="O9" s="40" t="s">
        <v>67</v>
      </c>
      <c r="P9" s="13" t="s">
        <v>30</v>
      </c>
      <c r="Q9" s="13" t="s">
        <v>84</v>
      </c>
      <c r="R9" s="13" t="s">
        <v>31</v>
      </c>
      <c r="S9" s="10"/>
      <c r="T9" s="10">
        <v>1</v>
      </c>
      <c r="U9" s="81"/>
      <c r="V9" s="11"/>
      <c r="W9" s="11"/>
      <c r="X9" s="81"/>
      <c r="Y9" s="12"/>
      <c r="Z9" s="12"/>
      <c r="AA9" s="12"/>
      <c r="AB9" s="12"/>
      <c r="AC9" s="12"/>
      <c r="AD9" s="81"/>
      <c r="AE9" s="13"/>
      <c r="AF9" s="13"/>
      <c r="AG9" s="17"/>
    </row>
    <row r="10" spans="1:33" ht="15" customHeight="1" x14ac:dyDescent="0.3">
      <c r="A10" s="25"/>
      <c r="B10" s="80" t="s">
        <v>189</v>
      </c>
      <c r="C10" s="21" t="b">
        <v>0</v>
      </c>
      <c r="D10" s="21"/>
      <c r="E10" s="21" t="s">
        <v>183</v>
      </c>
      <c r="F10" s="24" t="s">
        <v>184</v>
      </c>
      <c r="G10" s="24" t="s">
        <v>185</v>
      </c>
      <c r="H10" s="24" t="s">
        <v>24</v>
      </c>
      <c r="I10" s="24" t="s">
        <v>186</v>
      </c>
      <c r="J10" s="24" t="s">
        <v>187</v>
      </c>
      <c r="K10" s="17" t="s">
        <v>190</v>
      </c>
      <c r="L10" s="26">
        <v>46074</v>
      </c>
      <c r="M10" s="27">
        <v>1309.94</v>
      </c>
      <c r="N10" s="17" t="s">
        <v>28</v>
      </c>
      <c r="O10" s="40" t="s">
        <v>29</v>
      </c>
      <c r="P10" s="13" t="s">
        <v>30</v>
      </c>
      <c r="Q10" s="13" t="s">
        <v>84</v>
      </c>
      <c r="R10" s="13" t="s">
        <v>31</v>
      </c>
      <c r="S10" s="10"/>
      <c r="T10" s="10">
        <v>1</v>
      </c>
      <c r="U10" s="81"/>
      <c r="V10" s="11"/>
      <c r="W10" s="11"/>
      <c r="X10" s="81"/>
      <c r="Y10" s="12"/>
      <c r="Z10" s="12"/>
      <c r="AA10" s="12"/>
      <c r="AB10" s="12"/>
      <c r="AC10" s="12"/>
      <c r="AD10" s="81"/>
      <c r="AE10" s="13"/>
      <c r="AF10" s="13"/>
      <c r="AG10" s="17"/>
    </row>
    <row r="11" spans="1:33" ht="15" customHeight="1" x14ac:dyDescent="0.3">
      <c r="A11" s="25"/>
      <c r="B11" s="80" t="s">
        <v>189</v>
      </c>
      <c r="C11" s="21" t="b">
        <v>0</v>
      </c>
      <c r="D11" s="21"/>
      <c r="E11" s="21" t="s">
        <v>183</v>
      </c>
      <c r="F11" s="24" t="s">
        <v>184</v>
      </c>
      <c r="G11" s="24" t="s">
        <v>185</v>
      </c>
      <c r="H11" s="24" t="s">
        <v>24</v>
      </c>
      <c r="I11" s="24" t="s">
        <v>186</v>
      </c>
      <c r="J11" s="24" t="s">
        <v>187</v>
      </c>
      <c r="K11" s="17" t="s">
        <v>190</v>
      </c>
      <c r="L11" s="26">
        <v>46074</v>
      </c>
      <c r="M11" s="27">
        <v>1309.19</v>
      </c>
      <c r="N11" s="17" t="s">
        <v>28</v>
      </c>
      <c r="O11" s="40" t="s">
        <v>63</v>
      </c>
      <c r="P11" s="13" t="s">
        <v>30</v>
      </c>
      <c r="Q11" s="13" t="s">
        <v>84</v>
      </c>
      <c r="R11" s="13" t="s">
        <v>31</v>
      </c>
      <c r="S11" s="10"/>
      <c r="T11" s="10">
        <v>1</v>
      </c>
      <c r="U11" s="81"/>
      <c r="V11" s="11"/>
      <c r="W11" s="11"/>
      <c r="X11" s="81"/>
      <c r="Y11" s="12"/>
      <c r="Z11" s="12"/>
      <c r="AA11" s="12"/>
      <c r="AB11" s="12"/>
      <c r="AC11" s="12"/>
      <c r="AD11" s="81"/>
      <c r="AE11" s="13"/>
      <c r="AF11" s="13"/>
      <c r="AG11" s="17"/>
    </row>
    <row r="12" spans="1:33" ht="15" customHeight="1" x14ac:dyDescent="0.3">
      <c r="A12" s="25" t="s">
        <v>181</v>
      </c>
      <c r="B12" s="80" t="s">
        <v>182</v>
      </c>
      <c r="C12" s="21" t="b">
        <v>0</v>
      </c>
      <c r="D12" s="21"/>
      <c r="E12" s="21" t="s">
        <v>183</v>
      </c>
      <c r="F12" s="24" t="s">
        <v>184</v>
      </c>
      <c r="G12" s="24" t="s">
        <v>185</v>
      </c>
      <c r="H12" s="24" t="s">
        <v>24</v>
      </c>
      <c r="I12" s="24" t="s">
        <v>186</v>
      </c>
      <c r="J12" s="24" t="s">
        <v>187</v>
      </c>
      <c r="K12" s="17" t="s">
        <v>188</v>
      </c>
      <c r="L12" s="26">
        <v>46112</v>
      </c>
      <c r="M12" s="27">
        <v>1308.44</v>
      </c>
      <c r="N12" s="17" t="s">
        <v>28</v>
      </c>
      <c r="O12" s="40" t="s">
        <v>64</v>
      </c>
      <c r="P12" s="13" t="s">
        <v>30</v>
      </c>
      <c r="Q12" s="13" t="s">
        <v>84</v>
      </c>
      <c r="R12" s="13" t="s">
        <v>31</v>
      </c>
      <c r="S12" s="82"/>
      <c r="T12" s="10"/>
      <c r="U12" s="81"/>
      <c r="V12" s="11"/>
      <c r="W12" s="11"/>
      <c r="X12" s="81"/>
      <c r="Y12" s="12"/>
      <c r="Z12" s="12"/>
      <c r="AA12" s="12"/>
      <c r="AB12" s="12"/>
      <c r="AC12" s="12"/>
      <c r="AD12" s="81"/>
      <c r="AE12" s="13"/>
      <c r="AF12" s="13"/>
      <c r="AG12" s="17"/>
    </row>
    <row r="13" spans="1:33" ht="15" customHeight="1" x14ac:dyDescent="0.3">
      <c r="A13" s="25" t="s">
        <v>181</v>
      </c>
      <c r="B13" s="80" t="s">
        <v>182</v>
      </c>
      <c r="C13" s="21" t="b">
        <v>0</v>
      </c>
      <c r="D13" s="21"/>
      <c r="E13" s="21" t="s">
        <v>183</v>
      </c>
      <c r="F13" s="24" t="s">
        <v>184</v>
      </c>
      <c r="G13" s="24" t="s">
        <v>185</v>
      </c>
      <c r="H13" s="24" t="s">
        <v>24</v>
      </c>
      <c r="I13" s="24" t="s">
        <v>186</v>
      </c>
      <c r="J13" s="24" t="s">
        <v>187</v>
      </c>
      <c r="K13" s="17" t="s">
        <v>188</v>
      </c>
      <c r="L13" s="26">
        <v>46112</v>
      </c>
      <c r="M13" s="27">
        <v>1307.69</v>
      </c>
      <c r="N13" s="17" t="s">
        <v>28</v>
      </c>
      <c r="O13" s="40" t="s">
        <v>65</v>
      </c>
      <c r="P13" s="13" t="s">
        <v>30</v>
      </c>
      <c r="Q13" s="13" t="s">
        <v>84</v>
      </c>
      <c r="R13" s="13" t="s">
        <v>31</v>
      </c>
      <c r="S13" s="82"/>
      <c r="T13" s="10">
        <v>1</v>
      </c>
      <c r="U13" s="81"/>
      <c r="V13" s="11"/>
      <c r="W13" s="11"/>
      <c r="X13" s="81"/>
      <c r="Y13" s="12"/>
      <c r="Z13" s="12"/>
      <c r="AA13" s="12"/>
      <c r="AB13" s="12"/>
      <c r="AC13" s="12"/>
      <c r="AD13" s="81"/>
      <c r="AE13" s="13"/>
      <c r="AF13" s="13"/>
      <c r="AG13" s="17"/>
    </row>
    <row r="14" spans="1:33" ht="15" customHeight="1" x14ac:dyDescent="0.3">
      <c r="A14" s="25" t="s">
        <v>181</v>
      </c>
      <c r="B14" s="80" t="s">
        <v>182</v>
      </c>
      <c r="C14" s="21" t="b">
        <v>0</v>
      </c>
      <c r="D14" s="21"/>
      <c r="E14" s="21" t="s">
        <v>183</v>
      </c>
      <c r="F14" s="24" t="s">
        <v>184</v>
      </c>
      <c r="G14" s="24" t="s">
        <v>185</v>
      </c>
      <c r="H14" s="24" t="s">
        <v>24</v>
      </c>
      <c r="I14" s="24" t="s">
        <v>186</v>
      </c>
      <c r="J14" s="24" t="s">
        <v>187</v>
      </c>
      <c r="K14" s="17" t="s">
        <v>188</v>
      </c>
      <c r="L14" s="26">
        <v>46112</v>
      </c>
      <c r="M14" s="27">
        <v>1306.94</v>
      </c>
      <c r="N14" s="17" t="s">
        <v>28</v>
      </c>
      <c r="O14" s="40" t="s">
        <v>66</v>
      </c>
      <c r="P14" s="13" t="s">
        <v>30</v>
      </c>
      <c r="Q14" s="13" t="s">
        <v>84</v>
      </c>
      <c r="R14" s="13" t="s">
        <v>31</v>
      </c>
      <c r="S14" s="82"/>
      <c r="T14" s="10">
        <v>1</v>
      </c>
      <c r="U14" s="81"/>
      <c r="V14" s="11"/>
      <c r="W14" s="11"/>
      <c r="X14" s="81"/>
      <c r="Y14" s="12"/>
      <c r="Z14" s="12"/>
      <c r="AA14" s="12"/>
      <c r="AB14" s="12"/>
      <c r="AC14" s="12"/>
      <c r="AD14" s="81"/>
      <c r="AE14" s="13"/>
      <c r="AF14" s="13"/>
      <c r="AG14" s="17"/>
    </row>
    <row r="15" spans="1:33" ht="15" customHeight="1" x14ac:dyDescent="0.3">
      <c r="A15" s="25" t="s">
        <v>181</v>
      </c>
      <c r="B15" s="80" t="s">
        <v>182</v>
      </c>
      <c r="C15" s="21" t="b">
        <v>0</v>
      </c>
      <c r="D15" s="21"/>
      <c r="E15" s="21" t="s">
        <v>183</v>
      </c>
      <c r="F15" s="24" t="s">
        <v>184</v>
      </c>
      <c r="G15" s="24" t="s">
        <v>185</v>
      </c>
      <c r="H15" s="24" t="s">
        <v>24</v>
      </c>
      <c r="I15" s="24" t="s">
        <v>186</v>
      </c>
      <c r="J15" s="24" t="s">
        <v>187</v>
      </c>
      <c r="K15" s="17" t="s">
        <v>188</v>
      </c>
      <c r="L15" s="26">
        <v>46112</v>
      </c>
      <c r="M15" s="27">
        <v>1306.19</v>
      </c>
      <c r="N15" s="17" t="s">
        <v>28</v>
      </c>
      <c r="O15" s="40" t="s">
        <v>67</v>
      </c>
      <c r="P15" s="13" t="s">
        <v>30</v>
      </c>
      <c r="Q15" s="13" t="s">
        <v>84</v>
      </c>
      <c r="R15" s="13" t="s">
        <v>31</v>
      </c>
      <c r="S15" s="82"/>
      <c r="T15" s="10">
        <v>1</v>
      </c>
      <c r="U15" s="81"/>
      <c r="V15" s="11"/>
      <c r="W15" s="11"/>
      <c r="X15" s="81"/>
      <c r="Y15" s="12"/>
      <c r="Z15" s="12"/>
      <c r="AA15" s="12"/>
      <c r="AB15" s="12"/>
      <c r="AC15" s="12"/>
      <c r="AD15" s="81"/>
      <c r="AE15" s="13"/>
      <c r="AF15" s="13"/>
      <c r="AG15" s="17"/>
    </row>
    <row r="16" spans="1:33" ht="15" customHeight="1" x14ac:dyDescent="0.3">
      <c r="A16" s="25" t="s">
        <v>181</v>
      </c>
      <c r="B16" s="80" t="s">
        <v>182</v>
      </c>
      <c r="C16" s="21" t="b">
        <v>0</v>
      </c>
      <c r="D16" s="21"/>
      <c r="E16" s="21" t="s">
        <v>183</v>
      </c>
      <c r="F16" s="24" t="s">
        <v>184</v>
      </c>
      <c r="G16" s="24" t="s">
        <v>185</v>
      </c>
      <c r="H16" s="24" t="s">
        <v>24</v>
      </c>
      <c r="I16" s="24" t="s">
        <v>186</v>
      </c>
      <c r="J16" s="24" t="s">
        <v>187</v>
      </c>
      <c r="K16" s="17" t="s">
        <v>188</v>
      </c>
      <c r="L16" s="26">
        <v>46112</v>
      </c>
      <c r="M16" s="27">
        <v>1305.44</v>
      </c>
      <c r="N16" s="17" t="s">
        <v>28</v>
      </c>
      <c r="O16" s="40" t="s">
        <v>29</v>
      </c>
      <c r="P16" s="13" t="s">
        <v>30</v>
      </c>
      <c r="Q16" s="13" t="s">
        <v>84</v>
      </c>
      <c r="R16" s="13" t="s">
        <v>31</v>
      </c>
      <c r="S16" s="82"/>
      <c r="T16" s="10">
        <v>1</v>
      </c>
      <c r="U16" s="81"/>
      <c r="V16" s="11"/>
      <c r="W16" s="11"/>
      <c r="X16" s="81"/>
      <c r="Y16" s="12"/>
      <c r="Z16" s="12"/>
      <c r="AA16" s="12"/>
      <c r="AB16" s="12"/>
      <c r="AC16" s="12"/>
      <c r="AD16" s="81"/>
      <c r="AE16" s="13"/>
      <c r="AF16" s="13"/>
      <c r="AG16" s="17"/>
    </row>
    <row r="17" spans="1:33" ht="15" customHeight="1" x14ac:dyDescent="0.3">
      <c r="A17" s="25" t="s">
        <v>181</v>
      </c>
      <c r="B17" s="80" t="s">
        <v>182</v>
      </c>
      <c r="C17" s="21" t="b">
        <v>0</v>
      </c>
      <c r="D17" s="21"/>
      <c r="E17" s="21" t="s">
        <v>183</v>
      </c>
      <c r="F17" s="24" t="s">
        <v>184</v>
      </c>
      <c r="G17" s="24" t="s">
        <v>185</v>
      </c>
      <c r="H17" s="24" t="s">
        <v>24</v>
      </c>
      <c r="I17" s="24" t="s">
        <v>186</v>
      </c>
      <c r="J17" s="24" t="s">
        <v>187</v>
      </c>
      <c r="K17" s="17" t="s">
        <v>191</v>
      </c>
      <c r="L17" s="26">
        <v>46112</v>
      </c>
      <c r="M17" s="27">
        <v>1304.69</v>
      </c>
      <c r="N17" s="17" t="s">
        <v>28</v>
      </c>
      <c r="O17" s="40" t="s">
        <v>63</v>
      </c>
      <c r="P17" s="13" t="s">
        <v>30</v>
      </c>
      <c r="Q17" s="13" t="s">
        <v>84</v>
      </c>
      <c r="R17" s="13" t="s">
        <v>31</v>
      </c>
      <c r="S17" s="82"/>
      <c r="T17" s="10">
        <v>1</v>
      </c>
      <c r="U17" s="81"/>
      <c r="V17" s="11"/>
      <c r="W17" s="11"/>
      <c r="X17" s="81"/>
      <c r="Y17" s="12"/>
      <c r="Z17" s="12"/>
      <c r="AA17" s="12"/>
      <c r="AB17" s="12"/>
      <c r="AC17" s="12"/>
      <c r="AD17" s="81"/>
      <c r="AE17" s="13"/>
      <c r="AF17" s="13"/>
      <c r="AG17" s="17"/>
    </row>
    <row r="18" spans="1:33" ht="15" customHeight="1" x14ac:dyDescent="0.3">
      <c r="A18" s="25" t="s">
        <v>181</v>
      </c>
      <c r="B18" s="80" t="s">
        <v>182</v>
      </c>
      <c r="C18" s="21" t="b">
        <v>0</v>
      </c>
      <c r="D18" s="21"/>
      <c r="E18" s="21" t="s">
        <v>183</v>
      </c>
      <c r="F18" s="24" t="s">
        <v>184</v>
      </c>
      <c r="G18" s="24" t="s">
        <v>185</v>
      </c>
      <c r="H18" s="24" t="s">
        <v>24</v>
      </c>
      <c r="I18" s="24" t="s">
        <v>186</v>
      </c>
      <c r="J18" s="24" t="s">
        <v>187</v>
      </c>
      <c r="K18" s="17" t="s">
        <v>191</v>
      </c>
      <c r="L18" s="26">
        <v>46112</v>
      </c>
      <c r="M18" s="27">
        <v>1303.94</v>
      </c>
      <c r="N18" s="17" t="s">
        <v>28</v>
      </c>
      <c r="O18" s="40" t="s">
        <v>64</v>
      </c>
      <c r="P18" s="13" t="s">
        <v>30</v>
      </c>
      <c r="Q18" s="13" t="s">
        <v>84</v>
      </c>
      <c r="R18" s="13" t="s">
        <v>31</v>
      </c>
      <c r="S18" s="82"/>
      <c r="T18" s="10">
        <v>1</v>
      </c>
      <c r="U18" s="81"/>
      <c r="V18" s="11"/>
      <c r="W18" s="11"/>
      <c r="X18" s="81"/>
      <c r="Y18" s="12"/>
      <c r="Z18" s="12"/>
      <c r="AA18" s="12"/>
      <c r="AB18" s="12"/>
      <c r="AC18" s="12"/>
      <c r="AD18" s="81"/>
      <c r="AE18" s="13"/>
      <c r="AF18" s="13"/>
      <c r="AG18" s="17"/>
    </row>
    <row r="19" spans="1:33" ht="15" customHeight="1" x14ac:dyDescent="0.3">
      <c r="A19" s="25" t="s">
        <v>181</v>
      </c>
      <c r="B19" s="80" t="s">
        <v>182</v>
      </c>
      <c r="C19" s="21" t="b">
        <v>0</v>
      </c>
      <c r="D19" s="21"/>
      <c r="E19" s="21" t="s">
        <v>183</v>
      </c>
      <c r="F19" s="24" t="s">
        <v>184</v>
      </c>
      <c r="G19" s="24" t="s">
        <v>185</v>
      </c>
      <c r="H19" s="24" t="s">
        <v>24</v>
      </c>
      <c r="I19" s="24" t="s">
        <v>186</v>
      </c>
      <c r="J19" s="24" t="s">
        <v>187</v>
      </c>
      <c r="K19" s="17" t="s">
        <v>192</v>
      </c>
      <c r="L19" s="26">
        <v>46111</v>
      </c>
      <c r="M19" s="27">
        <v>1303.19</v>
      </c>
      <c r="N19" s="17" t="s">
        <v>28</v>
      </c>
      <c r="O19" s="40" t="s">
        <v>65</v>
      </c>
      <c r="P19" s="13" t="s">
        <v>30</v>
      </c>
      <c r="Q19" s="13" t="s">
        <v>84</v>
      </c>
      <c r="R19" s="13" t="s">
        <v>31</v>
      </c>
      <c r="S19" s="82"/>
      <c r="T19" s="10">
        <v>1</v>
      </c>
      <c r="U19" s="81"/>
      <c r="V19" s="11"/>
      <c r="W19" s="11"/>
      <c r="X19" s="81"/>
      <c r="Y19" s="12"/>
      <c r="Z19" s="12"/>
      <c r="AA19" s="12"/>
      <c r="AB19" s="12"/>
      <c r="AC19" s="12"/>
      <c r="AD19" s="81"/>
      <c r="AE19" s="13"/>
      <c r="AF19" s="13"/>
      <c r="AG19" s="17"/>
    </row>
    <row r="20" spans="1:33" ht="15" customHeight="1" x14ac:dyDescent="0.3">
      <c r="A20" s="25" t="s">
        <v>181</v>
      </c>
      <c r="B20" s="80" t="s">
        <v>182</v>
      </c>
      <c r="C20" s="21" t="b">
        <v>0</v>
      </c>
      <c r="D20" s="21"/>
      <c r="E20" s="21" t="s">
        <v>183</v>
      </c>
      <c r="F20" s="24" t="s">
        <v>184</v>
      </c>
      <c r="G20" s="24" t="s">
        <v>185</v>
      </c>
      <c r="H20" s="24" t="s">
        <v>24</v>
      </c>
      <c r="I20" s="24" t="s">
        <v>186</v>
      </c>
      <c r="J20" s="24" t="s">
        <v>187</v>
      </c>
      <c r="K20" s="17" t="s">
        <v>192</v>
      </c>
      <c r="L20" s="26">
        <v>46111</v>
      </c>
      <c r="M20" s="27">
        <v>1302.44</v>
      </c>
      <c r="N20" s="17" t="s">
        <v>28</v>
      </c>
      <c r="O20" s="40" t="s">
        <v>66</v>
      </c>
      <c r="P20" s="13" t="s">
        <v>30</v>
      </c>
      <c r="Q20" s="13" t="s">
        <v>84</v>
      </c>
      <c r="R20" s="13" t="s">
        <v>31</v>
      </c>
      <c r="S20" s="82"/>
      <c r="T20" s="10">
        <v>1</v>
      </c>
      <c r="U20" s="81"/>
      <c r="V20" s="11"/>
      <c r="W20" s="11"/>
      <c r="X20" s="81"/>
      <c r="Y20" s="12"/>
      <c r="Z20" s="12"/>
      <c r="AA20" s="12"/>
      <c r="AB20" s="12"/>
      <c r="AC20" s="12"/>
      <c r="AD20" s="81"/>
      <c r="AE20" s="13"/>
      <c r="AF20" s="13"/>
      <c r="AG20" s="17"/>
    </row>
    <row r="21" spans="1:33" ht="15" customHeight="1" x14ac:dyDescent="0.3">
      <c r="A21" s="25" t="s">
        <v>181</v>
      </c>
      <c r="B21" s="80" t="s">
        <v>182</v>
      </c>
      <c r="C21" s="21" t="b">
        <v>0</v>
      </c>
      <c r="D21" s="21"/>
      <c r="E21" s="21" t="s">
        <v>183</v>
      </c>
      <c r="F21" s="24" t="s">
        <v>184</v>
      </c>
      <c r="G21" s="24" t="s">
        <v>185</v>
      </c>
      <c r="H21" s="24" t="s">
        <v>24</v>
      </c>
      <c r="I21" s="24" t="s">
        <v>186</v>
      </c>
      <c r="J21" s="24" t="s">
        <v>187</v>
      </c>
      <c r="K21" s="17" t="s">
        <v>192</v>
      </c>
      <c r="L21" s="26">
        <v>46111</v>
      </c>
      <c r="M21" s="27">
        <v>1301.69</v>
      </c>
      <c r="N21" s="17" t="s">
        <v>28</v>
      </c>
      <c r="O21" s="40" t="s">
        <v>67</v>
      </c>
      <c r="P21" s="13" t="s">
        <v>30</v>
      </c>
      <c r="Q21" s="13" t="s">
        <v>84</v>
      </c>
      <c r="R21" s="13" t="s">
        <v>31</v>
      </c>
      <c r="S21" s="82"/>
      <c r="T21" s="10">
        <v>1</v>
      </c>
      <c r="U21" s="81"/>
      <c r="V21" s="11"/>
      <c r="W21" s="11"/>
      <c r="X21" s="81"/>
      <c r="Y21" s="12"/>
      <c r="Z21" s="12"/>
      <c r="AA21" s="12"/>
      <c r="AB21" s="12"/>
      <c r="AC21" s="12"/>
      <c r="AD21" s="81"/>
      <c r="AE21" s="13"/>
      <c r="AF21" s="13"/>
      <c r="AG21" s="17"/>
    </row>
    <row r="22" spans="1:33" ht="15" customHeight="1" x14ac:dyDescent="0.3">
      <c r="A22" s="25" t="s">
        <v>181</v>
      </c>
      <c r="B22" s="80" t="s">
        <v>182</v>
      </c>
      <c r="C22" s="21" t="b">
        <v>0</v>
      </c>
      <c r="D22" s="21"/>
      <c r="E22" s="21" t="s">
        <v>183</v>
      </c>
      <c r="F22" s="24" t="s">
        <v>184</v>
      </c>
      <c r="G22" s="24" t="s">
        <v>185</v>
      </c>
      <c r="H22" s="24" t="s">
        <v>24</v>
      </c>
      <c r="I22" s="24" t="s">
        <v>186</v>
      </c>
      <c r="J22" s="24" t="s">
        <v>187</v>
      </c>
      <c r="K22" s="17" t="s">
        <v>193</v>
      </c>
      <c r="L22" s="26">
        <v>46110</v>
      </c>
      <c r="M22" s="27">
        <v>1300.94</v>
      </c>
      <c r="N22" s="17" t="s">
        <v>28</v>
      </c>
      <c r="O22" s="40" t="s">
        <v>29</v>
      </c>
      <c r="P22" s="13" t="s">
        <v>30</v>
      </c>
      <c r="Q22" s="13" t="s">
        <v>84</v>
      </c>
      <c r="R22" s="13" t="s">
        <v>31</v>
      </c>
      <c r="S22" s="82"/>
      <c r="T22" s="10">
        <v>1</v>
      </c>
      <c r="U22" s="81"/>
      <c r="V22" s="11"/>
      <c r="W22" s="11"/>
      <c r="X22" s="81"/>
      <c r="Y22" s="12"/>
      <c r="Z22" s="12"/>
      <c r="AA22" s="12"/>
      <c r="AB22" s="12"/>
      <c r="AC22" s="12"/>
      <c r="AD22" s="81"/>
      <c r="AE22" s="13"/>
      <c r="AF22" s="13"/>
      <c r="AG22" s="17"/>
    </row>
    <row r="23" spans="1:33" ht="15" customHeight="1" x14ac:dyDescent="0.3">
      <c r="A23" s="25" t="s">
        <v>181</v>
      </c>
      <c r="B23" s="80" t="s">
        <v>182</v>
      </c>
      <c r="C23" s="21" t="b">
        <v>0</v>
      </c>
      <c r="D23" s="21"/>
      <c r="E23" s="21" t="s">
        <v>183</v>
      </c>
      <c r="F23" s="24" t="s">
        <v>184</v>
      </c>
      <c r="G23" s="24" t="s">
        <v>185</v>
      </c>
      <c r="H23" s="24" t="s">
        <v>24</v>
      </c>
      <c r="I23" s="24" t="s">
        <v>186</v>
      </c>
      <c r="J23" s="24" t="s">
        <v>187</v>
      </c>
      <c r="K23" s="17" t="s">
        <v>193</v>
      </c>
      <c r="L23" s="26">
        <v>46110</v>
      </c>
      <c r="M23" s="27">
        <v>1300.19</v>
      </c>
      <c r="N23" s="17" t="s">
        <v>28</v>
      </c>
      <c r="O23" s="40" t="s">
        <v>63</v>
      </c>
      <c r="P23" s="13" t="s">
        <v>30</v>
      </c>
      <c r="Q23" s="13" t="s">
        <v>84</v>
      </c>
      <c r="R23" s="13" t="s">
        <v>31</v>
      </c>
      <c r="S23" s="82"/>
      <c r="T23" s="10">
        <v>1</v>
      </c>
      <c r="U23" s="81"/>
      <c r="V23" s="11"/>
      <c r="W23" s="11"/>
      <c r="X23" s="81"/>
      <c r="Y23" s="12"/>
      <c r="Z23" s="12"/>
      <c r="AA23" s="12"/>
      <c r="AB23" s="12"/>
      <c r="AC23" s="12"/>
      <c r="AD23" s="81"/>
      <c r="AE23" s="13"/>
      <c r="AF23" s="13"/>
      <c r="AG23" s="17"/>
    </row>
    <row r="24" spans="1:33" ht="15" customHeight="1" x14ac:dyDescent="0.3">
      <c r="A24" s="25" t="s">
        <v>181</v>
      </c>
      <c r="B24" s="80" t="s">
        <v>182</v>
      </c>
      <c r="C24" s="21" t="b">
        <v>0</v>
      </c>
      <c r="D24" s="21"/>
      <c r="E24" s="21" t="s">
        <v>183</v>
      </c>
      <c r="F24" s="24" t="s">
        <v>184</v>
      </c>
      <c r="G24" s="24" t="s">
        <v>185</v>
      </c>
      <c r="H24" s="24" t="s">
        <v>24</v>
      </c>
      <c r="I24" s="24" t="s">
        <v>186</v>
      </c>
      <c r="J24" s="24" t="s">
        <v>187</v>
      </c>
      <c r="K24" s="17" t="s">
        <v>193</v>
      </c>
      <c r="L24" s="26">
        <v>46110</v>
      </c>
      <c r="M24" s="27">
        <v>1299.44</v>
      </c>
      <c r="N24" s="17" t="s">
        <v>28</v>
      </c>
      <c r="O24" s="40" t="s">
        <v>64</v>
      </c>
      <c r="P24" s="13" t="s">
        <v>30</v>
      </c>
      <c r="Q24" s="13" t="s">
        <v>84</v>
      </c>
      <c r="R24" s="13" t="s">
        <v>31</v>
      </c>
      <c r="S24" s="82"/>
      <c r="T24" s="10">
        <v>1</v>
      </c>
      <c r="U24" s="81"/>
      <c r="V24" s="11"/>
      <c r="W24" s="11"/>
      <c r="X24" s="81"/>
      <c r="Y24" s="12"/>
      <c r="Z24" s="12"/>
      <c r="AA24" s="12"/>
      <c r="AB24" s="12"/>
      <c r="AC24" s="12"/>
      <c r="AD24" s="81"/>
      <c r="AE24" s="13"/>
      <c r="AF24" s="13"/>
      <c r="AG24" s="17"/>
    </row>
    <row r="25" spans="1:33" ht="15" customHeight="1" x14ac:dyDescent="0.3">
      <c r="A25" s="25" t="s">
        <v>181</v>
      </c>
      <c r="B25" s="80" t="s">
        <v>182</v>
      </c>
      <c r="C25" s="21" t="b">
        <v>0</v>
      </c>
      <c r="D25" s="21"/>
      <c r="E25" s="21" t="s">
        <v>183</v>
      </c>
      <c r="F25" s="24" t="s">
        <v>184</v>
      </c>
      <c r="G25" s="24" t="s">
        <v>185</v>
      </c>
      <c r="H25" s="24" t="s">
        <v>24</v>
      </c>
      <c r="I25" s="24" t="s">
        <v>186</v>
      </c>
      <c r="J25" s="24" t="s">
        <v>187</v>
      </c>
      <c r="K25" s="17" t="s">
        <v>194</v>
      </c>
      <c r="L25" s="26">
        <v>46109</v>
      </c>
      <c r="M25" s="27">
        <v>1298.69</v>
      </c>
      <c r="N25" s="17" t="s">
        <v>28</v>
      </c>
      <c r="O25" s="40" t="s">
        <v>65</v>
      </c>
      <c r="P25" s="13" t="s">
        <v>30</v>
      </c>
      <c r="Q25" s="13" t="s">
        <v>84</v>
      </c>
      <c r="R25" s="13" t="s">
        <v>31</v>
      </c>
      <c r="S25" s="82"/>
      <c r="T25" s="10">
        <v>1</v>
      </c>
      <c r="U25" s="81"/>
      <c r="V25" s="11"/>
      <c r="W25" s="11"/>
      <c r="X25" s="81"/>
      <c r="Y25" s="12"/>
      <c r="Z25" s="12"/>
      <c r="AA25" s="12"/>
      <c r="AB25" s="12"/>
      <c r="AC25" s="12"/>
      <c r="AD25" s="81"/>
      <c r="AE25" s="13"/>
      <c r="AF25" s="13"/>
      <c r="AG25" s="17"/>
    </row>
    <row r="26" spans="1:33" ht="15" customHeight="1" x14ac:dyDescent="0.3">
      <c r="A26" s="25" t="s">
        <v>181</v>
      </c>
      <c r="B26" s="80" t="s">
        <v>182</v>
      </c>
      <c r="C26" s="21" t="b">
        <v>0</v>
      </c>
      <c r="D26" s="21"/>
      <c r="E26" s="21" t="s">
        <v>183</v>
      </c>
      <c r="F26" s="24" t="s">
        <v>184</v>
      </c>
      <c r="G26" s="24" t="s">
        <v>185</v>
      </c>
      <c r="H26" s="24" t="s">
        <v>24</v>
      </c>
      <c r="I26" s="24" t="s">
        <v>186</v>
      </c>
      <c r="J26" s="24" t="s">
        <v>187</v>
      </c>
      <c r="K26" s="17" t="s">
        <v>194</v>
      </c>
      <c r="L26" s="26">
        <v>46109</v>
      </c>
      <c r="M26" s="27">
        <v>1297.94</v>
      </c>
      <c r="N26" s="17" t="s">
        <v>28</v>
      </c>
      <c r="O26" s="40" t="s">
        <v>66</v>
      </c>
      <c r="P26" s="13" t="s">
        <v>30</v>
      </c>
      <c r="Q26" s="13" t="s">
        <v>84</v>
      </c>
      <c r="R26" s="13" t="s">
        <v>31</v>
      </c>
      <c r="S26" s="82"/>
      <c r="T26" s="10">
        <v>1</v>
      </c>
      <c r="U26" s="81"/>
      <c r="V26" s="11"/>
      <c r="W26" s="11"/>
      <c r="X26" s="81"/>
      <c r="Y26" s="12"/>
      <c r="Z26" s="12"/>
      <c r="AA26" s="12"/>
      <c r="AB26" s="12"/>
      <c r="AC26" s="12"/>
      <c r="AD26" s="81"/>
      <c r="AE26" s="13"/>
      <c r="AF26" s="13"/>
      <c r="AG26" s="17"/>
    </row>
    <row r="27" spans="1:33" ht="15" customHeight="1" x14ac:dyDescent="0.3">
      <c r="A27" s="25" t="s">
        <v>181</v>
      </c>
      <c r="B27" s="80" t="s">
        <v>182</v>
      </c>
      <c r="C27" s="21" t="b">
        <v>0</v>
      </c>
      <c r="D27" s="21"/>
      <c r="E27" s="21" t="s">
        <v>183</v>
      </c>
      <c r="F27" s="24" t="s">
        <v>184</v>
      </c>
      <c r="G27" s="24" t="s">
        <v>185</v>
      </c>
      <c r="H27" s="24" t="s">
        <v>24</v>
      </c>
      <c r="I27" s="24" t="s">
        <v>186</v>
      </c>
      <c r="J27" s="24" t="s">
        <v>187</v>
      </c>
      <c r="K27" s="17" t="s">
        <v>194</v>
      </c>
      <c r="L27" s="26">
        <v>46109</v>
      </c>
      <c r="M27" s="27">
        <v>1297.19</v>
      </c>
      <c r="N27" s="17" t="s">
        <v>28</v>
      </c>
      <c r="O27" s="40" t="s">
        <v>67</v>
      </c>
      <c r="P27" s="13" t="s">
        <v>30</v>
      </c>
      <c r="Q27" s="13" t="s">
        <v>84</v>
      </c>
      <c r="R27" s="13" t="s">
        <v>31</v>
      </c>
      <c r="S27" s="82"/>
      <c r="T27" s="10">
        <v>1</v>
      </c>
      <c r="U27" s="81"/>
      <c r="V27" s="11"/>
      <c r="W27" s="11"/>
      <c r="X27" s="81"/>
      <c r="Y27" s="12"/>
      <c r="Z27" s="12"/>
      <c r="AA27" s="12"/>
      <c r="AB27" s="12"/>
      <c r="AC27" s="12"/>
      <c r="AD27" s="81"/>
      <c r="AE27" s="13"/>
      <c r="AF27" s="13"/>
      <c r="AG27" s="17"/>
    </row>
    <row r="28" spans="1:33" ht="15" customHeight="1" x14ac:dyDescent="0.3">
      <c r="A28" s="25" t="s">
        <v>181</v>
      </c>
      <c r="B28" s="80" t="s">
        <v>182</v>
      </c>
      <c r="C28" s="21" t="b">
        <v>0</v>
      </c>
      <c r="D28" s="21"/>
      <c r="E28" s="21" t="s">
        <v>183</v>
      </c>
      <c r="F28" s="24" t="s">
        <v>184</v>
      </c>
      <c r="G28" s="24" t="s">
        <v>185</v>
      </c>
      <c r="H28" s="24" t="s">
        <v>24</v>
      </c>
      <c r="I28" s="24" t="s">
        <v>186</v>
      </c>
      <c r="J28" s="24" t="s">
        <v>187</v>
      </c>
      <c r="K28" s="17" t="s">
        <v>195</v>
      </c>
      <c r="L28" s="26">
        <v>46108</v>
      </c>
      <c r="M28" s="27">
        <v>1296.44</v>
      </c>
      <c r="N28" s="17" t="s">
        <v>28</v>
      </c>
      <c r="O28" s="40" t="s">
        <v>29</v>
      </c>
      <c r="P28" s="13" t="s">
        <v>30</v>
      </c>
      <c r="Q28" s="13" t="s">
        <v>84</v>
      </c>
      <c r="R28" s="13" t="s">
        <v>31</v>
      </c>
      <c r="S28" s="82"/>
      <c r="T28" s="10">
        <v>1</v>
      </c>
      <c r="U28" s="81"/>
      <c r="V28" s="11"/>
      <c r="W28" s="11"/>
      <c r="X28" s="81"/>
      <c r="Y28" s="12"/>
      <c r="Z28" s="12"/>
      <c r="AA28" s="12"/>
      <c r="AB28" s="12"/>
      <c r="AC28" s="12"/>
      <c r="AD28" s="81"/>
      <c r="AE28" s="13"/>
      <c r="AF28" s="13"/>
      <c r="AG28" s="17"/>
    </row>
    <row r="29" spans="1:33" ht="15" customHeight="1" x14ac:dyDescent="0.3">
      <c r="A29" s="25" t="s">
        <v>181</v>
      </c>
      <c r="B29" s="80" t="s">
        <v>182</v>
      </c>
      <c r="C29" s="21" t="b">
        <v>0</v>
      </c>
      <c r="D29" s="21"/>
      <c r="E29" s="21" t="s">
        <v>183</v>
      </c>
      <c r="F29" s="24" t="s">
        <v>184</v>
      </c>
      <c r="G29" s="24" t="s">
        <v>185</v>
      </c>
      <c r="H29" s="24" t="s">
        <v>24</v>
      </c>
      <c r="I29" s="24" t="s">
        <v>186</v>
      </c>
      <c r="J29" s="24" t="s">
        <v>187</v>
      </c>
      <c r="K29" s="17" t="s">
        <v>195</v>
      </c>
      <c r="L29" s="26">
        <v>46108</v>
      </c>
      <c r="M29" s="27">
        <v>1295.69</v>
      </c>
      <c r="N29" s="17" t="s">
        <v>28</v>
      </c>
      <c r="O29" s="40" t="s">
        <v>63</v>
      </c>
      <c r="P29" s="13" t="s">
        <v>30</v>
      </c>
      <c r="Q29" s="13" t="s">
        <v>84</v>
      </c>
      <c r="R29" s="13" t="s">
        <v>31</v>
      </c>
      <c r="S29" s="82"/>
      <c r="T29" s="10">
        <v>1</v>
      </c>
      <c r="U29" s="81"/>
      <c r="V29" s="11"/>
      <c r="W29" s="11"/>
      <c r="X29" s="81"/>
      <c r="Y29" s="12"/>
      <c r="Z29" s="12"/>
      <c r="AA29" s="12"/>
      <c r="AB29" s="12"/>
      <c r="AC29" s="12"/>
      <c r="AD29" s="81"/>
      <c r="AE29" s="13"/>
      <c r="AF29" s="13"/>
      <c r="AG29" s="17"/>
    </row>
    <row r="30" spans="1:33" ht="15" customHeight="1" x14ac:dyDescent="0.3">
      <c r="A30" s="25" t="s">
        <v>181</v>
      </c>
      <c r="B30" s="80" t="s">
        <v>182</v>
      </c>
      <c r="C30" s="21" t="b">
        <v>0</v>
      </c>
      <c r="D30" s="21"/>
      <c r="E30" s="21" t="s">
        <v>183</v>
      </c>
      <c r="F30" s="24" t="s">
        <v>184</v>
      </c>
      <c r="G30" s="24" t="s">
        <v>185</v>
      </c>
      <c r="H30" s="24" t="s">
        <v>24</v>
      </c>
      <c r="I30" s="24" t="s">
        <v>186</v>
      </c>
      <c r="J30" s="24" t="s">
        <v>187</v>
      </c>
      <c r="K30" s="17" t="s">
        <v>195</v>
      </c>
      <c r="L30" s="26">
        <v>46108</v>
      </c>
      <c r="M30" s="27">
        <v>1294.94</v>
      </c>
      <c r="N30" s="17" t="s">
        <v>28</v>
      </c>
      <c r="O30" s="40" t="s">
        <v>64</v>
      </c>
      <c r="P30" s="13" t="s">
        <v>30</v>
      </c>
      <c r="Q30" s="13" t="s">
        <v>84</v>
      </c>
      <c r="R30" s="13" t="s">
        <v>31</v>
      </c>
      <c r="S30" s="82"/>
      <c r="T30" s="10">
        <v>1</v>
      </c>
      <c r="U30" s="81"/>
      <c r="V30" s="11"/>
      <c r="W30" s="11"/>
      <c r="X30" s="81"/>
      <c r="Y30" s="12"/>
      <c r="Z30" s="12"/>
      <c r="AA30" s="12"/>
      <c r="AB30" s="12"/>
      <c r="AC30" s="12"/>
      <c r="AD30" s="81"/>
      <c r="AE30" s="13"/>
      <c r="AF30" s="13"/>
      <c r="AG30" s="17"/>
    </row>
    <row r="31" spans="1:33" ht="15" customHeight="1" x14ac:dyDescent="0.3">
      <c r="A31" s="25" t="s">
        <v>181</v>
      </c>
      <c r="B31" s="80" t="s">
        <v>182</v>
      </c>
      <c r="C31" s="21" t="b">
        <v>0</v>
      </c>
      <c r="D31" s="21"/>
      <c r="E31" s="21" t="s">
        <v>183</v>
      </c>
      <c r="F31" s="24" t="s">
        <v>184</v>
      </c>
      <c r="G31" s="24" t="s">
        <v>185</v>
      </c>
      <c r="H31" s="24" t="s">
        <v>24</v>
      </c>
      <c r="I31" s="24" t="s">
        <v>186</v>
      </c>
      <c r="J31" s="24" t="s">
        <v>187</v>
      </c>
      <c r="K31" s="17" t="s">
        <v>196</v>
      </c>
      <c r="L31" s="26">
        <v>46107</v>
      </c>
      <c r="M31" s="27">
        <v>1294.19</v>
      </c>
      <c r="N31" s="17" t="s">
        <v>28</v>
      </c>
      <c r="O31" s="40" t="s">
        <v>65</v>
      </c>
      <c r="P31" s="13" t="s">
        <v>30</v>
      </c>
      <c r="Q31" s="13" t="s">
        <v>84</v>
      </c>
      <c r="R31" s="13" t="s">
        <v>31</v>
      </c>
      <c r="S31" s="82"/>
      <c r="T31" s="10">
        <v>1</v>
      </c>
      <c r="U31" s="81"/>
      <c r="V31" s="11"/>
      <c r="W31" s="11"/>
      <c r="X31" s="81"/>
      <c r="Y31" s="12"/>
      <c r="Z31" s="12"/>
      <c r="AA31" s="12"/>
      <c r="AB31" s="12"/>
      <c r="AC31" s="12"/>
      <c r="AD31" s="81"/>
      <c r="AE31" s="13"/>
      <c r="AF31" s="13"/>
      <c r="AG31" s="17"/>
    </row>
    <row r="32" spans="1:33" ht="15" customHeight="1" x14ac:dyDescent="0.3">
      <c r="A32" s="25" t="s">
        <v>181</v>
      </c>
      <c r="B32" s="80" t="s">
        <v>182</v>
      </c>
      <c r="C32" s="21" t="b">
        <v>0</v>
      </c>
      <c r="D32" s="21"/>
      <c r="E32" s="21" t="s">
        <v>183</v>
      </c>
      <c r="F32" s="24" t="s">
        <v>184</v>
      </c>
      <c r="G32" s="24" t="s">
        <v>185</v>
      </c>
      <c r="H32" s="24" t="s">
        <v>24</v>
      </c>
      <c r="I32" s="24" t="s">
        <v>186</v>
      </c>
      <c r="J32" s="24" t="s">
        <v>187</v>
      </c>
      <c r="K32" s="17" t="s">
        <v>196</v>
      </c>
      <c r="L32" s="26">
        <v>46107</v>
      </c>
      <c r="M32" s="27">
        <v>1293.44</v>
      </c>
      <c r="N32" s="17" t="s">
        <v>28</v>
      </c>
      <c r="O32" s="40" t="s">
        <v>66</v>
      </c>
      <c r="P32" s="13" t="s">
        <v>30</v>
      </c>
      <c r="Q32" s="13" t="s">
        <v>84</v>
      </c>
      <c r="R32" s="13" t="s">
        <v>31</v>
      </c>
      <c r="S32" s="82"/>
      <c r="T32" s="10">
        <v>1</v>
      </c>
      <c r="U32" s="81"/>
      <c r="V32" s="11"/>
      <c r="W32" s="11"/>
      <c r="X32" s="81"/>
      <c r="Y32" s="12"/>
      <c r="Z32" s="12"/>
      <c r="AA32" s="12"/>
      <c r="AB32" s="12"/>
      <c r="AC32" s="12"/>
      <c r="AD32" s="81"/>
      <c r="AE32" s="13"/>
      <c r="AF32" s="13"/>
      <c r="AG32" s="17"/>
    </row>
    <row r="33" spans="1:33" ht="15" customHeight="1" x14ac:dyDescent="0.3">
      <c r="A33" s="25" t="s">
        <v>181</v>
      </c>
      <c r="B33" s="80" t="s">
        <v>182</v>
      </c>
      <c r="C33" s="21" t="b">
        <v>0</v>
      </c>
      <c r="D33" s="21"/>
      <c r="E33" s="21" t="s">
        <v>183</v>
      </c>
      <c r="F33" s="24" t="s">
        <v>184</v>
      </c>
      <c r="G33" s="24" t="s">
        <v>185</v>
      </c>
      <c r="H33" s="24" t="s">
        <v>24</v>
      </c>
      <c r="I33" s="24" t="s">
        <v>186</v>
      </c>
      <c r="J33" s="24" t="s">
        <v>187</v>
      </c>
      <c r="K33" s="17" t="s">
        <v>196</v>
      </c>
      <c r="L33" s="26">
        <v>46107</v>
      </c>
      <c r="M33" s="27">
        <v>1292.69</v>
      </c>
      <c r="N33" s="17" t="s">
        <v>28</v>
      </c>
      <c r="O33" s="40" t="s">
        <v>67</v>
      </c>
      <c r="P33" s="13" t="s">
        <v>30</v>
      </c>
      <c r="Q33" s="13" t="s">
        <v>84</v>
      </c>
      <c r="R33" s="13" t="s">
        <v>31</v>
      </c>
      <c r="S33" s="82"/>
      <c r="T33" s="10">
        <v>1</v>
      </c>
      <c r="U33" s="81"/>
      <c r="V33" s="11"/>
      <c r="W33" s="11"/>
      <c r="X33" s="81"/>
      <c r="Y33" s="12"/>
      <c r="Z33" s="12"/>
      <c r="AA33" s="12"/>
      <c r="AB33" s="12"/>
      <c r="AC33" s="12"/>
      <c r="AD33" s="81"/>
      <c r="AE33" s="13"/>
      <c r="AF33" s="13"/>
      <c r="AG33" s="17"/>
    </row>
    <row r="34" spans="1:33" ht="15" customHeight="1" x14ac:dyDescent="0.3">
      <c r="A34" s="25" t="s">
        <v>181</v>
      </c>
      <c r="B34" s="80" t="s">
        <v>182</v>
      </c>
      <c r="C34" s="21" t="b">
        <v>0</v>
      </c>
      <c r="D34" s="21"/>
      <c r="E34" s="21" t="s">
        <v>183</v>
      </c>
      <c r="F34" s="24" t="s">
        <v>184</v>
      </c>
      <c r="G34" s="24" t="s">
        <v>185</v>
      </c>
      <c r="H34" s="24" t="s">
        <v>24</v>
      </c>
      <c r="I34" s="24" t="s">
        <v>186</v>
      </c>
      <c r="J34" s="24" t="s">
        <v>187</v>
      </c>
      <c r="K34" s="17" t="s">
        <v>197</v>
      </c>
      <c r="L34" s="26">
        <v>46106</v>
      </c>
      <c r="M34" s="27">
        <v>1291.94</v>
      </c>
      <c r="N34" s="17" t="s">
        <v>28</v>
      </c>
      <c r="O34" s="40" t="s">
        <v>29</v>
      </c>
      <c r="P34" s="13" t="s">
        <v>30</v>
      </c>
      <c r="Q34" s="13" t="s">
        <v>84</v>
      </c>
      <c r="R34" s="13" t="s">
        <v>31</v>
      </c>
      <c r="S34" s="82"/>
      <c r="T34" s="10">
        <v>1</v>
      </c>
      <c r="U34" s="81"/>
      <c r="V34" s="11"/>
      <c r="W34" s="11"/>
      <c r="X34" s="81"/>
      <c r="Y34" s="12"/>
      <c r="Z34" s="12"/>
      <c r="AA34" s="12"/>
      <c r="AB34" s="12"/>
      <c r="AC34" s="12"/>
      <c r="AD34" s="81"/>
      <c r="AE34" s="13"/>
      <c r="AF34" s="13"/>
      <c r="AG34" s="17"/>
    </row>
    <row r="35" spans="1:33" ht="15" customHeight="1" x14ac:dyDescent="0.3">
      <c r="A35" s="25" t="s">
        <v>181</v>
      </c>
      <c r="B35" s="80" t="s">
        <v>182</v>
      </c>
      <c r="C35" s="21" t="b">
        <v>0</v>
      </c>
      <c r="D35" s="21"/>
      <c r="E35" s="21" t="s">
        <v>183</v>
      </c>
      <c r="F35" s="24" t="s">
        <v>184</v>
      </c>
      <c r="G35" s="24" t="s">
        <v>185</v>
      </c>
      <c r="H35" s="24" t="s">
        <v>24</v>
      </c>
      <c r="I35" s="24" t="s">
        <v>186</v>
      </c>
      <c r="J35" s="24" t="s">
        <v>187</v>
      </c>
      <c r="K35" s="17" t="s">
        <v>197</v>
      </c>
      <c r="L35" s="26">
        <v>46106</v>
      </c>
      <c r="M35" s="27">
        <v>1291.19</v>
      </c>
      <c r="N35" s="17" t="s">
        <v>28</v>
      </c>
      <c r="O35" s="40" t="s">
        <v>63</v>
      </c>
      <c r="P35" s="13" t="s">
        <v>30</v>
      </c>
      <c r="Q35" s="13" t="s">
        <v>84</v>
      </c>
      <c r="R35" s="13" t="s">
        <v>31</v>
      </c>
      <c r="S35" s="82"/>
      <c r="T35" s="10">
        <v>1</v>
      </c>
      <c r="U35" s="81"/>
      <c r="V35" s="11"/>
      <c r="W35" s="11"/>
      <c r="X35" s="81"/>
      <c r="Y35" s="12"/>
      <c r="Z35" s="12"/>
      <c r="AA35" s="12"/>
      <c r="AB35" s="12"/>
      <c r="AC35" s="12"/>
      <c r="AD35" s="81"/>
      <c r="AE35" s="13"/>
      <c r="AF35" s="13"/>
      <c r="AG35" s="17"/>
    </row>
    <row r="36" spans="1:33" ht="15" customHeight="1" x14ac:dyDescent="0.3">
      <c r="A36" s="25" t="s">
        <v>181</v>
      </c>
      <c r="B36" s="80" t="s">
        <v>182</v>
      </c>
      <c r="C36" s="21" t="b">
        <v>0</v>
      </c>
      <c r="D36" s="21"/>
      <c r="E36" s="21" t="s">
        <v>183</v>
      </c>
      <c r="F36" s="24" t="s">
        <v>184</v>
      </c>
      <c r="G36" s="24" t="s">
        <v>185</v>
      </c>
      <c r="H36" s="24" t="s">
        <v>24</v>
      </c>
      <c r="I36" s="24" t="s">
        <v>186</v>
      </c>
      <c r="J36" s="24" t="s">
        <v>187</v>
      </c>
      <c r="K36" s="17" t="s">
        <v>197</v>
      </c>
      <c r="L36" s="26">
        <v>46106</v>
      </c>
      <c r="M36" s="27">
        <v>1290.44</v>
      </c>
      <c r="N36" s="17" t="s">
        <v>28</v>
      </c>
      <c r="O36" s="40" t="s">
        <v>64</v>
      </c>
      <c r="P36" s="13" t="s">
        <v>30</v>
      </c>
      <c r="Q36" s="13" t="s">
        <v>84</v>
      </c>
      <c r="R36" s="13" t="s">
        <v>31</v>
      </c>
      <c r="S36" s="82"/>
      <c r="T36" s="10">
        <v>1</v>
      </c>
      <c r="U36" s="81"/>
      <c r="V36" s="11"/>
      <c r="W36" s="11"/>
      <c r="X36" s="81"/>
      <c r="Y36" s="12"/>
      <c r="Z36" s="12"/>
      <c r="AA36" s="12"/>
      <c r="AB36" s="12"/>
      <c r="AC36" s="12"/>
      <c r="AD36" s="81"/>
      <c r="AE36" s="13"/>
      <c r="AF36" s="13"/>
      <c r="AG36" s="17"/>
    </row>
    <row r="37" spans="1:33" ht="15" customHeight="1" x14ac:dyDescent="0.3">
      <c r="A37" s="25" t="s">
        <v>181</v>
      </c>
      <c r="B37" s="80" t="s">
        <v>182</v>
      </c>
      <c r="C37" s="21" t="b">
        <v>0</v>
      </c>
      <c r="D37" s="21"/>
      <c r="E37" s="21" t="s">
        <v>183</v>
      </c>
      <c r="F37" s="24" t="s">
        <v>184</v>
      </c>
      <c r="G37" s="24" t="s">
        <v>185</v>
      </c>
      <c r="H37" s="24" t="s">
        <v>24</v>
      </c>
      <c r="I37" s="24" t="s">
        <v>186</v>
      </c>
      <c r="J37" s="24" t="s">
        <v>187</v>
      </c>
      <c r="K37" s="17" t="s">
        <v>198</v>
      </c>
      <c r="L37" s="26">
        <v>46106</v>
      </c>
      <c r="M37" s="27">
        <v>1289.69</v>
      </c>
      <c r="N37" s="17" t="s">
        <v>28</v>
      </c>
      <c r="O37" s="40" t="s">
        <v>65</v>
      </c>
      <c r="P37" s="13" t="s">
        <v>30</v>
      </c>
      <c r="Q37" s="13" t="s">
        <v>84</v>
      </c>
      <c r="R37" s="13" t="s">
        <v>31</v>
      </c>
      <c r="S37" s="82"/>
      <c r="T37" s="10">
        <v>1</v>
      </c>
      <c r="U37" s="81"/>
      <c r="V37" s="11"/>
      <c r="W37" s="11"/>
      <c r="X37" s="81"/>
      <c r="Y37" s="12"/>
      <c r="Z37" s="12"/>
      <c r="AA37" s="12"/>
      <c r="AB37" s="12"/>
      <c r="AC37" s="12"/>
      <c r="AD37" s="81"/>
      <c r="AE37" s="13"/>
      <c r="AF37" s="13"/>
      <c r="AG37" s="17"/>
    </row>
    <row r="38" spans="1:33" ht="15" customHeight="1" x14ac:dyDescent="0.3">
      <c r="A38" s="25" t="s">
        <v>181</v>
      </c>
      <c r="B38" s="80" t="s">
        <v>182</v>
      </c>
      <c r="C38" s="21" t="b">
        <v>0</v>
      </c>
      <c r="D38" s="21"/>
      <c r="E38" s="21" t="s">
        <v>183</v>
      </c>
      <c r="F38" s="24" t="s">
        <v>184</v>
      </c>
      <c r="G38" s="24" t="s">
        <v>185</v>
      </c>
      <c r="H38" s="24" t="s">
        <v>24</v>
      </c>
      <c r="I38" s="24" t="s">
        <v>186</v>
      </c>
      <c r="J38" s="24" t="s">
        <v>187</v>
      </c>
      <c r="K38" s="17" t="s">
        <v>198</v>
      </c>
      <c r="L38" s="26">
        <v>46106</v>
      </c>
      <c r="M38" s="27">
        <v>1288.94</v>
      </c>
      <c r="N38" s="17" t="s">
        <v>28</v>
      </c>
      <c r="O38" s="40" t="s">
        <v>66</v>
      </c>
      <c r="P38" s="13" t="s">
        <v>30</v>
      </c>
      <c r="Q38" s="13" t="s">
        <v>84</v>
      </c>
      <c r="R38" s="13" t="s">
        <v>31</v>
      </c>
      <c r="S38" s="82"/>
      <c r="T38" s="10">
        <v>1</v>
      </c>
      <c r="U38" s="81"/>
      <c r="V38" s="11"/>
      <c r="W38" s="11"/>
      <c r="X38" s="81"/>
      <c r="Y38" s="12"/>
      <c r="Z38" s="12"/>
      <c r="AA38" s="12"/>
      <c r="AB38" s="12"/>
      <c r="AC38" s="12"/>
      <c r="AD38" s="81"/>
      <c r="AE38" s="13"/>
      <c r="AF38" s="13"/>
      <c r="AG38" s="17"/>
    </row>
    <row r="39" spans="1:33" ht="15" customHeight="1" x14ac:dyDescent="0.3">
      <c r="A39" s="25" t="s">
        <v>181</v>
      </c>
      <c r="B39" s="80" t="s">
        <v>182</v>
      </c>
      <c r="C39" s="21" t="b">
        <v>0</v>
      </c>
      <c r="D39" s="21"/>
      <c r="E39" s="21" t="s">
        <v>183</v>
      </c>
      <c r="F39" s="24" t="s">
        <v>184</v>
      </c>
      <c r="G39" s="24" t="s">
        <v>185</v>
      </c>
      <c r="H39" s="24" t="s">
        <v>24</v>
      </c>
      <c r="I39" s="24" t="s">
        <v>186</v>
      </c>
      <c r="J39" s="24" t="s">
        <v>187</v>
      </c>
      <c r="K39" s="17" t="s">
        <v>198</v>
      </c>
      <c r="L39" s="26">
        <v>46106</v>
      </c>
      <c r="M39" s="27">
        <v>1288.19</v>
      </c>
      <c r="N39" s="17" t="s">
        <v>28</v>
      </c>
      <c r="O39" s="40" t="s">
        <v>67</v>
      </c>
      <c r="P39" s="13" t="s">
        <v>30</v>
      </c>
      <c r="Q39" s="13" t="s">
        <v>84</v>
      </c>
      <c r="R39" s="13" t="s">
        <v>31</v>
      </c>
      <c r="S39" s="82"/>
      <c r="T39" s="10">
        <v>1</v>
      </c>
      <c r="U39" s="81"/>
      <c r="V39" s="11"/>
      <c r="W39" s="11"/>
      <c r="X39" s="81"/>
      <c r="Y39" s="12"/>
      <c r="Z39" s="12"/>
      <c r="AA39" s="12"/>
      <c r="AB39" s="12"/>
      <c r="AC39" s="12"/>
      <c r="AD39" s="81"/>
      <c r="AE39" s="13"/>
      <c r="AF39" s="13"/>
      <c r="AG39" s="17"/>
    </row>
    <row r="40" spans="1:33" ht="15" customHeight="1" x14ac:dyDescent="0.3">
      <c r="A40" s="25" t="s">
        <v>181</v>
      </c>
      <c r="B40" s="80" t="s">
        <v>182</v>
      </c>
      <c r="C40" s="21" t="b">
        <v>0</v>
      </c>
      <c r="D40" s="21"/>
      <c r="E40" s="21" t="s">
        <v>183</v>
      </c>
      <c r="F40" s="24" t="s">
        <v>184</v>
      </c>
      <c r="G40" s="24" t="s">
        <v>185</v>
      </c>
      <c r="H40" s="24" t="s">
        <v>24</v>
      </c>
      <c r="I40" s="24" t="s">
        <v>186</v>
      </c>
      <c r="J40" s="24" t="s">
        <v>187</v>
      </c>
      <c r="K40" s="17" t="s">
        <v>199</v>
      </c>
      <c r="L40" s="26">
        <v>46104</v>
      </c>
      <c r="M40" s="27">
        <v>1287.44</v>
      </c>
      <c r="N40" s="17" t="s">
        <v>28</v>
      </c>
      <c r="O40" s="40" t="s">
        <v>29</v>
      </c>
      <c r="P40" s="13" t="s">
        <v>30</v>
      </c>
      <c r="Q40" s="13" t="s">
        <v>84</v>
      </c>
      <c r="R40" s="13" t="s">
        <v>31</v>
      </c>
      <c r="S40" s="82"/>
      <c r="T40" s="10">
        <v>1</v>
      </c>
      <c r="U40" s="81"/>
      <c r="V40" s="11"/>
      <c r="W40" s="11"/>
      <c r="X40" s="81"/>
      <c r="Y40" s="12"/>
      <c r="Z40" s="12"/>
      <c r="AA40" s="12"/>
      <c r="AB40" s="12"/>
      <c r="AC40" s="12"/>
      <c r="AD40" s="81"/>
      <c r="AE40" s="13"/>
      <c r="AF40" s="13"/>
      <c r="AG40" s="17"/>
    </row>
    <row r="41" spans="1:33" ht="15" customHeight="1" x14ac:dyDescent="0.3">
      <c r="A41" s="25" t="s">
        <v>181</v>
      </c>
      <c r="B41" s="80" t="s">
        <v>182</v>
      </c>
      <c r="C41" s="21" t="b">
        <v>0</v>
      </c>
      <c r="D41" s="21"/>
      <c r="E41" s="21" t="s">
        <v>183</v>
      </c>
      <c r="F41" s="24" t="s">
        <v>184</v>
      </c>
      <c r="G41" s="24" t="s">
        <v>185</v>
      </c>
      <c r="H41" s="24" t="s">
        <v>24</v>
      </c>
      <c r="I41" s="24" t="s">
        <v>186</v>
      </c>
      <c r="J41" s="24" t="s">
        <v>187</v>
      </c>
      <c r="K41" s="17" t="s">
        <v>199</v>
      </c>
      <c r="L41" s="26">
        <v>46104</v>
      </c>
      <c r="M41" s="27">
        <v>1286.69</v>
      </c>
      <c r="N41" s="17" t="s">
        <v>28</v>
      </c>
      <c r="O41" s="40" t="s">
        <v>63</v>
      </c>
      <c r="P41" s="13" t="s">
        <v>30</v>
      </c>
      <c r="Q41" s="13" t="s">
        <v>84</v>
      </c>
      <c r="R41" s="13" t="s">
        <v>31</v>
      </c>
      <c r="S41" s="82"/>
      <c r="T41" s="10">
        <v>1</v>
      </c>
      <c r="U41" s="81"/>
      <c r="V41" s="11"/>
      <c r="W41" s="11"/>
      <c r="X41" s="81"/>
      <c r="Y41" s="12"/>
      <c r="Z41" s="12"/>
      <c r="AA41" s="12"/>
      <c r="AB41" s="12"/>
      <c r="AC41" s="12"/>
      <c r="AD41" s="81"/>
      <c r="AE41" s="13"/>
      <c r="AF41" s="13"/>
      <c r="AG41" s="17"/>
    </row>
    <row r="42" spans="1:33" ht="15" customHeight="1" x14ac:dyDescent="0.3">
      <c r="A42" s="25" t="s">
        <v>181</v>
      </c>
      <c r="B42" s="80" t="s">
        <v>182</v>
      </c>
      <c r="C42" s="21" t="b">
        <v>0</v>
      </c>
      <c r="D42" s="21"/>
      <c r="E42" s="21" t="s">
        <v>183</v>
      </c>
      <c r="F42" s="24" t="s">
        <v>184</v>
      </c>
      <c r="G42" s="24" t="s">
        <v>185</v>
      </c>
      <c r="H42" s="24" t="s">
        <v>24</v>
      </c>
      <c r="I42" s="24" t="s">
        <v>186</v>
      </c>
      <c r="J42" s="24" t="s">
        <v>187</v>
      </c>
      <c r="K42" s="17" t="s">
        <v>199</v>
      </c>
      <c r="L42" s="26">
        <v>46104</v>
      </c>
      <c r="M42" s="27">
        <v>1285.94</v>
      </c>
      <c r="N42" s="17" t="s">
        <v>28</v>
      </c>
      <c r="O42" s="40" t="s">
        <v>64</v>
      </c>
      <c r="P42" s="13" t="s">
        <v>30</v>
      </c>
      <c r="Q42" s="13" t="s">
        <v>84</v>
      </c>
      <c r="R42" s="13" t="s">
        <v>31</v>
      </c>
      <c r="S42" s="82"/>
      <c r="T42" s="10">
        <v>1</v>
      </c>
      <c r="U42" s="81"/>
      <c r="V42" s="11"/>
      <c r="W42" s="11"/>
      <c r="X42" s="81"/>
      <c r="Y42" s="12"/>
      <c r="Z42" s="12"/>
      <c r="AA42" s="12"/>
      <c r="AB42" s="12"/>
      <c r="AC42" s="12"/>
      <c r="AD42" s="81"/>
      <c r="AE42" s="13"/>
      <c r="AF42" s="13"/>
      <c r="AG42" s="17"/>
    </row>
    <row r="43" spans="1:33" ht="15" customHeight="1" x14ac:dyDescent="0.3">
      <c r="A43" s="25" t="s">
        <v>181</v>
      </c>
      <c r="B43" s="80" t="s">
        <v>182</v>
      </c>
      <c r="C43" s="21" t="b">
        <v>0</v>
      </c>
      <c r="D43" s="21"/>
      <c r="E43" s="21" t="s">
        <v>183</v>
      </c>
      <c r="F43" s="24" t="s">
        <v>184</v>
      </c>
      <c r="G43" s="24" t="s">
        <v>185</v>
      </c>
      <c r="H43" s="24" t="s">
        <v>24</v>
      </c>
      <c r="I43" s="24" t="s">
        <v>186</v>
      </c>
      <c r="J43" s="24" t="s">
        <v>187</v>
      </c>
      <c r="K43" s="17" t="s">
        <v>200</v>
      </c>
      <c r="L43" s="26">
        <v>46098</v>
      </c>
      <c r="M43" s="27">
        <v>1285.19</v>
      </c>
      <c r="N43" s="17" t="s">
        <v>28</v>
      </c>
      <c r="O43" s="40" t="s">
        <v>65</v>
      </c>
      <c r="P43" s="13" t="s">
        <v>30</v>
      </c>
      <c r="Q43" s="13" t="s">
        <v>84</v>
      </c>
      <c r="R43" s="13" t="s">
        <v>31</v>
      </c>
      <c r="S43" s="82"/>
      <c r="T43" s="10">
        <v>1</v>
      </c>
      <c r="U43" s="81"/>
      <c r="V43" s="11"/>
      <c r="W43" s="11"/>
      <c r="X43" s="81"/>
      <c r="Y43" s="12"/>
      <c r="Z43" s="12"/>
      <c r="AA43" s="12"/>
      <c r="AB43" s="12"/>
      <c r="AC43" s="12"/>
      <c r="AD43" s="81"/>
      <c r="AE43" s="13"/>
      <c r="AF43" s="13"/>
      <c r="AG43" s="17"/>
    </row>
    <row r="44" spans="1:33" ht="15" customHeight="1" x14ac:dyDescent="0.3">
      <c r="A44" s="25" t="s">
        <v>181</v>
      </c>
      <c r="B44" s="80" t="s">
        <v>182</v>
      </c>
      <c r="C44" s="21" t="b">
        <v>0</v>
      </c>
      <c r="D44" s="21"/>
      <c r="E44" s="21" t="s">
        <v>183</v>
      </c>
      <c r="F44" s="24" t="s">
        <v>184</v>
      </c>
      <c r="G44" s="24" t="s">
        <v>185</v>
      </c>
      <c r="H44" s="24" t="s">
        <v>24</v>
      </c>
      <c r="I44" s="24" t="s">
        <v>186</v>
      </c>
      <c r="J44" s="24" t="s">
        <v>187</v>
      </c>
      <c r="K44" s="17" t="s">
        <v>200</v>
      </c>
      <c r="L44" s="26">
        <v>46098</v>
      </c>
      <c r="M44" s="27">
        <v>1284.44</v>
      </c>
      <c r="N44" s="17" t="s">
        <v>28</v>
      </c>
      <c r="O44" s="40" t="s">
        <v>66</v>
      </c>
      <c r="P44" s="13" t="s">
        <v>30</v>
      </c>
      <c r="Q44" s="13" t="s">
        <v>84</v>
      </c>
      <c r="R44" s="13" t="s">
        <v>31</v>
      </c>
      <c r="S44" s="82"/>
      <c r="T44" s="10">
        <v>1</v>
      </c>
      <c r="U44" s="81"/>
      <c r="V44" s="11"/>
      <c r="W44" s="11"/>
      <c r="X44" s="81"/>
      <c r="Y44" s="12"/>
      <c r="Z44" s="12"/>
      <c r="AA44" s="12"/>
      <c r="AB44" s="12"/>
      <c r="AC44" s="12"/>
      <c r="AD44" s="81"/>
      <c r="AE44" s="13"/>
      <c r="AF44" s="13"/>
      <c r="AG44" s="17"/>
    </row>
    <row r="45" spans="1:33" ht="15" customHeight="1" x14ac:dyDescent="0.3">
      <c r="A45" s="25" t="s">
        <v>181</v>
      </c>
      <c r="B45" s="80" t="s">
        <v>182</v>
      </c>
      <c r="C45" s="21" t="b">
        <v>0</v>
      </c>
      <c r="D45" s="21"/>
      <c r="E45" s="21" t="s">
        <v>183</v>
      </c>
      <c r="F45" s="24" t="s">
        <v>184</v>
      </c>
      <c r="G45" s="24" t="s">
        <v>185</v>
      </c>
      <c r="H45" s="24" t="s">
        <v>24</v>
      </c>
      <c r="I45" s="24" t="s">
        <v>186</v>
      </c>
      <c r="J45" s="24" t="s">
        <v>187</v>
      </c>
      <c r="K45" s="17" t="s">
        <v>200</v>
      </c>
      <c r="L45" s="26">
        <v>46098</v>
      </c>
      <c r="M45" s="27">
        <v>1283.69</v>
      </c>
      <c r="N45" s="17" t="s">
        <v>28</v>
      </c>
      <c r="O45" s="40" t="s">
        <v>67</v>
      </c>
      <c r="P45" s="13" t="s">
        <v>30</v>
      </c>
      <c r="Q45" s="13" t="s">
        <v>84</v>
      </c>
      <c r="R45" s="13" t="s">
        <v>31</v>
      </c>
      <c r="S45" s="82"/>
      <c r="T45" s="10">
        <v>1</v>
      </c>
      <c r="U45" s="81"/>
      <c r="V45" s="11"/>
      <c r="W45" s="11"/>
      <c r="X45" s="81"/>
      <c r="Y45" s="12"/>
      <c r="Z45" s="12"/>
      <c r="AA45" s="12"/>
      <c r="AB45" s="12"/>
      <c r="AC45" s="12"/>
      <c r="AD45" s="81"/>
      <c r="AE45" s="13"/>
      <c r="AF45" s="13"/>
      <c r="AG45" s="17"/>
    </row>
    <row r="46" spans="1:33" ht="15" customHeight="1" x14ac:dyDescent="0.3">
      <c r="A46" s="25" t="s">
        <v>181</v>
      </c>
      <c r="B46" s="80" t="s">
        <v>182</v>
      </c>
      <c r="C46" s="21" t="b">
        <v>0</v>
      </c>
      <c r="D46" s="21"/>
      <c r="E46" s="21" t="s">
        <v>183</v>
      </c>
      <c r="F46" s="24" t="s">
        <v>184</v>
      </c>
      <c r="G46" s="24" t="s">
        <v>185</v>
      </c>
      <c r="H46" s="24" t="s">
        <v>24</v>
      </c>
      <c r="I46" s="24" t="s">
        <v>186</v>
      </c>
      <c r="J46" s="24" t="s">
        <v>187</v>
      </c>
      <c r="K46" s="17" t="s">
        <v>201</v>
      </c>
      <c r="L46" s="26">
        <v>46097</v>
      </c>
      <c r="M46" s="27">
        <v>1282.94</v>
      </c>
      <c r="N46" s="17" t="s">
        <v>28</v>
      </c>
      <c r="O46" s="40" t="s">
        <v>29</v>
      </c>
      <c r="P46" s="13" t="s">
        <v>30</v>
      </c>
      <c r="Q46" s="13" t="s">
        <v>84</v>
      </c>
      <c r="R46" s="13" t="s">
        <v>31</v>
      </c>
      <c r="S46" s="82"/>
      <c r="T46" s="10">
        <v>1</v>
      </c>
      <c r="U46" s="81"/>
      <c r="V46" s="11"/>
      <c r="W46" s="11"/>
      <c r="X46" s="81"/>
      <c r="Y46" s="12"/>
      <c r="Z46" s="12"/>
      <c r="AA46" s="12"/>
      <c r="AB46" s="12"/>
      <c r="AC46" s="12"/>
      <c r="AD46" s="81"/>
      <c r="AE46" s="13"/>
      <c r="AF46" s="13"/>
      <c r="AG46" s="17"/>
    </row>
    <row r="47" spans="1:33" ht="15" customHeight="1" x14ac:dyDescent="0.3">
      <c r="A47" s="25" t="s">
        <v>181</v>
      </c>
      <c r="B47" s="80" t="s">
        <v>182</v>
      </c>
      <c r="C47" s="21" t="b">
        <v>0</v>
      </c>
      <c r="D47" s="21"/>
      <c r="E47" s="21" t="s">
        <v>183</v>
      </c>
      <c r="F47" s="24" t="s">
        <v>184</v>
      </c>
      <c r="G47" s="24" t="s">
        <v>185</v>
      </c>
      <c r="H47" s="24" t="s">
        <v>24</v>
      </c>
      <c r="I47" s="24" t="s">
        <v>186</v>
      </c>
      <c r="J47" s="24" t="s">
        <v>187</v>
      </c>
      <c r="K47" s="17" t="s">
        <v>201</v>
      </c>
      <c r="L47" s="26">
        <v>46097</v>
      </c>
      <c r="M47" s="27">
        <v>1282.19</v>
      </c>
      <c r="N47" s="17" t="s">
        <v>28</v>
      </c>
      <c r="O47" s="40" t="s">
        <v>63</v>
      </c>
      <c r="P47" s="13" t="s">
        <v>30</v>
      </c>
      <c r="Q47" s="13" t="s">
        <v>84</v>
      </c>
      <c r="R47" s="13" t="s">
        <v>31</v>
      </c>
      <c r="S47" s="82"/>
      <c r="T47" s="10">
        <v>1</v>
      </c>
      <c r="U47" s="81"/>
      <c r="V47" s="11"/>
      <c r="W47" s="11"/>
      <c r="X47" s="81"/>
      <c r="Y47" s="12"/>
      <c r="Z47" s="12"/>
      <c r="AA47" s="12"/>
      <c r="AB47" s="12"/>
      <c r="AC47" s="12"/>
      <c r="AD47" s="81"/>
      <c r="AE47" s="13"/>
      <c r="AF47" s="13"/>
      <c r="AG47" s="17"/>
    </row>
    <row r="48" spans="1:33" ht="15" customHeight="1" x14ac:dyDescent="0.3">
      <c r="A48" s="25" t="s">
        <v>181</v>
      </c>
      <c r="B48" s="80" t="s">
        <v>182</v>
      </c>
      <c r="C48" s="21" t="b">
        <v>0</v>
      </c>
      <c r="D48" s="21"/>
      <c r="E48" s="21" t="s">
        <v>183</v>
      </c>
      <c r="F48" s="24" t="s">
        <v>184</v>
      </c>
      <c r="G48" s="24" t="s">
        <v>185</v>
      </c>
      <c r="H48" s="24" t="s">
        <v>24</v>
      </c>
      <c r="I48" s="24" t="s">
        <v>186</v>
      </c>
      <c r="J48" s="24" t="s">
        <v>187</v>
      </c>
      <c r="K48" s="17" t="s">
        <v>201</v>
      </c>
      <c r="L48" s="26">
        <v>46097</v>
      </c>
      <c r="M48" s="27">
        <v>1281.44</v>
      </c>
      <c r="N48" s="17" t="s">
        <v>28</v>
      </c>
      <c r="O48" s="40" t="s">
        <v>64</v>
      </c>
      <c r="P48" s="13" t="s">
        <v>30</v>
      </c>
      <c r="Q48" s="13" t="s">
        <v>84</v>
      </c>
      <c r="R48" s="13" t="s">
        <v>31</v>
      </c>
      <c r="S48" s="82"/>
      <c r="T48" s="10">
        <v>1</v>
      </c>
      <c r="U48" s="81"/>
      <c r="V48" s="11"/>
      <c r="W48" s="11"/>
      <c r="X48" s="81"/>
      <c r="Y48" s="12"/>
      <c r="Z48" s="12"/>
      <c r="AA48" s="12"/>
      <c r="AB48" s="12"/>
      <c r="AC48" s="12"/>
      <c r="AD48" s="81"/>
      <c r="AE48" s="13"/>
      <c r="AF48" s="13"/>
      <c r="AG48" s="17"/>
    </row>
    <row r="49" spans="1:33" ht="15" customHeight="1" x14ac:dyDescent="0.3">
      <c r="A49" s="25" t="s">
        <v>181</v>
      </c>
      <c r="B49" s="80" t="s">
        <v>182</v>
      </c>
      <c r="C49" s="21" t="b">
        <v>0</v>
      </c>
      <c r="D49" s="21"/>
      <c r="E49" s="21" t="s">
        <v>183</v>
      </c>
      <c r="F49" s="24" t="s">
        <v>184</v>
      </c>
      <c r="G49" s="24" t="s">
        <v>185</v>
      </c>
      <c r="H49" s="24" t="s">
        <v>24</v>
      </c>
      <c r="I49" s="24" t="s">
        <v>186</v>
      </c>
      <c r="J49" s="24" t="s">
        <v>187</v>
      </c>
      <c r="K49" s="17" t="s">
        <v>202</v>
      </c>
      <c r="L49" s="26">
        <v>46096</v>
      </c>
      <c r="M49" s="27">
        <v>1280.69</v>
      </c>
      <c r="N49" s="17" t="s">
        <v>28</v>
      </c>
      <c r="O49" s="40" t="s">
        <v>65</v>
      </c>
      <c r="P49" s="13" t="s">
        <v>30</v>
      </c>
      <c r="Q49" s="13" t="s">
        <v>84</v>
      </c>
      <c r="R49" s="13" t="s">
        <v>31</v>
      </c>
      <c r="S49" s="82"/>
      <c r="T49" s="10">
        <v>1</v>
      </c>
      <c r="U49" s="81"/>
      <c r="V49" s="11"/>
      <c r="W49" s="11"/>
      <c r="X49" s="81"/>
      <c r="Y49" s="12"/>
      <c r="Z49" s="12"/>
      <c r="AA49" s="12"/>
      <c r="AB49" s="12"/>
      <c r="AC49" s="12"/>
      <c r="AD49" s="81"/>
      <c r="AE49" s="13"/>
      <c r="AF49" s="13"/>
      <c r="AG49" s="17"/>
    </row>
    <row r="50" spans="1:33" ht="15" customHeight="1" x14ac:dyDescent="0.3">
      <c r="A50" s="25" t="s">
        <v>181</v>
      </c>
      <c r="B50" s="80" t="s">
        <v>182</v>
      </c>
      <c r="C50" s="21" t="b">
        <v>0</v>
      </c>
      <c r="D50" s="21"/>
      <c r="E50" s="21" t="s">
        <v>183</v>
      </c>
      <c r="F50" s="24" t="s">
        <v>184</v>
      </c>
      <c r="G50" s="24" t="s">
        <v>185</v>
      </c>
      <c r="H50" s="24" t="s">
        <v>24</v>
      </c>
      <c r="I50" s="24" t="s">
        <v>186</v>
      </c>
      <c r="J50" s="24" t="s">
        <v>187</v>
      </c>
      <c r="K50" s="17" t="s">
        <v>202</v>
      </c>
      <c r="L50" s="26">
        <v>46096</v>
      </c>
      <c r="M50" s="27">
        <v>1279.94</v>
      </c>
      <c r="N50" s="17" t="s">
        <v>28</v>
      </c>
      <c r="O50" s="40" t="s">
        <v>66</v>
      </c>
      <c r="P50" s="13" t="s">
        <v>30</v>
      </c>
      <c r="Q50" s="13" t="s">
        <v>84</v>
      </c>
      <c r="R50" s="13" t="s">
        <v>31</v>
      </c>
      <c r="S50" s="82"/>
      <c r="T50" s="10">
        <v>1</v>
      </c>
      <c r="U50" s="81"/>
      <c r="V50" s="11"/>
      <c r="W50" s="11"/>
      <c r="X50" s="81"/>
      <c r="Y50" s="12"/>
      <c r="Z50" s="12"/>
      <c r="AA50" s="12"/>
      <c r="AB50" s="12"/>
      <c r="AC50" s="12"/>
      <c r="AD50" s="81"/>
      <c r="AE50" s="13"/>
      <c r="AF50" s="13"/>
      <c r="AG50" s="17"/>
    </row>
    <row r="51" spans="1:33" ht="15" customHeight="1" x14ac:dyDescent="0.3">
      <c r="A51" s="25" t="s">
        <v>181</v>
      </c>
      <c r="B51" s="80" t="s">
        <v>182</v>
      </c>
      <c r="C51" s="21" t="b">
        <v>0</v>
      </c>
      <c r="D51" s="21"/>
      <c r="E51" s="21" t="s">
        <v>183</v>
      </c>
      <c r="F51" s="24" t="s">
        <v>184</v>
      </c>
      <c r="G51" s="24" t="s">
        <v>185</v>
      </c>
      <c r="H51" s="24" t="s">
        <v>24</v>
      </c>
      <c r="I51" s="24" t="s">
        <v>186</v>
      </c>
      <c r="J51" s="24" t="s">
        <v>187</v>
      </c>
      <c r="K51" s="17" t="s">
        <v>202</v>
      </c>
      <c r="L51" s="26">
        <v>46096</v>
      </c>
      <c r="M51" s="27">
        <v>1279.19</v>
      </c>
      <c r="N51" s="17" t="s">
        <v>28</v>
      </c>
      <c r="O51" s="40" t="s">
        <v>67</v>
      </c>
      <c r="P51" s="13" t="s">
        <v>30</v>
      </c>
      <c r="Q51" s="13" t="s">
        <v>84</v>
      </c>
      <c r="R51" s="13" t="s">
        <v>31</v>
      </c>
      <c r="S51" s="82"/>
      <c r="T51" s="10">
        <v>1</v>
      </c>
      <c r="U51" s="81"/>
      <c r="V51" s="11"/>
      <c r="W51" s="11"/>
      <c r="X51" s="81"/>
      <c r="Y51" s="12"/>
      <c r="Z51" s="12"/>
      <c r="AA51" s="12"/>
      <c r="AB51" s="12"/>
      <c r="AC51" s="12"/>
      <c r="AD51" s="81"/>
      <c r="AE51" s="13"/>
      <c r="AF51" s="13"/>
      <c r="AG51" s="17"/>
    </row>
    <row r="52" spans="1:33" ht="15" customHeight="1" x14ac:dyDescent="0.3">
      <c r="A52" s="25" t="s">
        <v>181</v>
      </c>
      <c r="B52" s="80" t="s">
        <v>182</v>
      </c>
      <c r="C52" s="21" t="b">
        <v>0</v>
      </c>
      <c r="D52" s="21"/>
      <c r="E52" s="21" t="s">
        <v>183</v>
      </c>
      <c r="F52" s="24" t="s">
        <v>184</v>
      </c>
      <c r="G52" s="24" t="s">
        <v>185</v>
      </c>
      <c r="H52" s="24" t="s">
        <v>24</v>
      </c>
      <c r="I52" s="24" t="s">
        <v>186</v>
      </c>
      <c r="J52" s="24" t="s">
        <v>187</v>
      </c>
      <c r="K52" s="17" t="s">
        <v>203</v>
      </c>
      <c r="L52" s="26">
        <v>46096</v>
      </c>
      <c r="M52" s="27">
        <v>1278.44</v>
      </c>
      <c r="N52" s="17" t="s">
        <v>28</v>
      </c>
      <c r="O52" s="40" t="s">
        <v>29</v>
      </c>
      <c r="P52" s="13" t="s">
        <v>30</v>
      </c>
      <c r="Q52" s="13" t="s">
        <v>84</v>
      </c>
      <c r="R52" s="13" t="s">
        <v>31</v>
      </c>
      <c r="S52" s="82"/>
      <c r="T52" s="10">
        <v>1</v>
      </c>
      <c r="U52" s="81"/>
      <c r="V52" s="11"/>
      <c r="W52" s="11"/>
      <c r="X52" s="81"/>
      <c r="Y52" s="12"/>
      <c r="Z52" s="12"/>
      <c r="AA52" s="12"/>
      <c r="AB52" s="12"/>
      <c r="AC52" s="12"/>
      <c r="AD52" s="81"/>
      <c r="AE52" s="13"/>
      <c r="AF52" s="13"/>
      <c r="AG52" s="17"/>
    </row>
    <row r="53" spans="1:33" ht="15" customHeight="1" x14ac:dyDescent="0.3">
      <c r="A53" s="25" t="s">
        <v>181</v>
      </c>
      <c r="B53" s="80" t="s">
        <v>182</v>
      </c>
      <c r="C53" s="21" t="b">
        <v>0</v>
      </c>
      <c r="D53" s="21"/>
      <c r="E53" s="21" t="s">
        <v>183</v>
      </c>
      <c r="F53" s="24" t="s">
        <v>184</v>
      </c>
      <c r="G53" s="24" t="s">
        <v>185</v>
      </c>
      <c r="H53" s="24" t="s">
        <v>24</v>
      </c>
      <c r="I53" s="24" t="s">
        <v>186</v>
      </c>
      <c r="J53" s="24" t="s">
        <v>187</v>
      </c>
      <c r="K53" s="17" t="s">
        <v>203</v>
      </c>
      <c r="L53" s="26">
        <v>46096</v>
      </c>
      <c r="M53" s="27">
        <v>1277.69</v>
      </c>
      <c r="N53" s="17" t="s">
        <v>28</v>
      </c>
      <c r="O53" s="40" t="s">
        <v>63</v>
      </c>
      <c r="P53" s="13" t="s">
        <v>30</v>
      </c>
      <c r="Q53" s="13" t="s">
        <v>84</v>
      </c>
      <c r="R53" s="13" t="s">
        <v>31</v>
      </c>
      <c r="S53" s="82"/>
      <c r="T53" s="10">
        <v>1</v>
      </c>
      <c r="U53" s="81"/>
      <c r="V53" s="11"/>
      <c r="W53" s="11"/>
      <c r="X53" s="81"/>
      <c r="Y53" s="12"/>
      <c r="Z53" s="12"/>
      <c r="AA53" s="12"/>
      <c r="AB53" s="12"/>
      <c r="AC53" s="12"/>
      <c r="AD53" s="81"/>
      <c r="AE53" s="13"/>
      <c r="AF53" s="13"/>
      <c r="AG53" s="17"/>
    </row>
    <row r="54" spans="1:33" ht="15" customHeight="1" x14ac:dyDescent="0.3">
      <c r="A54" s="25" t="s">
        <v>181</v>
      </c>
      <c r="B54" s="80" t="s">
        <v>182</v>
      </c>
      <c r="C54" s="21" t="b">
        <v>0</v>
      </c>
      <c r="D54" s="21"/>
      <c r="E54" s="21" t="s">
        <v>183</v>
      </c>
      <c r="F54" s="24" t="s">
        <v>184</v>
      </c>
      <c r="G54" s="24" t="s">
        <v>185</v>
      </c>
      <c r="H54" s="24" t="s">
        <v>24</v>
      </c>
      <c r="I54" s="24" t="s">
        <v>186</v>
      </c>
      <c r="J54" s="24" t="s">
        <v>187</v>
      </c>
      <c r="K54" s="17" t="s">
        <v>203</v>
      </c>
      <c r="L54" s="26">
        <v>46096</v>
      </c>
      <c r="M54" s="27">
        <v>1276.94</v>
      </c>
      <c r="N54" s="17" t="s">
        <v>28</v>
      </c>
      <c r="O54" s="40" t="s">
        <v>64</v>
      </c>
      <c r="P54" s="13" t="s">
        <v>30</v>
      </c>
      <c r="Q54" s="13" t="s">
        <v>84</v>
      </c>
      <c r="R54" s="13" t="s">
        <v>31</v>
      </c>
      <c r="S54" s="82"/>
      <c r="T54" s="10">
        <v>1</v>
      </c>
      <c r="U54" s="81"/>
      <c r="V54" s="11"/>
      <c r="W54" s="11"/>
      <c r="X54" s="81"/>
      <c r="Y54" s="12"/>
      <c r="Z54" s="12"/>
      <c r="AA54" s="12"/>
      <c r="AB54" s="12"/>
      <c r="AC54" s="12"/>
      <c r="AD54" s="81"/>
      <c r="AE54" s="13"/>
      <c r="AF54" s="13"/>
      <c r="AG54" s="17"/>
    </row>
    <row r="55" spans="1:33" ht="15" customHeight="1" x14ac:dyDescent="0.3">
      <c r="A55" s="25" t="s">
        <v>181</v>
      </c>
      <c r="B55" s="80" t="s">
        <v>182</v>
      </c>
      <c r="C55" s="21" t="b">
        <v>0</v>
      </c>
      <c r="D55" s="21"/>
      <c r="E55" s="21" t="s">
        <v>183</v>
      </c>
      <c r="F55" s="24" t="s">
        <v>184</v>
      </c>
      <c r="G55" s="24" t="s">
        <v>185</v>
      </c>
      <c r="H55" s="24" t="s">
        <v>24</v>
      </c>
      <c r="I55" s="24" t="s">
        <v>186</v>
      </c>
      <c r="J55" s="24" t="s">
        <v>187</v>
      </c>
      <c r="K55" s="17" t="s">
        <v>204</v>
      </c>
      <c r="L55" s="26">
        <v>46094</v>
      </c>
      <c r="M55" s="27">
        <v>1276.19</v>
      </c>
      <c r="N55" s="17" t="s">
        <v>28</v>
      </c>
      <c r="O55" s="40" t="s">
        <v>65</v>
      </c>
      <c r="P55" s="13" t="s">
        <v>30</v>
      </c>
      <c r="Q55" s="13" t="s">
        <v>84</v>
      </c>
      <c r="R55" s="13" t="s">
        <v>31</v>
      </c>
      <c r="S55" s="82"/>
      <c r="T55" s="10">
        <v>1</v>
      </c>
      <c r="U55" s="81"/>
      <c r="V55" s="11"/>
      <c r="W55" s="11"/>
      <c r="X55" s="81"/>
      <c r="Y55" s="12"/>
      <c r="Z55" s="12"/>
      <c r="AA55" s="12"/>
      <c r="AB55" s="12"/>
      <c r="AC55" s="12"/>
      <c r="AD55" s="81"/>
      <c r="AE55" s="13"/>
      <c r="AF55" s="13"/>
      <c r="AG55" s="17"/>
    </row>
    <row r="56" spans="1:33" ht="15" customHeight="1" x14ac:dyDescent="0.3">
      <c r="A56" s="25" t="s">
        <v>181</v>
      </c>
      <c r="B56" s="80" t="s">
        <v>182</v>
      </c>
      <c r="C56" s="21" t="b">
        <v>0</v>
      </c>
      <c r="D56" s="21"/>
      <c r="E56" s="21" t="s">
        <v>183</v>
      </c>
      <c r="F56" s="24" t="s">
        <v>184</v>
      </c>
      <c r="G56" s="24" t="s">
        <v>185</v>
      </c>
      <c r="H56" s="24" t="s">
        <v>24</v>
      </c>
      <c r="I56" s="24" t="s">
        <v>186</v>
      </c>
      <c r="J56" s="24" t="s">
        <v>187</v>
      </c>
      <c r="K56" s="17" t="s">
        <v>204</v>
      </c>
      <c r="L56" s="26">
        <v>46094</v>
      </c>
      <c r="M56" s="27">
        <v>1275.44</v>
      </c>
      <c r="N56" s="17" t="s">
        <v>28</v>
      </c>
      <c r="O56" s="40" t="s">
        <v>66</v>
      </c>
      <c r="P56" s="13" t="s">
        <v>30</v>
      </c>
      <c r="Q56" s="13" t="s">
        <v>84</v>
      </c>
      <c r="R56" s="13" t="s">
        <v>31</v>
      </c>
      <c r="S56" s="82"/>
      <c r="T56" s="10">
        <v>1</v>
      </c>
      <c r="U56" s="81"/>
      <c r="V56" s="11"/>
      <c r="W56" s="11"/>
      <c r="X56" s="81"/>
      <c r="Y56" s="12"/>
      <c r="Z56" s="12"/>
      <c r="AA56" s="12"/>
      <c r="AB56" s="12"/>
      <c r="AC56" s="12"/>
      <c r="AD56" s="81"/>
      <c r="AE56" s="13"/>
      <c r="AF56" s="13"/>
      <c r="AG56" s="17"/>
    </row>
    <row r="57" spans="1:33" ht="15" customHeight="1" x14ac:dyDescent="0.3">
      <c r="A57" s="25" t="s">
        <v>181</v>
      </c>
      <c r="B57" s="80" t="s">
        <v>182</v>
      </c>
      <c r="C57" s="21" t="b">
        <v>0</v>
      </c>
      <c r="D57" s="21"/>
      <c r="E57" s="21" t="s">
        <v>183</v>
      </c>
      <c r="F57" s="24" t="s">
        <v>184</v>
      </c>
      <c r="G57" s="24" t="s">
        <v>185</v>
      </c>
      <c r="H57" s="24" t="s">
        <v>24</v>
      </c>
      <c r="I57" s="24" t="s">
        <v>186</v>
      </c>
      <c r="J57" s="24" t="s">
        <v>187</v>
      </c>
      <c r="K57" s="17" t="s">
        <v>204</v>
      </c>
      <c r="L57" s="26">
        <v>46094</v>
      </c>
      <c r="M57" s="27">
        <v>1274.69</v>
      </c>
      <c r="N57" s="17" t="s">
        <v>28</v>
      </c>
      <c r="O57" s="40" t="s">
        <v>67</v>
      </c>
      <c r="P57" s="13" t="s">
        <v>30</v>
      </c>
      <c r="Q57" s="13" t="s">
        <v>84</v>
      </c>
      <c r="R57" s="13" t="s">
        <v>31</v>
      </c>
      <c r="S57" s="82"/>
      <c r="T57" s="10">
        <v>1</v>
      </c>
      <c r="U57" s="81"/>
      <c r="V57" s="11"/>
      <c r="W57" s="11"/>
      <c r="X57" s="81"/>
      <c r="Y57" s="12"/>
      <c r="Z57" s="12"/>
      <c r="AA57" s="12"/>
      <c r="AB57" s="12"/>
      <c r="AC57" s="12"/>
      <c r="AD57" s="81"/>
      <c r="AE57" s="13"/>
      <c r="AF57" s="13"/>
      <c r="AG57" s="17"/>
    </row>
    <row r="58" spans="1:33" ht="15" customHeight="1" x14ac:dyDescent="0.3">
      <c r="A58" s="25" t="s">
        <v>181</v>
      </c>
      <c r="B58" s="80" t="s">
        <v>182</v>
      </c>
      <c r="C58" s="21" t="b">
        <v>0</v>
      </c>
      <c r="D58" s="21"/>
      <c r="E58" s="21" t="s">
        <v>183</v>
      </c>
      <c r="F58" s="24" t="s">
        <v>184</v>
      </c>
      <c r="G58" s="24" t="s">
        <v>185</v>
      </c>
      <c r="H58" s="24" t="s">
        <v>24</v>
      </c>
      <c r="I58" s="24" t="s">
        <v>186</v>
      </c>
      <c r="J58" s="24" t="s">
        <v>187</v>
      </c>
      <c r="K58" s="17" t="s">
        <v>205</v>
      </c>
      <c r="L58" s="26">
        <v>46093</v>
      </c>
      <c r="M58" s="27">
        <v>1273.94</v>
      </c>
      <c r="N58" s="17" t="s">
        <v>28</v>
      </c>
      <c r="O58" s="40" t="s">
        <v>29</v>
      </c>
      <c r="P58" s="13" t="s">
        <v>30</v>
      </c>
      <c r="Q58" s="13" t="s">
        <v>84</v>
      </c>
      <c r="R58" s="13" t="s">
        <v>31</v>
      </c>
      <c r="S58" s="82"/>
      <c r="T58" s="10">
        <v>1</v>
      </c>
      <c r="U58" s="81"/>
      <c r="V58" s="11"/>
      <c r="W58" s="11"/>
      <c r="X58" s="81"/>
      <c r="Y58" s="12"/>
      <c r="Z58" s="12"/>
      <c r="AA58" s="12"/>
      <c r="AB58" s="12"/>
      <c r="AC58" s="12"/>
      <c r="AD58" s="81"/>
      <c r="AE58" s="13"/>
      <c r="AF58" s="13"/>
      <c r="AG58" s="17"/>
    </row>
    <row r="59" spans="1:33" ht="15" customHeight="1" x14ac:dyDescent="0.3">
      <c r="A59" s="25" t="s">
        <v>181</v>
      </c>
      <c r="B59" s="80" t="s">
        <v>182</v>
      </c>
      <c r="C59" s="21" t="b">
        <v>0</v>
      </c>
      <c r="D59" s="21"/>
      <c r="E59" s="21" t="s">
        <v>183</v>
      </c>
      <c r="F59" s="24" t="s">
        <v>184</v>
      </c>
      <c r="G59" s="24" t="s">
        <v>185</v>
      </c>
      <c r="H59" s="24" t="s">
        <v>24</v>
      </c>
      <c r="I59" s="24" t="s">
        <v>186</v>
      </c>
      <c r="J59" s="24" t="s">
        <v>187</v>
      </c>
      <c r="K59" s="17" t="s">
        <v>205</v>
      </c>
      <c r="L59" s="26">
        <v>46093</v>
      </c>
      <c r="M59" s="27">
        <v>1273.19</v>
      </c>
      <c r="N59" s="17" t="s">
        <v>28</v>
      </c>
      <c r="O59" s="40" t="s">
        <v>63</v>
      </c>
      <c r="P59" s="13" t="s">
        <v>30</v>
      </c>
      <c r="Q59" s="13" t="s">
        <v>84</v>
      </c>
      <c r="R59" s="13" t="s">
        <v>31</v>
      </c>
      <c r="S59" s="82"/>
      <c r="T59" s="10">
        <v>1</v>
      </c>
      <c r="U59" s="81"/>
      <c r="V59" s="11"/>
      <c r="W59" s="11"/>
      <c r="X59" s="81"/>
      <c r="Y59" s="12"/>
      <c r="Z59" s="12"/>
      <c r="AA59" s="12"/>
      <c r="AB59" s="12"/>
      <c r="AC59" s="12"/>
      <c r="AD59" s="81"/>
      <c r="AE59" s="13"/>
      <c r="AF59" s="13"/>
      <c r="AG59" s="17"/>
    </row>
    <row r="60" spans="1:33" ht="15" customHeight="1" x14ac:dyDescent="0.3">
      <c r="A60" s="25" t="s">
        <v>181</v>
      </c>
      <c r="B60" s="80" t="s">
        <v>182</v>
      </c>
      <c r="C60" s="21" t="b">
        <v>0</v>
      </c>
      <c r="D60" s="21"/>
      <c r="E60" s="21" t="s">
        <v>183</v>
      </c>
      <c r="F60" s="24" t="s">
        <v>184</v>
      </c>
      <c r="G60" s="24" t="s">
        <v>185</v>
      </c>
      <c r="H60" s="24" t="s">
        <v>24</v>
      </c>
      <c r="I60" s="24" t="s">
        <v>186</v>
      </c>
      <c r="J60" s="24" t="s">
        <v>187</v>
      </c>
      <c r="K60" s="17" t="s">
        <v>205</v>
      </c>
      <c r="L60" s="26">
        <v>46093</v>
      </c>
      <c r="M60" s="27">
        <v>1272.44</v>
      </c>
      <c r="N60" s="17" t="s">
        <v>28</v>
      </c>
      <c r="O60" s="40" t="s">
        <v>64</v>
      </c>
      <c r="P60" s="13" t="s">
        <v>30</v>
      </c>
      <c r="Q60" s="13" t="s">
        <v>84</v>
      </c>
      <c r="R60" s="13" t="s">
        <v>31</v>
      </c>
      <c r="S60" s="82"/>
      <c r="T60" s="10">
        <v>1</v>
      </c>
      <c r="U60" s="81"/>
      <c r="V60" s="11"/>
      <c r="W60" s="11"/>
      <c r="X60" s="81"/>
      <c r="Y60" s="12"/>
      <c r="Z60" s="12"/>
      <c r="AA60" s="12"/>
      <c r="AB60" s="12"/>
      <c r="AC60" s="12"/>
      <c r="AD60" s="81"/>
      <c r="AE60" s="13"/>
      <c r="AF60" s="13"/>
      <c r="AG60" s="17"/>
    </row>
    <row r="61" spans="1:33" ht="15" customHeight="1" x14ac:dyDescent="0.3">
      <c r="A61" s="25" t="s">
        <v>181</v>
      </c>
      <c r="B61" s="80" t="s">
        <v>182</v>
      </c>
      <c r="C61" s="21" t="b">
        <v>0</v>
      </c>
      <c r="D61" s="21"/>
      <c r="E61" s="21" t="s">
        <v>183</v>
      </c>
      <c r="F61" s="24" t="s">
        <v>184</v>
      </c>
      <c r="G61" s="24" t="s">
        <v>185</v>
      </c>
      <c r="H61" s="24" t="s">
        <v>24</v>
      </c>
      <c r="I61" s="24" t="s">
        <v>186</v>
      </c>
      <c r="J61" s="24" t="s">
        <v>187</v>
      </c>
      <c r="K61" s="17" t="s">
        <v>206</v>
      </c>
      <c r="L61" s="26">
        <v>46092</v>
      </c>
      <c r="M61" s="27">
        <v>1271.69</v>
      </c>
      <c r="N61" s="17" t="s">
        <v>28</v>
      </c>
      <c r="O61" s="40" t="s">
        <v>65</v>
      </c>
      <c r="P61" s="13" t="s">
        <v>30</v>
      </c>
      <c r="Q61" s="13" t="s">
        <v>84</v>
      </c>
      <c r="R61" s="13" t="s">
        <v>31</v>
      </c>
      <c r="S61" s="82"/>
      <c r="T61" s="10">
        <v>1</v>
      </c>
      <c r="U61" s="81"/>
      <c r="V61" s="11"/>
      <c r="W61" s="11"/>
      <c r="X61" s="81"/>
      <c r="Y61" s="12"/>
      <c r="Z61" s="12"/>
      <c r="AA61" s="12"/>
      <c r="AB61" s="12"/>
      <c r="AC61" s="12"/>
      <c r="AD61" s="81"/>
      <c r="AE61" s="13"/>
      <c r="AF61" s="13"/>
      <c r="AG61" s="17"/>
    </row>
    <row r="62" spans="1:33" ht="15" customHeight="1" x14ac:dyDescent="0.3">
      <c r="A62" s="25" t="s">
        <v>181</v>
      </c>
      <c r="B62" s="80" t="s">
        <v>182</v>
      </c>
      <c r="C62" s="21" t="b">
        <v>0</v>
      </c>
      <c r="D62" s="21"/>
      <c r="E62" s="21" t="s">
        <v>183</v>
      </c>
      <c r="F62" s="24" t="s">
        <v>184</v>
      </c>
      <c r="G62" s="24" t="s">
        <v>185</v>
      </c>
      <c r="H62" s="24" t="s">
        <v>24</v>
      </c>
      <c r="I62" s="24" t="s">
        <v>186</v>
      </c>
      <c r="J62" s="24" t="s">
        <v>187</v>
      </c>
      <c r="K62" s="17" t="s">
        <v>206</v>
      </c>
      <c r="L62" s="26">
        <v>46092</v>
      </c>
      <c r="M62" s="27">
        <v>1270.94</v>
      </c>
      <c r="N62" s="17" t="s">
        <v>28</v>
      </c>
      <c r="O62" s="40" t="s">
        <v>66</v>
      </c>
      <c r="P62" s="13" t="s">
        <v>30</v>
      </c>
      <c r="Q62" s="13" t="s">
        <v>84</v>
      </c>
      <c r="R62" s="13" t="s">
        <v>31</v>
      </c>
      <c r="S62" s="82"/>
      <c r="T62" s="10">
        <v>1</v>
      </c>
      <c r="U62" s="81"/>
      <c r="V62" s="11"/>
      <c r="W62" s="11"/>
      <c r="X62" s="81"/>
      <c r="Y62" s="12"/>
      <c r="Z62" s="12"/>
      <c r="AA62" s="12"/>
      <c r="AB62" s="12"/>
      <c r="AC62" s="12"/>
      <c r="AD62" s="81"/>
      <c r="AE62" s="13"/>
      <c r="AF62" s="13"/>
      <c r="AG62" s="17"/>
    </row>
    <row r="63" spans="1:33" ht="15" customHeight="1" x14ac:dyDescent="0.3">
      <c r="A63" s="25" t="s">
        <v>181</v>
      </c>
      <c r="B63" s="80" t="s">
        <v>182</v>
      </c>
      <c r="C63" s="21" t="b">
        <v>0</v>
      </c>
      <c r="D63" s="21"/>
      <c r="E63" s="21" t="s">
        <v>183</v>
      </c>
      <c r="F63" s="24" t="s">
        <v>184</v>
      </c>
      <c r="G63" s="24" t="s">
        <v>185</v>
      </c>
      <c r="H63" s="24" t="s">
        <v>24</v>
      </c>
      <c r="I63" s="24" t="s">
        <v>186</v>
      </c>
      <c r="J63" s="24" t="s">
        <v>187</v>
      </c>
      <c r="K63" s="17" t="s">
        <v>206</v>
      </c>
      <c r="L63" s="26">
        <v>46092</v>
      </c>
      <c r="M63" s="27">
        <v>1270.19</v>
      </c>
      <c r="N63" s="17" t="s">
        <v>28</v>
      </c>
      <c r="O63" s="40" t="s">
        <v>67</v>
      </c>
      <c r="P63" s="13" t="s">
        <v>30</v>
      </c>
      <c r="Q63" s="13" t="s">
        <v>84</v>
      </c>
      <c r="R63" s="13" t="s">
        <v>31</v>
      </c>
      <c r="S63" s="82"/>
      <c r="T63" s="10">
        <v>1</v>
      </c>
      <c r="U63" s="81"/>
      <c r="V63" s="11"/>
      <c r="W63" s="11"/>
      <c r="X63" s="81"/>
      <c r="Y63" s="12"/>
      <c r="Z63" s="12"/>
      <c r="AA63" s="12"/>
      <c r="AB63" s="12"/>
      <c r="AC63" s="12"/>
      <c r="AD63" s="81"/>
      <c r="AE63" s="13"/>
      <c r="AF63" s="13"/>
      <c r="AG63" s="17"/>
    </row>
    <row r="64" spans="1:33" ht="15" customHeight="1" x14ac:dyDescent="0.3">
      <c r="A64" s="25" t="s">
        <v>181</v>
      </c>
      <c r="B64" s="80" t="s">
        <v>182</v>
      </c>
      <c r="C64" s="21" t="b">
        <v>0</v>
      </c>
      <c r="D64" s="21"/>
      <c r="E64" s="21" t="s">
        <v>183</v>
      </c>
      <c r="F64" s="24" t="s">
        <v>184</v>
      </c>
      <c r="G64" s="24" t="s">
        <v>185</v>
      </c>
      <c r="H64" s="24" t="s">
        <v>24</v>
      </c>
      <c r="I64" s="24" t="s">
        <v>186</v>
      </c>
      <c r="J64" s="24" t="s">
        <v>187</v>
      </c>
      <c r="K64" s="17" t="s">
        <v>207</v>
      </c>
      <c r="L64" s="26">
        <v>46091</v>
      </c>
      <c r="M64" s="27">
        <v>1269.44</v>
      </c>
      <c r="N64" s="17" t="s">
        <v>28</v>
      </c>
      <c r="O64" s="40" t="s">
        <v>29</v>
      </c>
      <c r="P64" s="13" t="s">
        <v>30</v>
      </c>
      <c r="Q64" s="13" t="s">
        <v>84</v>
      </c>
      <c r="R64" s="13" t="s">
        <v>31</v>
      </c>
      <c r="S64" s="82"/>
      <c r="T64" s="10">
        <v>1</v>
      </c>
      <c r="U64" s="81"/>
      <c r="V64" s="11"/>
      <c r="W64" s="11"/>
      <c r="X64" s="81"/>
      <c r="Y64" s="12"/>
      <c r="Z64" s="12"/>
      <c r="AA64" s="12"/>
      <c r="AB64" s="12"/>
      <c r="AC64" s="12"/>
      <c r="AD64" s="81"/>
      <c r="AE64" s="13"/>
      <c r="AF64" s="13"/>
      <c r="AG64" s="17"/>
    </row>
    <row r="65" spans="1:33" ht="15" customHeight="1" x14ac:dyDescent="0.3">
      <c r="A65" s="25" t="s">
        <v>181</v>
      </c>
      <c r="B65" s="80" t="s">
        <v>182</v>
      </c>
      <c r="C65" s="21" t="b">
        <v>0</v>
      </c>
      <c r="D65" s="21"/>
      <c r="E65" s="21" t="s">
        <v>183</v>
      </c>
      <c r="F65" s="24" t="s">
        <v>184</v>
      </c>
      <c r="G65" s="24" t="s">
        <v>185</v>
      </c>
      <c r="H65" s="24" t="s">
        <v>24</v>
      </c>
      <c r="I65" s="24" t="s">
        <v>186</v>
      </c>
      <c r="J65" s="24" t="s">
        <v>187</v>
      </c>
      <c r="K65" s="17" t="s">
        <v>207</v>
      </c>
      <c r="L65" s="26">
        <v>46091</v>
      </c>
      <c r="M65" s="27">
        <v>1268.69</v>
      </c>
      <c r="N65" s="17" t="s">
        <v>28</v>
      </c>
      <c r="O65" s="40" t="s">
        <v>63</v>
      </c>
      <c r="P65" s="13" t="s">
        <v>30</v>
      </c>
      <c r="Q65" s="13" t="s">
        <v>84</v>
      </c>
      <c r="R65" s="13" t="s">
        <v>31</v>
      </c>
      <c r="S65" s="82"/>
      <c r="T65" s="10">
        <v>1</v>
      </c>
      <c r="U65" s="81"/>
      <c r="V65" s="11"/>
      <c r="W65" s="11"/>
      <c r="X65" s="81"/>
      <c r="Y65" s="12"/>
      <c r="Z65" s="12"/>
      <c r="AA65" s="12"/>
      <c r="AB65" s="12"/>
      <c r="AC65" s="12"/>
      <c r="AD65" s="81"/>
      <c r="AE65" s="13"/>
      <c r="AF65" s="13"/>
      <c r="AG65" s="17"/>
    </row>
    <row r="66" spans="1:33" ht="15" customHeight="1" x14ac:dyDescent="0.3">
      <c r="A66" s="25" t="s">
        <v>181</v>
      </c>
      <c r="B66" s="80" t="s">
        <v>182</v>
      </c>
      <c r="C66" s="21" t="b">
        <v>0</v>
      </c>
      <c r="D66" s="21"/>
      <c r="E66" s="21" t="s">
        <v>183</v>
      </c>
      <c r="F66" s="24" t="s">
        <v>184</v>
      </c>
      <c r="G66" s="24" t="s">
        <v>185</v>
      </c>
      <c r="H66" s="24" t="s">
        <v>24</v>
      </c>
      <c r="I66" s="24" t="s">
        <v>186</v>
      </c>
      <c r="J66" s="24" t="s">
        <v>187</v>
      </c>
      <c r="K66" s="17" t="s">
        <v>207</v>
      </c>
      <c r="L66" s="26">
        <v>46091</v>
      </c>
      <c r="M66" s="27">
        <v>1267.94</v>
      </c>
      <c r="N66" s="17" t="s">
        <v>28</v>
      </c>
      <c r="O66" s="40" t="s">
        <v>64</v>
      </c>
      <c r="P66" s="13" t="s">
        <v>30</v>
      </c>
      <c r="Q66" s="13" t="s">
        <v>84</v>
      </c>
      <c r="R66" s="13" t="s">
        <v>31</v>
      </c>
      <c r="S66" s="82"/>
      <c r="T66" s="10">
        <v>1</v>
      </c>
      <c r="U66" s="81"/>
      <c r="V66" s="11"/>
      <c r="W66" s="11"/>
      <c r="X66" s="81"/>
      <c r="Y66" s="12"/>
      <c r="Z66" s="12"/>
      <c r="AA66" s="12"/>
      <c r="AB66" s="12"/>
      <c r="AC66" s="12"/>
      <c r="AD66" s="81"/>
      <c r="AE66" s="13"/>
      <c r="AF66" s="13"/>
      <c r="AG66" s="17"/>
    </row>
    <row r="67" spans="1:33" ht="15" customHeight="1" x14ac:dyDescent="0.3">
      <c r="A67" s="25" t="s">
        <v>181</v>
      </c>
      <c r="B67" s="80" t="s">
        <v>182</v>
      </c>
      <c r="C67" s="21" t="b">
        <v>0</v>
      </c>
      <c r="D67" s="21"/>
      <c r="E67" s="21" t="s">
        <v>183</v>
      </c>
      <c r="F67" s="24" t="s">
        <v>184</v>
      </c>
      <c r="G67" s="24" t="s">
        <v>185</v>
      </c>
      <c r="H67" s="24" t="s">
        <v>24</v>
      </c>
      <c r="I67" s="24" t="s">
        <v>186</v>
      </c>
      <c r="J67" s="24" t="s">
        <v>187</v>
      </c>
      <c r="K67" s="17" t="s">
        <v>208</v>
      </c>
      <c r="L67" s="26">
        <v>46090</v>
      </c>
      <c r="M67" s="27">
        <v>1267.19</v>
      </c>
      <c r="N67" s="17" t="s">
        <v>28</v>
      </c>
      <c r="O67" s="40" t="s">
        <v>65</v>
      </c>
      <c r="P67" s="13" t="s">
        <v>30</v>
      </c>
      <c r="Q67" s="13" t="s">
        <v>84</v>
      </c>
      <c r="R67" s="13" t="s">
        <v>31</v>
      </c>
      <c r="S67" s="82"/>
      <c r="T67" s="10">
        <v>1</v>
      </c>
      <c r="U67" s="81"/>
      <c r="V67" s="11"/>
      <c r="W67" s="11"/>
      <c r="X67" s="81"/>
      <c r="Y67" s="12"/>
      <c r="Z67" s="12"/>
      <c r="AA67" s="12"/>
      <c r="AB67" s="12"/>
      <c r="AC67" s="12"/>
      <c r="AD67" s="81"/>
      <c r="AE67" s="13"/>
      <c r="AF67" s="13"/>
      <c r="AG67" s="17"/>
    </row>
    <row r="68" spans="1:33" ht="15" customHeight="1" x14ac:dyDescent="0.3">
      <c r="A68" s="25" t="s">
        <v>181</v>
      </c>
      <c r="B68" s="80" t="s">
        <v>182</v>
      </c>
      <c r="C68" s="21" t="b">
        <v>0</v>
      </c>
      <c r="D68" s="21"/>
      <c r="E68" s="21" t="s">
        <v>183</v>
      </c>
      <c r="F68" s="24" t="s">
        <v>184</v>
      </c>
      <c r="G68" s="24" t="s">
        <v>185</v>
      </c>
      <c r="H68" s="24" t="s">
        <v>24</v>
      </c>
      <c r="I68" s="24" t="s">
        <v>186</v>
      </c>
      <c r="J68" s="24" t="s">
        <v>187</v>
      </c>
      <c r="K68" s="17" t="s">
        <v>208</v>
      </c>
      <c r="L68" s="26">
        <v>46090</v>
      </c>
      <c r="M68" s="27">
        <v>1266.44</v>
      </c>
      <c r="N68" s="17" t="s">
        <v>28</v>
      </c>
      <c r="O68" s="40" t="s">
        <v>66</v>
      </c>
      <c r="P68" s="13" t="s">
        <v>30</v>
      </c>
      <c r="Q68" s="13" t="s">
        <v>84</v>
      </c>
      <c r="R68" s="13" t="s">
        <v>31</v>
      </c>
      <c r="S68" s="82"/>
      <c r="T68" s="10">
        <v>1</v>
      </c>
      <c r="U68" s="81"/>
      <c r="V68" s="11"/>
      <c r="W68" s="11"/>
      <c r="X68" s="81"/>
      <c r="Y68" s="12"/>
      <c r="Z68" s="12"/>
      <c r="AA68" s="12"/>
      <c r="AB68" s="12"/>
      <c r="AC68" s="12"/>
      <c r="AD68" s="81"/>
      <c r="AE68" s="13"/>
      <c r="AF68" s="13"/>
      <c r="AG68" s="17"/>
    </row>
    <row r="69" spans="1:33" ht="15" customHeight="1" x14ac:dyDescent="0.3">
      <c r="A69" s="25" t="s">
        <v>181</v>
      </c>
      <c r="B69" s="80" t="s">
        <v>182</v>
      </c>
      <c r="C69" s="21" t="b">
        <v>0</v>
      </c>
      <c r="D69" s="21"/>
      <c r="E69" s="21" t="s">
        <v>183</v>
      </c>
      <c r="F69" s="24" t="s">
        <v>184</v>
      </c>
      <c r="G69" s="24" t="s">
        <v>185</v>
      </c>
      <c r="H69" s="24" t="s">
        <v>24</v>
      </c>
      <c r="I69" s="24" t="s">
        <v>186</v>
      </c>
      <c r="J69" s="24" t="s">
        <v>187</v>
      </c>
      <c r="K69" s="17" t="s">
        <v>208</v>
      </c>
      <c r="L69" s="26">
        <v>46090</v>
      </c>
      <c r="M69" s="27">
        <v>1265.69</v>
      </c>
      <c r="N69" s="17" t="s">
        <v>28</v>
      </c>
      <c r="O69" s="40" t="s">
        <v>67</v>
      </c>
      <c r="P69" s="13" t="s">
        <v>30</v>
      </c>
      <c r="Q69" s="13" t="s">
        <v>84</v>
      </c>
      <c r="R69" s="13" t="s">
        <v>31</v>
      </c>
      <c r="S69" s="82"/>
      <c r="T69" s="10">
        <v>1</v>
      </c>
      <c r="U69" s="81"/>
      <c r="V69" s="11"/>
      <c r="W69" s="11"/>
      <c r="X69" s="81"/>
      <c r="Y69" s="12"/>
      <c r="Z69" s="12"/>
      <c r="AA69" s="12"/>
      <c r="AB69" s="12"/>
      <c r="AC69" s="12"/>
      <c r="AD69" s="81"/>
      <c r="AE69" s="13"/>
      <c r="AF69" s="13"/>
      <c r="AG69" s="17"/>
    </row>
    <row r="70" spans="1:33" ht="15" customHeight="1" x14ac:dyDescent="0.3">
      <c r="A70" s="25" t="s">
        <v>181</v>
      </c>
      <c r="B70" s="80" t="s">
        <v>182</v>
      </c>
      <c r="C70" s="21" t="b">
        <v>0</v>
      </c>
      <c r="D70" s="21"/>
      <c r="E70" s="21" t="s">
        <v>183</v>
      </c>
      <c r="F70" s="24" t="s">
        <v>184</v>
      </c>
      <c r="G70" s="24" t="s">
        <v>185</v>
      </c>
      <c r="H70" s="24" t="s">
        <v>24</v>
      </c>
      <c r="I70" s="24" t="s">
        <v>186</v>
      </c>
      <c r="J70" s="24" t="s">
        <v>187</v>
      </c>
      <c r="K70" s="17" t="s">
        <v>209</v>
      </c>
      <c r="L70" s="26">
        <v>46088</v>
      </c>
      <c r="M70" s="27">
        <v>1264.94</v>
      </c>
      <c r="N70" s="17" t="s">
        <v>28</v>
      </c>
      <c r="O70" s="40" t="s">
        <v>29</v>
      </c>
      <c r="P70" s="13" t="s">
        <v>30</v>
      </c>
      <c r="Q70" s="13" t="s">
        <v>84</v>
      </c>
      <c r="R70" s="13" t="s">
        <v>31</v>
      </c>
      <c r="S70" s="82"/>
      <c r="T70" s="10">
        <v>1</v>
      </c>
      <c r="U70" s="81"/>
      <c r="V70" s="11"/>
      <c r="W70" s="11"/>
      <c r="X70" s="81"/>
      <c r="Y70" s="12"/>
      <c r="Z70" s="12"/>
      <c r="AA70" s="12"/>
      <c r="AB70" s="12"/>
      <c r="AC70" s="12"/>
      <c r="AD70" s="81"/>
      <c r="AE70" s="13"/>
      <c r="AF70" s="13"/>
      <c r="AG70" s="17"/>
    </row>
    <row r="71" spans="1:33" ht="15" customHeight="1" x14ac:dyDescent="0.3">
      <c r="A71" s="25" t="s">
        <v>181</v>
      </c>
      <c r="B71" s="80" t="s">
        <v>182</v>
      </c>
      <c r="C71" s="21" t="b">
        <v>0</v>
      </c>
      <c r="D71" s="21"/>
      <c r="E71" s="21" t="s">
        <v>183</v>
      </c>
      <c r="F71" s="24" t="s">
        <v>184</v>
      </c>
      <c r="G71" s="24" t="s">
        <v>185</v>
      </c>
      <c r="H71" s="24" t="s">
        <v>24</v>
      </c>
      <c r="I71" s="24" t="s">
        <v>186</v>
      </c>
      <c r="J71" s="24" t="s">
        <v>187</v>
      </c>
      <c r="K71" s="17" t="s">
        <v>209</v>
      </c>
      <c r="L71" s="26">
        <v>46088</v>
      </c>
      <c r="M71" s="27">
        <v>1264.19</v>
      </c>
      <c r="N71" s="17" t="s">
        <v>28</v>
      </c>
      <c r="O71" s="40" t="s">
        <v>63</v>
      </c>
      <c r="P71" s="13" t="s">
        <v>30</v>
      </c>
      <c r="Q71" s="13" t="s">
        <v>84</v>
      </c>
      <c r="R71" s="13" t="s">
        <v>31</v>
      </c>
      <c r="S71" s="82"/>
      <c r="T71" s="10">
        <v>1</v>
      </c>
      <c r="U71" s="81"/>
      <c r="V71" s="11"/>
      <c r="W71" s="11"/>
      <c r="X71" s="81"/>
      <c r="Y71" s="12"/>
      <c r="Z71" s="12"/>
      <c r="AA71" s="12"/>
      <c r="AB71" s="12"/>
      <c r="AC71" s="12"/>
      <c r="AD71" s="81"/>
      <c r="AE71" s="13"/>
      <c r="AF71" s="13"/>
      <c r="AG71" s="17"/>
    </row>
    <row r="72" spans="1:33" ht="15" customHeight="1" x14ac:dyDescent="0.3">
      <c r="A72" s="25" t="s">
        <v>181</v>
      </c>
      <c r="B72" s="80" t="s">
        <v>182</v>
      </c>
      <c r="C72" s="21" t="b">
        <v>0</v>
      </c>
      <c r="D72" s="21"/>
      <c r="E72" s="21" t="s">
        <v>183</v>
      </c>
      <c r="F72" s="24" t="s">
        <v>184</v>
      </c>
      <c r="G72" s="24" t="s">
        <v>185</v>
      </c>
      <c r="H72" s="24" t="s">
        <v>24</v>
      </c>
      <c r="I72" s="24" t="s">
        <v>186</v>
      </c>
      <c r="J72" s="24" t="s">
        <v>187</v>
      </c>
      <c r="K72" s="17" t="s">
        <v>209</v>
      </c>
      <c r="L72" s="26">
        <v>46088</v>
      </c>
      <c r="M72" s="27">
        <v>1263.44</v>
      </c>
      <c r="N72" s="17" t="s">
        <v>28</v>
      </c>
      <c r="O72" s="40" t="s">
        <v>64</v>
      </c>
      <c r="P72" s="13" t="s">
        <v>30</v>
      </c>
      <c r="Q72" s="13" t="s">
        <v>84</v>
      </c>
      <c r="R72" s="13" t="s">
        <v>31</v>
      </c>
      <c r="S72" s="82"/>
      <c r="T72" s="10">
        <v>1</v>
      </c>
      <c r="U72" s="81"/>
      <c r="V72" s="11"/>
      <c r="W72" s="11"/>
      <c r="X72" s="81"/>
      <c r="Y72" s="12"/>
      <c r="Z72" s="12"/>
      <c r="AA72" s="12"/>
      <c r="AB72" s="12"/>
      <c r="AC72" s="12"/>
      <c r="AD72" s="81"/>
      <c r="AE72" s="13"/>
      <c r="AF72" s="13"/>
      <c r="AG72" s="17"/>
    </row>
    <row r="73" spans="1:33" ht="15" customHeight="1" x14ac:dyDescent="0.3">
      <c r="A73" s="25" t="s">
        <v>181</v>
      </c>
      <c r="B73" s="80" t="s">
        <v>182</v>
      </c>
      <c r="C73" s="21" t="b">
        <v>0</v>
      </c>
      <c r="D73" s="21"/>
      <c r="E73" s="21" t="s">
        <v>183</v>
      </c>
      <c r="F73" s="24" t="s">
        <v>184</v>
      </c>
      <c r="G73" s="24" t="s">
        <v>185</v>
      </c>
      <c r="H73" s="24" t="s">
        <v>24</v>
      </c>
      <c r="I73" s="24" t="s">
        <v>186</v>
      </c>
      <c r="J73" s="24" t="s">
        <v>187</v>
      </c>
      <c r="K73" s="17" t="s">
        <v>210</v>
      </c>
      <c r="L73" s="26">
        <v>46087</v>
      </c>
      <c r="M73" s="27">
        <v>1262.69</v>
      </c>
      <c r="N73" s="17" t="s">
        <v>28</v>
      </c>
      <c r="O73" s="40" t="s">
        <v>65</v>
      </c>
      <c r="P73" s="13" t="s">
        <v>30</v>
      </c>
      <c r="Q73" s="13" t="s">
        <v>84</v>
      </c>
      <c r="R73" s="13" t="s">
        <v>31</v>
      </c>
      <c r="S73" s="82"/>
      <c r="T73" s="10">
        <v>1</v>
      </c>
      <c r="U73" s="81"/>
      <c r="V73" s="11"/>
      <c r="W73" s="11"/>
      <c r="X73" s="81"/>
      <c r="Y73" s="12"/>
      <c r="Z73" s="12"/>
      <c r="AA73" s="12"/>
      <c r="AB73" s="12"/>
      <c r="AC73" s="12"/>
      <c r="AD73" s="81"/>
      <c r="AE73" s="13"/>
      <c r="AF73" s="13"/>
      <c r="AG73" s="17"/>
    </row>
    <row r="74" spans="1:33" ht="15" customHeight="1" x14ac:dyDescent="0.3">
      <c r="A74" s="25" t="s">
        <v>181</v>
      </c>
      <c r="B74" s="80" t="s">
        <v>182</v>
      </c>
      <c r="C74" s="21" t="b">
        <v>0</v>
      </c>
      <c r="D74" s="21"/>
      <c r="E74" s="21" t="s">
        <v>183</v>
      </c>
      <c r="F74" s="24" t="s">
        <v>184</v>
      </c>
      <c r="G74" s="24" t="s">
        <v>185</v>
      </c>
      <c r="H74" s="24" t="s">
        <v>24</v>
      </c>
      <c r="I74" s="24" t="s">
        <v>186</v>
      </c>
      <c r="J74" s="24" t="s">
        <v>187</v>
      </c>
      <c r="K74" s="17" t="s">
        <v>210</v>
      </c>
      <c r="L74" s="26">
        <v>46087</v>
      </c>
      <c r="M74" s="27">
        <v>1261.94</v>
      </c>
      <c r="N74" s="17" t="s">
        <v>28</v>
      </c>
      <c r="O74" s="40" t="s">
        <v>66</v>
      </c>
      <c r="P74" s="13" t="s">
        <v>30</v>
      </c>
      <c r="Q74" s="13" t="s">
        <v>84</v>
      </c>
      <c r="R74" s="13" t="s">
        <v>31</v>
      </c>
      <c r="S74" s="82"/>
      <c r="T74" s="10">
        <v>1</v>
      </c>
      <c r="U74" s="81"/>
      <c r="V74" s="11"/>
      <c r="W74" s="11"/>
      <c r="X74" s="81"/>
      <c r="Y74" s="12"/>
      <c r="Z74" s="12"/>
      <c r="AA74" s="12"/>
      <c r="AB74" s="12"/>
      <c r="AC74" s="12"/>
      <c r="AD74" s="81"/>
      <c r="AE74" s="13"/>
      <c r="AF74" s="13"/>
      <c r="AG74" s="17"/>
    </row>
    <row r="75" spans="1:33" ht="15" customHeight="1" x14ac:dyDescent="0.3">
      <c r="A75" s="25" t="s">
        <v>181</v>
      </c>
      <c r="B75" s="80" t="s">
        <v>182</v>
      </c>
      <c r="C75" s="21" t="b">
        <v>0</v>
      </c>
      <c r="D75" s="21"/>
      <c r="E75" s="21" t="s">
        <v>183</v>
      </c>
      <c r="F75" s="24" t="s">
        <v>184</v>
      </c>
      <c r="G75" s="24" t="s">
        <v>185</v>
      </c>
      <c r="H75" s="24" t="s">
        <v>24</v>
      </c>
      <c r="I75" s="24" t="s">
        <v>186</v>
      </c>
      <c r="J75" s="24" t="s">
        <v>187</v>
      </c>
      <c r="K75" s="17" t="s">
        <v>210</v>
      </c>
      <c r="L75" s="26">
        <v>46087</v>
      </c>
      <c r="M75" s="27">
        <v>1261.19</v>
      </c>
      <c r="N75" s="17" t="s">
        <v>28</v>
      </c>
      <c r="O75" s="40" t="s">
        <v>67</v>
      </c>
      <c r="P75" s="13" t="s">
        <v>30</v>
      </c>
      <c r="Q75" s="13" t="s">
        <v>84</v>
      </c>
      <c r="R75" s="13" t="s">
        <v>31</v>
      </c>
      <c r="S75" s="82"/>
      <c r="T75" s="10">
        <v>1</v>
      </c>
      <c r="U75" s="81"/>
      <c r="V75" s="11"/>
      <c r="W75" s="11"/>
      <c r="X75" s="81"/>
      <c r="Y75" s="12"/>
      <c r="Z75" s="12"/>
      <c r="AA75" s="12"/>
      <c r="AB75" s="12"/>
      <c r="AC75" s="12"/>
      <c r="AD75" s="81"/>
      <c r="AE75" s="13"/>
      <c r="AF75" s="13"/>
      <c r="AG75" s="17"/>
    </row>
    <row r="76" spans="1:33" ht="15" customHeight="1" x14ac:dyDescent="0.3">
      <c r="A76" s="25" t="s">
        <v>181</v>
      </c>
      <c r="B76" s="80" t="s">
        <v>182</v>
      </c>
      <c r="C76" s="21" t="b">
        <v>0</v>
      </c>
      <c r="D76" s="21"/>
      <c r="E76" s="21" t="s">
        <v>183</v>
      </c>
      <c r="F76" s="24" t="s">
        <v>184</v>
      </c>
      <c r="G76" s="24" t="s">
        <v>185</v>
      </c>
      <c r="H76" s="24" t="s">
        <v>24</v>
      </c>
      <c r="I76" s="24" t="s">
        <v>186</v>
      </c>
      <c r="J76" s="24" t="s">
        <v>187</v>
      </c>
      <c r="K76" s="17" t="s">
        <v>211</v>
      </c>
      <c r="L76" s="26">
        <v>46086</v>
      </c>
      <c r="M76" s="27">
        <v>1260.44</v>
      </c>
      <c r="N76" s="17" t="s">
        <v>28</v>
      </c>
      <c r="O76" s="40" t="s">
        <v>29</v>
      </c>
      <c r="P76" s="13" t="s">
        <v>30</v>
      </c>
      <c r="Q76" s="13" t="s">
        <v>84</v>
      </c>
      <c r="R76" s="13" t="s">
        <v>31</v>
      </c>
      <c r="S76" s="82"/>
      <c r="T76" s="10">
        <v>1</v>
      </c>
      <c r="U76" s="81"/>
      <c r="V76" s="11"/>
      <c r="W76" s="11"/>
      <c r="X76" s="81"/>
      <c r="Y76" s="12"/>
      <c r="Z76" s="12"/>
      <c r="AA76" s="12"/>
      <c r="AB76" s="12"/>
      <c r="AC76" s="12"/>
      <c r="AD76" s="81"/>
      <c r="AE76" s="13"/>
      <c r="AF76" s="13"/>
      <c r="AG76" s="17"/>
    </row>
    <row r="77" spans="1:33" ht="15" customHeight="1" x14ac:dyDescent="0.3">
      <c r="A77" s="25" t="s">
        <v>181</v>
      </c>
      <c r="B77" s="80" t="s">
        <v>182</v>
      </c>
      <c r="C77" s="21" t="b">
        <v>0</v>
      </c>
      <c r="D77" s="21"/>
      <c r="E77" s="21" t="s">
        <v>183</v>
      </c>
      <c r="F77" s="24" t="s">
        <v>184</v>
      </c>
      <c r="G77" s="24" t="s">
        <v>185</v>
      </c>
      <c r="H77" s="24" t="s">
        <v>24</v>
      </c>
      <c r="I77" s="24" t="s">
        <v>186</v>
      </c>
      <c r="J77" s="24" t="s">
        <v>187</v>
      </c>
      <c r="K77" s="17" t="s">
        <v>211</v>
      </c>
      <c r="L77" s="26">
        <v>46086</v>
      </c>
      <c r="M77" s="27">
        <v>1259.69</v>
      </c>
      <c r="N77" s="17" t="s">
        <v>28</v>
      </c>
      <c r="O77" s="40" t="s">
        <v>63</v>
      </c>
      <c r="P77" s="13" t="s">
        <v>30</v>
      </c>
      <c r="Q77" s="13" t="s">
        <v>84</v>
      </c>
      <c r="R77" s="13" t="s">
        <v>31</v>
      </c>
      <c r="S77" s="82"/>
      <c r="T77" s="10">
        <v>1</v>
      </c>
      <c r="U77" s="81"/>
      <c r="V77" s="11"/>
      <c r="W77" s="11"/>
      <c r="X77" s="81"/>
      <c r="Y77" s="12"/>
      <c r="Z77" s="12"/>
      <c r="AA77" s="12"/>
      <c r="AB77" s="12"/>
      <c r="AC77" s="12"/>
      <c r="AD77" s="81"/>
      <c r="AE77" s="13"/>
      <c r="AF77" s="13"/>
      <c r="AG77" s="17"/>
    </row>
    <row r="78" spans="1:33" ht="15" customHeight="1" x14ac:dyDescent="0.3">
      <c r="A78" s="25" t="s">
        <v>181</v>
      </c>
      <c r="B78" s="80" t="s">
        <v>182</v>
      </c>
      <c r="C78" s="21" t="b">
        <v>0</v>
      </c>
      <c r="D78" s="21"/>
      <c r="E78" s="21" t="s">
        <v>183</v>
      </c>
      <c r="F78" s="24" t="s">
        <v>184</v>
      </c>
      <c r="G78" s="24" t="s">
        <v>185</v>
      </c>
      <c r="H78" s="24" t="s">
        <v>24</v>
      </c>
      <c r="I78" s="24" t="s">
        <v>186</v>
      </c>
      <c r="J78" s="24" t="s">
        <v>187</v>
      </c>
      <c r="K78" s="17" t="s">
        <v>211</v>
      </c>
      <c r="L78" s="26">
        <v>46086</v>
      </c>
      <c r="M78" s="27">
        <v>1258.94</v>
      </c>
      <c r="N78" s="17" t="s">
        <v>28</v>
      </c>
      <c r="O78" s="40" t="s">
        <v>64</v>
      </c>
      <c r="P78" s="13" t="s">
        <v>30</v>
      </c>
      <c r="Q78" s="13" t="s">
        <v>84</v>
      </c>
      <c r="R78" s="13" t="s">
        <v>31</v>
      </c>
      <c r="S78" s="82"/>
      <c r="T78" s="10">
        <v>1</v>
      </c>
      <c r="U78" s="81"/>
      <c r="V78" s="11"/>
      <c r="W78" s="11"/>
      <c r="X78" s="81"/>
      <c r="Y78" s="12"/>
      <c r="Z78" s="12"/>
      <c r="AA78" s="12"/>
      <c r="AB78" s="12"/>
      <c r="AC78" s="12"/>
      <c r="AD78" s="81"/>
      <c r="AE78" s="13"/>
      <c r="AF78" s="13"/>
      <c r="AG78" s="17"/>
    </row>
    <row r="79" spans="1:33" ht="15" customHeight="1" x14ac:dyDescent="0.3">
      <c r="A79" s="25" t="s">
        <v>181</v>
      </c>
      <c r="B79" s="80" t="s">
        <v>182</v>
      </c>
      <c r="C79" s="21" t="b">
        <v>0</v>
      </c>
      <c r="D79" s="21"/>
      <c r="E79" s="21" t="s">
        <v>183</v>
      </c>
      <c r="F79" s="24" t="s">
        <v>184</v>
      </c>
      <c r="G79" s="24" t="s">
        <v>185</v>
      </c>
      <c r="H79" s="24" t="s">
        <v>24</v>
      </c>
      <c r="I79" s="24" t="s">
        <v>186</v>
      </c>
      <c r="J79" s="24" t="s">
        <v>187</v>
      </c>
      <c r="K79" s="17" t="s">
        <v>212</v>
      </c>
      <c r="L79" s="26">
        <v>46084</v>
      </c>
      <c r="M79" s="27">
        <v>1258.19</v>
      </c>
      <c r="N79" s="17" t="s">
        <v>28</v>
      </c>
      <c r="O79" s="40" t="s">
        <v>65</v>
      </c>
      <c r="P79" s="13" t="s">
        <v>30</v>
      </c>
      <c r="Q79" s="13" t="s">
        <v>84</v>
      </c>
      <c r="R79" s="13" t="s">
        <v>31</v>
      </c>
      <c r="S79" s="82"/>
      <c r="T79" s="10">
        <v>1</v>
      </c>
      <c r="U79" s="81"/>
      <c r="V79" s="11"/>
      <c r="W79" s="11"/>
      <c r="X79" s="81"/>
      <c r="Y79" s="12"/>
      <c r="Z79" s="12"/>
      <c r="AA79" s="12"/>
      <c r="AB79" s="12"/>
      <c r="AC79" s="12"/>
      <c r="AD79" s="81"/>
      <c r="AE79" s="13"/>
      <c r="AF79" s="13"/>
      <c r="AG79" s="17"/>
    </row>
    <row r="80" spans="1:33" ht="15" customHeight="1" x14ac:dyDescent="0.3">
      <c r="A80" s="25" t="s">
        <v>181</v>
      </c>
      <c r="B80" s="80" t="s">
        <v>182</v>
      </c>
      <c r="C80" s="21" t="b">
        <v>0</v>
      </c>
      <c r="D80" s="21"/>
      <c r="E80" s="21" t="s">
        <v>183</v>
      </c>
      <c r="F80" s="24" t="s">
        <v>184</v>
      </c>
      <c r="G80" s="24" t="s">
        <v>185</v>
      </c>
      <c r="H80" s="24" t="s">
        <v>24</v>
      </c>
      <c r="I80" s="24" t="s">
        <v>186</v>
      </c>
      <c r="J80" s="24" t="s">
        <v>187</v>
      </c>
      <c r="K80" s="17" t="s">
        <v>212</v>
      </c>
      <c r="L80" s="26">
        <v>46084</v>
      </c>
      <c r="M80" s="27">
        <v>1257.44</v>
      </c>
      <c r="N80" s="17" t="s">
        <v>28</v>
      </c>
      <c r="O80" s="40" t="s">
        <v>66</v>
      </c>
      <c r="P80" s="13" t="s">
        <v>30</v>
      </c>
      <c r="Q80" s="13" t="s">
        <v>84</v>
      </c>
      <c r="R80" s="13" t="s">
        <v>31</v>
      </c>
      <c r="S80" s="82"/>
      <c r="T80" s="10">
        <v>1</v>
      </c>
      <c r="U80" s="81"/>
      <c r="V80" s="11"/>
      <c r="W80" s="11"/>
      <c r="X80" s="81"/>
      <c r="Y80" s="12"/>
      <c r="Z80" s="12"/>
      <c r="AA80" s="12"/>
      <c r="AB80" s="12"/>
      <c r="AC80" s="12"/>
      <c r="AD80" s="81"/>
      <c r="AE80" s="13"/>
      <c r="AF80" s="13"/>
      <c r="AG80" s="17"/>
    </row>
    <row r="81" spans="1:33" ht="15" customHeight="1" x14ac:dyDescent="0.3">
      <c r="A81" s="25" t="s">
        <v>181</v>
      </c>
      <c r="B81" s="80" t="s">
        <v>182</v>
      </c>
      <c r="C81" s="21" t="b">
        <v>0</v>
      </c>
      <c r="D81" s="21"/>
      <c r="E81" s="21" t="s">
        <v>183</v>
      </c>
      <c r="F81" s="24" t="s">
        <v>184</v>
      </c>
      <c r="G81" s="24" t="s">
        <v>185</v>
      </c>
      <c r="H81" s="24" t="s">
        <v>24</v>
      </c>
      <c r="I81" s="24" t="s">
        <v>186</v>
      </c>
      <c r="J81" s="24" t="s">
        <v>187</v>
      </c>
      <c r="K81" s="17" t="s">
        <v>212</v>
      </c>
      <c r="L81" s="26">
        <v>46084</v>
      </c>
      <c r="M81" s="27">
        <v>1256.69</v>
      </c>
      <c r="N81" s="17" t="s">
        <v>28</v>
      </c>
      <c r="O81" s="40" t="s">
        <v>67</v>
      </c>
      <c r="P81" s="13" t="s">
        <v>30</v>
      </c>
      <c r="Q81" s="13" t="s">
        <v>84</v>
      </c>
      <c r="R81" s="13" t="s">
        <v>31</v>
      </c>
      <c r="S81" s="82"/>
      <c r="T81" s="10">
        <v>1</v>
      </c>
      <c r="U81" s="81"/>
      <c r="V81" s="11"/>
      <c r="W81" s="11"/>
      <c r="X81" s="81"/>
      <c r="Y81" s="12"/>
      <c r="Z81" s="12"/>
      <c r="AA81" s="12"/>
      <c r="AB81" s="12"/>
      <c r="AC81" s="12"/>
      <c r="AD81" s="81"/>
      <c r="AE81" s="13"/>
      <c r="AF81" s="13"/>
      <c r="AG81" s="17"/>
    </row>
    <row r="82" spans="1:33" ht="15" customHeight="1" x14ac:dyDescent="0.3">
      <c r="A82" s="25" t="s">
        <v>213</v>
      </c>
      <c r="B82" s="80" t="s">
        <v>189</v>
      </c>
      <c r="C82" s="21" t="b">
        <v>0</v>
      </c>
      <c r="D82" s="21"/>
      <c r="E82" s="21" t="s">
        <v>183</v>
      </c>
      <c r="F82" s="24" t="s">
        <v>184</v>
      </c>
      <c r="G82" s="24" t="s">
        <v>185</v>
      </c>
      <c r="H82" s="24" t="s">
        <v>24</v>
      </c>
      <c r="I82" s="24" t="s">
        <v>186</v>
      </c>
      <c r="J82" s="24" t="s">
        <v>187</v>
      </c>
      <c r="K82" s="17" t="s">
        <v>214</v>
      </c>
      <c r="L82" s="26">
        <v>46081</v>
      </c>
      <c r="M82" s="27">
        <v>1255.94</v>
      </c>
      <c r="N82" s="17" t="s">
        <v>28</v>
      </c>
      <c r="O82" s="40" t="s">
        <v>29</v>
      </c>
      <c r="P82" s="13" t="s">
        <v>30</v>
      </c>
      <c r="Q82" s="13" t="s">
        <v>84</v>
      </c>
      <c r="R82" s="13" t="s">
        <v>31</v>
      </c>
      <c r="S82" s="10"/>
      <c r="T82" s="10">
        <v>1</v>
      </c>
      <c r="U82" s="81"/>
      <c r="V82" s="11"/>
      <c r="W82" s="11"/>
      <c r="X82" s="81"/>
      <c r="Y82" s="12"/>
      <c r="Z82" s="12"/>
      <c r="AA82" s="12"/>
      <c r="AB82" s="12"/>
      <c r="AC82" s="12"/>
      <c r="AD82" s="81"/>
      <c r="AE82" s="13"/>
      <c r="AF82" s="13"/>
      <c r="AG82" s="17"/>
    </row>
    <row r="83" spans="1:33" ht="15" customHeight="1" x14ac:dyDescent="0.3">
      <c r="A83" s="25" t="s">
        <v>213</v>
      </c>
      <c r="B83" s="80" t="s">
        <v>189</v>
      </c>
      <c r="C83" s="21" t="b">
        <v>0</v>
      </c>
      <c r="D83" s="21"/>
      <c r="E83" s="21" t="s">
        <v>183</v>
      </c>
      <c r="F83" s="24" t="s">
        <v>184</v>
      </c>
      <c r="G83" s="24" t="s">
        <v>185</v>
      </c>
      <c r="H83" s="24" t="s">
        <v>24</v>
      </c>
      <c r="I83" s="24" t="s">
        <v>186</v>
      </c>
      <c r="J83" s="24" t="s">
        <v>187</v>
      </c>
      <c r="K83" s="17" t="s">
        <v>214</v>
      </c>
      <c r="L83" s="26">
        <v>46081</v>
      </c>
      <c r="M83" s="27">
        <v>1255.19</v>
      </c>
      <c r="N83" s="17" t="s">
        <v>28</v>
      </c>
      <c r="O83" s="40" t="s">
        <v>63</v>
      </c>
      <c r="P83" s="13" t="s">
        <v>30</v>
      </c>
      <c r="Q83" s="13" t="s">
        <v>84</v>
      </c>
      <c r="R83" s="13" t="s">
        <v>31</v>
      </c>
      <c r="S83" s="10"/>
      <c r="T83" s="10">
        <v>1</v>
      </c>
      <c r="U83" s="81"/>
      <c r="V83" s="11"/>
      <c r="W83" s="11"/>
      <c r="X83" s="81"/>
      <c r="Y83" s="12"/>
      <c r="Z83" s="12"/>
      <c r="AA83" s="12"/>
      <c r="AB83" s="12"/>
      <c r="AC83" s="12"/>
      <c r="AD83" s="81"/>
      <c r="AE83" s="13"/>
      <c r="AF83" s="13"/>
      <c r="AG83" s="17"/>
    </row>
    <row r="84" spans="1:33" ht="15" customHeight="1" x14ac:dyDescent="0.3">
      <c r="A84" s="25" t="s">
        <v>213</v>
      </c>
      <c r="B84" s="80" t="s">
        <v>189</v>
      </c>
      <c r="C84" s="21" t="b">
        <v>0</v>
      </c>
      <c r="D84" s="21"/>
      <c r="E84" s="21" t="s">
        <v>183</v>
      </c>
      <c r="F84" s="24" t="s">
        <v>184</v>
      </c>
      <c r="G84" s="24" t="s">
        <v>185</v>
      </c>
      <c r="H84" s="24" t="s">
        <v>24</v>
      </c>
      <c r="I84" s="24" t="s">
        <v>186</v>
      </c>
      <c r="J84" s="24" t="s">
        <v>187</v>
      </c>
      <c r="K84" s="17" t="s">
        <v>214</v>
      </c>
      <c r="L84" s="26">
        <v>46081</v>
      </c>
      <c r="M84" s="27">
        <v>1254.44</v>
      </c>
      <c r="N84" s="17" t="s">
        <v>28</v>
      </c>
      <c r="O84" s="40" t="s">
        <v>64</v>
      </c>
      <c r="P84" s="13" t="s">
        <v>30</v>
      </c>
      <c r="Q84" s="13" t="s">
        <v>84</v>
      </c>
      <c r="R84" s="13" t="s">
        <v>31</v>
      </c>
      <c r="S84" s="10"/>
      <c r="T84" s="10">
        <v>1</v>
      </c>
      <c r="U84" s="81"/>
      <c r="V84" s="11"/>
      <c r="W84" s="11"/>
      <c r="X84" s="81"/>
      <c r="Y84" s="12"/>
      <c r="Z84" s="12"/>
      <c r="AA84" s="12"/>
      <c r="AB84" s="12"/>
      <c r="AC84" s="12"/>
      <c r="AD84" s="81"/>
      <c r="AE84" s="13"/>
      <c r="AF84" s="13"/>
      <c r="AG84" s="17"/>
    </row>
    <row r="85" spans="1:33" ht="15" customHeight="1" x14ac:dyDescent="0.3">
      <c r="A85" s="25" t="s">
        <v>213</v>
      </c>
      <c r="B85" s="80" t="s">
        <v>189</v>
      </c>
      <c r="C85" s="21" t="b">
        <v>0</v>
      </c>
      <c r="D85" s="21"/>
      <c r="E85" s="21" t="s">
        <v>183</v>
      </c>
      <c r="F85" s="24" t="s">
        <v>184</v>
      </c>
      <c r="G85" s="24" t="s">
        <v>185</v>
      </c>
      <c r="H85" s="24" t="s">
        <v>24</v>
      </c>
      <c r="I85" s="24" t="s">
        <v>186</v>
      </c>
      <c r="J85" s="24" t="s">
        <v>187</v>
      </c>
      <c r="K85" s="17" t="s">
        <v>215</v>
      </c>
      <c r="L85" s="26">
        <v>46080</v>
      </c>
      <c r="M85" s="27">
        <v>1253.69</v>
      </c>
      <c r="N85" s="17" t="s">
        <v>28</v>
      </c>
      <c r="O85" s="40" t="s">
        <v>65</v>
      </c>
      <c r="P85" s="13" t="s">
        <v>30</v>
      </c>
      <c r="Q85" s="13" t="s">
        <v>84</v>
      </c>
      <c r="R85" s="13" t="s">
        <v>31</v>
      </c>
      <c r="S85" s="10"/>
      <c r="T85" s="10">
        <v>1</v>
      </c>
      <c r="U85" s="81"/>
      <c r="V85" s="11"/>
      <c r="W85" s="11"/>
      <c r="X85" s="81"/>
      <c r="Y85" s="12"/>
      <c r="Z85" s="12"/>
      <c r="AA85" s="12"/>
      <c r="AB85" s="12"/>
      <c r="AC85" s="12"/>
      <c r="AD85" s="81"/>
      <c r="AE85" s="13"/>
      <c r="AF85" s="13"/>
      <c r="AG85" s="17"/>
    </row>
    <row r="86" spans="1:33" ht="15" customHeight="1" x14ac:dyDescent="0.3">
      <c r="A86" s="25" t="s">
        <v>213</v>
      </c>
      <c r="B86" s="80" t="s">
        <v>189</v>
      </c>
      <c r="C86" s="21" t="b">
        <v>0</v>
      </c>
      <c r="D86" s="21"/>
      <c r="E86" s="21" t="s">
        <v>183</v>
      </c>
      <c r="F86" s="24" t="s">
        <v>184</v>
      </c>
      <c r="G86" s="24" t="s">
        <v>185</v>
      </c>
      <c r="H86" s="24" t="s">
        <v>24</v>
      </c>
      <c r="I86" s="24" t="s">
        <v>186</v>
      </c>
      <c r="J86" s="24" t="s">
        <v>187</v>
      </c>
      <c r="K86" s="17" t="s">
        <v>215</v>
      </c>
      <c r="L86" s="26">
        <v>46080</v>
      </c>
      <c r="M86" s="27">
        <v>1252.94</v>
      </c>
      <c r="N86" s="17" t="s">
        <v>28</v>
      </c>
      <c r="O86" s="40" t="s">
        <v>66</v>
      </c>
      <c r="P86" s="13" t="s">
        <v>30</v>
      </c>
      <c r="Q86" s="13" t="s">
        <v>84</v>
      </c>
      <c r="R86" s="13" t="s">
        <v>31</v>
      </c>
      <c r="S86" s="10"/>
      <c r="T86" s="10">
        <v>1</v>
      </c>
      <c r="U86" s="81"/>
      <c r="V86" s="11"/>
      <c r="W86" s="11"/>
      <c r="X86" s="81"/>
      <c r="Y86" s="12"/>
      <c r="Z86" s="12"/>
      <c r="AA86" s="12"/>
      <c r="AB86" s="12"/>
      <c r="AC86" s="12"/>
      <c r="AD86" s="81"/>
      <c r="AE86" s="13"/>
      <c r="AF86" s="13"/>
      <c r="AG86" s="17"/>
    </row>
    <row r="87" spans="1:33" ht="15" customHeight="1" x14ac:dyDescent="0.3">
      <c r="A87" s="25" t="s">
        <v>213</v>
      </c>
      <c r="B87" s="80" t="s">
        <v>189</v>
      </c>
      <c r="C87" s="21" t="b">
        <v>0</v>
      </c>
      <c r="D87" s="21"/>
      <c r="E87" s="21" t="s">
        <v>183</v>
      </c>
      <c r="F87" s="24" t="s">
        <v>184</v>
      </c>
      <c r="G87" s="24" t="s">
        <v>185</v>
      </c>
      <c r="H87" s="24" t="s">
        <v>24</v>
      </c>
      <c r="I87" s="24" t="s">
        <v>186</v>
      </c>
      <c r="J87" s="24" t="s">
        <v>187</v>
      </c>
      <c r="K87" s="17" t="s">
        <v>215</v>
      </c>
      <c r="L87" s="26">
        <v>46080</v>
      </c>
      <c r="M87" s="27">
        <v>1252.19</v>
      </c>
      <c r="N87" s="17" t="s">
        <v>28</v>
      </c>
      <c r="O87" s="40" t="s">
        <v>67</v>
      </c>
      <c r="P87" s="13" t="s">
        <v>30</v>
      </c>
      <c r="Q87" s="13" t="s">
        <v>84</v>
      </c>
      <c r="R87" s="13" t="s">
        <v>31</v>
      </c>
      <c r="S87" s="10"/>
      <c r="T87" s="10">
        <v>1</v>
      </c>
      <c r="U87" s="81"/>
      <c r="V87" s="11"/>
      <c r="W87" s="11"/>
      <c r="X87" s="81"/>
      <c r="Y87" s="12"/>
      <c r="Z87" s="12"/>
      <c r="AA87" s="12"/>
      <c r="AB87" s="12"/>
      <c r="AC87" s="12"/>
      <c r="AD87" s="81"/>
      <c r="AE87" s="13"/>
      <c r="AF87" s="13"/>
      <c r="AG87" s="17"/>
    </row>
    <row r="88" spans="1:33" ht="15" customHeight="1" x14ac:dyDescent="0.3">
      <c r="A88" s="25" t="s">
        <v>213</v>
      </c>
      <c r="B88" s="80" t="s">
        <v>189</v>
      </c>
      <c r="C88" s="21" t="b">
        <v>0</v>
      </c>
      <c r="D88" s="21"/>
      <c r="E88" s="21" t="s">
        <v>183</v>
      </c>
      <c r="F88" s="24" t="s">
        <v>184</v>
      </c>
      <c r="G88" s="24" t="s">
        <v>185</v>
      </c>
      <c r="H88" s="24" t="s">
        <v>24</v>
      </c>
      <c r="I88" s="24" t="s">
        <v>186</v>
      </c>
      <c r="J88" s="24" t="s">
        <v>187</v>
      </c>
      <c r="K88" s="17" t="s">
        <v>216</v>
      </c>
      <c r="L88" s="26">
        <v>46078</v>
      </c>
      <c r="M88" s="27">
        <v>1251.44</v>
      </c>
      <c r="N88" s="17" t="s">
        <v>28</v>
      </c>
      <c r="O88" s="40" t="s">
        <v>29</v>
      </c>
      <c r="P88" s="13" t="s">
        <v>30</v>
      </c>
      <c r="Q88" s="13" t="s">
        <v>84</v>
      </c>
      <c r="R88" s="13" t="s">
        <v>31</v>
      </c>
      <c r="S88" s="10"/>
      <c r="T88" s="10">
        <v>1</v>
      </c>
      <c r="U88" s="81"/>
      <c r="V88" s="11"/>
      <c r="W88" s="11"/>
      <c r="X88" s="81"/>
      <c r="Y88" s="12"/>
      <c r="Z88" s="12"/>
      <c r="AA88" s="12"/>
      <c r="AB88" s="12"/>
      <c r="AC88" s="12"/>
      <c r="AD88" s="81"/>
      <c r="AE88" s="13"/>
      <c r="AF88" s="13"/>
      <c r="AG88" s="17"/>
    </row>
    <row r="89" spans="1:33" ht="15" customHeight="1" x14ac:dyDescent="0.3">
      <c r="A89" s="25" t="s">
        <v>213</v>
      </c>
      <c r="B89" s="80" t="s">
        <v>189</v>
      </c>
      <c r="C89" s="21" t="b">
        <v>0</v>
      </c>
      <c r="D89" s="21"/>
      <c r="E89" s="21" t="s">
        <v>183</v>
      </c>
      <c r="F89" s="24" t="s">
        <v>184</v>
      </c>
      <c r="G89" s="24" t="s">
        <v>185</v>
      </c>
      <c r="H89" s="24" t="s">
        <v>24</v>
      </c>
      <c r="I89" s="24" t="s">
        <v>186</v>
      </c>
      <c r="J89" s="24" t="s">
        <v>187</v>
      </c>
      <c r="K89" s="17" t="s">
        <v>216</v>
      </c>
      <c r="L89" s="26">
        <v>46078</v>
      </c>
      <c r="M89" s="27">
        <v>1250.69</v>
      </c>
      <c r="N89" s="17" t="s">
        <v>28</v>
      </c>
      <c r="O89" s="40" t="s">
        <v>63</v>
      </c>
      <c r="P89" s="13" t="s">
        <v>30</v>
      </c>
      <c r="Q89" s="13" t="s">
        <v>84</v>
      </c>
      <c r="R89" s="13" t="s">
        <v>31</v>
      </c>
      <c r="S89" s="10"/>
      <c r="T89" s="10">
        <v>1</v>
      </c>
      <c r="U89" s="81"/>
      <c r="V89" s="11"/>
      <c r="W89" s="11"/>
      <c r="X89" s="81"/>
      <c r="Y89" s="12"/>
      <c r="Z89" s="12"/>
      <c r="AA89" s="12"/>
      <c r="AB89" s="12"/>
      <c r="AC89" s="12"/>
      <c r="AD89" s="81"/>
      <c r="AE89" s="13"/>
      <c r="AF89" s="13"/>
      <c r="AG89" s="17"/>
    </row>
    <row r="90" spans="1:33" ht="15" customHeight="1" x14ac:dyDescent="0.3">
      <c r="A90" s="25" t="s">
        <v>213</v>
      </c>
      <c r="B90" s="80" t="s">
        <v>189</v>
      </c>
      <c r="C90" s="21" t="b">
        <v>0</v>
      </c>
      <c r="D90" s="21"/>
      <c r="E90" s="21" t="s">
        <v>183</v>
      </c>
      <c r="F90" s="24" t="s">
        <v>184</v>
      </c>
      <c r="G90" s="24" t="s">
        <v>185</v>
      </c>
      <c r="H90" s="24" t="s">
        <v>24</v>
      </c>
      <c r="I90" s="24" t="s">
        <v>186</v>
      </c>
      <c r="J90" s="24" t="s">
        <v>187</v>
      </c>
      <c r="K90" s="17" t="s">
        <v>216</v>
      </c>
      <c r="L90" s="26">
        <v>46078</v>
      </c>
      <c r="M90" s="27">
        <v>1249.94</v>
      </c>
      <c r="N90" s="17" t="s">
        <v>28</v>
      </c>
      <c r="O90" s="40" t="s">
        <v>64</v>
      </c>
      <c r="P90" s="13" t="s">
        <v>30</v>
      </c>
      <c r="Q90" s="13" t="s">
        <v>84</v>
      </c>
      <c r="R90" s="13" t="s">
        <v>31</v>
      </c>
      <c r="S90" s="10"/>
      <c r="T90" s="10">
        <v>1</v>
      </c>
      <c r="U90" s="81"/>
      <c r="V90" s="11"/>
      <c r="W90" s="11"/>
      <c r="X90" s="81"/>
      <c r="Y90" s="12"/>
      <c r="Z90" s="12"/>
      <c r="AA90" s="12"/>
      <c r="AB90" s="12"/>
      <c r="AC90" s="12"/>
      <c r="AD90" s="81"/>
      <c r="AE90" s="13"/>
      <c r="AF90" s="13"/>
      <c r="AG90" s="17"/>
    </row>
    <row r="91" spans="1:33" ht="15" customHeight="1" x14ac:dyDescent="0.3">
      <c r="A91" s="25" t="s">
        <v>213</v>
      </c>
      <c r="B91" s="80" t="s">
        <v>189</v>
      </c>
      <c r="C91" s="21" t="b">
        <v>0</v>
      </c>
      <c r="D91" s="21"/>
      <c r="E91" s="21" t="s">
        <v>183</v>
      </c>
      <c r="F91" s="24" t="s">
        <v>184</v>
      </c>
      <c r="G91" s="24" t="s">
        <v>185</v>
      </c>
      <c r="H91" s="24" t="s">
        <v>24</v>
      </c>
      <c r="I91" s="24" t="s">
        <v>186</v>
      </c>
      <c r="J91" s="24" t="s">
        <v>187</v>
      </c>
      <c r="K91" s="17" t="s">
        <v>217</v>
      </c>
      <c r="L91" s="26">
        <v>46077</v>
      </c>
      <c r="M91" s="27">
        <v>1249.19</v>
      </c>
      <c r="N91" s="17" t="s">
        <v>28</v>
      </c>
      <c r="O91" s="40" t="s">
        <v>65</v>
      </c>
      <c r="P91" s="13" t="s">
        <v>30</v>
      </c>
      <c r="Q91" s="13" t="s">
        <v>84</v>
      </c>
      <c r="R91" s="13" t="s">
        <v>31</v>
      </c>
      <c r="S91" s="10"/>
      <c r="T91" s="10">
        <v>1</v>
      </c>
      <c r="U91" s="81"/>
      <c r="V91" s="11"/>
      <c r="W91" s="11"/>
      <c r="X91" s="81"/>
      <c r="Y91" s="12"/>
      <c r="Z91" s="12"/>
      <c r="AA91" s="12"/>
      <c r="AB91" s="12"/>
      <c r="AC91" s="12"/>
      <c r="AD91" s="81"/>
      <c r="AE91" s="13"/>
      <c r="AF91" s="13"/>
      <c r="AG91" s="17"/>
    </row>
    <row r="92" spans="1:33" ht="15" customHeight="1" x14ac:dyDescent="0.3">
      <c r="A92" s="25" t="s">
        <v>213</v>
      </c>
      <c r="B92" s="80" t="s">
        <v>189</v>
      </c>
      <c r="C92" s="21" t="b">
        <v>0</v>
      </c>
      <c r="D92" s="21"/>
      <c r="E92" s="21" t="s">
        <v>183</v>
      </c>
      <c r="F92" s="24" t="s">
        <v>184</v>
      </c>
      <c r="G92" s="24" t="s">
        <v>185</v>
      </c>
      <c r="H92" s="24" t="s">
        <v>24</v>
      </c>
      <c r="I92" s="24" t="s">
        <v>186</v>
      </c>
      <c r="J92" s="24" t="s">
        <v>187</v>
      </c>
      <c r="K92" s="17" t="s">
        <v>217</v>
      </c>
      <c r="L92" s="26">
        <v>46077</v>
      </c>
      <c r="M92" s="27">
        <v>1248.44</v>
      </c>
      <c r="N92" s="17" t="s">
        <v>28</v>
      </c>
      <c r="O92" s="40" t="s">
        <v>66</v>
      </c>
      <c r="P92" s="13" t="s">
        <v>30</v>
      </c>
      <c r="Q92" s="13" t="s">
        <v>84</v>
      </c>
      <c r="R92" s="13" t="s">
        <v>31</v>
      </c>
      <c r="S92" s="10"/>
      <c r="T92" s="10">
        <v>1</v>
      </c>
      <c r="U92" s="81"/>
      <c r="V92" s="11"/>
      <c r="W92" s="11"/>
      <c r="X92" s="81"/>
      <c r="Y92" s="12"/>
      <c r="Z92" s="12"/>
      <c r="AA92" s="12"/>
      <c r="AB92" s="12"/>
      <c r="AC92" s="12"/>
      <c r="AD92" s="81"/>
      <c r="AE92" s="13"/>
      <c r="AF92" s="13"/>
      <c r="AG92" s="17"/>
    </row>
    <row r="93" spans="1:33" ht="15" customHeight="1" x14ac:dyDescent="0.3">
      <c r="A93" s="25" t="s">
        <v>213</v>
      </c>
      <c r="B93" s="80" t="s">
        <v>189</v>
      </c>
      <c r="C93" s="21" t="b">
        <v>0</v>
      </c>
      <c r="D93" s="21"/>
      <c r="E93" s="21" t="s">
        <v>183</v>
      </c>
      <c r="F93" s="24" t="s">
        <v>184</v>
      </c>
      <c r="G93" s="24" t="s">
        <v>185</v>
      </c>
      <c r="H93" s="24" t="s">
        <v>24</v>
      </c>
      <c r="I93" s="24" t="s">
        <v>186</v>
      </c>
      <c r="J93" s="24" t="s">
        <v>187</v>
      </c>
      <c r="K93" s="17" t="s">
        <v>217</v>
      </c>
      <c r="L93" s="26">
        <v>46077</v>
      </c>
      <c r="M93" s="27">
        <v>1247.69</v>
      </c>
      <c r="N93" s="17" t="s">
        <v>28</v>
      </c>
      <c r="O93" s="40" t="s">
        <v>67</v>
      </c>
      <c r="P93" s="13" t="s">
        <v>30</v>
      </c>
      <c r="Q93" s="13" t="s">
        <v>84</v>
      </c>
      <c r="R93" s="13" t="s">
        <v>31</v>
      </c>
      <c r="S93" s="10"/>
      <c r="T93" s="10">
        <v>1</v>
      </c>
      <c r="U93" s="81"/>
      <c r="V93" s="11"/>
      <c r="W93" s="11"/>
      <c r="X93" s="81"/>
      <c r="Y93" s="12"/>
      <c r="Z93" s="12"/>
      <c r="AA93" s="12"/>
      <c r="AB93" s="12"/>
      <c r="AC93" s="12"/>
      <c r="AD93" s="81"/>
      <c r="AE93" s="13"/>
      <c r="AF93" s="13"/>
      <c r="AG93" s="17"/>
    </row>
    <row r="94" spans="1:33" ht="15" customHeight="1" x14ac:dyDescent="0.3">
      <c r="A94" s="25" t="s">
        <v>213</v>
      </c>
      <c r="B94" s="80" t="s">
        <v>189</v>
      </c>
      <c r="C94" s="21" t="b">
        <v>0</v>
      </c>
      <c r="D94" s="21"/>
      <c r="E94" s="21" t="s">
        <v>183</v>
      </c>
      <c r="F94" s="24" t="s">
        <v>184</v>
      </c>
      <c r="G94" s="24" t="s">
        <v>185</v>
      </c>
      <c r="H94" s="24" t="s">
        <v>24</v>
      </c>
      <c r="I94" s="24" t="s">
        <v>186</v>
      </c>
      <c r="J94" s="24" t="s">
        <v>187</v>
      </c>
      <c r="K94" s="17" t="s">
        <v>218</v>
      </c>
      <c r="L94" s="26">
        <v>46076</v>
      </c>
      <c r="M94" s="27">
        <v>1246.94</v>
      </c>
      <c r="N94" s="17" t="s">
        <v>28</v>
      </c>
      <c r="O94" s="40" t="s">
        <v>29</v>
      </c>
      <c r="P94" s="13" t="s">
        <v>30</v>
      </c>
      <c r="Q94" s="13" t="s">
        <v>84</v>
      </c>
      <c r="R94" s="13" t="s">
        <v>31</v>
      </c>
      <c r="S94" s="10"/>
      <c r="T94" s="10">
        <v>1</v>
      </c>
      <c r="U94" s="81"/>
      <c r="V94" s="11"/>
      <c r="W94" s="11"/>
      <c r="X94" s="81"/>
      <c r="Y94" s="12"/>
      <c r="Z94" s="12"/>
      <c r="AA94" s="12"/>
      <c r="AB94" s="12"/>
      <c r="AC94" s="12"/>
      <c r="AD94" s="81"/>
      <c r="AE94" s="13"/>
      <c r="AF94" s="13"/>
      <c r="AG94" s="17"/>
    </row>
    <row r="95" spans="1:33" ht="15" customHeight="1" x14ac:dyDescent="0.3">
      <c r="A95" s="25" t="s">
        <v>213</v>
      </c>
      <c r="B95" s="80" t="s">
        <v>189</v>
      </c>
      <c r="C95" s="21" t="b">
        <v>0</v>
      </c>
      <c r="D95" s="21"/>
      <c r="E95" s="21" t="s">
        <v>183</v>
      </c>
      <c r="F95" s="24" t="s">
        <v>184</v>
      </c>
      <c r="G95" s="24" t="s">
        <v>185</v>
      </c>
      <c r="H95" s="24" t="s">
        <v>24</v>
      </c>
      <c r="I95" s="24" t="s">
        <v>186</v>
      </c>
      <c r="J95" s="24" t="s">
        <v>187</v>
      </c>
      <c r="K95" s="17" t="s">
        <v>218</v>
      </c>
      <c r="L95" s="26">
        <v>46076</v>
      </c>
      <c r="M95" s="27">
        <v>1246.19</v>
      </c>
      <c r="N95" s="17" t="s">
        <v>28</v>
      </c>
      <c r="O95" s="40" t="s">
        <v>63</v>
      </c>
      <c r="P95" s="13" t="s">
        <v>30</v>
      </c>
      <c r="Q95" s="13" t="s">
        <v>84</v>
      </c>
      <c r="R95" s="13" t="s">
        <v>31</v>
      </c>
      <c r="S95" s="10"/>
      <c r="T95" s="10">
        <v>1</v>
      </c>
      <c r="U95" s="81"/>
      <c r="V95" s="11"/>
      <c r="W95" s="11"/>
      <c r="X95" s="81"/>
      <c r="Y95" s="12"/>
      <c r="Z95" s="12"/>
      <c r="AA95" s="12"/>
      <c r="AB95" s="12"/>
      <c r="AC95" s="12"/>
      <c r="AD95" s="81"/>
      <c r="AE95" s="13"/>
      <c r="AF95" s="13"/>
      <c r="AG95" s="17"/>
    </row>
    <row r="96" spans="1:33" ht="15" customHeight="1" x14ac:dyDescent="0.3">
      <c r="A96" s="25" t="s">
        <v>213</v>
      </c>
      <c r="B96" s="80" t="s">
        <v>189</v>
      </c>
      <c r="C96" s="21" t="b">
        <v>0</v>
      </c>
      <c r="D96" s="21"/>
      <c r="E96" s="21" t="s">
        <v>183</v>
      </c>
      <c r="F96" s="24" t="s">
        <v>184</v>
      </c>
      <c r="G96" s="24" t="s">
        <v>185</v>
      </c>
      <c r="H96" s="24" t="s">
        <v>24</v>
      </c>
      <c r="I96" s="24" t="s">
        <v>186</v>
      </c>
      <c r="J96" s="24" t="s">
        <v>187</v>
      </c>
      <c r="K96" s="17" t="s">
        <v>218</v>
      </c>
      <c r="L96" s="26">
        <v>46076</v>
      </c>
      <c r="M96" s="27">
        <v>1245.44</v>
      </c>
      <c r="N96" s="17" t="s">
        <v>28</v>
      </c>
      <c r="O96" s="40" t="s">
        <v>64</v>
      </c>
      <c r="P96" s="13" t="s">
        <v>30</v>
      </c>
      <c r="Q96" s="13" t="s">
        <v>84</v>
      </c>
      <c r="R96" s="13" t="s">
        <v>31</v>
      </c>
      <c r="S96" s="10"/>
      <c r="T96" s="10">
        <v>1</v>
      </c>
      <c r="U96" s="81"/>
      <c r="V96" s="11"/>
      <c r="W96" s="11"/>
      <c r="X96" s="81"/>
      <c r="Y96" s="12"/>
      <c r="Z96" s="12"/>
      <c r="AA96" s="12"/>
      <c r="AB96" s="12"/>
      <c r="AC96" s="12"/>
      <c r="AD96" s="81"/>
      <c r="AE96" s="13"/>
      <c r="AF96" s="13"/>
      <c r="AG96" s="17"/>
    </row>
    <row r="97" spans="1:33" ht="15" customHeight="1" x14ac:dyDescent="0.3">
      <c r="A97" s="25" t="s">
        <v>213</v>
      </c>
      <c r="B97" s="80" t="s">
        <v>189</v>
      </c>
      <c r="C97" s="21" t="b">
        <v>0</v>
      </c>
      <c r="D97" s="21"/>
      <c r="E97" s="21" t="s">
        <v>183</v>
      </c>
      <c r="F97" s="24" t="s">
        <v>184</v>
      </c>
      <c r="G97" s="24" t="s">
        <v>185</v>
      </c>
      <c r="H97" s="24" t="s">
        <v>24</v>
      </c>
      <c r="I97" s="24" t="s">
        <v>186</v>
      </c>
      <c r="J97" s="24" t="s">
        <v>187</v>
      </c>
      <c r="K97" s="17" t="s">
        <v>219</v>
      </c>
      <c r="L97" s="26">
        <v>46074</v>
      </c>
      <c r="M97" s="27">
        <v>1244.69</v>
      </c>
      <c r="N97" s="17" t="s">
        <v>28</v>
      </c>
      <c r="O97" s="40" t="s">
        <v>65</v>
      </c>
      <c r="P97" s="13" t="s">
        <v>30</v>
      </c>
      <c r="Q97" s="13" t="s">
        <v>84</v>
      </c>
      <c r="R97" s="13" t="s">
        <v>31</v>
      </c>
      <c r="S97" s="10"/>
      <c r="T97" s="10">
        <v>1</v>
      </c>
      <c r="U97" s="81"/>
      <c r="V97" s="11"/>
      <c r="W97" s="11"/>
      <c r="X97" s="81"/>
      <c r="Y97" s="12"/>
      <c r="Z97" s="12"/>
      <c r="AA97" s="12"/>
      <c r="AB97" s="12"/>
      <c r="AC97" s="12"/>
      <c r="AD97" s="81"/>
      <c r="AE97" s="13"/>
      <c r="AF97" s="13"/>
      <c r="AG97" s="17"/>
    </row>
    <row r="98" spans="1:33" ht="15" customHeight="1" x14ac:dyDescent="0.3">
      <c r="A98" s="25" t="s">
        <v>213</v>
      </c>
      <c r="B98" s="80" t="s">
        <v>189</v>
      </c>
      <c r="C98" s="21" t="b">
        <v>0</v>
      </c>
      <c r="D98" s="21"/>
      <c r="E98" s="21" t="s">
        <v>183</v>
      </c>
      <c r="F98" s="24" t="s">
        <v>184</v>
      </c>
      <c r="G98" s="24" t="s">
        <v>185</v>
      </c>
      <c r="H98" s="24" t="s">
        <v>24</v>
      </c>
      <c r="I98" s="24" t="s">
        <v>186</v>
      </c>
      <c r="J98" s="24" t="s">
        <v>187</v>
      </c>
      <c r="K98" s="17" t="s">
        <v>219</v>
      </c>
      <c r="L98" s="26">
        <v>46074</v>
      </c>
      <c r="M98" s="27">
        <v>1243.94</v>
      </c>
      <c r="N98" s="17" t="s">
        <v>28</v>
      </c>
      <c r="O98" s="40" t="s">
        <v>66</v>
      </c>
      <c r="P98" s="13" t="s">
        <v>30</v>
      </c>
      <c r="Q98" s="13" t="s">
        <v>84</v>
      </c>
      <c r="R98" s="13" t="s">
        <v>31</v>
      </c>
      <c r="S98" s="10"/>
      <c r="T98" s="10">
        <v>1</v>
      </c>
      <c r="U98" s="81"/>
      <c r="V98" s="11"/>
      <c r="W98" s="11"/>
      <c r="X98" s="81"/>
      <c r="Y98" s="12"/>
      <c r="Z98" s="12"/>
      <c r="AA98" s="12"/>
      <c r="AB98" s="12"/>
      <c r="AC98" s="12"/>
      <c r="AD98" s="81"/>
      <c r="AE98" s="13"/>
      <c r="AF98" s="13"/>
      <c r="AG98" s="17"/>
    </row>
    <row r="99" spans="1:33" ht="15" customHeight="1" x14ac:dyDescent="0.3">
      <c r="A99" s="25" t="s">
        <v>213</v>
      </c>
      <c r="B99" s="80" t="s">
        <v>189</v>
      </c>
      <c r="C99" s="21" t="b">
        <v>0</v>
      </c>
      <c r="D99" s="21"/>
      <c r="E99" s="21" t="s">
        <v>183</v>
      </c>
      <c r="F99" s="24" t="s">
        <v>184</v>
      </c>
      <c r="G99" s="24" t="s">
        <v>185</v>
      </c>
      <c r="H99" s="24" t="s">
        <v>24</v>
      </c>
      <c r="I99" s="24" t="s">
        <v>186</v>
      </c>
      <c r="J99" s="24" t="s">
        <v>187</v>
      </c>
      <c r="K99" s="17" t="s">
        <v>219</v>
      </c>
      <c r="L99" s="26">
        <v>46074</v>
      </c>
      <c r="M99" s="27">
        <v>1243.4000000000001</v>
      </c>
      <c r="N99" s="17" t="s">
        <v>28</v>
      </c>
      <c r="O99" s="40" t="s">
        <v>67</v>
      </c>
      <c r="P99" s="13" t="s">
        <v>30</v>
      </c>
      <c r="Q99" s="13" t="s">
        <v>84</v>
      </c>
      <c r="R99" s="13" t="s">
        <v>31</v>
      </c>
      <c r="S99" s="10"/>
      <c r="T99" s="10">
        <v>1</v>
      </c>
      <c r="U99" s="81"/>
      <c r="V99" s="11"/>
      <c r="W99" s="11"/>
      <c r="X99" s="81"/>
      <c r="Y99" s="12"/>
      <c r="Z99" s="12"/>
      <c r="AA99" s="12"/>
      <c r="AB99" s="12"/>
      <c r="AC99" s="12"/>
      <c r="AD99" s="81"/>
      <c r="AE99" s="13"/>
      <c r="AF99" s="13"/>
      <c r="AG99" s="17"/>
    </row>
    <row r="100" spans="1:33" ht="15" customHeight="1" x14ac:dyDescent="0.3">
      <c r="A100" s="25" t="s">
        <v>213</v>
      </c>
      <c r="B100" s="80" t="s">
        <v>189</v>
      </c>
      <c r="C100" s="21" t="b">
        <v>0</v>
      </c>
      <c r="D100" s="21"/>
      <c r="E100" s="21" t="s">
        <v>183</v>
      </c>
      <c r="F100" s="24" t="s">
        <v>184</v>
      </c>
      <c r="G100" s="24" t="s">
        <v>185</v>
      </c>
      <c r="H100" s="24" t="s">
        <v>24</v>
      </c>
      <c r="I100" s="24" t="s">
        <v>186</v>
      </c>
      <c r="J100" s="24" t="s">
        <v>187</v>
      </c>
      <c r="K100" s="17" t="s">
        <v>219</v>
      </c>
      <c r="L100" s="26">
        <v>46074</v>
      </c>
      <c r="M100" s="27">
        <v>1242.8599999999999</v>
      </c>
      <c r="N100" s="17" t="s">
        <v>28</v>
      </c>
      <c r="O100" s="40" t="s">
        <v>67</v>
      </c>
      <c r="P100" s="13" t="s">
        <v>30</v>
      </c>
      <c r="Q100" s="13" t="s">
        <v>84</v>
      </c>
      <c r="R100" s="13" t="s">
        <v>31</v>
      </c>
      <c r="S100" s="10"/>
      <c r="T100" s="10">
        <v>1</v>
      </c>
      <c r="U100" s="81"/>
      <c r="V100" s="11"/>
      <c r="W100" s="11"/>
      <c r="X100" s="81"/>
      <c r="Y100" s="12"/>
      <c r="Z100" s="12"/>
      <c r="AA100" s="12"/>
      <c r="AB100" s="12"/>
      <c r="AC100" s="12"/>
      <c r="AD100" s="81"/>
      <c r="AE100" s="13"/>
      <c r="AF100" s="13"/>
      <c r="AG100" s="17"/>
    </row>
    <row r="101" spans="1:33" ht="15" customHeight="1" x14ac:dyDescent="0.3">
      <c r="A101" s="25" t="s">
        <v>213</v>
      </c>
      <c r="B101" s="80" t="s">
        <v>189</v>
      </c>
      <c r="C101" s="21" t="b">
        <v>0</v>
      </c>
      <c r="D101" s="21"/>
      <c r="E101" s="21" t="s">
        <v>183</v>
      </c>
      <c r="F101" s="24" t="s">
        <v>184</v>
      </c>
      <c r="G101" s="24" t="s">
        <v>185</v>
      </c>
      <c r="H101" s="24" t="s">
        <v>24</v>
      </c>
      <c r="I101" s="24" t="s">
        <v>186</v>
      </c>
      <c r="J101" s="24" t="s">
        <v>187</v>
      </c>
      <c r="K101" s="17" t="s">
        <v>190</v>
      </c>
      <c r="L101" s="26">
        <v>46074</v>
      </c>
      <c r="M101" s="27" t="s">
        <v>220</v>
      </c>
      <c r="N101" s="17" t="s">
        <v>28</v>
      </c>
      <c r="O101" s="40" t="s">
        <v>67</v>
      </c>
      <c r="P101" s="13" t="s">
        <v>30</v>
      </c>
      <c r="Q101" s="13" t="s">
        <v>84</v>
      </c>
      <c r="R101" s="13" t="s">
        <v>31</v>
      </c>
      <c r="S101" s="10"/>
      <c r="T101" s="10"/>
      <c r="U101" s="81"/>
      <c r="V101" s="11"/>
      <c r="W101" s="11"/>
      <c r="X101" s="81"/>
      <c r="Y101" s="12"/>
      <c r="Z101" s="12"/>
      <c r="AA101" s="12"/>
      <c r="AB101" s="12"/>
      <c r="AC101" s="12"/>
      <c r="AD101" s="81"/>
      <c r="AE101" s="13"/>
      <c r="AF101" s="13"/>
      <c r="AG101" s="17"/>
    </row>
    <row r="103" spans="1:33" ht="15" customHeight="1" x14ac:dyDescent="0.3">
      <c r="M103" s="83"/>
    </row>
    <row r="104" spans="1:33" ht="15" customHeight="1" x14ac:dyDescent="0.3">
      <c r="A104" s="25" t="s">
        <v>181</v>
      </c>
      <c r="B104" s="80" t="s">
        <v>182</v>
      </c>
      <c r="C104" s="21" t="b">
        <v>0</v>
      </c>
      <c r="D104" s="21"/>
      <c r="E104" s="21" t="s">
        <v>183</v>
      </c>
      <c r="F104" s="24" t="s">
        <v>184</v>
      </c>
      <c r="G104" s="24" t="s">
        <v>185</v>
      </c>
      <c r="H104" s="24" t="s">
        <v>24</v>
      </c>
      <c r="I104" s="24" t="s">
        <v>186</v>
      </c>
      <c r="J104" s="24" t="s">
        <v>187</v>
      </c>
      <c r="K104" s="17" t="s">
        <v>221</v>
      </c>
      <c r="L104" s="26">
        <v>46092</v>
      </c>
      <c r="M104" s="27">
        <v>1255.57</v>
      </c>
      <c r="N104" s="17">
        <v>0.75</v>
      </c>
      <c r="O104" s="40"/>
      <c r="P104" s="13"/>
      <c r="Q104" s="13"/>
      <c r="R104" s="13"/>
      <c r="S104" s="10"/>
      <c r="T104" s="10"/>
      <c r="U104" s="81"/>
      <c r="V104" s="11"/>
      <c r="W104" s="11"/>
      <c r="X104" s="81"/>
      <c r="Y104" s="12"/>
      <c r="Z104" s="12"/>
      <c r="AA104" s="12"/>
      <c r="AB104" s="12"/>
      <c r="AC104" s="12">
        <v>3</v>
      </c>
      <c r="AD104" s="81"/>
      <c r="AE104" s="13"/>
      <c r="AF104" s="13"/>
      <c r="AG104" s="17"/>
    </row>
    <row r="105" spans="1:33" ht="15" customHeight="1" x14ac:dyDescent="0.3">
      <c r="A105" s="25" t="s">
        <v>181</v>
      </c>
      <c r="B105" s="80" t="s">
        <v>182</v>
      </c>
      <c r="C105" s="21" t="b">
        <v>0</v>
      </c>
      <c r="D105" s="21"/>
      <c r="E105" s="21" t="s">
        <v>183</v>
      </c>
      <c r="F105" s="24" t="s">
        <v>184</v>
      </c>
      <c r="G105" s="24" t="s">
        <v>185</v>
      </c>
      <c r="H105" s="24" t="s">
        <v>24</v>
      </c>
      <c r="I105" s="24" t="s">
        <v>186</v>
      </c>
      <c r="J105" s="24" t="s">
        <v>187</v>
      </c>
      <c r="K105" s="17" t="s">
        <v>221</v>
      </c>
      <c r="L105" s="26">
        <v>46092</v>
      </c>
      <c r="M105" s="27">
        <f>+M104-N104</f>
        <v>1254.82</v>
      </c>
      <c r="N105" s="17">
        <v>0.75</v>
      </c>
      <c r="O105" s="40"/>
      <c r="P105" s="13"/>
      <c r="Q105" s="13"/>
      <c r="R105" s="13"/>
      <c r="S105" s="10"/>
      <c r="T105" s="10"/>
      <c r="U105" s="81"/>
      <c r="V105" s="11"/>
      <c r="W105" s="11"/>
      <c r="X105" s="81"/>
      <c r="Y105" s="12"/>
      <c r="Z105" s="12"/>
      <c r="AA105" s="12"/>
      <c r="AB105" s="12"/>
      <c r="AC105" s="12">
        <v>3</v>
      </c>
      <c r="AD105" s="81"/>
      <c r="AE105" s="13"/>
      <c r="AF105" s="13"/>
      <c r="AG105" s="17"/>
    </row>
    <row r="106" spans="1:33" ht="15" customHeight="1" x14ac:dyDescent="0.3">
      <c r="A106" s="25" t="s">
        <v>181</v>
      </c>
      <c r="B106" s="80" t="s">
        <v>182</v>
      </c>
      <c r="C106" s="21" t="b">
        <v>0</v>
      </c>
      <c r="D106" s="21"/>
      <c r="E106" s="21" t="s">
        <v>183</v>
      </c>
      <c r="F106" s="24" t="s">
        <v>184</v>
      </c>
      <c r="G106" s="24" t="s">
        <v>185</v>
      </c>
      <c r="H106" s="24" t="s">
        <v>24</v>
      </c>
      <c r="I106" s="24" t="s">
        <v>186</v>
      </c>
      <c r="J106" s="24" t="s">
        <v>187</v>
      </c>
      <c r="K106" s="17" t="s">
        <v>221</v>
      </c>
      <c r="L106" s="26">
        <v>46092</v>
      </c>
      <c r="M106" s="27">
        <f t="shared" ref="M106:M119" si="0">+M105-N105</f>
        <v>1254.07</v>
      </c>
      <c r="N106" s="17">
        <v>0.75</v>
      </c>
      <c r="O106" s="40"/>
      <c r="P106" s="13"/>
      <c r="Q106" s="13"/>
      <c r="R106" s="13"/>
      <c r="S106" s="10"/>
      <c r="T106" s="10"/>
      <c r="U106" s="81"/>
      <c r="V106" s="11"/>
      <c r="W106" s="11"/>
      <c r="X106" s="81"/>
      <c r="Y106" s="12"/>
      <c r="Z106" s="12"/>
      <c r="AA106" s="12"/>
      <c r="AB106" s="12"/>
      <c r="AC106" s="12">
        <v>3</v>
      </c>
      <c r="AD106" s="81"/>
      <c r="AE106" s="13"/>
      <c r="AF106" s="13"/>
      <c r="AG106" s="17"/>
    </row>
    <row r="107" spans="1:33" ht="15" customHeight="1" x14ac:dyDescent="0.3">
      <c r="A107" s="25" t="s">
        <v>181</v>
      </c>
      <c r="B107" s="80" t="s">
        <v>182</v>
      </c>
      <c r="C107" s="21" t="b">
        <v>0</v>
      </c>
      <c r="D107" s="21"/>
      <c r="E107" s="21" t="s">
        <v>183</v>
      </c>
      <c r="F107" s="24" t="s">
        <v>184</v>
      </c>
      <c r="G107" s="24" t="s">
        <v>185</v>
      </c>
      <c r="H107" s="24" t="s">
        <v>24</v>
      </c>
      <c r="I107" s="24" t="s">
        <v>186</v>
      </c>
      <c r="J107" s="24" t="s">
        <v>187</v>
      </c>
      <c r="K107" s="17" t="s">
        <v>221</v>
      </c>
      <c r="L107" s="26">
        <v>46092</v>
      </c>
      <c r="M107" s="27">
        <f t="shared" si="0"/>
        <v>1253.32</v>
      </c>
      <c r="N107" s="17">
        <v>0.75</v>
      </c>
      <c r="O107" s="40"/>
      <c r="P107" s="13"/>
      <c r="Q107" s="13"/>
      <c r="R107" s="13"/>
      <c r="S107" s="10"/>
      <c r="T107" s="10"/>
      <c r="U107" s="81"/>
      <c r="V107" s="11"/>
      <c r="W107" s="11"/>
      <c r="X107" s="81"/>
      <c r="Y107" s="12"/>
      <c r="Z107" s="12"/>
      <c r="AA107" s="12"/>
      <c r="AB107" s="12"/>
      <c r="AC107" s="12">
        <v>3</v>
      </c>
      <c r="AD107" s="81"/>
      <c r="AE107" s="13"/>
      <c r="AF107" s="13"/>
      <c r="AG107" s="17"/>
    </row>
    <row r="108" spans="1:33" ht="15" customHeight="1" x14ac:dyDescent="0.3">
      <c r="A108" s="25" t="s">
        <v>181</v>
      </c>
      <c r="B108" s="80" t="s">
        <v>182</v>
      </c>
      <c r="C108" s="21" t="b">
        <v>0</v>
      </c>
      <c r="D108" s="21"/>
      <c r="E108" s="21" t="s">
        <v>183</v>
      </c>
      <c r="F108" s="24" t="s">
        <v>184</v>
      </c>
      <c r="G108" s="24" t="s">
        <v>185</v>
      </c>
      <c r="H108" s="24" t="s">
        <v>24</v>
      </c>
      <c r="I108" s="24" t="s">
        <v>186</v>
      </c>
      <c r="J108" s="24" t="s">
        <v>187</v>
      </c>
      <c r="K108" s="17" t="s">
        <v>221</v>
      </c>
      <c r="L108" s="26">
        <v>46092</v>
      </c>
      <c r="M108" s="27">
        <f t="shared" si="0"/>
        <v>1252.57</v>
      </c>
      <c r="N108" s="17">
        <v>0.75</v>
      </c>
      <c r="O108" s="40"/>
      <c r="P108" s="13"/>
      <c r="Q108" s="13"/>
      <c r="R108" s="13"/>
      <c r="S108" s="10"/>
      <c r="T108" s="10"/>
      <c r="U108" s="81"/>
      <c r="V108" s="11"/>
      <c r="W108" s="11"/>
      <c r="X108" s="81"/>
      <c r="Y108" s="12"/>
      <c r="Z108" s="12"/>
      <c r="AA108" s="12"/>
      <c r="AB108" s="12"/>
      <c r="AC108" s="12">
        <v>3</v>
      </c>
      <c r="AD108" s="81"/>
      <c r="AE108" s="13"/>
      <c r="AF108" s="13"/>
      <c r="AG108" s="17"/>
    </row>
    <row r="109" spans="1:33" ht="15" customHeight="1" x14ac:dyDescent="0.3">
      <c r="A109" s="25" t="s">
        <v>181</v>
      </c>
      <c r="B109" s="80" t="s">
        <v>182</v>
      </c>
      <c r="C109" s="21" t="b">
        <v>0</v>
      </c>
      <c r="D109" s="21"/>
      <c r="E109" s="21" t="s">
        <v>183</v>
      </c>
      <c r="F109" s="24" t="s">
        <v>184</v>
      </c>
      <c r="G109" s="24" t="s">
        <v>185</v>
      </c>
      <c r="H109" s="24" t="s">
        <v>24</v>
      </c>
      <c r="I109" s="24" t="s">
        <v>186</v>
      </c>
      <c r="J109" s="24" t="s">
        <v>187</v>
      </c>
      <c r="K109" s="17" t="s">
        <v>221</v>
      </c>
      <c r="L109" s="26">
        <v>46092</v>
      </c>
      <c r="M109" s="27">
        <f t="shared" si="0"/>
        <v>1251.82</v>
      </c>
      <c r="N109" s="17">
        <v>0.75</v>
      </c>
      <c r="O109" s="40"/>
      <c r="P109" s="13"/>
      <c r="Q109" s="13"/>
      <c r="R109" s="13"/>
      <c r="S109" s="10"/>
      <c r="T109" s="10"/>
      <c r="U109" s="81"/>
      <c r="V109" s="11"/>
      <c r="W109" s="11"/>
      <c r="X109" s="81"/>
      <c r="Y109" s="12"/>
      <c r="Z109" s="12"/>
      <c r="AA109" s="12"/>
      <c r="AB109" s="12"/>
      <c r="AC109" s="12">
        <v>3</v>
      </c>
      <c r="AD109" s="81"/>
      <c r="AE109" s="13"/>
      <c r="AF109" s="13"/>
      <c r="AG109" s="17"/>
    </row>
    <row r="110" spans="1:33" ht="15" customHeight="1" x14ac:dyDescent="0.3">
      <c r="A110" s="25" t="s">
        <v>181</v>
      </c>
      <c r="B110" s="80" t="s">
        <v>182</v>
      </c>
      <c r="C110" s="21" t="b">
        <v>0</v>
      </c>
      <c r="D110" s="21"/>
      <c r="E110" s="21" t="s">
        <v>183</v>
      </c>
      <c r="F110" s="24" t="s">
        <v>184</v>
      </c>
      <c r="G110" s="24" t="s">
        <v>185</v>
      </c>
      <c r="H110" s="24" t="s">
        <v>24</v>
      </c>
      <c r="I110" s="24" t="s">
        <v>186</v>
      </c>
      <c r="J110" s="24" t="s">
        <v>187</v>
      </c>
      <c r="K110" s="17" t="s">
        <v>221</v>
      </c>
      <c r="L110" s="26">
        <v>46092</v>
      </c>
      <c r="M110" s="27">
        <f t="shared" si="0"/>
        <v>1251.07</v>
      </c>
      <c r="N110" s="17">
        <v>0.75</v>
      </c>
      <c r="O110" s="40"/>
      <c r="P110" s="13"/>
      <c r="Q110" s="13"/>
      <c r="R110" s="13"/>
      <c r="S110" s="10"/>
      <c r="T110" s="10"/>
      <c r="U110" s="81"/>
      <c r="V110" s="11"/>
      <c r="W110" s="11"/>
      <c r="X110" s="81"/>
      <c r="Y110" s="12"/>
      <c r="Z110" s="12"/>
      <c r="AA110" s="12"/>
      <c r="AB110" s="12"/>
      <c r="AC110" s="12">
        <v>3</v>
      </c>
      <c r="AD110" s="81"/>
      <c r="AE110" s="13"/>
      <c r="AF110" s="13"/>
      <c r="AG110" s="17"/>
    </row>
    <row r="111" spans="1:33" ht="15" customHeight="1" x14ac:dyDescent="0.3">
      <c r="A111" s="25" t="s">
        <v>181</v>
      </c>
      <c r="B111" s="80" t="s">
        <v>182</v>
      </c>
      <c r="C111" s="21" t="b">
        <v>0</v>
      </c>
      <c r="D111" s="21"/>
      <c r="E111" s="21" t="s">
        <v>183</v>
      </c>
      <c r="F111" s="24" t="s">
        <v>184</v>
      </c>
      <c r="G111" s="24" t="s">
        <v>185</v>
      </c>
      <c r="H111" s="24" t="s">
        <v>24</v>
      </c>
      <c r="I111" s="24" t="s">
        <v>186</v>
      </c>
      <c r="J111" s="24" t="s">
        <v>187</v>
      </c>
      <c r="K111" s="17" t="s">
        <v>221</v>
      </c>
      <c r="L111" s="26">
        <v>46092</v>
      </c>
      <c r="M111" s="27">
        <f t="shared" si="0"/>
        <v>1250.32</v>
      </c>
      <c r="N111" s="17">
        <v>0.75</v>
      </c>
      <c r="O111" s="40"/>
      <c r="P111" s="13"/>
      <c r="Q111" s="13"/>
      <c r="R111" s="13"/>
      <c r="S111" s="10"/>
      <c r="T111" s="10"/>
      <c r="U111" s="81"/>
      <c r="V111" s="11"/>
      <c r="W111" s="11"/>
      <c r="X111" s="81"/>
      <c r="Y111" s="12"/>
      <c r="Z111" s="12"/>
      <c r="AA111" s="12"/>
      <c r="AB111" s="12"/>
      <c r="AC111" s="12">
        <v>3</v>
      </c>
      <c r="AD111" s="81"/>
      <c r="AE111" s="13"/>
      <c r="AF111" s="13"/>
      <c r="AG111" s="17"/>
    </row>
    <row r="112" spans="1:33" ht="15" customHeight="1" x14ac:dyDescent="0.3">
      <c r="A112" s="25" t="s">
        <v>181</v>
      </c>
      <c r="B112" s="80" t="s">
        <v>182</v>
      </c>
      <c r="C112" s="21" t="b">
        <v>0</v>
      </c>
      <c r="D112" s="21"/>
      <c r="E112" s="21" t="s">
        <v>183</v>
      </c>
      <c r="F112" s="24" t="s">
        <v>184</v>
      </c>
      <c r="G112" s="24" t="s">
        <v>185</v>
      </c>
      <c r="H112" s="24" t="s">
        <v>24</v>
      </c>
      <c r="I112" s="24" t="s">
        <v>186</v>
      </c>
      <c r="J112" s="24" t="s">
        <v>187</v>
      </c>
      <c r="K112" s="17" t="s">
        <v>221</v>
      </c>
      <c r="L112" s="26">
        <v>46092</v>
      </c>
      <c r="M112" s="27">
        <f t="shared" si="0"/>
        <v>1249.57</v>
      </c>
      <c r="N112" s="17">
        <v>0.75</v>
      </c>
      <c r="O112" s="40"/>
      <c r="P112" s="13"/>
      <c r="Q112" s="13"/>
      <c r="R112" s="13"/>
      <c r="S112" s="10"/>
      <c r="T112" s="10"/>
      <c r="U112" s="81"/>
      <c r="V112" s="11"/>
      <c r="W112" s="11"/>
      <c r="X112" s="81"/>
      <c r="Y112" s="12"/>
      <c r="Z112" s="12"/>
      <c r="AA112" s="12"/>
      <c r="AB112" s="12"/>
      <c r="AC112" s="12">
        <v>3</v>
      </c>
      <c r="AD112" s="81"/>
      <c r="AE112" s="13"/>
      <c r="AF112" s="13"/>
      <c r="AG112" s="17"/>
    </row>
    <row r="113" spans="1:33" ht="15" customHeight="1" x14ac:dyDescent="0.3">
      <c r="A113" s="25" t="s">
        <v>181</v>
      </c>
      <c r="B113" s="80" t="s">
        <v>182</v>
      </c>
      <c r="C113" s="21" t="b">
        <v>0</v>
      </c>
      <c r="D113" s="21"/>
      <c r="E113" s="21" t="s">
        <v>183</v>
      </c>
      <c r="F113" s="24" t="s">
        <v>184</v>
      </c>
      <c r="G113" s="24" t="s">
        <v>185</v>
      </c>
      <c r="H113" s="24" t="s">
        <v>24</v>
      </c>
      <c r="I113" s="24" t="s">
        <v>186</v>
      </c>
      <c r="J113" s="24" t="s">
        <v>187</v>
      </c>
      <c r="K113" s="17" t="s">
        <v>221</v>
      </c>
      <c r="L113" s="26">
        <v>46092</v>
      </c>
      <c r="M113" s="27">
        <f t="shared" si="0"/>
        <v>1248.82</v>
      </c>
      <c r="N113" s="17">
        <v>0.75</v>
      </c>
      <c r="O113" s="40"/>
      <c r="P113" s="13"/>
      <c r="Q113" s="13"/>
      <c r="R113" s="13"/>
      <c r="S113" s="10"/>
      <c r="T113" s="10"/>
      <c r="U113" s="81"/>
      <c r="V113" s="11"/>
      <c r="W113" s="11"/>
      <c r="X113" s="81"/>
      <c r="Y113" s="12"/>
      <c r="Z113" s="12"/>
      <c r="AA113" s="12"/>
      <c r="AB113" s="12"/>
      <c r="AC113" s="12">
        <v>3</v>
      </c>
      <c r="AD113" s="81"/>
      <c r="AE113" s="13"/>
      <c r="AF113" s="13"/>
      <c r="AG113" s="17"/>
    </row>
    <row r="114" spans="1:33" ht="15" customHeight="1" x14ac:dyDescent="0.3">
      <c r="A114" s="25" t="s">
        <v>181</v>
      </c>
      <c r="B114" s="80" t="s">
        <v>182</v>
      </c>
      <c r="C114" s="21" t="b">
        <v>0</v>
      </c>
      <c r="D114" s="21"/>
      <c r="E114" s="21" t="s">
        <v>183</v>
      </c>
      <c r="F114" s="24" t="s">
        <v>184</v>
      </c>
      <c r="G114" s="24" t="s">
        <v>185</v>
      </c>
      <c r="H114" s="24" t="s">
        <v>24</v>
      </c>
      <c r="I114" s="24" t="s">
        <v>186</v>
      </c>
      <c r="J114" s="24" t="s">
        <v>187</v>
      </c>
      <c r="K114" s="17" t="s">
        <v>221</v>
      </c>
      <c r="L114" s="26">
        <v>46092</v>
      </c>
      <c r="M114" s="27">
        <f t="shared" si="0"/>
        <v>1248.07</v>
      </c>
      <c r="N114" s="17">
        <v>0.75</v>
      </c>
      <c r="O114" s="40"/>
      <c r="P114" s="13"/>
      <c r="Q114" s="13"/>
      <c r="R114" s="13"/>
      <c r="S114" s="10"/>
      <c r="T114" s="10"/>
      <c r="U114" s="81"/>
      <c r="V114" s="11"/>
      <c r="W114" s="11"/>
      <c r="X114" s="81"/>
      <c r="Y114" s="12"/>
      <c r="Z114" s="12"/>
      <c r="AA114" s="12"/>
      <c r="AB114" s="12"/>
      <c r="AC114" s="12">
        <v>3</v>
      </c>
      <c r="AD114" s="81"/>
      <c r="AE114" s="13"/>
      <c r="AF114" s="13"/>
      <c r="AG114" s="17"/>
    </row>
    <row r="115" spans="1:33" ht="15" customHeight="1" x14ac:dyDescent="0.3">
      <c r="A115" s="25" t="s">
        <v>181</v>
      </c>
      <c r="B115" s="80" t="s">
        <v>182</v>
      </c>
      <c r="C115" s="21" t="b">
        <v>0</v>
      </c>
      <c r="D115" s="21"/>
      <c r="E115" s="21" t="s">
        <v>183</v>
      </c>
      <c r="F115" s="24" t="s">
        <v>184</v>
      </c>
      <c r="G115" s="24" t="s">
        <v>185</v>
      </c>
      <c r="H115" s="24" t="s">
        <v>24</v>
      </c>
      <c r="I115" s="24" t="s">
        <v>186</v>
      </c>
      <c r="J115" s="24" t="s">
        <v>187</v>
      </c>
      <c r="K115" s="17" t="s">
        <v>221</v>
      </c>
      <c r="L115" s="26">
        <v>46092</v>
      </c>
      <c r="M115" s="27">
        <f t="shared" si="0"/>
        <v>1247.32</v>
      </c>
      <c r="N115" s="17">
        <v>0.75</v>
      </c>
      <c r="O115" s="40"/>
      <c r="P115" s="13"/>
      <c r="Q115" s="13"/>
      <c r="R115" s="13"/>
      <c r="S115" s="10"/>
      <c r="T115" s="10"/>
      <c r="U115" s="81"/>
      <c r="V115" s="11"/>
      <c r="W115" s="11"/>
      <c r="X115" s="81"/>
      <c r="Y115" s="12"/>
      <c r="Z115" s="12"/>
      <c r="AA115" s="12"/>
      <c r="AB115" s="12"/>
      <c r="AC115" s="12">
        <v>3</v>
      </c>
      <c r="AD115" s="81"/>
      <c r="AE115" s="13"/>
      <c r="AF115" s="13"/>
      <c r="AG115" s="17"/>
    </row>
    <row r="116" spans="1:33" ht="15" customHeight="1" x14ac:dyDescent="0.3">
      <c r="A116" s="25" t="s">
        <v>181</v>
      </c>
      <c r="B116" s="80" t="s">
        <v>182</v>
      </c>
      <c r="C116" s="21" t="b">
        <v>0</v>
      </c>
      <c r="D116" s="21"/>
      <c r="E116" s="21" t="s">
        <v>183</v>
      </c>
      <c r="F116" s="24" t="s">
        <v>184</v>
      </c>
      <c r="G116" s="24" t="s">
        <v>185</v>
      </c>
      <c r="H116" s="24" t="s">
        <v>24</v>
      </c>
      <c r="I116" s="24" t="s">
        <v>186</v>
      </c>
      <c r="J116" s="24" t="s">
        <v>187</v>
      </c>
      <c r="K116" s="17" t="s">
        <v>221</v>
      </c>
      <c r="L116" s="26">
        <v>46092</v>
      </c>
      <c r="M116" s="27">
        <f t="shared" si="0"/>
        <v>1246.57</v>
      </c>
      <c r="N116" s="17">
        <v>0.75</v>
      </c>
      <c r="O116" s="40"/>
      <c r="P116" s="13"/>
      <c r="Q116" s="13"/>
      <c r="R116" s="13"/>
      <c r="S116" s="10"/>
      <c r="T116" s="10"/>
      <c r="U116" s="81"/>
      <c r="V116" s="11"/>
      <c r="W116" s="11"/>
      <c r="X116" s="81"/>
      <c r="Y116" s="12"/>
      <c r="Z116" s="12"/>
      <c r="AA116" s="12"/>
      <c r="AB116" s="12"/>
      <c r="AC116" s="12">
        <v>3</v>
      </c>
      <c r="AD116" s="81"/>
      <c r="AE116" s="13"/>
      <c r="AF116" s="13"/>
      <c r="AG116" s="17"/>
    </row>
    <row r="117" spans="1:33" ht="15" customHeight="1" x14ac:dyDescent="0.3">
      <c r="A117" s="25" t="s">
        <v>181</v>
      </c>
      <c r="B117" s="80" t="s">
        <v>182</v>
      </c>
      <c r="C117" s="21" t="b">
        <v>0</v>
      </c>
      <c r="D117" s="21"/>
      <c r="E117" s="21" t="s">
        <v>183</v>
      </c>
      <c r="F117" s="24" t="s">
        <v>184</v>
      </c>
      <c r="G117" s="24" t="s">
        <v>185</v>
      </c>
      <c r="H117" s="24" t="s">
        <v>24</v>
      </c>
      <c r="I117" s="24" t="s">
        <v>186</v>
      </c>
      <c r="J117" s="24" t="s">
        <v>187</v>
      </c>
      <c r="K117" s="17" t="s">
        <v>221</v>
      </c>
      <c r="L117" s="26">
        <v>46092</v>
      </c>
      <c r="M117" s="27">
        <f t="shared" si="0"/>
        <v>1245.82</v>
      </c>
      <c r="N117" s="17">
        <v>0.75</v>
      </c>
      <c r="O117" s="40"/>
      <c r="P117" s="13"/>
      <c r="Q117" s="13"/>
      <c r="R117" s="13"/>
      <c r="S117" s="10"/>
      <c r="T117" s="10"/>
      <c r="U117" s="81"/>
      <c r="V117" s="11"/>
      <c r="W117" s="11"/>
      <c r="X117" s="81"/>
      <c r="Y117" s="12"/>
      <c r="Z117" s="12"/>
      <c r="AA117" s="12"/>
      <c r="AB117" s="12"/>
      <c r="AC117" s="12">
        <v>3</v>
      </c>
      <c r="AD117" s="81"/>
      <c r="AE117" s="13"/>
      <c r="AF117" s="13"/>
      <c r="AG117" s="17"/>
    </row>
    <row r="118" spans="1:33" ht="15" customHeight="1" x14ac:dyDescent="0.3">
      <c r="A118" s="25" t="s">
        <v>181</v>
      </c>
      <c r="B118" s="80" t="s">
        <v>182</v>
      </c>
      <c r="C118" s="21" t="b">
        <v>0</v>
      </c>
      <c r="D118" s="21"/>
      <c r="E118" s="21" t="s">
        <v>183</v>
      </c>
      <c r="F118" s="24" t="s">
        <v>184</v>
      </c>
      <c r="G118" s="24" t="s">
        <v>185</v>
      </c>
      <c r="H118" s="24" t="s">
        <v>24</v>
      </c>
      <c r="I118" s="24" t="s">
        <v>186</v>
      </c>
      <c r="J118" s="24" t="s">
        <v>187</v>
      </c>
      <c r="K118" s="17" t="s">
        <v>221</v>
      </c>
      <c r="L118" s="26">
        <v>46092</v>
      </c>
      <c r="M118" s="27">
        <f t="shared" si="0"/>
        <v>1245.07</v>
      </c>
      <c r="N118" s="17">
        <v>0.75</v>
      </c>
      <c r="O118" s="40"/>
      <c r="P118" s="13"/>
      <c r="Q118" s="13"/>
      <c r="R118" s="13"/>
      <c r="S118" s="10"/>
      <c r="T118" s="10"/>
      <c r="U118" s="81"/>
      <c r="V118" s="11"/>
      <c r="W118" s="11"/>
      <c r="X118" s="81"/>
      <c r="Y118" s="12"/>
      <c r="Z118" s="12"/>
      <c r="AA118" s="12"/>
      <c r="AB118" s="12"/>
      <c r="AC118" s="12">
        <v>3</v>
      </c>
      <c r="AD118" s="81"/>
      <c r="AE118" s="13"/>
      <c r="AF118" s="13"/>
      <c r="AG118" s="17"/>
    </row>
    <row r="119" spans="1:33" ht="15" customHeight="1" x14ac:dyDescent="0.3">
      <c r="A119" s="25" t="s">
        <v>181</v>
      </c>
      <c r="B119" s="80" t="s">
        <v>182</v>
      </c>
      <c r="C119" s="21" t="b">
        <v>0</v>
      </c>
      <c r="D119" s="21"/>
      <c r="E119" s="21" t="s">
        <v>183</v>
      </c>
      <c r="F119" s="24" t="s">
        <v>184</v>
      </c>
      <c r="G119" s="24" t="s">
        <v>185</v>
      </c>
      <c r="H119" s="24" t="s">
        <v>24</v>
      </c>
      <c r="I119" s="24" t="s">
        <v>186</v>
      </c>
      <c r="J119" s="24" t="s">
        <v>187</v>
      </c>
      <c r="K119" s="17" t="s">
        <v>221</v>
      </c>
      <c r="L119" s="26">
        <v>46092</v>
      </c>
      <c r="M119" s="27">
        <f t="shared" si="0"/>
        <v>1244.32</v>
      </c>
      <c r="N119" s="17">
        <v>0.75</v>
      </c>
      <c r="O119" s="40"/>
      <c r="P119" s="13"/>
      <c r="Q119" s="13"/>
      <c r="R119" s="13"/>
      <c r="S119" s="10"/>
      <c r="T119" s="10"/>
      <c r="U119" s="81"/>
      <c r="V119" s="11"/>
      <c r="W119" s="11"/>
      <c r="X119" s="81"/>
      <c r="Y119" s="12"/>
      <c r="Z119" s="12"/>
      <c r="AA119" s="12"/>
      <c r="AB119" s="12"/>
      <c r="AC119" s="12">
        <v>3</v>
      </c>
      <c r="AD119" s="81"/>
      <c r="AE119" s="13"/>
      <c r="AF119" s="13"/>
      <c r="AG119" s="17"/>
    </row>
    <row r="120" spans="1:33" ht="15" customHeight="1" x14ac:dyDescent="0.3">
      <c r="A120" s="25" t="s">
        <v>181</v>
      </c>
      <c r="B120" s="80" t="s">
        <v>182</v>
      </c>
      <c r="C120" s="21" t="b">
        <v>0</v>
      </c>
      <c r="D120" s="21"/>
      <c r="E120" s="21" t="s">
        <v>183</v>
      </c>
      <c r="F120" s="24" t="s">
        <v>184</v>
      </c>
      <c r="G120" s="24" t="s">
        <v>185</v>
      </c>
      <c r="H120" s="24" t="s">
        <v>24</v>
      </c>
      <c r="I120" s="24" t="s">
        <v>186</v>
      </c>
      <c r="J120" s="24" t="s">
        <v>187</v>
      </c>
      <c r="K120" s="17" t="s">
        <v>221</v>
      </c>
      <c r="L120" s="26">
        <v>46092</v>
      </c>
      <c r="M120" s="27">
        <v>1243.67</v>
      </c>
      <c r="N120" s="17">
        <v>0.75</v>
      </c>
      <c r="O120" s="40"/>
      <c r="P120" s="13"/>
      <c r="Q120" s="13"/>
      <c r="R120" s="13"/>
      <c r="S120" s="10"/>
      <c r="T120" s="10"/>
      <c r="U120" s="81"/>
      <c r="V120" s="11"/>
      <c r="W120" s="11"/>
      <c r="X120" s="81"/>
      <c r="Y120" s="12"/>
      <c r="Z120" s="12"/>
      <c r="AA120" s="12"/>
      <c r="AB120" s="12"/>
      <c r="AC120" s="12">
        <v>3</v>
      </c>
      <c r="AD120" s="81"/>
      <c r="AE120" s="13"/>
      <c r="AF120" s="13"/>
      <c r="AG120" s="17"/>
    </row>
    <row r="121" spans="1:33" ht="15" customHeight="1" x14ac:dyDescent="0.3">
      <c r="A121" s="25" t="s">
        <v>181</v>
      </c>
      <c r="B121" s="80" t="s">
        <v>182</v>
      </c>
      <c r="C121" s="21" t="b">
        <v>0</v>
      </c>
      <c r="D121" s="21"/>
      <c r="E121" s="21" t="s">
        <v>183</v>
      </c>
      <c r="F121" s="24" t="s">
        <v>184</v>
      </c>
      <c r="G121" s="24" t="s">
        <v>185</v>
      </c>
      <c r="H121" s="24" t="s">
        <v>24</v>
      </c>
      <c r="I121" s="24" t="s">
        <v>186</v>
      </c>
      <c r="J121" s="24" t="s">
        <v>187</v>
      </c>
      <c r="K121" s="17" t="s">
        <v>221</v>
      </c>
      <c r="L121" s="26">
        <v>46092</v>
      </c>
      <c r="M121" s="27">
        <v>1243.1300000000001</v>
      </c>
      <c r="N121" s="17">
        <v>0.75</v>
      </c>
      <c r="O121" s="40"/>
      <c r="P121" s="13"/>
      <c r="Q121" s="13"/>
      <c r="R121" s="13"/>
      <c r="S121" s="10"/>
      <c r="T121" s="10"/>
      <c r="U121" s="81"/>
      <c r="V121" s="11"/>
      <c r="W121" s="11"/>
      <c r="X121" s="81"/>
      <c r="Y121" s="12"/>
      <c r="Z121" s="12"/>
      <c r="AA121" s="12"/>
      <c r="AB121" s="12"/>
      <c r="AC121" s="12">
        <v>3</v>
      </c>
      <c r="AD121" s="81"/>
      <c r="AE121" s="13"/>
      <c r="AF121" s="13"/>
      <c r="AG121" s="17"/>
    </row>
    <row r="123" spans="1:33" ht="15" customHeight="1" x14ac:dyDescent="0.3">
      <c r="A123" s="25" t="s">
        <v>181</v>
      </c>
      <c r="B123" s="80" t="s">
        <v>182</v>
      </c>
      <c r="C123" s="21" t="b">
        <v>0</v>
      </c>
      <c r="D123" s="21"/>
      <c r="E123" s="21" t="s">
        <v>183</v>
      </c>
      <c r="F123" s="24" t="s">
        <v>184</v>
      </c>
      <c r="G123" s="24" t="s">
        <v>185</v>
      </c>
      <c r="H123" s="24" t="s">
        <v>24</v>
      </c>
      <c r="I123" s="24" t="s">
        <v>186</v>
      </c>
      <c r="J123" s="24" t="s">
        <v>187</v>
      </c>
      <c r="K123" s="17" t="s">
        <v>222</v>
      </c>
      <c r="L123" s="26">
        <v>46106</v>
      </c>
      <c r="M123" s="27">
        <v>1285.57</v>
      </c>
      <c r="N123" s="17">
        <v>0.75</v>
      </c>
      <c r="O123" s="40"/>
      <c r="P123" s="13"/>
      <c r="Q123" s="13"/>
      <c r="R123" s="13"/>
      <c r="S123" s="10"/>
      <c r="T123" s="10"/>
      <c r="U123" s="81"/>
      <c r="V123" s="11"/>
      <c r="W123" s="11"/>
      <c r="X123" s="81"/>
      <c r="Y123" s="12"/>
      <c r="Z123" s="12"/>
      <c r="AA123" s="12"/>
      <c r="AB123" s="12"/>
      <c r="AC123" s="12">
        <v>3</v>
      </c>
      <c r="AD123" s="81"/>
      <c r="AE123" s="13"/>
      <c r="AF123" s="13"/>
      <c r="AG123" s="17"/>
    </row>
    <row r="124" spans="1:33" ht="15" customHeight="1" x14ac:dyDescent="0.3">
      <c r="A124" s="25" t="s">
        <v>181</v>
      </c>
      <c r="B124" s="80" t="s">
        <v>182</v>
      </c>
      <c r="C124" s="21" t="b">
        <v>0</v>
      </c>
      <c r="D124" s="21"/>
      <c r="E124" s="21" t="s">
        <v>183</v>
      </c>
      <c r="F124" s="24" t="s">
        <v>184</v>
      </c>
      <c r="G124" s="24" t="s">
        <v>185</v>
      </c>
      <c r="H124" s="24" t="s">
        <v>24</v>
      </c>
      <c r="I124" s="24" t="s">
        <v>186</v>
      </c>
      <c r="J124" s="24" t="s">
        <v>187</v>
      </c>
      <c r="K124" s="17" t="s">
        <v>222</v>
      </c>
      <c r="L124" s="26">
        <v>46106</v>
      </c>
      <c r="M124" s="27">
        <f>+M123-N123</f>
        <v>1284.82</v>
      </c>
      <c r="N124" s="17">
        <v>0.75</v>
      </c>
      <c r="O124" s="40"/>
      <c r="P124" s="13"/>
      <c r="Q124" s="13"/>
      <c r="R124" s="13"/>
      <c r="S124" s="10"/>
      <c r="T124" s="10"/>
      <c r="U124" s="81"/>
      <c r="V124" s="11"/>
      <c r="W124" s="11"/>
      <c r="X124" s="81"/>
      <c r="Y124" s="12"/>
      <c r="Z124" s="12"/>
      <c r="AA124" s="12"/>
      <c r="AB124" s="12"/>
      <c r="AC124" s="12">
        <v>3</v>
      </c>
      <c r="AD124" s="81"/>
      <c r="AE124" s="13"/>
      <c r="AF124" s="13"/>
      <c r="AG124" s="17"/>
    </row>
    <row r="125" spans="1:33" ht="15" customHeight="1" x14ac:dyDescent="0.3">
      <c r="A125" s="25" t="s">
        <v>181</v>
      </c>
      <c r="B125" s="80" t="s">
        <v>182</v>
      </c>
      <c r="C125" s="21" t="b">
        <v>0</v>
      </c>
      <c r="D125" s="21"/>
      <c r="E125" s="21" t="s">
        <v>183</v>
      </c>
      <c r="F125" s="24" t="s">
        <v>184</v>
      </c>
      <c r="G125" s="24" t="s">
        <v>185</v>
      </c>
      <c r="H125" s="24" t="s">
        <v>24</v>
      </c>
      <c r="I125" s="24" t="s">
        <v>186</v>
      </c>
      <c r="J125" s="24" t="s">
        <v>187</v>
      </c>
      <c r="K125" s="17" t="s">
        <v>222</v>
      </c>
      <c r="L125" s="26">
        <v>46106</v>
      </c>
      <c r="M125" s="27">
        <f t="shared" ref="M125:M141" si="1">+M124-N124</f>
        <v>1284.07</v>
      </c>
      <c r="N125" s="17">
        <v>0.75</v>
      </c>
      <c r="O125" s="40"/>
      <c r="P125" s="13"/>
      <c r="Q125" s="13"/>
      <c r="R125" s="13"/>
      <c r="S125" s="10"/>
      <c r="T125" s="10"/>
      <c r="U125" s="81"/>
      <c r="V125" s="11"/>
      <c r="W125" s="11"/>
      <c r="X125" s="81"/>
      <c r="Y125" s="12"/>
      <c r="Z125" s="12"/>
      <c r="AA125" s="12"/>
      <c r="AB125" s="12"/>
      <c r="AC125" s="12">
        <v>3</v>
      </c>
      <c r="AD125" s="81"/>
      <c r="AE125" s="13"/>
      <c r="AF125" s="13"/>
      <c r="AG125" s="17"/>
    </row>
    <row r="126" spans="1:33" ht="15" customHeight="1" x14ac:dyDescent="0.3">
      <c r="A126" s="25" t="s">
        <v>181</v>
      </c>
      <c r="B126" s="80" t="s">
        <v>182</v>
      </c>
      <c r="C126" s="21" t="b">
        <v>0</v>
      </c>
      <c r="D126" s="21"/>
      <c r="E126" s="21" t="s">
        <v>183</v>
      </c>
      <c r="F126" s="24" t="s">
        <v>184</v>
      </c>
      <c r="G126" s="24" t="s">
        <v>185</v>
      </c>
      <c r="H126" s="24" t="s">
        <v>24</v>
      </c>
      <c r="I126" s="24" t="s">
        <v>186</v>
      </c>
      <c r="J126" s="24" t="s">
        <v>187</v>
      </c>
      <c r="K126" s="17" t="s">
        <v>222</v>
      </c>
      <c r="L126" s="26">
        <v>46106</v>
      </c>
      <c r="M126" s="27">
        <f t="shared" si="1"/>
        <v>1283.32</v>
      </c>
      <c r="N126" s="17">
        <v>0.75</v>
      </c>
      <c r="O126" s="40"/>
      <c r="P126" s="13"/>
      <c r="Q126" s="13"/>
      <c r="R126" s="13"/>
      <c r="S126" s="10"/>
      <c r="T126" s="10"/>
      <c r="U126" s="81"/>
      <c r="V126" s="11"/>
      <c r="W126" s="11"/>
      <c r="X126" s="81"/>
      <c r="Y126" s="12"/>
      <c r="Z126" s="12"/>
      <c r="AA126" s="12"/>
      <c r="AB126" s="12"/>
      <c r="AC126" s="12">
        <v>3</v>
      </c>
      <c r="AD126" s="81"/>
      <c r="AE126" s="13"/>
      <c r="AF126" s="13"/>
      <c r="AG126" s="17"/>
    </row>
    <row r="127" spans="1:33" ht="15" customHeight="1" x14ac:dyDescent="0.3">
      <c r="A127" s="25" t="s">
        <v>181</v>
      </c>
      <c r="B127" s="80" t="s">
        <v>182</v>
      </c>
      <c r="C127" s="21" t="b">
        <v>0</v>
      </c>
      <c r="D127" s="21"/>
      <c r="E127" s="21" t="s">
        <v>183</v>
      </c>
      <c r="F127" s="24" t="s">
        <v>184</v>
      </c>
      <c r="G127" s="24" t="s">
        <v>185</v>
      </c>
      <c r="H127" s="24" t="s">
        <v>24</v>
      </c>
      <c r="I127" s="24" t="s">
        <v>186</v>
      </c>
      <c r="J127" s="24" t="s">
        <v>187</v>
      </c>
      <c r="K127" s="17" t="s">
        <v>222</v>
      </c>
      <c r="L127" s="26">
        <v>46106</v>
      </c>
      <c r="M127" s="27">
        <f t="shared" si="1"/>
        <v>1282.57</v>
      </c>
      <c r="N127" s="17">
        <v>0.75</v>
      </c>
      <c r="O127" s="40"/>
      <c r="P127" s="13"/>
      <c r="Q127" s="13"/>
      <c r="R127" s="13"/>
      <c r="S127" s="10"/>
      <c r="T127" s="10"/>
      <c r="U127" s="81"/>
      <c r="V127" s="11"/>
      <c r="W127" s="11"/>
      <c r="X127" s="81"/>
      <c r="Y127" s="12"/>
      <c r="Z127" s="12"/>
      <c r="AA127" s="12"/>
      <c r="AB127" s="12"/>
      <c r="AC127" s="12">
        <v>3</v>
      </c>
      <c r="AD127" s="81"/>
      <c r="AE127" s="13"/>
      <c r="AF127" s="13"/>
      <c r="AG127" s="17"/>
    </row>
    <row r="128" spans="1:33" ht="15" customHeight="1" x14ac:dyDescent="0.3">
      <c r="A128" s="25" t="s">
        <v>181</v>
      </c>
      <c r="B128" s="80" t="s">
        <v>182</v>
      </c>
      <c r="C128" s="21" t="b">
        <v>0</v>
      </c>
      <c r="D128" s="21"/>
      <c r="E128" s="21" t="s">
        <v>183</v>
      </c>
      <c r="F128" s="24" t="s">
        <v>184</v>
      </c>
      <c r="G128" s="24" t="s">
        <v>185</v>
      </c>
      <c r="H128" s="24" t="s">
        <v>24</v>
      </c>
      <c r="I128" s="24" t="s">
        <v>186</v>
      </c>
      <c r="J128" s="24" t="s">
        <v>187</v>
      </c>
      <c r="K128" s="17" t="s">
        <v>222</v>
      </c>
      <c r="L128" s="26">
        <v>46106</v>
      </c>
      <c r="M128" s="27">
        <f t="shared" si="1"/>
        <v>1281.82</v>
      </c>
      <c r="N128" s="17">
        <v>0.75</v>
      </c>
      <c r="O128" s="40"/>
      <c r="P128" s="13"/>
      <c r="Q128" s="13"/>
      <c r="R128" s="13"/>
      <c r="S128" s="10"/>
      <c r="T128" s="10"/>
      <c r="U128" s="81"/>
      <c r="V128" s="11"/>
      <c r="W128" s="11"/>
      <c r="X128" s="81"/>
      <c r="Y128" s="12"/>
      <c r="Z128" s="12"/>
      <c r="AA128" s="12"/>
      <c r="AB128" s="12"/>
      <c r="AC128" s="12">
        <v>3</v>
      </c>
      <c r="AD128" s="81"/>
      <c r="AE128" s="13"/>
      <c r="AF128" s="13"/>
      <c r="AG128" s="17"/>
    </row>
    <row r="129" spans="1:33" ht="15" customHeight="1" x14ac:dyDescent="0.3">
      <c r="A129" s="25" t="s">
        <v>181</v>
      </c>
      <c r="B129" s="80" t="s">
        <v>182</v>
      </c>
      <c r="C129" s="21" t="b">
        <v>0</v>
      </c>
      <c r="D129" s="21"/>
      <c r="E129" s="21" t="s">
        <v>183</v>
      </c>
      <c r="F129" s="24" t="s">
        <v>184</v>
      </c>
      <c r="G129" s="24" t="s">
        <v>185</v>
      </c>
      <c r="H129" s="24" t="s">
        <v>24</v>
      </c>
      <c r="I129" s="24" t="s">
        <v>186</v>
      </c>
      <c r="J129" s="24" t="s">
        <v>187</v>
      </c>
      <c r="K129" s="17" t="s">
        <v>222</v>
      </c>
      <c r="L129" s="26">
        <v>46106</v>
      </c>
      <c r="M129" s="27">
        <f t="shared" si="1"/>
        <v>1281.07</v>
      </c>
      <c r="N129" s="17">
        <v>0.75</v>
      </c>
      <c r="O129" s="40"/>
      <c r="P129" s="13"/>
      <c r="Q129" s="13"/>
      <c r="R129" s="13"/>
      <c r="S129" s="10"/>
      <c r="T129" s="10"/>
      <c r="U129" s="81"/>
      <c r="V129" s="11"/>
      <c r="W129" s="11"/>
      <c r="X129" s="81"/>
      <c r="Y129" s="12"/>
      <c r="Z129" s="12"/>
      <c r="AA129" s="12"/>
      <c r="AB129" s="12"/>
      <c r="AC129" s="12">
        <v>3</v>
      </c>
      <c r="AD129" s="81"/>
      <c r="AE129" s="13"/>
      <c r="AF129" s="13"/>
      <c r="AG129" s="17"/>
    </row>
    <row r="130" spans="1:33" ht="15" customHeight="1" x14ac:dyDescent="0.3">
      <c r="A130" s="25" t="s">
        <v>181</v>
      </c>
      <c r="B130" s="80" t="s">
        <v>182</v>
      </c>
      <c r="C130" s="21" t="b">
        <v>0</v>
      </c>
      <c r="D130" s="21"/>
      <c r="E130" s="21" t="s">
        <v>183</v>
      </c>
      <c r="F130" s="24" t="s">
        <v>184</v>
      </c>
      <c r="G130" s="24" t="s">
        <v>185</v>
      </c>
      <c r="H130" s="24" t="s">
        <v>24</v>
      </c>
      <c r="I130" s="24" t="s">
        <v>186</v>
      </c>
      <c r="J130" s="24" t="s">
        <v>187</v>
      </c>
      <c r="K130" s="17" t="s">
        <v>222</v>
      </c>
      <c r="L130" s="26">
        <v>46106</v>
      </c>
      <c r="M130" s="27">
        <f t="shared" si="1"/>
        <v>1280.32</v>
      </c>
      <c r="N130" s="17">
        <v>0.75</v>
      </c>
      <c r="O130" s="40"/>
      <c r="P130" s="13"/>
      <c r="Q130" s="13"/>
      <c r="R130" s="13"/>
      <c r="S130" s="10"/>
      <c r="T130" s="10"/>
      <c r="U130" s="81"/>
      <c r="V130" s="11"/>
      <c r="W130" s="11"/>
      <c r="X130" s="81"/>
      <c r="Y130" s="12"/>
      <c r="Z130" s="12"/>
      <c r="AA130" s="12"/>
      <c r="AB130" s="12"/>
      <c r="AC130" s="12">
        <v>3</v>
      </c>
      <c r="AD130" s="81"/>
      <c r="AE130" s="13"/>
      <c r="AF130" s="13"/>
      <c r="AG130" s="17"/>
    </row>
    <row r="131" spans="1:33" ht="15" customHeight="1" x14ac:dyDescent="0.3">
      <c r="A131" s="25" t="s">
        <v>181</v>
      </c>
      <c r="B131" s="80" t="s">
        <v>182</v>
      </c>
      <c r="C131" s="21" t="b">
        <v>0</v>
      </c>
      <c r="D131" s="21"/>
      <c r="E131" s="21" t="s">
        <v>183</v>
      </c>
      <c r="F131" s="24" t="s">
        <v>184</v>
      </c>
      <c r="G131" s="24" t="s">
        <v>185</v>
      </c>
      <c r="H131" s="24" t="s">
        <v>24</v>
      </c>
      <c r="I131" s="24" t="s">
        <v>186</v>
      </c>
      <c r="J131" s="24" t="s">
        <v>187</v>
      </c>
      <c r="K131" s="17" t="s">
        <v>222</v>
      </c>
      <c r="L131" s="26">
        <v>46106</v>
      </c>
      <c r="M131" s="27">
        <f t="shared" si="1"/>
        <v>1279.57</v>
      </c>
      <c r="N131" s="17">
        <v>0.75</v>
      </c>
      <c r="O131" s="40"/>
      <c r="P131" s="13"/>
      <c r="Q131" s="13"/>
      <c r="R131" s="13"/>
      <c r="S131" s="10"/>
      <c r="T131" s="10"/>
      <c r="U131" s="81"/>
      <c r="V131" s="11"/>
      <c r="W131" s="11"/>
      <c r="X131" s="81"/>
      <c r="Y131" s="12"/>
      <c r="Z131" s="12"/>
      <c r="AA131" s="12"/>
      <c r="AB131" s="12"/>
      <c r="AC131" s="12">
        <v>3</v>
      </c>
      <c r="AD131" s="81"/>
      <c r="AE131" s="13"/>
      <c r="AF131" s="13"/>
      <c r="AG131" s="17"/>
    </row>
    <row r="132" spans="1:33" ht="15" customHeight="1" x14ac:dyDescent="0.3">
      <c r="A132" s="25" t="s">
        <v>181</v>
      </c>
      <c r="B132" s="80" t="s">
        <v>182</v>
      </c>
      <c r="C132" s="21" t="b">
        <v>0</v>
      </c>
      <c r="D132" s="21"/>
      <c r="E132" s="21" t="s">
        <v>183</v>
      </c>
      <c r="F132" s="24" t="s">
        <v>184</v>
      </c>
      <c r="G132" s="24" t="s">
        <v>185</v>
      </c>
      <c r="H132" s="24" t="s">
        <v>24</v>
      </c>
      <c r="I132" s="24" t="s">
        <v>186</v>
      </c>
      <c r="J132" s="24" t="s">
        <v>187</v>
      </c>
      <c r="K132" s="17" t="s">
        <v>222</v>
      </c>
      <c r="L132" s="26">
        <v>46106</v>
      </c>
      <c r="M132" s="27">
        <f t="shared" si="1"/>
        <v>1278.82</v>
      </c>
      <c r="N132" s="17">
        <v>0.75</v>
      </c>
      <c r="O132" s="40"/>
      <c r="P132" s="13"/>
      <c r="Q132" s="13"/>
      <c r="R132" s="13"/>
      <c r="S132" s="10"/>
      <c r="T132" s="10"/>
      <c r="U132" s="81"/>
      <c r="V132" s="11"/>
      <c r="W132" s="11"/>
      <c r="X132" s="81"/>
      <c r="Y132" s="12"/>
      <c r="Z132" s="12"/>
      <c r="AA132" s="12"/>
      <c r="AB132" s="12"/>
      <c r="AC132" s="12">
        <v>3</v>
      </c>
      <c r="AD132" s="81"/>
      <c r="AE132" s="13"/>
      <c r="AF132" s="13"/>
      <c r="AG132" s="17"/>
    </row>
    <row r="133" spans="1:33" ht="15" customHeight="1" x14ac:dyDescent="0.3">
      <c r="A133" s="25" t="s">
        <v>181</v>
      </c>
      <c r="B133" s="80" t="s">
        <v>182</v>
      </c>
      <c r="C133" s="21" t="b">
        <v>0</v>
      </c>
      <c r="D133" s="21"/>
      <c r="E133" s="21" t="s">
        <v>183</v>
      </c>
      <c r="F133" s="24" t="s">
        <v>184</v>
      </c>
      <c r="G133" s="24" t="s">
        <v>185</v>
      </c>
      <c r="H133" s="24" t="s">
        <v>24</v>
      </c>
      <c r="I133" s="24" t="s">
        <v>186</v>
      </c>
      <c r="J133" s="24" t="s">
        <v>187</v>
      </c>
      <c r="K133" s="17" t="s">
        <v>222</v>
      </c>
      <c r="L133" s="26">
        <v>46106</v>
      </c>
      <c r="M133" s="27">
        <f t="shared" si="1"/>
        <v>1278.07</v>
      </c>
      <c r="N133" s="17">
        <v>0.75</v>
      </c>
      <c r="O133" s="40"/>
      <c r="P133" s="13"/>
      <c r="Q133" s="13"/>
      <c r="R133" s="13"/>
      <c r="S133" s="10"/>
      <c r="T133" s="10"/>
      <c r="U133" s="81"/>
      <c r="V133" s="11"/>
      <c r="W133" s="11"/>
      <c r="X133" s="81"/>
      <c r="Y133" s="12"/>
      <c r="Z133" s="12"/>
      <c r="AA133" s="12"/>
      <c r="AB133" s="12"/>
      <c r="AC133" s="12">
        <v>3</v>
      </c>
      <c r="AD133" s="81"/>
      <c r="AE133" s="13"/>
      <c r="AF133" s="13"/>
      <c r="AG133" s="17"/>
    </row>
    <row r="134" spans="1:33" ht="15" customHeight="1" x14ac:dyDescent="0.3">
      <c r="A134" s="25" t="s">
        <v>181</v>
      </c>
      <c r="B134" s="80" t="s">
        <v>182</v>
      </c>
      <c r="C134" s="21" t="b">
        <v>0</v>
      </c>
      <c r="D134" s="21"/>
      <c r="E134" s="21" t="s">
        <v>183</v>
      </c>
      <c r="F134" s="24" t="s">
        <v>184</v>
      </c>
      <c r="G134" s="24" t="s">
        <v>185</v>
      </c>
      <c r="H134" s="24" t="s">
        <v>24</v>
      </c>
      <c r="I134" s="24" t="s">
        <v>186</v>
      </c>
      <c r="J134" s="24" t="s">
        <v>187</v>
      </c>
      <c r="K134" s="17" t="s">
        <v>222</v>
      </c>
      <c r="L134" s="26">
        <v>46106</v>
      </c>
      <c r="M134" s="27">
        <f t="shared" si="1"/>
        <v>1277.32</v>
      </c>
      <c r="N134" s="17">
        <v>0.75</v>
      </c>
      <c r="O134" s="40"/>
      <c r="P134" s="13"/>
      <c r="Q134" s="13"/>
      <c r="R134" s="13"/>
      <c r="S134" s="10"/>
      <c r="T134" s="10"/>
      <c r="U134" s="81"/>
      <c r="V134" s="11"/>
      <c r="W134" s="11"/>
      <c r="X134" s="81"/>
      <c r="Y134" s="12"/>
      <c r="Z134" s="12"/>
      <c r="AA134" s="12"/>
      <c r="AB134" s="12"/>
      <c r="AC134" s="12">
        <v>3</v>
      </c>
      <c r="AD134" s="81"/>
      <c r="AE134" s="13"/>
      <c r="AF134" s="13"/>
      <c r="AG134" s="17"/>
    </row>
    <row r="135" spans="1:33" ht="15" customHeight="1" x14ac:dyDescent="0.3">
      <c r="A135" s="25" t="s">
        <v>181</v>
      </c>
      <c r="B135" s="80" t="s">
        <v>182</v>
      </c>
      <c r="C135" s="21" t="b">
        <v>0</v>
      </c>
      <c r="D135" s="21"/>
      <c r="E135" s="21" t="s">
        <v>183</v>
      </c>
      <c r="F135" s="24" t="s">
        <v>184</v>
      </c>
      <c r="G135" s="24" t="s">
        <v>185</v>
      </c>
      <c r="H135" s="24" t="s">
        <v>24</v>
      </c>
      <c r="I135" s="24" t="s">
        <v>186</v>
      </c>
      <c r="J135" s="24" t="s">
        <v>187</v>
      </c>
      <c r="K135" s="17" t="s">
        <v>222</v>
      </c>
      <c r="L135" s="26">
        <v>46106</v>
      </c>
      <c r="M135" s="27">
        <f t="shared" si="1"/>
        <v>1276.57</v>
      </c>
      <c r="N135" s="17">
        <v>0.75</v>
      </c>
      <c r="O135" s="40"/>
      <c r="P135" s="13"/>
      <c r="Q135" s="13"/>
      <c r="R135" s="13"/>
      <c r="S135" s="10"/>
      <c r="T135" s="10"/>
      <c r="U135" s="81"/>
      <c r="V135" s="11"/>
      <c r="W135" s="11"/>
      <c r="X135" s="81"/>
      <c r="Y135" s="12"/>
      <c r="Z135" s="12"/>
      <c r="AA135" s="12"/>
      <c r="AB135" s="12"/>
      <c r="AC135" s="12">
        <v>3</v>
      </c>
      <c r="AD135" s="81"/>
      <c r="AE135" s="13"/>
      <c r="AF135" s="13"/>
      <c r="AG135" s="17"/>
    </row>
    <row r="136" spans="1:33" ht="15" customHeight="1" x14ac:dyDescent="0.3">
      <c r="A136" s="25" t="s">
        <v>181</v>
      </c>
      <c r="B136" s="80" t="s">
        <v>182</v>
      </c>
      <c r="C136" s="21" t="b">
        <v>0</v>
      </c>
      <c r="D136" s="21"/>
      <c r="E136" s="21" t="s">
        <v>183</v>
      </c>
      <c r="F136" s="24" t="s">
        <v>184</v>
      </c>
      <c r="G136" s="24" t="s">
        <v>185</v>
      </c>
      <c r="H136" s="24" t="s">
        <v>24</v>
      </c>
      <c r="I136" s="24" t="s">
        <v>186</v>
      </c>
      <c r="J136" s="24" t="s">
        <v>187</v>
      </c>
      <c r="K136" s="17" t="s">
        <v>222</v>
      </c>
      <c r="L136" s="26">
        <v>46106</v>
      </c>
      <c r="M136" s="27">
        <f t="shared" si="1"/>
        <v>1275.82</v>
      </c>
      <c r="N136" s="17">
        <v>0.75</v>
      </c>
      <c r="O136" s="40"/>
      <c r="P136" s="13"/>
      <c r="Q136" s="13"/>
      <c r="R136" s="13"/>
      <c r="S136" s="10"/>
      <c r="T136" s="10"/>
      <c r="U136" s="81"/>
      <c r="V136" s="11"/>
      <c r="W136" s="11"/>
      <c r="X136" s="81"/>
      <c r="Y136" s="12"/>
      <c r="Z136" s="12"/>
      <c r="AA136" s="12"/>
      <c r="AB136" s="12"/>
      <c r="AC136" s="12">
        <v>3</v>
      </c>
      <c r="AD136" s="81"/>
      <c r="AE136" s="13"/>
      <c r="AF136" s="13"/>
      <c r="AG136" s="17"/>
    </row>
    <row r="137" spans="1:33" ht="15" customHeight="1" x14ac:dyDescent="0.3">
      <c r="A137" s="25" t="s">
        <v>181</v>
      </c>
      <c r="B137" s="80" t="s">
        <v>182</v>
      </c>
      <c r="C137" s="21" t="b">
        <v>0</v>
      </c>
      <c r="D137" s="21"/>
      <c r="E137" s="21" t="s">
        <v>183</v>
      </c>
      <c r="F137" s="24" t="s">
        <v>184</v>
      </c>
      <c r="G137" s="24" t="s">
        <v>185</v>
      </c>
      <c r="H137" s="24" t="s">
        <v>24</v>
      </c>
      <c r="I137" s="24" t="s">
        <v>186</v>
      </c>
      <c r="J137" s="24" t="s">
        <v>187</v>
      </c>
      <c r="K137" s="17" t="s">
        <v>222</v>
      </c>
      <c r="L137" s="26">
        <v>46106</v>
      </c>
      <c r="M137" s="27">
        <f t="shared" si="1"/>
        <v>1275.07</v>
      </c>
      <c r="N137" s="17">
        <v>0.75</v>
      </c>
      <c r="O137" s="40"/>
      <c r="P137" s="13"/>
      <c r="Q137" s="13"/>
      <c r="R137" s="13"/>
      <c r="S137" s="10"/>
      <c r="T137" s="10"/>
      <c r="U137" s="81"/>
      <c r="V137" s="11"/>
      <c r="W137" s="11"/>
      <c r="X137" s="81"/>
      <c r="Y137" s="12"/>
      <c r="Z137" s="12"/>
      <c r="AA137" s="12"/>
      <c r="AB137" s="12"/>
      <c r="AC137" s="12">
        <v>3</v>
      </c>
      <c r="AD137" s="81"/>
      <c r="AE137" s="13"/>
      <c r="AF137" s="13"/>
      <c r="AG137" s="17"/>
    </row>
    <row r="138" spans="1:33" ht="15" customHeight="1" x14ac:dyDescent="0.3">
      <c r="A138" s="25" t="s">
        <v>181</v>
      </c>
      <c r="B138" s="80" t="s">
        <v>182</v>
      </c>
      <c r="C138" s="21" t="b">
        <v>0</v>
      </c>
      <c r="D138" s="21"/>
      <c r="E138" s="21" t="s">
        <v>183</v>
      </c>
      <c r="F138" s="24" t="s">
        <v>184</v>
      </c>
      <c r="G138" s="24" t="s">
        <v>185</v>
      </c>
      <c r="H138" s="24" t="s">
        <v>24</v>
      </c>
      <c r="I138" s="24" t="s">
        <v>186</v>
      </c>
      <c r="J138" s="24" t="s">
        <v>187</v>
      </c>
      <c r="K138" s="17" t="s">
        <v>222</v>
      </c>
      <c r="L138" s="26">
        <v>46106</v>
      </c>
      <c r="M138" s="27">
        <f t="shared" si="1"/>
        <v>1274.32</v>
      </c>
      <c r="N138" s="17">
        <v>0.75</v>
      </c>
      <c r="O138" s="40"/>
      <c r="P138" s="13"/>
      <c r="Q138" s="13"/>
      <c r="R138" s="13"/>
      <c r="S138" s="10"/>
      <c r="T138" s="10"/>
      <c r="U138" s="81"/>
      <c r="V138" s="11"/>
      <c r="W138" s="11"/>
      <c r="X138" s="81"/>
      <c r="Y138" s="12"/>
      <c r="Z138" s="12"/>
      <c r="AA138" s="12"/>
      <c r="AB138" s="12"/>
      <c r="AC138" s="12">
        <v>3</v>
      </c>
      <c r="AD138" s="81"/>
      <c r="AE138" s="13"/>
      <c r="AF138" s="13"/>
      <c r="AG138" s="17"/>
    </row>
    <row r="139" spans="1:33" ht="15" customHeight="1" x14ac:dyDescent="0.3">
      <c r="A139" s="25" t="s">
        <v>181</v>
      </c>
      <c r="B139" s="80" t="s">
        <v>182</v>
      </c>
      <c r="C139" s="21" t="b">
        <v>0</v>
      </c>
      <c r="D139" s="21"/>
      <c r="E139" s="21" t="s">
        <v>183</v>
      </c>
      <c r="F139" s="24" t="s">
        <v>184</v>
      </c>
      <c r="G139" s="24" t="s">
        <v>185</v>
      </c>
      <c r="H139" s="24" t="s">
        <v>24</v>
      </c>
      <c r="I139" s="24" t="s">
        <v>186</v>
      </c>
      <c r="J139" s="24" t="s">
        <v>187</v>
      </c>
      <c r="K139" s="17" t="s">
        <v>222</v>
      </c>
      <c r="L139" s="26">
        <v>46106</v>
      </c>
      <c r="M139" s="27">
        <f t="shared" si="1"/>
        <v>1273.57</v>
      </c>
      <c r="N139" s="17">
        <v>0.75</v>
      </c>
      <c r="O139" s="40"/>
      <c r="P139" s="13"/>
      <c r="Q139" s="13"/>
      <c r="R139" s="13"/>
      <c r="S139" s="10"/>
      <c r="T139" s="10"/>
      <c r="U139" s="81"/>
      <c r="V139" s="11"/>
      <c r="W139" s="11"/>
      <c r="X139" s="81"/>
      <c r="Y139" s="12"/>
      <c r="Z139" s="12"/>
      <c r="AA139" s="12"/>
      <c r="AB139" s="12"/>
      <c r="AC139" s="12">
        <v>3</v>
      </c>
      <c r="AD139" s="81"/>
      <c r="AE139" s="13"/>
      <c r="AF139" s="13"/>
      <c r="AG139" s="17"/>
    </row>
    <row r="140" spans="1:33" ht="15" customHeight="1" x14ac:dyDescent="0.3">
      <c r="A140" s="25" t="s">
        <v>181</v>
      </c>
      <c r="B140" s="80" t="s">
        <v>182</v>
      </c>
      <c r="C140" s="21" t="b">
        <v>0</v>
      </c>
      <c r="D140" s="21"/>
      <c r="E140" s="21" t="s">
        <v>183</v>
      </c>
      <c r="F140" s="24" t="s">
        <v>184</v>
      </c>
      <c r="G140" s="24" t="s">
        <v>185</v>
      </c>
      <c r="H140" s="24" t="s">
        <v>24</v>
      </c>
      <c r="I140" s="24" t="s">
        <v>186</v>
      </c>
      <c r="J140" s="24" t="s">
        <v>187</v>
      </c>
      <c r="K140" s="17" t="s">
        <v>222</v>
      </c>
      <c r="L140" s="26">
        <v>46106</v>
      </c>
      <c r="M140" s="27">
        <f t="shared" si="1"/>
        <v>1272.82</v>
      </c>
      <c r="N140" s="17">
        <v>0.75</v>
      </c>
      <c r="O140" s="40"/>
      <c r="P140" s="13"/>
      <c r="Q140" s="13"/>
      <c r="R140" s="13"/>
      <c r="S140" s="10"/>
      <c r="T140" s="10"/>
      <c r="U140" s="81"/>
      <c r="V140" s="11"/>
      <c r="W140" s="11"/>
      <c r="X140" s="81"/>
      <c r="Y140" s="12"/>
      <c r="Z140" s="12"/>
      <c r="AA140" s="12"/>
      <c r="AB140" s="12"/>
      <c r="AC140" s="12">
        <v>3</v>
      </c>
      <c r="AD140" s="81"/>
      <c r="AE140" s="13"/>
      <c r="AF140" s="13"/>
      <c r="AG140" s="17"/>
    </row>
    <row r="141" spans="1:33" ht="15" customHeight="1" x14ac:dyDescent="0.3">
      <c r="A141" s="25" t="s">
        <v>181</v>
      </c>
      <c r="B141" s="80" t="s">
        <v>182</v>
      </c>
      <c r="C141" s="21" t="b">
        <v>0</v>
      </c>
      <c r="D141" s="21"/>
      <c r="E141" s="21" t="s">
        <v>183</v>
      </c>
      <c r="F141" s="24" t="s">
        <v>184</v>
      </c>
      <c r="G141" s="24" t="s">
        <v>185</v>
      </c>
      <c r="H141" s="24" t="s">
        <v>24</v>
      </c>
      <c r="I141" s="24" t="s">
        <v>186</v>
      </c>
      <c r="J141" s="24" t="s">
        <v>187</v>
      </c>
      <c r="K141" s="17" t="s">
        <v>222</v>
      </c>
      <c r="L141" s="26">
        <v>46106</v>
      </c>
      <c r="M141" s="27">
        <f t="shared" si="1"/>
        <v>1272.07</v>
      </c>
      <c r="N141" s="17">
        <v>0.75</v>
      </c>
      <c r="O141" s="40"/>
      <c r="P141" s="13"/>
      <c r="Q141" s="13"/>
      <c r="R141" s="13"/>
      <c r="S141" s="10"/>
      <c r="T141" s="10"/>
      <c r="U141" s="81"/>
      <c r="V141" s="11"/>
      <c r="W141" s="11"/>
      <c r="X141" s="81"/>
      <c r="Y141" s="12"/>
      <c r="Z141" s="12"/>
      <c r="AA141" s="12"/>
      <c r="AB141" s="12"/>
      <c r="AC141" s="12">
        <v>3</v>
      </c>
      <c r="AD141" s="81"/>
      <c r="AE141" s="13"/>
      <c r="AF141" s="13"/>
      <c r="AG141" s="17"/>
    </row>
    <row r="143" spans="1:33" ht="15" customHeight="1" x14ac:dyDescent="0.3">
      <c r="A143" s="25" t="s">
        <v>181</v>
      </c>
      <c r="B143" s="80" t="s">
        <v>182</v>
      </c>
      <c r="C143" s="21" t="b">
        <v>0</v>
      </c>
      <c r="D143" s="21"/>
      <c r="E143" s="21" t="s">
        <v>183</v>
      </c>
      <c r="F143" s="24" t="s">
        <v>184</v>
      </c>
      <c r="G143" s="24" t="s">
        <v>185</v>
      </c>
      <c r="H143" s="24" t="s">
        <v>24</v>
      </c>
      <c r="I143" s="24" t="s">
        <v>186</v>
      </c>
      <c r="J143" s="24" t="s">
        <v>187</v>
      </c>
      <c r="K143" s="17" t="s">
        <v>223</v>
      </c>
      <c r="L143" s="26">
        <v>46106</v>
      </c>
      <c r="M143" s="27">
        <v>1271.32</v>
      </c>
      <c r="N143" s="17">
        <v>0.75</v>
      </c>
      <c r="O143" s="40"/>
      <c r="P143" s="13"/>
      <c r="Q143" s="13"/>
      <c r="R143" s="13"/>
      <c r="S143" s="10"/>
      <c r="T143" s="10"/>
      <c r="U143" s="81"/>
      <c r="V143" s="11"/>
      <c r="W143" s="11"/>
      <c r="X143" s="81"/>
      <c r="Y143" s="12"/>
      <c r="Z143" s="12"/>
      <c r="AA143" s="12"/>
      <c r="AB143" s="12"/>
      <c r="AC143" s="12">
        <v>3</v>
      </c>
      <c r="AD143" s="81"/>
      <c r="AE143" s="13"/>
      <c r="AF143" s="13"/>
      <c r="AG143" s="17"/>
    </row>
    <row r="144" spans="1:33" ht="15" customHeight="1" x14ac:dyDescent="0.3">
      <c r="A144" s="25" t="s">
        <v>181</v>
      </c>
      <c r="B144" s="80" t="s">
        <v>182</v>
      </c>
      <c r="C144" s="21" t="b">
        <v>0</v>
      </c>
      <c r="D144" s="21"/>
      <c r="E144" s="21" t="s">
        <v>183</v>
      </c>
      <c r="F144" s="24" t="s">
        <v>184</v>
      </c>
      <c r="G144" s="24" t="s">
        <v>185</v>
      </c>
      <c r="H144" s="24" t="s">
        <v>24</v>
      </c>
      <c r="I144" s="24" t="s">
        <v>186</v>
      </c>
      <c r="J144" s="24" t="s">
        <v>187</v>
      </c>
      <c r="K144" s="17" t="s">
        <v>223</v>
      </c>
      <c r="L144" s="26">
        <v>46106</v>
      </c>
      <c r="M144" s="27">
        <f>+M143-N143</f>
        <v>1270.57</v>
      </c>
      <c r="N144" s="17">
        <v>0.75</v>
      </c>
      <c r="O144" s="40"/>
      <c r="P144" s="13"/>
      <c r="Q144" s="13"/>
      <c r="R144" s="13"/>
      <c r="S144" s="10"/>
      <c r="T144" s="10"/>
      <c r="U144" s="81"/>
      <c r="V144" s="11"/>
      <c r="W144" s="11"/>
      <c r="X144" s="81"/>
      <c r="Y144" s="12"/>
      <c r="Z144" s="12"/>
      <c r="AA144" s="12"/>
      <c r="AB144" s="12"/>
      <c r="AC144" s="12">
        <v>3</v>
      </c>
      <c r="AD144" s="81"/>
      <c r="AE144" s="13"/>
      <c r="AF144" s="13"/>
      <c r="AG144" s="17"/>
    </row>
    <row r="145" spans="1:33" ht="15" customHeight="1" x14ac:dyDescent="0.3">
      <c r="A145" s="25" t="s">
        <v>181</v>
      </c>
      <c r="B145" s="80" t="s">
        <v>182</v>
      </c>
      <c r="C145" s="21" t="b">
        <v>0</v>
      </c>
      <c r="D145" s="21"/>
      <c r="E145" s="21" t="s">
        <v>183</v>
      </c>
      <c r="F145" s="24" t="s">
        <v>184</v>
      </c>
      <c r="G145" s="24" t="s">
        <v>185</v>
      </c>
      <c r="H145" s="24" t="s">
        <v>24</v>
      </c>
      <c r="I145" s="24" t="s">
        <v>186</v>
      </c>
      <c r="J145" s="24" t="s">
        <v>187</v>
      </c>
      <c r="K145" s="17" t="s">
        <v>223</v>
      </c>
      <c r="L145" s="26">
        <v>46106</v>
      </c>
      <c r="M145" s="27">
        <f t="shared" ref="M145:M161" si="2">+M144-N144</f>
        <v>1269.82</v>
      </c>
      <c r="N145" s="17">
        <v>0.75</v>
      </c>
      <c r="O145" s="40"/>
      <c r="P145" s="13"/>
      <c r="Q145" s="13"/>
      <c r="R145" s="13"/>
      <c r="S145" s="10"/>
      <c r="T145" s="10"/>
      <c r="U145" s="81"/>
      <c r="V145" s="11"/>
      <c r="W145" s="11"/>
      <c r="X145" s="81"/>
      <c r="Y145" s="12"/>
      <c r="Z145" s="12"/>
      <c r="AA145" s="12"/>
      <c r="AB145" s="12"/>
      <c r="AC145" s="12">
        <v>3</v>
      </c>
      <c r="AD145" s="81"/>
      <c r="AE145" s="13"/>
      <c r="AF145" s="13"/>
      <c r="AG145" s="17"/>
    </row>
    <row r="146" spans="1:33" ht="15" customHeight="1" x14ac:dyDescent="0.3">
      <c r="A146" s="25" t="s">
        <v>181</v>
      </c>
      <c r="B146" s="80" t="s">
        <v>182</v>
      </c>
      <c r="C146" s="21" t="b">
        <v>0</v>
      </c>
      <c r="D146" s="21"/>
      <c r="E146" s="21" t="s">
        <v>183</v>
      </c>
      <c r="F146" s="24" t="s">
        <v>184</v>
      </c>
      <c r="G146" s="24" t="s">
        <v>185</v>
      </c>
      <c r="H146" s="24" t="s">
        <v>24</v>
      </c>
      <c r="I146" s="24" t="s">
        <v>186</v>
      </c>
      <c r="J146" s="24" t="s">
        <v>187</v>
      </c>
      <c r="K146" s="17" t="s">
        <v>223</v>
      </c>
      <c r="L146" s="26">
        <v>46106</v>
      </c>
      <c r="M146" s="27">
        <f t="shared" si="2"/>
        <v>1269.07</v>
      </c>
      <c r="N146" s="17">
        <v>0.75</v>
      </c>
      <c r="O146" s="40"/>
      <c r="P146" s="13"/>
      <c r="Q146" s="13"/>
      <c r="R146" s="13"/>
      <c r="S146" s="10"/>
      <c r="T146" s="10"/>
      <c r="U146" s="81"/>
      <c r="V146" s="11"/>
      <c r="W146" s="11"/>
      <c r="X146" s="81"/>
      <c r="Y146" s="12"/>
      <c r="Z146" s="12"/>
      <c r="AA146" s="12"/>
      <c r="AB146" s="12"/>
      <c r="AC146" s="12">
        <v>3</v>
      </c>
      <c r="AD146" s="81"/>
      <c r="AE146" s="13"/>
      <c r="AF146" s="13"/>
      <c r="AG146" s="17"/>
    </row>
    <row r="147" spans="1:33" ht="15" customHeight="1" x14ac:dyDescent="0.3">
      <c r="A147" s="25" t="s">
        <v>181</v>
      </c>
      <c r="B147" s="80" t="s">
        <v>182</v>
      </c>
      <c r="C147" s="21" t="b">
        <v>0</v>
      </c>
      <c r="D147" s="21"/>
      <c r="E147" s="21" t="s">
        <v>183</v>
      </c>
      <c r="F147" s="24" t="s">
        <v>184</v>
      </c>
      <c r="G147" s="24" t="s">
        <v>185</v>
      </c>
      <c r="H147" s="24" t="s">
        <v>24</v>
      </c>
      <c r="I147" s="24" t="s">
        <v>186</v>
      </c>
      <c r="J147" s="24" t="s">
        <v>187</v>
      </c>
      <c r="K147" s="17" t="s">
        <v>223</v>
      </c>
      <c r="L147" s="26">
        <v>46106</v>
      </c>
      <c r="M147" s="27">
        <f t="shared" si="2"/>
        <v>1268.32</v>
      </c>
      <c r="N147" s="17">
        <v>0.75</v>
      </c>
      <c r="O147" s="40"/>
      <c r="P147" s="13"/>
      <c r="Q147" s="13"/>
      <c r="R147" s="13"/>
      <c r="S147" s="10"/>
      <c r="T147" s="10"/>
      <c r="U147" s="81"/>
      <c r="V147" s="11"/>
      <c r="W147" s="11"/>
      <c r="X147" s="81"/>
      <c r="Y147" s="12"/>
      <c r="Z147" s="12"/>
      <c r="AA147" s="12"/>
      <c r="AB147" s="12"/>
      <c r="AC147" s="12">
        <v>3</v>
      </c>
      <c r="AD147" s="81"/>
      <c r="AE147" s="13"/>
      <c r="AF147" s="13"/>
      <c r="AG147" s="17"/>
    </row>
    <row r="148" spans="1:33" ht="15" customHeight="1" x14ac:dyDescent="0.3">
      <c r="A148" s="25" t="s">
        <v>181</v>
      </c>
      <c r="B148" s="80" t="s">
        <v>182</v>
      </c>
      <c r="C148" s="21" t="b">
        <v>0</v>
      </c>
      <c r="D148" s="21"/>
      <c r="E148" s="21" t="s">
        <v>183</v>
      </c>
      <c r="F148" s="24" t="s">
        <v>184</v>
      </c>
      <c r="G148" s="24" t="s">
        <v>185</v>
      </c>
      <c r="H148" s="24" t="s">
        <v>24</v>
      </c>
      <c r="I148" s="24" t="s">
        <v>186</v>
      </c>
      <c r="J148" s="24" t="s">
        <v>187</v>
      </c>
      <c r="K148" s="17" t="s">
        <v>223</v>
      </c>
      <c r="L148" s="26">
        <v>46106</v>
      </c>
      <c r="M148" s="27">
        <f t="shared" si="2"/>
        <v>1267.57</v>
      </c>
      <c r="N148" s="17">
        <v>0.75</v>
      </c>
      <c r="O148" s="40"/>
      <c r="P148" s="13"/>
      <c r="Q148" s="13"/>
      <c r="R148" s="13"/>
      <c r="S148" s="10"/>
      <c r="T148" s="10"/>
      <c r="U148" s="81"/>
      <c r="V148" s="11"/>
      <c r="W148" s="11"/>
      <c r="X148" s="81"/>
      <c r="Y148" s="12"/>
      <c r="Z148" s="12"/>
      <c r="AA148" s="12"/>
      <c r="AB148" s="12"/>
      <c r="AC148" s="12">
        <v>3</v>
      </c>
      <c r="AD148" s="81"/>
      <c r="AE148" s="13"/>
      <c r="AF148" s="13"/>
      <c r="AG148" s="17"/>
    </row>
    <row r="149" spans="1:33" ht="15" customHeight="1" x14ac:dyDescent="0.3">
      <c r="A149" s="25" t="s">
        <v>181</v>
      </c>
      <c r="B149" s="80" t="s">
        <v>182</v>
      </c>
      <c r="C149" s="21" t="b">
        <v>0</v>
      </c>
      <c r="D149" s="21"/>
      <c r="E149" s="21" t="s">
        <v>183</v>
      </c>
      <c r="F149" s="24" t="s">
        <v>184</v>
      </c>
      <c r="G149" s="24" t="s">
        <v>185</v>
      </c>
      <c r="H149" s="24" t="s">
        <v>24</v>
      </c>
      <c r="I149" s="24" t="s">
        <v>186</v>
      </c>
      <c r="J149" s="24" t="s">
        <v>187</v>
      </c>
      <c r="K149" s="17" t="s">
        <v>223</v>
      </c>
      <c r="L149" s="26">
        <v>46106</v>
      </c>
      <c r="M149" s="27">
        <f t="shared" si="2"/>
        <v>1266.82</v>
      </c>
      <c r="N149" s="17">
        <v>0.75</v>
      </c>
      <c r="O149" s="40"/>
      <c r="P149" s="13"/>
      <c r="Q149" s="13"/>
      <c r="R149" s="13"/>
      <c r="S149" s="10"/>
      <c r="T149" s="10"/>
      <c r="U149" s="81"/>
      <c r="V149" s="11"/>
      <c r="W149" s="11"/>
      <c r="X149" s="81"/>
      <c r="Y149" s="12"/>
      <c r="Z149" s="12"/>
      <c r="AA149" s="12"/>
      <c r="AB149" s="12"/>
      <c r="AC149" s="12">
        <v>3</v>
      </c>
      <c r="AD149" s="81"/>
      <c r="AE149" s="13"/>
      <c r="AF149" s="13"/>
      <c r="AG149" s="17"/>
    </row>
    <row r="150" spans="1:33" ht="15" customHeight="1" x14ac:dyDescent="0.3">
      <c r="A150" s="25" t="s">
        <v>181</v>
      </c>
      <c r="B150" s="80" t="s">
        <v>182</v>
      </c>
      <c r="C150" s="21" t="b">
        <v>0</v>
      </c>
      <c r="D150" s="21"/>
      <c r="E150" s="21" t="s">
        <v>183</v>
      </c>
      <c r="F150" s="24" t="s">
        <v>184</v>
      </c>
      <c r="G150" s="24" t="s">
        <v>185</v>
      </c>
      <c r="H150" s="24" t="s">
        <v>24</v>
      </c>
      <c r="I150" s="24" t="s">
        <v>186</v>
      </c>
      <c r="J150" s="24" t="s">
        <v>187</v>
      </c>
      <c r="K150" s="17" t="s">
        <v>223</v>
      </c>
      <c r="L150" s="26">
        <v>46106</v>
      </c>
      <c r="M150" s="27">
        <f t="shared" si="2"/>
        <v>1266.07</v>
      </c>
      <c r="N150" s="17">
        <v>0.75</v>
      </c>
      <c r="O150" s="40"/>
      <c r="P150" s="13"/>
      <c r="Q150" s="13"/>
      <c r="R150" s="13"/>
      <c r="S150" s="10"/>
      <c r="T150" s="10"/>
      <c r="U150" s="81"/>
      <c r="V150" s="11"/>
      <c r="W150" s="11"/>
      <c r="X150" s="81"/>
      <c r="Y150" s="12"/>
      <c r="Z150" s="12"/>
      <c r="AA150" s="12"/>
      <c r="AB150" s="12"/>
      <c r="AC150" s="12">
        <v>3</v>
      </c>
      <c r="AD150" s="81"/>
      <c r="AE150" s="13"/>
      <c r="AF150" s="13"/>
      <c r="AG150" s="17"/>
    </row>
    <row r="151" spans="1:33" ht="15" customHeight="1" x14ac:dyDescent="0.3">
      <c r="A151" s="25" t="s">
        <v>181</v>
      </c>
      <c r="B151" s="80" t="s">
        <v>182</v>
      </c>
      <c r="C151" s="21" t="b">
        <v>0</v>
      </c>
      <c r="D151" s="21"/>
      <c r="E151" s="21" t="s">
        <v>183</v>
      </c>
      <c r="F151" s="24" t="s">
        <v>184</v>
      </c>
      <c r="G151" s="24" t="s">
        <v>185</v>
      </c>
      <c r="H151" s="24" t="s">
        <v>24</v>
      </c>
      <c r="I151" s="24" t="s">
        <v>186</v>
      </c>
      <c r="J151" s="24" t="s">
        <v>187</v>
      </c>
      <c r="K151" s="17" t="s">
        <v>223</v>
      </c>
      <c r="L151" s="26">
        <v>46106</v>
      </c>
      <c r="M151" s="27">
        <f t="shared" si="2"/>
        <v>1265.32</v>
      </c>
      <c r="N151" s="17">
        <v>0.75</v>
      </c>
      <c r="O151" s="40"/>
      <c r="P151" s="13"/>
      <c r="Q151" s="13"/>
      <c r="R151" s="13"/>
      <c r="S151" s="10"/>
      <c r="T151" s="10"/>
      <c r="U151" s="81"/>
      <c r="V151" s="11"/>
      <c r="W151" s="11"/>
      <c r="X151" s="81"/>
      <c r="Y151" s="12"/>
      <c r="Z151" s="12"/>
      <c r="AA151" s="12"/>
      <c r="AB151" s="12"/>
      <c r="AC151" s="12">
        <v>3</v>
      </c>
      <c r="AD151" s="81"/>
      <c r="AE151" s="13"/>
      <c r="AF151" s="13"/>
      <c r="AG151" s="17"/>
    </row>
    <row r="152" spans="1:33" ht="15" customHeight="1" x14ac:dyDescent="0.3">
      <c r="A152" s="25" t="s">
        <v>181</v>
      </c>
      <c r="B152" s="80" t="s">
        <v>182</v>
      </c>
      <c r="C152" s="21" t="b">
        <v>0</v>
      </c>
      <c r="D152" s="21"/>
      <c r="E152" s="21" t="s">
        <v>183</v>
      </c>
      <c r="F152" s="24" t="s">
        <v>184</v>
      </c>
      <c r="G152" s="24" t="s">
        <v>185</v>
      </c>
      <c r="H152" s="24" t="s">
        <v>24</v>
      </c>
      <c r="I152" s="24" t="s">
        <v>186</v>
      </c>
      <c r="J152" s="24" t="s">
        <v>187</v>
      </c>
      <c r="K152" s="17" t="s">
        <v>223</v>
      </c>
      <c r="L152" s="26">
        <v>46106</v>
      </c>
      <c r="M152" s="27">
        <f t="shared" si="2"/>
        <v>1264.57</v>
      </c>
      <c r="N152" s="17">
        <v>0.75</v>
      </c>
      <c r="O152" s="40"/>
      <c r="P152" s="13"/>
      <c r="Q152" s="13"/>
      <c r="R152" s="13"/>
      <c r="S152" s="10"/>
      <c r="T152" s="10"/>
      <c r="U152" s="81"/>
      <c r="V152" s="11"/>
      <c r="W152" s="11"/>
      <c r="X152" s="81"/>
      <c r="Y152" s="12"/>
      <c r="Z152" s="12"/>
      <c r="AA152" s="12"/>
      <c r="AB152" s="12"/>
      <c r="AC152" s="12">
        <v>3</v>
      </c>
      <c r="AD152" s="81"/>
      <c r="AE152" s="13"/>
      <c r="AF152" s="13"/>
      <c r="AG152" s="17"/>
    </row>
    <row r="153" spans="1:33" ht="15" customHeight="1" x14ac:dyDescent="0.3">
      <c r="A153" s="25" t="s">
        <v>181</v>
      </c>
      <c r="B153" s="80" t="s">
        <v>182</v>
      </c>
      <c r="C153" s="21" t="b">
        <v>0</v>
      </c>
      <c r="D153" s="21"/>
      <c r="E153" s="21" t="s">
        <v>183</v>
      </c>
      <c r="F153" s="24" t="s">
        <v>184</v>
      </c>
      <c r="G153" s="24" t="s">
        <v>185</v>
      </c>
      <c r="H153" s="24" t="s">
        <v>24</v>
      </c>
      <c r="I153" s="24" t="s">
        <v>186</v>
      </c>
      <c r="J153" s="24" t="s">
        <v>187</v>
      </c>
      <c r="K153" s="17" t="s">
        <v>223</v>
      </c>
      <c r="L153" s="26">
        <v>46106</v>
      </c>
      <c r="M153" s="27">
        <f t="shared" si="2"/>
        <v>1263.82</v>
      </c>
      <c r="N153" s="17">
        <v>0.75</v>
      </c>
      <c r="O153" s="40"/>
      <c r="P153" s="13"/>
      <c r="Q153" s="13"/>
      <c r="R153" s="13"/>
      <c r="S153" s="10"/>
      <c r="T153" s="10"/>
      <c r="U153" s="81"/>
      <c r="V153" s="11"/>
      <c r="W153" s="11"/>
      <c r="X153" s="81"/>
      <c r="Y153" s="12"/>
      <c r="Z153" s="12"/>
      <c r="AA153" s="12"/>
      <c r="AB153" s="12"/>
      <c r="AC153" s="12">
        <v>3</v>
      </c>
      <c r="AD153" s="81"/>
      <c r="AE153" s="13"/>
      <c r="AF153" s="13"/>
      <c r="AG153" s="17"/>
    </row>
    <row r="154" spans="1:33" ht="15" customHeight="1" x14ac:dyDescent="0.3">
      <c r="A154" s="25" t="s">
        <v>181</v>
      </c>
      <c r="B154" s="80" t="s">
        <v>182</v>
      </c>
      <c r="C154" s="21" t="b">
        <v>0</v>
      </c>
      <c r="D154" s="21"/>
      <c r="E154" s="21" t="s">
        <v>183</v>
      </c>
      <c r="F154" s="24" t="s">
        <v>184</v>
      </c>
      <c r="G154" s="24" t="s">
        <v>185</v>
      </c>
      <c r="H154" s="24" t="s">
        <v>24</v>
      </c>
      <c r="I154" s="24" t="s">
        <v>186</v>
      </c>
      <c r="J154" s="24" t="s">
        <v>187</v>
      </c>
      <c r="K154" s="17" t="s">
        <v>223</v>
      </c>
      <c r="L154" s="26">
        <v>46106</v>
      </c>
      <c r="M154" s="27">
        <f t="shared" si="2"/>
        <v>1263.07</v>
      </c>
      <c r="N154" s="17">
        <v>0.75</v>
      </c>
      <c r="O154" s="40"/>
      <c r="P154" s="13"/>
      <c r="Q154" s="13"/>
      <c r="R154" s="13"/>
      <c r="S154" s="10"/>
      <c r="T154" s="10"/>
      <c r="U154" s="81"/>
      <c r="V154" s="11"/>
      <c r="W154" s="11"/>
      <c r="X154" s="81"/>
      <c r="Y154" s="12"/>
      <c r="Z154" s="12"/>
      <c r="AA154" s="12"/>
      <c r="AB154" s="12"/>
      <c r="AC154" s="12">
        <v>3</v>
      </c>
      <c r="AD154" s="81"/>
      <c r="AE154" s="13"/>
      <c r="AF154" s="13"/>
      <c r="AG154" s="17"/>
    </row>
    <row r="155" spans="1:33" ht="15" customHeight="1" x14ac:dyDescent="0.3">
      <c r="A155" s="25" t="s">
        <v>181</v>
      </c>
      <c r="B155" s="80" t="s">
        <v>182</v>
      </c>
      <c r="C155" s="21" t="b">
        <v>0</v>
      </c>
      <c r="D155" s="21"/>
      <c r="E155" s="21" t="s">
        <v>183</v>
      </c>
      <c r="F155" s="24" t="s">
        <v>184</v>
      </c>
      <c r="G155" s="24" t="s">
        <v>185</v>
      </c>
      <c r="H155" s="24" t="s">
        <v>24</v>
      </c>
      <c r="I155" s="24" t="s">
        <v>186</v>
      </c>
      <c r="J155" s="24" t="s">
        <v>187</v>
      </c>
      <c r="K155" s="17" t="s">
        <v>223</v>
      </c>
      <c r="L155" s="26">
        <v>46106</v>
      </c>
      <c r="M155" s="27">
        <f t="shared" si="2"/>
        <v>1262.32</v>
      </c>
      <c r="N155" s="17">
        <v>0.75</v>
      </c>
      <c r="O155" s="40"/>
      <c r="P155" s="13"/>
      <c r="Q155" s="13"/>
      <c r="R155" s="13"/>
      <c r="S155" s="10"/>
      <c r="T155" s="10"/>
      <c r="U155" s="81"/>
      <c r="V155" s="11"/>
      <c r="W155" s="11"/>
      <c r="X155" s="81"/>
      <c r="Y155" s="12"/>
      <c r="Z155" s="12"/>
      <c r="AA155" s="12"/>
      <c r="AB155" s="12"/>
      <c r="AC155" s="12">
        <v>3</v>
      </c>
      <c r="AD155" s="81"/>
      <c r="AE155" s="13"/>
      <c r="AF155" s="13"/>
      <c r="AG155" s="17"/>
    </row>
    <row r="156" spans="1:33" ht="15" customHeight="1" x14ac:dyDescent="0.3">
      <c r="A156" s="25" t="s">
        <v>181</v>
      </c>
      <c r="B156" s="80" t="s">
        <v>182</v>
      </c>
      <c r="C156" s="21" t="b">
        <v>0</v>
      </c>
      <c r="D156" s="21"/>
      <c r="E156" s="21" t="s">
        <v>183</v>
      </c>
      <c r="F156" s="24" t="s">
        <v>184</v>
      </c>
      <c r="G156" s="24" t="s">
        <v>185</v>
      </c>
      <c r="H156" s="24" t="s">
        <v>24</v>
      </c>
      <c r="I156" s="24" t="s">
        <v>186</v>
      </c>
      <c r="J156" s="24" t="s">
        <v>187</v>
      </c>
      <c r="K156" s="17" t="s">
        <v>223</v>
      </c>
      <c r="L156" s="26">
        <v>46106</v>
      </c>
      <c r="M156" s="27">
        <f t="shared" si="2"/>
        <v>1261.57</v>
      </c>
      <c r="N156" s="17">
        <v>0.75</v>
      </c>
      <c r="O156" s="40"/>
      <c r="P156" s="13"/>
      <c r="Q156" s="13"/>
      <c r="R156" s="13"/>
      <c r="S156" s="10"/>
      <c r="T156" s="10"/>
      <c r="U156" s="81"/>
      <c r="V156" s="11"/>
      <c r="W156" s="11"/>
      <c r="X156" s="81"/>
      <c r="Y156" s="12"/>
      <c r="Z156" s="12"/>
      <c r="AA156" s="12"/>
      <c r="AB156" s="12"/>
      <c r="AC156" s="12">
        <v>3</v>
      </c>
      <c r="AD156" s="81"/>
      <c r="AE156" s="13"/>
      <c r="AF156" s="13"/>
      <c r="AG156" s="17"/>
    </row>
    <row r="157" spans="1:33" ht="15" customHeight="1" x14ac:dyDescent="0.3">
      <c r="A157" s="25" t="s">
        <v>181</v>
      </c>
      <c r="B157" s="80" t="s">
        <v>182</v>
      </c>
      <c r="C157" s="21" t="b">
        <v>0</v>
      </c>
      <c r="D157" s="21"/>
      <c r="E157" s="21" t="s">
        <v>183</v>
      </c>
      <c r="F157" s="24" t="s">
        <v>184</v>
      </c>
      <c r="G157" s="24" t="s">
        <v>185</v>
      </c>
      <c r="H157" s="24" t="s">
        <v>24</v>
      </c>
      <c r="I157" s="24" t="s">
        <v>186</v>
      </c>
      <c r="J157" s="24" t="s">
        <v>187</v>
      </c>
      <c r="K157" s="17" t="s">
        <v>223</v>
      </c>
      <c r="L157" s="26">
        <v>46106</v>
      </c>
      <c r="M157" s="27">
        <f t="shared" si="2"/>
        <v>1260.82</v>
      </c>
      <c r="N157" s="17">
        <v>0.75</v>
      </c>
      <c r="O157" s="40"/>
      <c r="P157" s="13"/>
      <c r="Q157" s="13"/>
      <c r="R157" s="13"/>
      <c r="S157" s="10"/>
      <c r="T157" s="10"/>
      <c r="U157" s="81"/>
      <c r="V157" s="11"/>
      <c r="W157" s="11"/>
      <c r="X157" s="81"/>
      <c r="Y157" s="12"/>
      <c r="Z157" s="12"/>
      <c r="AA157" s="12"/>
      <c r="AB157" s="12"/>
      <c r="AC157" s="12">
        <v>3</v>
      </c>
      <c r="AD157" s="81"/>
      <c r="AE157" s="13"/>
      <c r="AF157" s="13"/>
      <c r="AG157" s="17"/>
    </row>
    <row r="158" spans="1:33" ht="15" customHeight="1" x14ac:dyDescent="0.3">
      <c r="A158" s="25" t="s">
        <v>181</v>
      </c>
      <c r="B158" s="80" t="s">
        <v>182</v>
      </c>
      <c r="C158" s="21" t="b">
        <v>0</v>
      </c>
      <c r="D158" s="21"/>
      <c r="E158" s="21" t="s">
        <v>183</v>
      </c>
      <c r="F158" s="24" t="s">
        <v>184</v>
      </c>
      <c r="G158" s="24" t="s">
        <v>185</v>
      </c>
      <c r="H158" s="24" t="s">
        <v>24</v>
      </c>
      <c r="I158" s="24" t="s">
        <v>186</v>
      </c>
      <c r="J158" s="24" t="s">
        <v>187</v>
      </c>
      <c r="K158" s="17" t="s">
        <v>223</v>
      </c>
      <c r="L158" s="26">
        <v>46106</v>
      </c>
      <c r="M158" s="27">
        <f t="shared" si="2"/>
        <v>1260.07</v>
      </c>
      <c r="N158" s="17">
        <v>0.75</v>
      </c>
      <c r="O158" s="40"/>
      <c r="P158" s="13"/>
      <c r="Q158" s="13"/>
      <c r="R158" s="13"/>
      <c r="S158" s="10"/>
      <c r="T158" s="10"/>
      <c r="U158" s="81"/>
      <c r="V158" s="11"/>
      <c r="W158" s="11"/>
      <c r="X158" s="81"/>
      <c r="Y158" s="12"/>
      <c r="Z158" s="12"/>
      <c r="AA158" s="12"/>
      <c r="AB158" s="12"/>
      <c r="AC158" s="12">
        <v>3</v>
      </c>
      <c r="AD158" s="81"/>
      <c r="AE158" s="13"/>
      <c r="AF158" s="13"/>
      <c r="AG158" s="17"/>
    </row>
    <row r="159" spans="1:33" ht="15" customHeight="1" x14ac:dyDescent="0.3">
      <c r="A159" s="25" t="s">
        <v>181</v>
      </c>
      <c r="B159" s="80" t="s">
        <v>182</v>
      </c>
      <c r="C159" s="21" t="b">
        <v>0</v>
      </c>
      <c r="D159" s="21"/>
      <c r="E159" s="21" t="s">
        <v>183</v>
      </c>
      <c r="F159" s="24" t="s">
        <v>184</v>
      </c>
      <c r="G159" s="24" t="s">
        <v>185</v>
      </c>
      <c r="H159" s="24" t="s">
        <v>24</v>
      </c>
      <c r="I159" s="24" t="s">
        <v>186</v>
      </c>
      <c r="J159" s="24" t="s">
        <v>187</v>
      </c>
      <c r="K159" s="17" t="s">
        <v>223</v>
      </c>
      <c r="L159" s="26">
        <v>46106</v>
      </c>
      <c r="M159" s="27">
        <f t="shared" si="2"/>
        <v>1259.32</v>
      </c>
      <c r="N159" s="17">
        <v>0.75</v>
      </c>
      <c r="O159" s="40"/>
      <c r="P159" s="13"/>
      <c r="Q159" s="13"/>
      <c r="R159" s="13"/>
      <c r="S159" s="10"/>
      <c r="T159" s="10"/>
      <c r="U159" s="81"/>
      <c r="V159" s="11"/>
      <c r="W159" s="11"/>
      <c r="X159" s="81"/>
      <c r="Y159" s="12"/>
      <c r="Z159" s="12"/>
      <c r="AA159" s="12"/>
      <c r="AB159" s="12"/>
      <c r="AC159" s="12">
        <v>3</v>
      </c>
      <c r="AD159" s="81"/>
      <c r="AE159" s="13"/>
      <c r="AF159" s="13"/>
      <c r="AG159" s="17"/>
    </row>
    <row r="160" spans="1:33" ht="15" customHeight="1" x14ac:dyDescent="0.3">
      <c r="A160" s="25" t="s">
        <v>181</v>
      </c>
      <c r="B160" s="80" t="s">
        <v>182</v>
      </c>
      <c r="C160" s="21" t="b">
        <v>0</v>
      </c>
      <c r="D160" s="21"/>
      <c r="E160" s="21" t="s">
        <v>183</v>
      </c>
      <c r="F160" s="24" t="s">
        <v>184</v>
      </c>
      <c r="G160" s="24" t="s">
        <v>185</v>
      </c>
      <c r="H160" s="24" t="s">
        <v>24</v>
      </c>
      <c r="I160" s="24" t="s">
        <v>186</v>
      </c>
      <c r="J160" s="24" t="s">
        <v>187</v>
      </c>
      <c r="K160" s="17" t="s">
        <v>223</v>
      </c>
      <c r="L160" s="26">
        <v>46106</v>
      </c>
      <c r="M160" s="27">
        <f t="shared" si="2"/>
        <v>1258.57</v>
      </c>
      <c r="N160" s="17">
        <v>0.75</v>
      </c>
      <c r="O160" s="40"/>
      <c r="P160" s="13"/>
      <c r="Q160" s="13"/>
      <c r="R160" s="13"/>
      <c r="S160" s="10"/>
      <c r="T160" s="10"/>
      <c r="U160" s="81"/>
      <c r="V160" s="11"/>
      <c r="W160" s="11"/>
      <c r="X160" s="81"/>
      <c r="Y160" s="12"/>
      <c r="Z160" s="12"/>
      <c r="AA160" s="12"/>
      <c r="AB160" s="12"/>
      <c r="AC160" s="12">
        <v>3</v>
      </c>
      <c r="AD160" s="81"/>
      <c r="AE160" s="13"/>
      <c r="AF160" s="13"/>
      <c r="AG160" s="17"/>
    </row>
    <row r="161" spans="1:33" ht="15" customHeight="1" x14ac:dyDescent="0.3">
      <c r="A161" s="25" t="s">
        <v>181</v>
      </c>
      <c r="B161" s="80" t="s">
        <v>182</v>
      </c>
      <c r="C161" s="21" t="b">
        <v>0</v>
      </c>
      <c r="D161" s="21"/>
      <c r="E161" s="21" t="s">
        <v>183</v>
      </c>
      <c r="F161" s="24" t="s">
        <v>184</v>
      </c>
      <c r="G161" s="24" t="s">
        <v>185</v>
      </c>
      <c r="H161" s="24" t="s">
        <v>24</v>
      </c>
      <c r="I161" s="24" t="s">
        <v>186</v>
      </c>
      <c r="J161" s="24" t="s">
        <v>187</v>
      </c>
      <c r="K161" s="17" t="s">
        <v>223</v>
      </c>
      <c r="L161" s="26">
        <v>46106</v>
      </c>
      <c r="M161" s="27">
        <f t="shared" si="2"/>
        <v>1257.82</v>
      </c>
      <c r="N161" s="17">
        <v>0.75</v>
      </c>
      <c r="O161" s="40"/>
      <c r="P161" s="13"/>
      <c r="Q161" s="13"/>
      <c r="R161" s="13"/>
      <c r="S161" s="10"/>
      <c r="T161" s="10"/>
      <c r="U161" s="81"/>
      <c r="V161" s="11"/>
      <c r="W161" s="11"/>
      <c r="X161" s="81"/>
      <c r="Y161" s="12"/>
      <c r="Z161" s="12"/>
      <c r="AA161" s="12"/>
      <c r="AB161" s="12"/>
      <c r="AC161" s="12">
        <v>3</v>
      </c>
      <c r="AD161" s="81"/>
      <c r="AE161" s="13"/>
      <c r="AF161" s="13"/>
      <c r="AG161" s="17"/>
    </row>
    <row r="163" spans="1:33" ht="15" customHeight="1" x14ac:dyDescent="0.3">
      <c r="A163" s="25" t="s">
        <v>181</v>
      </c>
      <c r="B163" s="80" t="s">
        <v>182</v>
      </c>
      <c r="C163" s="21" t="b">
        <v>0</v>
      </c>
      <c r="D163" s="21"/>
      <c r="E163" s="21" t="s">
        <v>183</v>
      </c>
      <c r="F163" s="24" t="s">
        <v>184</v>
      </c>
      <c r="G163" s="24" t="s">
        <v>185</v>
      </c>
      <c r="H163" s="24" t="s">
        <v>24</v>
      </c>
      <c r="I163" s="24" t="s">
        <v>186</v>
      </c>
      <c r="J163" s="24" t="s">
        <v>187</v>
      </c>
      <c r="K163" s="17" t="s">
        <v>224</v>
      </c>
      <c r="L163" s="26">
        <v>46106</v>
      </c>
      <c r="M163" s="27">
        <v>1257.07</v>
      </c>
      <c r="N163" s="17">
        <v>0.75</v>
      </c>
      <c r="O163" s="40"/>
      <c r="P163" s="13"/>
      <c r="Q163" s="13"/>
      <c r="R163" s="13"/>
      <c r="S163" s="10"/>
      <c r="T163" s="10"/>
      <c r="U163" s="81"/>
      <c r="V163" s="11"/>
      <c r="W163" s="11"/>
      <c r="X163" s="81"/>
      <c r="Y163" s="12"/>
      <c r="Z163" s="12"/>
      <c r="AA163" s="12"/>
      <c r="AB163" s="12"/>
      <c r="AC163" s="12">
        <v>3</v>
      </c>
      <c r="AD163" s="81"/>
      <c r="AE163" s="13"/>
      <c r="AF163" s="13"/>
      <c r="AG163" s="17"/>
    </row>
    <row r="165" spans="1:33" ht="15" customHeight="1" x14ac:dyDescent="0.3">
      <c r="A165" s="25" t="s">
        <v>225</v>
      </c>
      <c r="B165" s="80" t="s">
        <v>226</v>
      </c>
      <c r="C165" s="21" t="b">
        <v>0</v>
      </c>
      <c r="D165" s="21"/>
      <c r="E165" s="21" t="s">
        <v>183</v>
      </c>
      <c r="F165" s="24" t="s">
        <v>184</v>
      </c>
      <c r="G165" s="24" t="s">
        <v>185</v>
      </c>
      <c r="H165" s="24" t="s">
        <v>24</v>
      </c>
      <c r="I165" s="24" t="s">
        <v>186</v>
      </c>
      <c r="J165" s="24" t="s">
        <v>187</v>
      </c>
      <c r="K165" s="17" t="s">
        <v>227</v>
      </c>
      <c r="L165" s="26">
        <v>46113</v>
      </c>
      <c r="M165" s="27">
        <v>1308.44</v>
      </c>
      <c r="N165" s="17" t="s">
        <v>28</v>
      </c>
      <c r="O165" s="40" t="s">
        <v>64</v>
      </c>
      <c r="P165" s="13" t="s">
        <v>30</v>
      </c>
      <c r="Q165" s="13" t="s">
        <v>84</v>
      </c>
      <c r="R165" s="13" t="s">
        <v>31</v>
      </c>
      <c r="S165" s="82"/>
      <c r="T165" s="10">
        <v>1</v>
      </c>
      <c r="U165" s="81"/>
      <c r="V165" s="11"/>
      <c r="W165" s="11"/>
      <c r="X165" s="81"/>
      <c r="Y165" s="12"/>
      <c r="Z165" s="12"/>
      <c r="AA165" s="12"/>
      <c r="AB165" s="12"/>
      <c r="AC165" s="12"/>
      <c r="AD165" s="81"/>
      <c r="AE165" s="13"/>
      <c r="AF165" s="13"/>
      <c r="AG165" s="17"/>
    </row>
    <row r="166" spans="1:33" ht="15" customHeight="1" x14ac:dyDescent="0.3">
      <c r="A166" s="25" t="s">
        <v>225</v>
      </c>
      <c r="B166" s="80" t="s">
        <v>226</v>
      </c>
      <c r="C166" s="21" t="b">
        <v>0</v>
      </c>
      <c r="D166" s="21"/>
      <c r="E166" s="21" t="s">
        <v>183</v>
      </c>
      <c r="F166" s="24" t="s">
        <v>184</v>
      </c>
      <c r="G166" s="24" t="s">
        <v>185</v>
      </c>
      <c r="H166" s="24" t="s">
        <v>24</v>
      </c>
      <c r="I166" s="24" t="s">
        <v>186</v>
      </c>
      <c r="J166" s="24" t="s">
        <v>187</v>
      </c>
      <c r="K166" s="17" t="s">
        <v>227</v>
      </c>
      <c r="L166" s="26">
        <v>46113</v>
      </c>
      <c r="M166" s="27">
        <v>1309.19</v>
      </c>
      <c r="N166" s="17" t="s">
        <v>28</v>
      </c>
      <c r="O166" s="40" t="s">
        <v>63</v>
      </c>
      <c r="P166" s="13" t="s">
        <v>30</v>
      </c>
      <c r="Q166" s="13" t="s">
        <v>84</v>
      </c>
      <c r="R166" s="13" t="s">
        <v>31</v>
      </c>
      <c r="S166" s="82"/>
      <c r="T166" s="10">
        <v>1</v>
      </c>
      <c r="U166" s="81"/>
      <c r="V166" s="11"/>
      <c r="W166" s="11"/>
      <c r="X166" s="81"/>
      <c r="Y166" s="12"/>
      <c r="Z166" s="12"/>
      <c r="AA166" s="12"/>
      <c r="AB166" s="12"/>
      <c r="AC166" s="12"/>
      <c r="AD166" s="81"/>
      <c r="AE166" s="13"/>
      <c r="AF166" s="13"/>
      <c r="AG166" s="17"/>
    </row>
    <row r="167" spans="1:33" ht="15" customHeight="1" x14ac:dyDescent="0.3">
      <c r="A167" s="25" t="s">
        <v>225</v>
      </c>
      <c r="B167" s="80" t="s">
        <v>226</v>
      </c>
      <c r="C167" s="21" t="b">
        <v>0</v>
      </c>
      <c r="D167" s="21"/>
      <c r="E167" s="21" t="s">
        <v>183</v>
      </c>
      <c r="F167" s="24" t="s">
        <v>184</v>
      </c>
      <c r="G167" s="24" t="s">
        <v>185</v>
      </c>
      <c r="H167" s="24" t="s">
        <v>24</v>
      </c>
      <c r="I167" s="24" t="s">
        <v>186</v>
      </c>
      <c r="J167" s="24" t="s">
        <v>187</v>
      </c>
      <c r="K167" s="17" t="s">
        <v>227</v>
      </c>
      <c r="L167" s="26">
        <v>46113</v>
      </c>
      <c r="M167" s="27">
        <v>1309.94</v>
      </c>
      <c r="N167" s="17" t="s">
        <v>28</v>
      </c>
      <c r="O167" s="40" t="s">
        <v>29</v>
      </c>
      <c r="P167" s="13" t="s">
        <v>30</v>
      </c>
      <c r="Q167" s="13" t="s">
        <v>84</v>
      </c>
      <c r="R167" s="13" t="s">
        <v>31</v>
      </c>
      <c r="S167" s="82"/>
      <c r="T167" s="10">
        <v>1</v>
      </c>
      <c r="U167" s="81"/>
      <c r="V167" s="11"/>
      <c r="W167" s="11"/>
      <c r="X167" s="81"/>
      <c r="Y167" s="12"/>
      <c r="Z167" s="12"/>
      <c r="AA167" s="12"/>
      <c r="AB167" s="12"/>
      <c r="AC167" s="12"/>
      <c r="AD167" s="81"/>
      <c r="AE167" s="13"/>
      <c r="AF167" s="13"/>
      <c r="AG167" s="17"/>
    </row>
    <row r="168" spans="1:33" ht="15" customHeight="1" x14ac:dyDescent="0.3">
      <c r="A168" s="25" t="s">
        <v>225</v>
      </c>
      <c r="B168" s="80" t="s">
        <v>226</v>
      </c>
      <c r="C168" s="21" t="b">
        <v>0</v>
      </c>
      <c r="D168" s="21"/>
      <c r="E168" s="21" t="s">
        <v>183</v>
      </c>
      <c r="F168" s="24" t="s">
        <v>184</v>
      </c>
      <c r="G168" s="24" t="s">
        <v>185</v>
      </c>
      <c r="H168" s="24" t="s">
        <v>24</v>
      </c>
      <c r="I168" s="24" t="s">
        <v>186</v>
      </c>
      <c r="J168" s="24" t="s">
        <v>187</v>
      </c>
      <c r="K168" s="17" t="s">
        <v>228</v>
      </c>
      <c r="L168" s="26">
        <v>46127</v>
      </c>
      <c r="M168" s="27">
        <v>1310.69</v>
      </c>
      <c r="N168" s="17" t="s">
        <v>28</v>
      </c>
      <c r="O168" s="40" t="s">
        <v>67</v>
      </c>
      <c r="P168" s="13" t="s">
        <v>30</v>
      </c>
      <c r="Q168" s="13" t="s">
        <v>84</v>
      </c>
      <c r="R168" s="13" t="s">
        <v>31</v>
      </c>
      <c r="S168" s="82"/>
      <c r="T168" s="10">
        <v>1</v>
      </c>
      <c r="U168" s="81"/>
      <c r="V168" s="11"/>
      <c r="W168" s="11"/>
      <c r="X168" s="81"/>
      <c r="Y168" s="12"/>
      <c r="Z168" s="12"/>
      <c r="AA168" s="12"/>
      <c r="AB168" s="12"/>
      <c r="AC168" s="12"/>
      <c r="AD168" s="81"/>
      <c r="AE168" s="13"/>
      <c r="AF168" s="13"/>
      <c r="AG168" s="17"/>
    </row>
    <row r="169" spans="1:33" ht="15" customHeight="1" x14ac:dyDescent="0.3">
      <c r="A169" s="25" t="s">
        <v>225</v>
      </c>
      <c r="B169" s="80" t="s">
        <v>226</v>
      </c>
      <c r="C169" s="21" t="b">
        <v>0</v>
      </c>
      <c r="D169" s="21"/>
      <c r="E169" s="21" t="s">
        <v>183</v>
      </c>
      <c r="F169" s="24" t="s">
        <v>184</v>
      </c>
      <c r="G169" s="24" t="s">
        <v>185</v>
      </c>
      <c r="H169" s="24" t="s">
        <v>24</v>
      </c>
      <c r="I169" s="24" t="s">
        <v>186</v>
      </c>
      <c r="J169" s="24" t="s">
        <v>187</v>
      </c>
      <c r="K169" s="17" t="s">
        <v>228</v>
      </c>
      <c r="L169" s="26">
        <v>46127</v>
      </c>
      <c r="M169" s="27">
        <v>1311.44</v>
      </c>
      <c r="N169" s="17" t="s">
        <v>28</v>
      </c>
      <c r="O169" s="40" t="s">
        <v>66</v>
      </c>
      <c r="P169" s="13" t="s">
        <v>30</v>
      </c>
      <c r="Q169" s="13" t="s">
        <v>84</v>
      </c>
      <c r="R169" s="13" t="s">
        <v>31</v>
      </c>
      <c r="S169" s="82"/>
      <c r="T169" s="10">
        <v>1</v>
      </c>
      <c r="U169" s="81"/>
      <c r="V169" s="11"/>
      <c r="W169" s="11"/>
      <c r="X169" s="81"/>
      <c r="Y169" s="12"/>
      <c r="Z169" s="12"/>
      <c r="AA169" s="12"/>
      <c r="AB169" s="12"/>
      <c r="AC169" s="12"/>
      <c r="AD169" s="81"/>
      <c r="AE169" s="13"/>
      <c r="AF169" s="13"/>
      <c r="AG169" s="17"/>
    </row>
    <row r="170" spans="1:33" ht="15" customHeight="1" x14ac:dyDescent="0.3">
      <c r="A170" s="25" t="s">
        <v>225</v>
      </c>
      <c r="B170" s="80" t="s">
        <v>226</v>
      </c>
      <c r="C170" s="21" t="b">
        <v>0</v>
      </c>
      <c r="D170" s="21"/>
      <c r="E170" s="21" t="s">
        <v>183</v>
      </c>
      <c r="F170" s="24" t="s">
        <v>184</v>
      </c>
      <c r="G170" s="24" t="s">
        <v>185</v>
      </c>
      <c r="H170" s="24" t="s">
        <v>24</v>
      </c>
      <c r="I170" s="24" t="s">
        <v>186</v>
      </c>
      <c r="J170" s="24" t="s">
        <v>187</v>
      </c>
      <c r="K170" s="17" t="s">
        <v>228</v>
      </c>
      <c r="L170" s="26">
        <v>46127</v>
      </c>
      <c r="M170" s="27">
        <v>1312.19</v>
      </c>
      <c r="N170" s="17" t="s">
        <v>28</v>
      </c>
      <c r="O170" s="40" t="s">
        <v>65</v>
      </c>
      <c r="P170" s="13" t="s">
        <v>30</v>
      </c>
      <c r="Q170" s="13" t="s">
        <v>84</v>
      </c>
      <c r="R170" s="13" t="s">
        <v>31</v>
      </c>
      <c r="S170" s="82"/>
      <c r="T170" s="10">
        <v>1</v>
      </c>
      <c r="U170" s="81"/>
      <c r="V170" s="11"/>
      <c r="W170" s="11"/>
      <c r="X170" s="81"/>
      <c r="Y170" s="12"/>
      <c r="Z170" s="12"/>
      <c r="AA170" s="12"/>
      <c r="AB170" s="12"/>
      <c r="AC170" s="12"/>
      <c r="AD170" s="81"/>
      <c r="AE170" s="13"/>
      <c r="AF170" s="13"/>
      <c r="AG170" s="17"/>
    </row>
    <row r="171" spans="1:33" ht="15" customHeight="1" x14ac:dyDescent="0.3">
      <c r="A171" s="25" t="s">
        <v>225</v>
      </c>
      <c r="B171" s="80" t="s">
        <v>226</v>
      </c>
      <c r="C171" s="21" t="b">
        <v>0</v>
      </c>
      <c r="D171" s="21"/>
      <c r="E171" s="21" t="s">
        <v>183</v>
      </c>
      <c r="F171" s="24" t="s">
        <v>184</v>
      </c>
      <c r="G171" s="24" t="s">
        <v>185</v>
      </c>
      <c r="H171" s="24" t="s">
        <v>24</v>
      </c>
      <c r="I171" s="24" t="s">
        <v>186</v>
      </c>
      <c r="J171" s="24" t="s">
        <v>187</v>
      </c>
      <c r="K171" s="17" t="s">
        <v>229</v>
      </c>
      <c r="L171" s="26">
        <v>46128</v>
      </c>
      <c r="M171" s="27">
        <v>1312.94</v>
      </c>
      <c r="N171" s="17" t="s">
        <v>28</v>
      </c>
      <c r="O171" s="40" t="s">
        <v>64</v>
      </c>
      <c r="P171" s="13" t="s">
        <v>30</v>
      </c>
      <c r="Q171" s="13" t="s">
        <v>84</v>
      </c>
      <c r="R171" s="13" t="s">
        <v>31</v>
      </c>
      <c r="S171" s="82"/>
      <c r="T171" s="10">
        <v>1</v>
      </c>
      <c r="U171" s="81"/>
      <c r="V171" s="11"/>
      <c r="W171" s="11"/>
      <c r="X171" s="81"/>
      <c r="Y171" s="12"/>
      <c r="Z171" s="12"/>
      <c r="AA171" s="12"/>
      <c r="AB171" s="12"/>
      <c r="AC171" s="12"/>
      <c r="AD171" s="81"/>
      <c r="AE171" s="13"/>
      <c r="AF171" s="13"/>
      <c r="AG171" s="17"/>
    </row>
    <row r="172" spans="1:33" ht="15" customHeight="1" x14ac:dyDescent="0.3">
      <c r="A172" s="25" t="s">
        <v>225</v>
      </c>
      <c r="B172" s="80" t="s">
        <v>226</v>
      </c>
      <c r="C172" s="21" t="b">
        <v>0</v>
      </c>
      <c r="D172" s="21"/>
      <c r="E172" s="21" t="s">
        <v>183</v>
      </c>
      <c r="F172" s="24" t="s">
        <v>184</v>
      </c>
      <c r="G172" s="24" t="s">
        <v>185</v>
      </c>
      <c r="H172" s="24" t="s">
        <v>24</v>
      </c>
      <c r="I172" s="24" t="s">
        <v>186</v>
      </c>
      <c r="J172" s="24" t="s">
        <v>187</v>
      </c>
      <c r="K172" s="17" t="s">
        <v>229</v>
      </c>
      <c r="L172" s="26">
        <v>46128</v>
      </c>
      <c r="M172" s="27">
        <v>1313.69</v>
      </c>
      <c r="N172" s="17" t="s">
        <v>28</v>
      </c>
      <c r="O172" s="40" t="s">
        <v>63</v>
      </c>
      <c r="P172" s="13" t="s">
        <v>30</v>
      </c>
      <c r="Q172" s="13" t="s">
        <v>84</v>
      </c>
      <c r="R172" s="13" t="s">
        <v>31</v>
      </c>
      <c r="S172" s="82"/>
      <c r="T172" s="10">
        <v>1</v>
      </c>
      <c r="U172" s="81"/>
      <c r="V172" s="11"/>
      <c r="W172" s="11"/>
      <c r="X172" s="81"/>
      <c r="Y172" s="12"/>
      <c r="Z172" s="12"/>
      <c r="AA172" s="12"/>
      <c r="AB172" s="12"/>
      <c r="AC172" s="12"/>
      <c r="AD172" s="81"/>
      <c r="AE172" s="13"/>
      <c r="AF172" s="13"/>
      <c r="AG172" s="17"/>
    </row>
    <row r="173" spans="1:33" ht="15" customHeight="1" x14ac:dyDescent="0.3">
      <c r="A173" s="25" t="s">
        <v>225</v>
      </c>
      <c r="B173" s="80" t="s">
        <v>226</v>
      </c>
      <c r="C173" s="21" t="b">
        <v>0</v>
      </c>
      <c r="D173" s="21"/>
      <c r="E173" s="21" t="s">
        <v>183</v>
      </c>
      <c r="F173" s="24" t="s">
        <v>184</v>
      </c>
      <c r="G173" s="24" t="s">
        <v>185</v>
      </c>
      <c r="H173" s="24" t="s">
        <v>24</v>
      </c>
      <c r="I173" s="24" t="s">
        <v>186</v>
      </c>
      <c r="J173" s="24" t="s">
        <v>187</v>
      </c>
      <c r="K173" s="17" t="s">
        <v>229</v>
      </c>
      <c r="L173" s="26">
        <v>46128</v>
      </c>
      <c r="M173" s="27">
        <v>1314.44</v>
      </c>
      <c r="N173" s="17" t="s">
        <v>28</v>
      </c>
      <c r="O173" s="40" t="s">
        <v>29</v>
      </c>
      <c r="P173" s="13" t="s">
        <v>30</v>
      </c>
      <c r="Q173" s="13" t="s">
        <v>84</v>
      </c>
      <c r="R173" s="13" t="s">
        <v>31</v>
      </c>
      <c r="S173" s="82"/>
      <c r="T173" s="10">
        <v>1</v>
      </c>
      <c r="U173" s="81"/>
      <c r="V173" s="11"/>
      <c r="W173" s="11"/>
      <c r="X173" s="81"/>
      <c r="Y173" s="12"/>
      <c r="Z173" s="12"/>
      <c r="AA173" s="12"/>
      <c r="AB173" s="12"/>
      <c r="AC173" s="12"/>
      <c r="AD173" s="81"/>
      <c r="AE173" s="13"/>
      <c r="AF173" s="13"/>
      <c r="AG173" s="17"/>
    </row>
    <row r="174" spans="1:33" ht="15" customHeight="1" x14ac:dyDescent="0.3">
      <c r="A174" s="25" t="s">
        <v>225</v>
      </c>
      <c r="B174" s="80" t="s">
        <v>226</v>
      </c>
      <c r="C174" s="21" t="b">
        <v>0</v>
      </c>
      <c r="D174" s="21"/>
      <c r="E174" s="21" t="s">
        <v>183</v>
      </c>
      <c r="F174" s="24" t="s">
        <v>184</v>
      </c>
      <c r="G174" s="24" t="s">
        <v>185</v>
      </c>
      <c r="H174" s="24" t="s">
        <v>24</v>
      </c>
      <c r="I174" s="24" t="s">
        <v>186</v>
      </c>
      <c r="J174" s="24" t="s">
        <v>187</v>
      </c>
      <c r="K174" s="17" t="s">
        <v>229</v>
      </c>
      <c r="L174" s="26">
        <v>46128</v>
      </c>
      <c r="M174" s="27">
        <v>1315.19</v>
      </c>
      <c r="N174" s="17" t="s">
        <v>28</v>
      </c>
      <c r="O174" s="40"/>
      <c r="P174" s="13" t="s">
        <v>30</v>
      </c>
      <c r="Q174" s="13" t="s">
        <v>84</v>
      </c>
      <c r="R174" s="13" t="s">
        <v>31</v>
      </c>
      <c r="S174" s="82"/>
      <c r="T174" s="10"/>
      <c r="U174" s="81"/>
      <c r="V174" s="11"/>
      <c r="W174" s="11"/>
      <c r="X174" s="81"/>
      <c r="Y174" s="12"/>
      <c r="Z174" s="12"/>
      <c r="AA174" s="12"/>
      <c r="AB174" s="12"/>
      <c r="AC174" s="12"/>
      <c r="AD174" s="81"/>
      <c r="AE174" s="13"/>
      <c r="AF174" s="13"/>
      <c r="AG174" s="17"/>
    </row>
    <row r="176" spans="1:33" ht="15" customHeight="1" x14ac:dyDescent="0.3">
      <c r="A176" s="25" t="s">
        <v>225</v>
      </c>
      <c r="B176" s="80" t="s">
        <v>226</v>
      </c>
      <c r="C176" s="21" t="b">
        <v>0</v>
      </c>
      <c r="D176" s="21"/>
      <c r="E176" s="21" t="s">
        <v>183</v>
      </c>
      <c r="F176" s="24" t="s">
        <v>184</v>
      </c>
      <c r="G176" s="24" t="s">
        <v>185</v>
      </c>
      <c r="H176" s="24" t="s">
        <v>24</v>
      </c>
      <c r="I176" s="24" t="s">
        <v>186</v>
      </c>
      <c r="J176" s="24" t="s">
        <v>187</v>
      </c>
      <c r="K176" s="17" t="s">
        <v>230</v>
      </c>
      <c r="L176" s="26">
        <v>46119</v>
      </c>
      <c r="M176" s="27">
        <v>1310.32</v>
      </c>
      <c r="N176" s="17">
        <v>0.75</v>
      </c>
      <c r="O176" s="40"/>
      <c r="P176" s="13"/>
      <c r="Q176" s="13"/>
      <c r="R176" s="13"/>
      <c r="S176" s="10"/>
      <c r="T176" s="10"/>
      <c r="U176" s="81"/>
      <c r="V176" s="11"/>
      <c r="W176" s="11"/>
      <c r="X176" s="81"/>
      <c r="Y176" s="12"/>
      <c r="Z176" s="12"/>
      <c r="AA176" s="12"/>
      <c r="AB176" s="12"/>
      <c r="AC176" s="12">
        <v>3</v>
      </c>
      <c r="AD176" s="81"/>
      <c r="AE176" s="13"/>
      <c r="AF176" s="13"/>
      <c r="AG176" s="17"/>
    </row>
    <row r="177" spans="1:33" ht="15" customHeight="1" x14ac:dyDescent="0.3">
      <c r="A177" s="25" t="s">
        <v>225</v>
      </c>
      <c r="B177" s="80" t="s">
        <v>226</v>
      </c>
      <c r="C177" s="21" t="b">
        <v>0</v>
      </c>
      <c r="D177" s="21"/>
      <c r="E177" s="21" t="s">
        <v>183</v>
      </c>
      <c r="F177" s="24" t="s">
        <v>184</v>
      </c>
      <c r="G177" s="24" t="s">
        <v>185</v>
      </c>
      <c r="H177" s="24" t="s">
        <v>24</v>
      </c>
      <c r="I177" s="24" t="s">
        <v>186</v>
      </c>
      <c r="J177" s="24" t="s">
        <v>187</v>
      </c>
      <c r="K177" s="17" t="s">
        <v>230</v>
      </c>
      <c r="L177" s="26">
        <v>46119</v>
      </c>
      <c r="M177" s="27">
        <f>+M176-N176</f>
        <v>1309.57</v>
      </c>
      <c r="N177" s="17">
        <v>0.75</v>
      </c>
      <c r="O177" s="40"/>
      <c r="P177" s="13"/>
      <c r="Q177" s="13"/>
      <c r="R177" s="13"/>
      <c r="S177" s="10"/>
      <c r="T177" s="10"/>
      <c r="U177" s="81"/>
      <c r="V177" s="11"/>
      <c r="W177" s="11"/>
      <c r="X177" s="81"/>
      <c r="Y177" s="12"/>
      <c r="Z177" s="12"/>
      <c r="AA177" s="12"/>
      <c r="AB177" s="12"/>
      <c r="AC177" s="12">
        <v>3</v>
      </c>
      <c r="AD177" s="81"/>
      <c r="AE177" s="13"/>
      <c r="AF177" s="13"/>
      <c r="AG177" s="17"/>
    </row>
    <row r="178" spans="1:33" ht="15" customHeight="1" x14ac:dyDescent="0.3">
      <c r="A178" s="25" t="s">
        <v>225</v>
      </c>
      <c r="B178" s="80" t="s">
        <v>226</v>
      </c>
      <c r="C178" s="21" t="b">
        <v>0</v>
      </c>
      <c r="D178" s="21"/>
      <c r="E178" s="21" t="s">
        <v>183</v>
      </c>
      <c r="F178" s="24" t="s">
        <v>184</v>
      </c>
      <c r="G178" s="24" t="s">
        <v>185</v>
      </c>
      <c r="H178" s="24" t="s">
        <v>24</v>
      </c>
      <c r="I178" s="24" t="s">
        <v>186</v>
      </c>
      <c r="J178" s="24" t="s">
        <v>187</v>
      </c>
      <c r="K178" s="17" t="s">
        <v>230</v>
      </c>
      <c r="L178" s="26">
        <v>46119</v>
      </c>
      <c r="M178" s="27">
        <f t="shared" ref="M178:M194" si="3">+M177-N177</f>
        <v>1308.82</v>
      </c>
      <c r="N178" s="17">
        <v>0.75</v>
      </c>
      <c r="O178" s="40"/>
      <c r="P178" s="13"/>
      <c r="Q178" s="13"/>
      <c r="R178" s="13"/>
      <c r="S178" s="10"/>
      <c r="T178" s="10"/>
      <c r="U178" s="81"/>
      <c r="V178" s="11"/>
      <c r="W178" s="11"/>
      <c r="X178" s="81"/>
      <c r="Y178" s="12"/>
      <c r="Z178" s="12"/>
      <c r="AA178" s="12"/>
      <c r="AB178" s="12"/>
      <c r="AC178" s="12">
        <v>3</v>
      </c>
      <c r="AD178" s="81"/>
      <c r="AE178" s="13"/>
      <c r="AF178" s="13"/>
      <c r="AG178" s="17"/>
    </row>
    <row r="179" spans="1:33" ht="15" customHeight="1" x14ac:dyDescent="0.3">
      <c r="A179" s="25" t="s">
        <v>225</v>
      </c>
      <c r="B179" s="80" t="s">
        <v>226</v>
      </c>
      <c r="C179" s="21" t="b">
        <v>0</v>
      </c>
      <c r="D179" s="21"/>
      <c r="E179" s="21" t="s">
        <v>183</v>
      </c>
      <c r="F179" s="24" t="s">
        <v>184</v>
      </c>
      <c r="G179" s="24" t="s">
        <v>185</v>
      </c>
      <c r="H179" s="24" t="s">
        <v>24</v>
      </c>
      <c r="I179" s="24" t="s">
        <v>186</v>
      </c>
      <c r="J179" s="24" t="s">
        <v>187</v>
      </c>
      <c r="K179" s="17" t="s">
        <v>230</v>
      </c>
      <c r="L179" s="26">
        <v>46119</v>
      </c>
      <c r="M179" s="27">
        <f t="shared" si="3"/>
        <v>1308.07</v>
      </c>
      <c r="N179" s="17">
        <v>0.75</v>
      </c>
      <c r="O179" s="40"/>
      <c r="P179" s="13"/>
      <c r="Q179" s="13"/>
      <c r="R179" s="13"/>
      <c r="S179" s="10"/>
      <c r="T179" s="10"/>
      <c r="U179" s="81"/>
      <c r="V179" s="11"/>
      <c r="W179" s="11"/>
      <c r="X179" s="81"/>
      <c r="Y179" s="12"/>
      <c r="Z179" s="12"/>
      <c r="AA179" s="12"/>
      <c r="AB179" s="12"/>
      <c r="AC179" s="12">
        <v>3</v>
      </c>
      <c r="AD179" s="81"/>
      <c r="AE179" s="13"/>
      <c r="AF179" s="13"/>
      <c r="AG179" s="17"/>
    </row>
    <row r="180" spans="1:33" ht="15" customHeight="1" x14ac:dyDescent="0.3">
      <c r="A180" s="25" t="s">
        <v>225</v>
      </c>
      <c r="B180" s="80" t="s">
        <v>226</v>
      </c>
      <c r="C180" s="21" t="b">
        <v>0</v>
      </c>
      <c r="D180" s="21"/>
      <c r="E180" s="21" t="s">
        <v>183</v>
      </c>
      <c r="F180" s="24" t="s">
        <v>184</v>
      </c>
      <c r="G180" s="24" t="s">
        <v>185</v>
      </c>
      <c r="H180" s="24" t="s">
        <v>24</v>
      </c>
      <c r="I180" s="24" t="s">
        <v>186</v>
      </c>
      <c r="J180" s="24" t="s">
        <v>187</v>
      </c>
      <c r="K180" s="17" t="s">
        <v>230</v>
      </c>
      <c r="L180" s="26">
        <v>46119</v>
      </c>
      <c r="M180" s="27">
        <f t="shared" si="3"/>
        <v>1307.32</v>
      </c>
      <c r="N180" s="17">
        <v>0.75</v>
      </c>
      <c r="O180" s="40"/>
      <c r="P180" s="13"/>
      <c r="Q180" s="13"/>
      <c r="R180" s="13"/>
      <c r="S180" s="10"/>
      <c r="T180" s="10"/>
      <c r="U180" s="81"/>
      <c r="V180" s="11"/>
      <c r="W180" s="11"/>
      <c r="X180" s="81"/>
      <c r="Y180" s="12"/>
      <c r="Z180" s="12"/>
      <c r="AA180" s="12"/>
      <c r="AB180" s="12"/>
      <c r="AC180" s="12">
        <v>3</v>
      </c>
      <c r="AD180" s="81"/>
      <c r="AE180" s="13"/>
      <c r="AF180" s="13"/>
      <c r="AG180" s="17"/>
    </row>
    <row r="181" spans="1:33" ht="15" customHeight="1" x14ac:dyDescent="0.3">
      <c r="A181" s="25" t="s">
        <v>225</v>
      </c>
      <c r="B181" s="80" t="s">
        <v>226</v>
      </c>
      <c r="C181" s="21" t="b">
        <v>0</v>
      </c>
      <c r="D181" s="21"/>
      <c r="E181" s="21" t="s">
        <v>183</v>
      </c>
      <c r="F181" s="24" t="s">
        <v>184</v>
      </c>
      <c r="G181" s="24" t="s">
        <v>185</v>
      </c>
      <c r="H181" s="24" t="s">
        <v>24</v>
      </c>
      <c r="I181" s="24" t="s">
        <v>186</v>
      </c>
      <c r="J181" s="24" t="s">
        <v>187</v>
      </c>
      <c r="K181" s="17" t="s">
        <v>230</v>
      </c>
      <c r="L181" s="26">
        <v>46119</v>
      </c>
      <c r="M181" s="27">
        <f t="shared" si="3"/>
        <v>1306.57</v>
      </c>
      <c r="N181" s="17">
        <v>0.75</v>
      </c>
      <c r="O181" s="40"/>
      <c r="P181" s="13"/>
      <c r="Q181" s="13"/>
      <c r="R181" s="13"/>
      <c r="S181" s="10"/>
      <c r="T181" s="10"/>
      <c r="U181" s="81"/>
      <c r="V181" s="11"/>
      <c r="W181" s="11"/>
      <c r="X181" s="81"/>
      <c r="Y181" s="12"/>
      <c r="Z181" s="12"/>
      <c r="AA181" s="12"/>
      <c r="AB181" s="12"/>
      <c r="AC181" s="12">
        <v>3</v>
      </c>
      <c r="AD181" s="81"/>
      <c r="AE181" s="13"/>
      <c r="AF181" s="13"/>
      <c r="AG181" s="17"/>
    </row>
    <row r="182" spans="1:33" ht="15" customHeight="1" x14ac:dyDescent="0.3">
      <c r="A182" s="25" t="s">
        <v>225</v>
      </c>
      <c r="B182" s="80" t="s">
        <v>226</v>
      </c>
      <c r="C182" s="21" t="b">
        <v>0</v>
      </c>
      <c r="D182" s="21"/>
      <c r="E182" s="21" t="s">
        <v>183</v>
      </c>
      <c r="F182" s="24" t="s">
        <v>184</v>
      </c>
      <c r="G182" s="24" t="s">
        <v>185</v>
      </c>
      <c r="H182" s="24" t="s">
        <v>24</v>
      </c>
      <c r="I182" s="24" t="s">
        <v>186</v>
      </c>
      <c r="J182" s="24" t="s">
        <v>187</v>
      </c>
      <c r="K182" s="17" t="s">
        <v>230</v>
      </c>
      <c r="L182" s="26">
        <v>46119</v>
      </c>
      <c r="M182" s="27">
        <f t="shared" si="3"/>
        <v>1305.82</v>
      </c>
      <c r="N182" s="17">
        <v>0.75</v>
      </c>
      <c r="O182" s="40"/>
      <c r="P182" s="13"/>
      <c r="Q182" s="13"/>
      <c r="R182" s="13"/>
      <c r="S182" s="10"/>
      <c r="T182" s="10"/>
      <c r="U182" s="81"/>
      <c r="V182" s="11"/>
      <c r="W182" s="11"/>
      <c r="X182" s="81"/>
      <c r="Y182" s="12"/>
      <c r="Z182" s="12"/>
      <c r="AA182" s="12"/>
      <c r="AB182" s="12"/>
      <c r="AC182" s="12">
        <v>3</v>
      </c>
      <c r="AD182" s="81"/>
      <c r="AE182" s="13"/>
      <c r="AF182" s="13"/>
      <c r="AG182" s="17"/>
    </row>
    <row r="183" spans="1:33" ht="15" customHeight="1" x14ac:dyDescent="0.3">
      <c r="A183" s="25" t="s">
        <v>225</v>
      </c>
      <c r="B183" s="80" t="s">
        <v>226</v>
      </c>
      <c r="C183" s="21" t="b">
        <v>0</v>
      </c>
      <c r="D183" s="21"/>
      <c r="E183" s="21" t="s">
        <v>183</v>
      </c>
      <c r="F183" s="24" t="s">
        <v>184</v>
      </c>
      <c r="G183" s="24" t="s">
        <v>185</v>
      </c>
      <c r="H183" s="24" t="s">
        <v>24</v>
      </c>
      <c r="I183" s="24" t="s">
        <v>186</v>
      </c>
      <c r="J183" s="24" t="s">
        <v>187</v>
      </c>
      <c r="K183" s="17" t="s">
        <v>230</v>
      </c>
      <c r="L183" s="26">
        <v>46119</v>
      </c>
      <c r="M183" s="27">
        <f t="shared" si="3"/>
        <v>1305.07</v>
      </c>
      <c r="N183" s="17">
        <v>0.75</v>
      </c>
      <c r="O183" s="40"/>
      <c r="P183" s="13"/>
      <c r="Q183" s="13"/>
      <c r="R183" s="13"/>
      <c r="S183" s="10"/>
      <c r="T183" s="10"/>
      <c r="U183" s="81"/>
      <c r="V183" s="11"/>
      <c r="W183" s="11"/>
      <c r="X183" s="81"/>
      <c r="Y183" s="12"/>
      <c r="Z183" s="12"/>
      <c r="AA183" s="12"/>
      <c r="AB183" s="12"/>
      <c r="AC183" s="12">
        <v>3</v>
      </c>
      <c r="AD183" s="81"/>
      <c r="AE183" s="13"/>
      <c r="AF183" s="13"/>
      <c r="AG183" s="17"/>
    </row>
    <row r="184" spans="1:33" ht="15" customHeight="1" x14ac:dyDescent="0.3">
      <c r="A184" s="25" t="s">
        <v>225</v>
      </c>
      <c r="B184" s="80" t="s">
        <v>226</v>
      </c>
      <c r="C184" s="21" t="b">
        <v>0</v>
      </c>
      <c r="D184" s="21"/>
      <c r="E184" s="21" t="s">
        <v>183</v>
      </c>
      <c r="F184" s="24" t="s">
        <v>184</v>
      </c>
      <c r="G184" s="24" t="s">
        <v>185</v>
      </c>
      <c r="H184" s="24" t="s">
        <v>24</v>
      </c>
      <c r="I184" s="24" t="s">
        <v>186</v>
      </c>
      <c r="J184" s="24" t="s">
        <v>187</v>
      </c>
      <c r="K184" s="17" t="s">
        <v>230</v>
      </c>
      <c r="L184" s="26">
        <v>46119</v>
      </c>
      <c r="M184" s="27">
        <f t="shared" si="3"/>
        <v>1304.32</v>
      </c>
      <c r="N184" s="17">
        <v>0.75</v>
      </c>
      <c r="O184" s="40"/>
      <c r="P184" s="13"/>
      <c r="Q184" s="13"/>
      <c r="R184" s="13"/>
      <c r="S184" s="10"/>
      <c r="T184" s="10"/>
      <c r="U184" s="81"/>
      <c r="V184" s="11"/>
      <c r="W184" s="11"/>
      <c r="X184" s="81"/>
      <c r="Y184" s="12"/>
      <c r="Z184" s="12"/>
      <c r="AA184" s="12"/>
      <c r="AB184" s="12"/>
      <c r="AC184" s="12">
        <v>3</v>
      </c>
      <c r="AD184" s="81"/>
      <c r="AE184" s="13"/>
      <c r="AF184" s="13"/>
      <c r="AG184" s="17"/>
    </row>
    <row r="185" spans="1:33" ht="15" customHeight="1" x14ac:dyDescent="0.3">
      <c r="A185" s="25" t="s">
        <v>225</v>
      </c>
      <c r="B185" s="80" t="s">
        <v>226</v>
      </c>
      <c r="C185" s="21" t="b">
        <v>0</v>
      </c>
      <c r="D185" s="21"/>
      <c r="E185" s="21" t="s">
        <v>183</v>
      </c>
      <c r="F185" s="24" t="s">
        <v>184</v>
      </c>
      <c r="G185" s="24" t="s">
        <v>185</v>
      </c>
      <c r="H185" s="24" t="s">
        <v>24</v>
      </c>
      <c r="I185" s="24" t="s">
        <v>186</v>
      </c>
      <c r="J185" s="24" t="s">
        <v>187</v>
      </c>
      <c r="K185" s="17" t="s">
        <v>230</v>
      </c>
      <c r="L185" s="26">
        <v>46119</v>
      </c>
      <c r="M185" s="27">
        <f t="shared" si="3"/>
        <v>1303.57</v>
      </c>
      <c r="N185" s="17">
        <v>0.75</v>
      </c>
      <c r="O185" s="40"/>
      <c r="P185" s="13"/>
      <c r="Q185" s="13"/>
      <c r="R185" s="13"/>
      <c r="S185" s="10"/>
      <c r="T185" s="10"/>
      <c r="U185" s="81"/>
      <c r="V185" s="11"/>
      <c r="W185" s="11"/>
      <c r="X185" s="81"/>
      <c r="Y185" s="12"/>
      <c r="Z185" s="12"/>
      <c r="AA185" s="12"/>
      <c r="AB185" s="12"/>
      <c r="AC185" s="12">
        <v>3</v>
      </c>
      <c r="AD185" s="81"/>
      <c r="AE185" s="13"/>
      <c r="AF185" s="13"/>
      <c r="AG185" s="17"/>
    </row>
    <row r="186" spans="1:33" ht="15" customHeight="1" x14ac:dyDescent="0.3">
      <c r="A186" s="25" t="s">
        <v>225</v>
      </c>
      <c r="B186" s="80" t="s">
        <v>226</v>
      </c>
      <c r="C186" s="21" t="b">
        <v>0</v>
      </c>
      <c r="D186" s="21"/>
      <c r="E186" s="21" t="s">
        <v>183</v>
      </c>
      <c r="F186" s="24" t="s">
        <v>184</v>
      </c>
      <c r="G186" s="24" t="s">
        <v>185</v>
      </c>
      <c r="H186" s="24" t="s">
        <v>24</v>
      </c>
      <c r="I186" s="24" t="s">
        <v>186</v>
      </c>
      <c r="J186" s="24" t="s">
        <v>187</v>
      </c>
      <c r="K186" s="17" t="s">
        <v>230</v>
      </c>
      <c r="L186" s="26">
        <v>46119</v>
      </c>
      <c r="M186" s="27">
        <f t="shared" si="3"/>
        <v>1302.82</v>
      </c>
      <c r="N186" s="17">
        <v>0.75</v>
      </c>
      <c r="O186" s="40"/>
      <c r="P186" s="13"/>
      <c r="Q186" s="13"/>
      <c r="R186" s="13"/>
      <c r="S186" s="10"/>
      <c r="T186" s="10"/>
      <c r="U186" s="81"/>
      <c r="V186" s="11"/>
      <c r="W186" s="11"/>
      <c r="X186" s="81"/>
      <c r="Y186" s="12"/>
      <c r="Z186" s="12"/>
      <c r="AA186" s="12"/>
      <c r="AB186" s="12"/>
      <c r="AC186" s="12">
        <v>3</v>
      </c>
      <c r="AD186" s="81"/>
      <c r="AE186" s="13"/>
      <c r="AF186" s="13"/>
      <c r="AG186" s="17"/>
    </row>
    <row r="187" spans="1:33" ht="15" customHeight="1" x14ac:dyDescent="0.3">
      <c r="A187" s="25" t="s">
        <v>225</v>
      </c>
      <c r="B187" s="80" t="s">
        <v>226</v>
      </c>
      <c r="C187" s="21" t="b">
        <v>0</v>
      </c>
      <c r="D187" s="21"/>
      <c r="E187" s="21" t="s">
        <v>183</v>
      </c>
      <c r="F187" s="24" t="s">
        <v>184</v>
      </c>
      <c r="G187" s="24" t="s">
        <v>185</v>
      </c>
      <c r="H187" s="24" t="s">
        <v>24</v>
      </c>
      <c r="I187" s="24" t="s">
        <v>186</v>
      </c>
      <c r="J187" s="24" t="s">
        <v>187</v>
      </c>
      <c r="K187" s="17" t="s">
        <v>230</v>
      </c>
      <c r="L187" s="26">
        <v>46119</v>
      </c>
      <c r="M187" s="27">
        <f t="shared" si="3"/>
        <v>1302.07</v>
      </c>
      <c r="N187" s="17">
        <v>0.75</v>
      </c>
      <c r="O187" s="40"/>
      <c r="P187" s="13"/>
      <c r="Q187" s="13"/>
      <c r="R187" s="13"/>
      <c r="S187" s="10"/>
      <c r="T187" s="10"/>
      <c r="U187" s="81"/>
      <c r="V187" s="11"/>
      <c r="W187" s="11"/>
      <c r="X187" s="81"/>
      <c r="Y187" s="12"/>
      <c r="Z187" s="12"/>
      <c r="AA187" s="12"/>
      <c r="AB187" s="12"/>
      <c r="AC187" s="12">
        <v>3</v>
      </c>
      <c r="AD187" s="81"/>
      <c r="AE187" s="13"/>
      <c r="AF187" s="13"/>
      <c r="AG187" s="17"/>
    </row>
    <row r="188" spans="1:33" ht="15" customHeight="1" x14ac:dyDescent="0.3">
      <c r="A188" s="25" t="s">
        <v>225</v>
      </c>
      <c r="B188" s="80" t="s">
        <v>226</v>
      </c>
      <c r="C188" s="21" t="b">
        <v>0</v>
      </c>
      <c r="D188" s="21"/>
      <c r="E188" s="21" t="s">
        <v>183</v>
      </c>
      <c r="F188" s="24" t="s">
        <v>184</v>
      </c>
      <c r="G188" s="24" t="s">
        <v>185</v>
      </c>
      <c r="H188" s="24" t="s">
        <v>24</v>
      </c>
      <c r="I188" s="24" t="s">
        <v>186</v>
      </c>
      <c r="J188" s="24" t="s">
        <v>187</v>
      </c>
      <c r="K188" s="17" t="s">
        <v>230</v>
      </c>
      <c r="L188" s="26">
        <v>46119</v>
      </c>
      <c r="M188" s="27">
        <f t="shared" si="3"/>
        <v>1301.32</v>
      </c>
      <c r="N188" s="17">
        <v>0.75</v>
      </c>
      <c r="O188" s="40"/>
      <c r="P188" s="13"/>
      <c r="Q188" s="13"/>
      <c r="R188" s="13"/>
      <c r="S188" s="10"/>
      <c r="T188" s="10"/>
      <c r="U188" s="81"/>
      <c r="V188" s="11"/>
      <c r="W188" s="11"/>
      <c r="X188" s="81"/>
      <c r="Y188" s="12"/>
      <c r="Z188" s="12"/>
      <c r="AA188" s="12"/>
      <c r="AB188" s="12"/>
      <c r="AC188" s="12">
        <v>3</v>
      </c>
      <c r="AD188" s="81"/>
      <c r="AE188" s="13"/>
      <c r="AF188" s="13"/>
      <c r="AG188" s="17"/>
    </row>
    <row r="189" spans="1:33" ht="15" customHeight="1" x14ac:dyDescent="0.3">
      <c r="A189" s="25" t="s">
        <v>225</v>
      </c>
      <c r="B189" s="80" t="s">
        <v>226</v>
      </c>
      <c r="C189" s="21" t="b">
        <v>0</v>
      </c>
      <c r="D189" s="21"/>
      <c r="E189" s="21" t="s">
        <v>183</v>
      </c>
      <c r="F189" s="24" t="s">
        <v>184</v>
      </c>
      <c r="G189" s="24" t="s">
        <v>185</v>
      </c>
      <c r="H189" s="24" t="s">
        <v>24</v>
      </c>
      <c r="I189" s="24" t="s">
        <v>186</v>
      </c>
      <c r="J189" s="24" t="s">
        <v>187</v>
      </c>
      <c r="K189" s="17" t="s">
        <v>230</v>
      </c>
      <c r="L189" s="26">
        <v>46119</v>
      </c>
      <c r="M189" s="27">
        <f t="shared" si="3"/>
        <v>1300.57</v>
      </c>
      <c r="N189" s="17">
        <v>0.75</v>
      </c>
      <c r="O189" s="40"/>
      <c r="P189" s="13"/>
      <c r="Q189" s="13"/>
      <c r="R189" s="13"/>
      <c r="S189" s="10"/>
      <c r="T189" s="10"/>
      <c r="U189" s="81"/>
      <c r="V189" s="11"/>
      <c r="W189" s="11"/>
      <c r="X189" s="81"/>
      <c r="Y189" s="12"/>
      <c r="Z189" s="12"/>
      <c r="AA189" s="12"/>
      <c r="AB189" s="12"/>
      <c r="AC189" s="12">
        <v>3</v>
      </c>
      <c r="AD189" s="81"/>
      <c r="AE189" s="13"/>
      <c r="AF189" s="13"/>
      <c r="AG189" s="17"/>
    </row>
    <row r="190" spans="1:33" ht="15" customHeight="1" x14ac:dyDescent="0.3">
      <c r="A190" s="25" t="s">
        <v>225</v>
      </c>
      <c r="B190" s="80" t="s">
        <v>226</v>
      </c>
      <c r="C190" s="21" t="b">
        <v>0</v>
      </c>
      <c r="D190" s="21"/>
      <c r="E190" s="21" t="s">
        <v>183</v>
      </c>
      <c r="F190" s="24" t="s">
        <v>184</v>
      </c>
      <c r="G190" s="24" t="s">
        <v>185</v>
      </c>
      <c r="H190" s="24" t="s">
        <v>24</v>
      </c>
      <c r="I190" s="24" t="s">
        <v>186</v>
      </c>
      <c r="J190" s="24" t="s">
        <v>187</v>
      </c>
      <c r="K190" s="17" t="s">
        <v>230</v>
      </c>
      <c r="L190" s="26">
        <v>46119</v>
      </c>
      <c r="M190" s="27">
        <f t="shared" si="3"/>
        <v>1299.82</v>
      </c>
      <c r="N190" s="17">
        <v>0.75</v>
      </c>
      <c r="O190" s="40"/>
      <c r="P190" s="13"/>
      <c r="Q190" s="13"/>
      <c r="R190" s="13"/>
      <c r="S190" s="10"/>
      <c r="T190" s="10"/>
      <c r="U190" s="81"/>
      <c r="V190" s="11"/>
      <c r="W190" s="11"/>
      <c r="X190" s="81"/>
      <c r="Y190" s="12"/>
      <c r="Z190" s="12"/>
      <c r="AA190" s="12"/>
      <c r="AB190" s="12"/>
      <c r="AC190" s="12">
        <v>3</v>
      </c>
      <c r="AD190" s="81"/>
      <c r="AE190" s="13"/>
      <c r="AF190" s="13"/>
      <c r="AG190" s="17"/>
    </row>
    <row r="191" spans="1:33" ht="15" customHeight="1" x14ac:dyDescent="0.3">
      <c r="A191" s="25" t="s">
        <v>225</v>
      </c>
      <c r="B191" s="80" t="s">
        <v>226</v>
      </c>
      <c r="C191" s="21" t="b">
        <v>0</v>
      </c>
      <c r="D191" s="21"/>
      <c r="E191" s="21" t="s">
        <v>183</v>
      </c>
      <c r="F191" s="24" t="s">
        <v>184</v>
      </c>
      <c r="G191" s="24" t="s">
        <v>185</v>
      </c>
      <c r="H191" s="24" t="s">
        <v>24</v>
      </c>
      <c r="I191" s="24" t="s">
        <v>186</v>
      </c>
      <c r="J191" s="24" t="s">
        <v>187</v>
      </c>
      <c r="K191" s="17" t="s">
        <v>230</v>
      </c>
      <c r="L191" s="26">
        <v>46119</v>
      </c>
      <c r="M191" s="27">
        <f t="shared" si="3"/>
        <v>1299.07</v>
      </c>
      <c r="N191" s="17">
        <v>0.75</v>
      </c>
      <c r="O191" s="40"/>
      <c r="P191" s="13"/>
      <c r="Q191" s="13"/>
      <c r="R191" s="13"/>
      <c r="S191" s="10"/>
      <c r="T191" s="10"/>
      <c r="U191" s="81"/>
      <c r="V191" s="11"/>
      <c r="W191" s="11"/>
      <c r="X191" s="81"/>
      <c r="Y191" s="12"/>
      <c r="Z191" s="12"/>
      <c r="AA191" s="12"/>
      <c r="AB191" s="12"/>
      <c r="AC191" s="12">
        <v>3</v>
      </c>
      <c r="AD191" s="81"/>
      <c r="AE191" s="13"/>
      <c r="AF191" s="13"/>
      <c r="AG191" s="17"/>
    </row>
    <row r="192" spans="1:33" ht="15" customHeight="1" x14ac:dyDescent="0.3">
      <c r="A192" s="25" t="s">
        <v>225</v>
      </c>
      <c r="B192" s="80" t="s">
        <v>226</v>
      </c>
      <c r="C192" s="21" t="b">
        <v>0</v>
      </c>
      <c r="D192" s="21"/>
      <c r="E192" s="21" t="s">
        <v>183</v>
      </c>
      <c r="F192" s="24" t="s">
        <v>184</v>
      </c>
      <c r="G192" s="24" t="s">
        <v>185</v>
      </c>
      <c r="H192" s="24" t="s">
        <v>24</v>
      </c>
      <c r="I192" s="24" t="s">
        <v>186</v>
      </c>
      <c r="J192" s="24" t="s">
        <v>187</v>
      </c>
      <c r="K192" s="17" t="s">
        <v>230</v>
      </c>
      <c r="L192" s="26">
        <v>46119</v>
      </c>
      <c r="M192" s="27">
        <f t="shared" si="3"/>
        <v>1298.32</v>
      </c>
      <c r="N192" s="17">
        <v>0.75</v>
      </c>
      <c r="O192" s="40"/>
      <c r="P192" s="13"/>
      <c r="Q192" s="13"/>
      <c r="R192" s="13"/>
      <c r="S192" s="10"/>
      <c r="T192" s="10"/>
      <c r="U192" s="81"/>
      <c r="V192" s="11"/>
      <c r="W192" s="11"/>
      <c r="X192" s="81"/>
      <c r="Y192" s="12"/>
      <c r="Z192" s="12"/>
      <c r="AA192" s="12"/>
      <c r="AB192" s="12"/>
      <c r="AC192" s="12">
        <v>3</v>
      </c>
      <c r="AD192" s="81"/>
      <c r="AE192" s="13"/>
      <c r="AF192" s="13"/>
      <c r="AG192" s="17"/>
    </row>
    <row r="193" spans="1:33" ht="15" customHeight="1" x14ac:dyDescent="0.3">
      <c r="A193" s="25" t="s">
        <v>225</v>
      </c>
      <c r="B193" s="80" t="s">
        <v>226</v>
      </c>
      <c r="C193" s="21" t="b">
        <v>0</v>
      </c>
      <c r="D193" s="21"/>
      <c r="E193" s="21" t="s">
        <v>183</v>
      </c>
      <c r="F193" s="24" t="s">
        <v>184</v>
      </c>
      <c r="G193" s="24" t="s">
        <v>185</v>
      </c>
      <c r="H193" s="24" t="s">
        <v>24</v>
      </c>
      <c r="I193" s="24" t="s">
        <v>186</v>
      </c>
      <c r="J193" s="24" t="s">
        <v>187</v>
      </c>
      <c r="K193" s="17" t="s">
        <v>230</v>
      </c>
      <c r="L193" s="26">
        <v>46119</v>
      </c>
      <c r="M193" s="27">
        <f t="shared" si="3"/>
        <v>1297.57</v>
      </c>
      <c r="N193" s="17">
        <v>0.75</v>
      </c>
      <c r="O193" s="40"/>
      <c r="P193" s="13"/>
      <c r="Q193" s="13"/>
      <c r="R193" s="13"/>
      <c r="S193" s="10"/>
      <c r="T193" s="10"/>
      <c r="U193" s="81"/>
      <c r="V193" s="11"/>
      <c r="W193" s="11"/>
      <c r="X193" s="81"/>
      <c r="Y193" s="12"/>
      <c r="Z193" s="12"/>
      <c r="AA193" s="12"/>
      <c r="AB193" s="12"/>
      <c r="AC193" s="12">
        <v>3</v>
      </c>
      <c r="AD193" s="81"/>
      <c r="AE193" s="13"/>
      <c r="AF193" s="13"/>
      <c r="AG193" s="17"/>
    </row>
    <row r="194" spans="1:33" ht="15" customHeight="1" x14ac:dyDescent="0.3">
      <c r="A194" s="25" t="s">
        <v>225</v>
      </c>
      <c r="B194" s="80" t="s">
        <v>226</v>
      </c>
      <c r="C194" s="21" t="b">
        <v>0</v>
      </c>
      <c r="D194" s="21"/>
      <c r="E194" s="21" t="s">
        <v>183</v>
      </c>
      <c r="F194" s="24" t="s">
        <v>184</v>
      </c>
      <c r="G194" s="24" t="s">
        <v>185</v>
      </c>
      <c r="H194" s="24" t="s">
        <v>24</v>
      </c>
      <c r="I194" s="24" t="s">
        <v>186</v>
      </c>
      <c r="J194" s="24" t="s">
        <v>187</v>
      </c>
      <c r="K194" s="17" t="s">
        <v>230</v>
      </c>
      <c r="L194" s="26">
        <v>46119</v>
      </c>
      <c r="M194" s="27">
        <f t="shared" si="3"/>
        <v>1296.82</v>
      </c>
      <c r="N194" s="17">
        <v>0.75</v>
      </c>
      <c r="O194" s="40"/>
      <c r="P194" s="13"/>
      <c r="Q194" s="13"/>
      <c r="R194" s="13"/>
      <c r="S194" s="10"/>
      <c r="T194" s="10"/>
      <c r="U194" s="81"/>
      <c r="V194" s="11"/>
      <c r="W194" s="11"/>
      <c r="X194" s="81"/>
      <c r="Y194" s="12"/>
      <c r="Z194" s="12"/>
      <c r="AA194" s="12"/>
      <c r="AB194" s="12"/>
      <c r="AC194" s="12">
        <v>3</v>
      </c>
      <c r="AD194" s="81"/>
      <c r="AE194" s="13"/>
      <c r="AF194" s="13"/>
      <c r="AG194" s="17"/>
    </row>
    <row r="196" spans="1:33" ht="15" customHeight="1" x14ac:dyDescent="0.3">
      <c r="A196" s="25" t="s">
        <v>225</v>
      </c>
      <c r="B196" s="80" t="s">
        <v>226</v>
      </c>
      <c r="C196" s="21" t="b">
        <v>0</v>
      </c>
      <c r="D196" s="21"/>
      <c r="E196" s="21" t="s">
        <v>183</v>
      </c>
      <c r="F196" s="24" t="s">
        <v>184</v>
      </c>
      <c r="G196" s="24" t="s">
        <v>185</v>
      </c>
      <c r="H196" s="24" t="s">
        <v>24</v>
      </c>
      <c r="I196" s="24" t="s">
        <v>186</v>
      </c>
      <c r="J196" s="24" t="s">
        <v>187</v>
      </c>
      <c r="K196" s="17" t="s">
        <v>231</v>
      </c>
      <c r="L196" s="26">
        <v>46119</v>
      </c>
      <c r="M196" s="27">
        <v>1296.07</v>
      </c>
      <c r="N196" s="17">
        <v>0.75</v>
      </c>
      <c r="O196" s="40"/>
      <c r="P196" s="13"/>
      <c r="Q196" s="13"/>
      <c r="R196" s="13"/>
      <c r="S196" s="10"/>
      <c r="T196" s="10"/>
      <c r="U196" s="81"/>
      <c r="V196" s="11"/>
      <c r="W196" s="11"/>
      <c r="X196" s="81"/>
      <c r="Y196" s="12"/>
      <c r="Z196" s="12"/>
      <c r="AA196" s="12"/>
      <c r="AB196" s="12"/>
      <c r="AC196" s="12">
        <v>3</v>
      </c>
      <c r="AD196" s="81"/>
      <c r="AE196" s="13"/>
      <c r="AF196" s="13"/>
      <c r="AG196" s="17"/>
    </row>
    <row r="197" spans="1:33" ht="15" customHeight="1" x14ac:dyDescent="0.3">
      <c r="A197" s="25" t="s">
        <v>225</v>
      </c>
      <c r="B197" s="80" t="s">
        <v>226</v>
      </c>
      <c r="C197" s="21" t="b">
        <v>0</v>
      </c>
      <c r="D197" s="21"/>
      <c r="E197" s="21" t="s">
        <v>183</v>
      </c>
      <c r="F197" s="24" t="s">
        <v>184</v>
      </c>
      <c r="G197" s="24" t="s">
        <v>185</v>
      </c>
      <c r="H197" s="24" t="s">
        <v>24</v>
      </c>
      <c r="I197" s="24" t="s">
        <v>186</v>
      </c>
      <c r="J197" s="24" t="s">
        <v>187</v>
      </c>
      <c r="K197" s="17" t="s">
        <v>231</v>
      </c>
      <c r="L197" s="26">
        <v>46119</v>
      </c>
      <c r="M197" s="27">
        <f>+M196-N196</f>
        <v>1295.32</v>
      </c>
      <c r="N197" s="17">
        <v>0.75</v>
      </c>
      <c r="O197" s="40"/>
      <c r="P197" s="13"/>
      <c r="Q197" s="13"/>
      <c r="R197" s="13"/>
      <c r="S197" s="10"/>
      <c r="T197" s="10"/>
      <c r="U197" s="81"/>
      <c r="V197" s="11"/>
      <c r="W197" s="11"/>
      <c r="X197" s="81"/>
      <c r="Y197" s="12"/>
      <c r="Z197" s="12"/>
      <c r="AA197" s="12"/>
      <c r="AB197" s="12"/>
      <c r="AC197" s="12">
        <v>3</v>
      </c>
      <c r="AD197" s="81"/>
      <c r="AE197" s="13"/>
      <c r="AF197" s="13"/>
      <c r="AG197" s="17"/>
    </row>
    <row r="198" spans="1:33" ht="15" customHeight="1" x14ac:dyDescent="0.3">
      <c r="A198" s="25" t="s">
        <v>225</v>
      </c>
      <c r="B198" s="80" t="s">
        <v>226</v>
      </c>
      <c r="C198" s="21" t="b">
        <v>0</v>
      </c>
      <c r="D198" s="21"/>
      <c r="E198" s="21" t="s">
        <v>183</v>
      </c>
      <c r="F198" s="24" t="s">
        <v>184</v>
      </c>
      <c r="G198" s="24" t="s">
        <v>185</v>
      </c>
      <c r="H198" s="24" t="s">
        <v>24</v>
      </c>
      <c r="I198" s="24" t="s">
        <v>186</v>
      </c>
      <c r="J198" s="24" t="s">
        <v>187</v>
      </c>
      <c r="K198" s="17" t="s">
        <v>231</v>
      </c>
      <c r="L198" s="26">
        <v>46119</v>
      </c>
      <c r="M198" s="27">
        <f t="shared" ref="M198:M209" si="4">+M197-N197</f>
        <v>1294.57</v>
      </c>
      <c r="N198" s="17">
        <v>0.75</v>
      </c>
      <c r="O198" s="40"/>
      <c r="P198" s="13"/>
      <c r="Q198" s="13"/>
      <c r="R198" s="13"/>
      <c r="S198" s="10"/>
      <c r="T198" s="10"/>
      <c r="U198" s="81"/>
      <c r="V198" s="11"/>
      <c r="W198" s="11"/>
      <c r="X198" s="81"/>
      <c r="Y198" s="12"/>
      <c r="Z198" s="12"/>
      <c r="AA198" s="12"/>
      <c r="AB198" s="12"/>
      <c r="AC198" s="12">
        <v>3</v>
      </c>
      <c r="AD198" s="81"/>
      <c r="AE198" s="13"/>
      <c r="AF198" s="13"/>
      <c r="AG198" s="17"/>
    </row>
    <row r="199" spans="1:33" ht="15" customHeight="1" x14ac:dyDescent="0.3">
      <c r="A199" s="25" t="s">
        <v>225</v>
      </c>
      <c r="B199" s="80" t="s">
        <v>226</v>
      </c>
      <c r="C199" s="21" t="b">
        <v>0</v>
      </c>
      <c r="D199" s="21"/>
      <c r="E199" s="21" t="s">
        <v>183</v>
      </c>
      <c r="F199" s="24" t="s">
        <v>184</v>
      </c>
      <c r="G199" s="24" t="s">
        <v>185</v>
      </c>
      <c r="H199" s="24" t="s">
        <v>24</v>
      </c>
      <c r="I199" s="24" t="s">
        <v>186</v>
      </c>
      <c r="J199" s="24" t="s">
        <v>187</v>
      </c>
      <c r="K199" s="17" t="s">
        <v>231</v>
      </c>
      <c r="L199" s="26">
        <v>46119</v>
      </c>
      <c r="M199" s="27">
        <f t="shared" si="4"/>
        <v>1293.82</v>
      </c>
      <c r="N199" s="17">
        <v>0.75</v>
      </c>
      <c r="O199" s="40"/>
      <c r="P199" s="13"/>
      <c r="Q199" s="13"/>
      <c r="R199" s="13"/>
      <c r="S199" s="10"/>
      <c r="T199" s="10"/>
      <c r="U199" s="81"/>
      <c r="V199" s="11"/>
      <c r="W199" s="11"/>
      <c r="X199" s="81"/>
      <c r="Y199" s="12"/>
      <c r="Z199" s="12"/>
      <c r="AA199" s="12"/>
      <c r="AB199" s="12"/>
      <c r="AC199" s="12">
        <v>3</v>
      </c>
      <c r="AD199" s="81"/>
      <c r="AE199" s="13"/>
      <c r="AF199" s="13"/>
      <c r="AG199" s="17"/>
    </row>
    <row r="200" spans="1:33" ht="15" customHeight="1" x14ac:dyDescent="0.3">
      <c r="A200" s="25" t="s">
        <v>225</v>
      </c>
      <c r="B200" s="80" t="s">
        <v>226</v>
      </c>
      <c r="C200" s="21" t="b">
        <v>0</v>
      </c>
      <c r="D200" s="21"/>
      <c r="E200" s="21" t="s">
        <v>183</v>
      </c>
      <c r="F200" s="24" t="s">
        <v>184</v>
      </c>
      <c r="G200" s="24" t="s">
        <v>185</v>
      </c>
      <c r="H200" s="24" t="s">
        <v>24</v>
      </c>
      <c r="I200" s="24" t="s">
        <v>186</v>
      </c>
      <c r="J200" s="24" t="s">
        <v>187</v>
      </c>
      <c r="K200" s="17" t="s">
        <v>231</v>
      </c>
      <c r="L200" s="26">
        <v>46119</v>
      </c>
      <c r="M200" s="27">
        <f t="shared" si="4"/>
        <v>1293.07</v>
      </c>
      <c r="N200" s="17">
        <v>0.75</v>
      </c>
      <c r="O200" s="40"/>
      <c r="P200" s="13"/>
      <c r="Q200" s="13"/>
      <c r="R200" s="13"/>
      <c r="S200" s="10"/>
      <c r="T200" s="10"/>
      <c r="U200" s="81"/>
      <c r="V200" s="11"/>
      <c r="W200" s="11"/>
      <c r="X200" s="81"/>
      <c r="Y200" s="12"/>
      <c r="Z200" s="12"/>
      <c r="AA200" s="12"/>
      <c r="AB200" s="12"/>
      <c r="AC200" s="12">
        <v>3</v>
      </c>
      <c r="AD200" s="81"/>
      <c r="AE200" s="13"/>
      <c r="AF200" s="13"/>
      <c r="AG200" s="17"/>
    </row>
    <row r="201" spans="1:33" ht="15" customHeight="1" x14ac:dyDescent="0.3">
      <c r="A201" s="25" t="s">
        <v>225</v>
      </c>
      <c r="B201" s="80" t="s">
        <v>226</v>
      </c>
      <c r="C201" s="21" t="b">
        <v>0</v>
      </c>
      <c r="D201" s="21"/>
      <c r="E201" s="21" t="s">
        <v>183</v>
      </c>
      <c r="F201" s="24" t="s">
        <v>184</v>
      </c>
      <c r="G201" s="24" t="s">
        <v>185</v>
      </c>
      <c r="H201" s="24" t="s">
        <v>24</v>
      </c>
      <c r="I201" s="24" t="s">
        <v>186</v>
      </c>
      <c r="J201" s="24" t="s">
        <v>187</v>
      </c>
      <c r="K201" s="17" t="s">
        <v>231</v>
      </c>
      <c r="L201" s="26">
        <v>46119</v>
      </c>
      <c r="M201" s="27">
        <f t="shared" si="4"/>
        <v>1292.32</v>
      </c>
      <c r="N201" s="17">
        <v>0.75</v>
      </c>
      <c r="O201" s="40"/>
      <c r="P201" s="13"/>
      <c r="Q201" s="13"/>
      <c r="R201" s="13"/>
      <c r="S201" s="10"/>
      <c r="T201" s="10"/>
      <c r="U201" s="81"/>
      <c r="V201" s="11"/>
      <c r="W201" s="11"/>
      <c r="X201" s="81"/>
      <c r="Y201" s="12"/>
      <c r="Z201" s="12"/>
      <c r="AA201" s="12"/>
      <c r="AB201" s="12"/>
      <c r="AC201" s="12">
        <v>3</v>
      </c>
      <c r="AD201" s="81"/>
      <c r="AE201" s="13"/>
      <c r="AF201" s="13"/>
      <c r="AG201" s="17"/>
    </row>
    <row r="202" spans="1:33" ht="15" customHeight="1" x14ac:dyDescent="0.3">
      <c r="A202" s="25" t="s">
        <v>225</v>
      </c>
      <c r="B202" s="80" t="s">
        <v>226</v>
      </c>
      <c r="C202" s="21" t="b">
        <v>0</v>
      </c>
      <c r="D202" s="21"/>
      <c r="E202" s="21" t="s">
        <v>183</v>
      </c>
      <c r="F202" s="24" t="s">
        <v>184</v>
      </c>
      <c r="G202" s="24" t="s">
        <v>185</v>
      </c>
      <c r="H202" s="24" t="s">
        <v>24</v>
      </c>
      <c r="I202" s="24" t="s">
        <v>186</v>
      </c>
      <c r="J202" s="24" t="s">
        <v>187</v>
      </c>
      <c r="K202" s="17" t="s">
        <v>231</v>
      </c>
      <c r="L202" s="26">
        <v>46119</v>
      </c>
      <c r="M202" s="27">
        <f t="shared" si="4"/>
        <v>1291.57</v>
      </c>
      <c r="N202" s="17">
        <v>0.75</v>
      </c>
      <c r="O202" s="40"/>
      <c r="P202" s="13"/>
      <c r="Q202" s="13"/>
      <c r="R202" s="13"/>
      <c r="S202" s="10"/>
      <c r="T202" s="10"/>
      <c r="U202" s="81"/>
      <c r="V202" s="11"/>
      <c r="W202" s="11"/>
      <c r="X202" s="81"/>
      <c r="Y202" s="12"/>
      <c r="Z202" s="12"/>
      <c r="AA202" s="12"/>
      <c r="AB202" s="12"/>
      <c r="AC202" s="12">
        <v>3</v>
      </c>
      <c r="AD202" s="81"/>
      <c r="AE202" s="13"/>
      <c r="AF202" s="13"/>
      <c r="AG202" s="17"/>
    </row>
    <row r="203" spans="1:33" ht="15" customHeight="1" x14ac:dyDescent="0.3">
      <c r="A203" s="25" t="s">
        <v>225</v>
      </c>
      <c r="B203" s="80" t="s">
        <v>226</v>
      </c>
      <c r="C203" s="21" t="b">
        <v>0</v>
      </c>
      <c r="D203" s="21"/>
      <c r="E203" s="21" t="s">
        <v>183</v>
      </c>
      <c r="F203" s="24" t="s">
        <v>184</v>
      </c>
      <c r="G203" s="24" t="s">
        <v>185</v>
      </c>
      <c r="H203" s="24" t="s">
        <v>24</v>
      </c>
      <c r="I203" s="24" t="s">
        <v>186</v>
      </c>
      <c r="J203" s="24" t="s">
        <v>187</v>
      </c>
      <c r="K203" s="17" t="s">
        <v>231</v>
      </c>
      <c r="L203" s="26">
        <v>46119</v>
      </c>
      <c r="M203" s="27">
        <f t="shared" si="4"/>
        <v>1290.82</v>
      </c>
      <c r="N203" s="17">
        <v>0.75</v>
      </c>
      <c r="O203" s="40"/>
      <c r="P203" s="13"/>
      <c r="Q203" s="13"/>
      <c r="R203" s="13"/>
      <c r="S203" s="10"/>
      <c r="T203" s="10"/>
      <c r="U203" s="81"/>
      <c r="V203" s="11"/>
      <c r="W203" s="11"/>
      <c r="X203" s="81"/>
      <c r="Y203" s="12"/>
      <c r="Z203" s="12"/>
      <c r="AA203" s="12"/>
      <c r="AB203" s="12"/>
      <c r="AC203" s="12">
        <v>3</v>
      </c>
      <c r="AD203" s="81"/>
      <c r="AE203" s="13"/>
      <c r="AF203" s="13"/>
      <c r="AG203" s="17"/>
    </row>
    <row r="204" spans="1:33" ht="15" customHeight="1" x14ac:dyDescent="0.3">
      <c r="A204" s="25" t="s">
        <v>225</v>
      </c>
      <c r="B204" s="80" t="s">
        <v>226</v>
      </c>
      <c r="C204" s="21" t="b">
        <v>0</v>
      </c>
      <c r="D204" s="21"/>
      <c r="E204" s="21" t="s">
        <v>183</v>
      </c>
      <c r="F204" s="24" t="s">
        <v>184</v>
      </c>
      <c r="G204" s="24" t="s">
        <v>185</v>
      </c>
      <c r="H204" s="24" t="s">
        <v>24</v>
      </c>
      <c r="I204" s="24" t="s">
        <v>186</v>
      </c>
      <c r="J204" s="24" t="s">
        <v>187</v>
      </c>
      <c r="K204" s="17" t="s">
        <v>231</v>
      </c>
      <c r="L204" s="26">
        <v>46119</v>
      </c>
      <c r="M204" s="27">
        <f t="shared" si="4"/>
        <v>1290.07</v>
      </c>
      <c r="N204" s="17">
        <v>0.75</v>
      </c>
      <c r="O204" s="40"/>
      <c r="P204" s="13"/>
      <c r="Q204" s="13"/>
      <c r="R204" s="13"/>
      <c r="S204" s="10"/>
      <c r="T204" s="10"/>
      <c r="U204" s="81"/>
      <c r="V204" s="11"/>
      <c r="W204" s="11"/>
      <c r="X204" s="81"/>
      <c r="Y204" s="12"/>
      <c r="Z204" s="12"/>
      <c r="AA204" s="12"/>
      <c r="AB204" s="12"/>
      <c r="AC204" s="12">
        <v>3</v>
      </c>
      <c r="AD204" s="81"/>
      <c r="AE204" s="13"/>
      <c r="AF204" s="13"/>
      <c r="AG204" s="17"/>
    </row>
    <row r="205" spans="1:33" ht="15" customHeight="1" x14ac:dyDescent="0.3">
      <c r="A205" s="25" t="s">
        <v>225</v>
      </c>
      <c r="B205" s="80" t="s">
        <v>226</v>
      </c>
      <c r="C205" s="21" t="b">
        <v>0</v>
      </c>
      <c r="D205" s="21"/>
      <c r="E205" s="21" t="s">
        <v>183</v>
      </c>
      <c r="F205" s="24" t="s">
        <v>184</v>
      </c>
      <c r="G205" s="24" t="s">
        <v>185</v>
      </c>
      <c r="H205" s="24" t="s">
        <v>24</v>
      </c>
      <c r="I205" s="24" t="s">
        <v>186</v>
      </c>
      <c r="J205" s="24" t="s">
        <v>187</v>
      </c>
      <c r="K205" s="17" t="s">
        <v>231</v>
      </c>
      <c r="L205" s="26">
        <v>46119</v>
      </c>
      <c r="M205" s="27">
        <f t="shared" si="4"/>
        <v>1289.32</v>
      </c>
      <c r="N205" s="17">
        <v>0.75</v>
      </c>
      <c r="O205" s="40"/>
      <c r="P205" s="13"/>
      <c r="Q205" s="13"/>
      <c r="R205" s="13"/>
      <c r="S205" s="10"/>
      <c r="T205" s="10"/>
      <c r="U205" s="81"/>
      <c r="V205" s="11"/>
      <c r="W205" s="11"/>
      <c r="X205" s="81"/>
      <c r="Y205" s="12"/>
      <c r="Z205" s="12"/>
      <c r="AA205" s="12"/>
      <c r="AB205" s="12"/>
      <c r="AC205" s="12">
        <v>3</v>
      </c>
      <c r="AD205" s="81"/>
      <c r="AE205" s="13"/>
      <c r="AF205" s="13"/>
      <c r="AG205" s="17"/>
    </row>
    <row r="206" spans="1:33" ht="15" customHeight="1" x14ac:dyDescent="0.3">
      <c r="A206" s="25" t="s">
        <v>225</v>
      </c>
      <c r="B206" s="80" t="s">
        <v>226</v>
      </c>
      <c r="C206" s="21" t="b">
        <v>0</v>
      </c>
      <c r="D206" s="21"/>
      <c r="E206" s="21" t="s">
        <v>183</v>
      </c>
      <c r="F206" s="24" t="s">
        <v>184</v>
      </c>
      <c r="G206" s="24" t="s">
        <v>185</v>
      </c>
      <c r="H206" s="24" t="s">
        <v>24</v>
      </c>
      <c r="I206" s="24" t="s">
        <v>186</v>
      </c>
      <c r="J206" s="24" t="s">
        <v>187</v>
      </c>
      <c r="K206" s="17" t="s">
        <v>231</v>
      </c>
      <c r="L206" s="26">
        <v>46119</v>
      </c>
      <c r="M206" s="27">
        <f t="shared" si="4"/>
        <v>1288.57</v>
      </c>
      <c r="N206" s="17">
        <v>0.75</v>
      </c>
      <c r="O206" s="40"/>
      <c r="P206" s="13"/>
      <c r="Q206" s="13"/>
      <c r="R206" s="13"/>
      <c r="S206" s="10"/>
      <c r="T206" s="10"/>
      <c r="U206" s="81"/>
      <c r="V206" s="11"/>
      <c r="W206" s="11"/>
      <c r="X206" s="81"/>
      <c r="Y206" s="12"/>
      <c r="Z206" s="12"/>
      <c r="AA206" s="12"/>
      <c r="AB206" s="12"/>
      <c r="AC206" s="12">
        <v>3</v>
      </c>
      <c r="AD206" s="81"/>
      <c r="AE206" s="13"/>
      <c r="AF206" s="13"/>
      <c r="AG206" s="17"/>
    </row>
    <row r="207" spans="1:33" ht="15" customHeight="1" x14ac:dyDescent="0.3">
      <c r="A207" s="25" t="s">
        <v>225</v>
      </c>
      <c r="B207" s="80" t="s">
        <v>226</v>
      </c>
      <c r="C207" s="21" t="b">
        <v>0</v>
      </c>
      <c r="D207" s="21"/>
      <c r="E207" s="21" t="s">
        <v>183</v>
      </c>
      <c r="F207" s="24" t="s">
        <v>184</v>
      </c>
      <c r="G207" s="24" t="s">
        <v>185</v>
      </c>
      <c r="H207" s="24" t="s">
        <v>24</v>
      </c>
      <c r="I207" s="24" t="s">
        <v>186</v>
      </c>
      <c r="J207" s="24" t="s">
        <v>187</v>
      </c>
      <c r="K207" s="17" t="s">
        <v>231</v>
      </c>
      <c r="L207" s="26">
        <v>46119</v>
      </c>
      <c r="M207" s="27">
        <f t="shared" si="4"/>
        <v>1287.82</v>
      </c>
      <c r="N207" s="17">
        <v>0.75</v>
      </c>
      <c r="O207" s="40"/>
      <c r="P207" s="13"/>
      <c r="Q207" s="13"/>
      <c r="R207" s="13"/>
      <c r="S207" s="10"/>
      <c r="T207" s="10"/>
      <c r="U207" s="81"/>
      <c r="V207" s="11"/>
      <c r="W207" s="11"/>
      <c r="X207" s="81"/>
      <c r="Y207" s="12"/>
      <c r="Z207" s="12"/>
      <c r="AA207" s="12"/>
      <c r="AB207" s="12"/>
      <c r="AC207" s="12">
        <v>3</v>
      </c>
      <c r="AD207" s="81"/>
      <c r="AE207" s="13"/>
      <c r="AF207" s="13"/>
      <c r="AG207" s="17"/>
    </row>
    <row r="208" spans="1:33" ht="15" customHeight="1" x14ac:dyDescent="0.3">
      <c r="A208" s="25" t="s">
        <v>225</v>
      </c>
      <c r="B208" s="80" t="s">
        <v>226</v>
      </c>
      <c r="C208" s="21" t="b">
        <v>0</v>
      </c>
      <c r="D208" s="21"/>
      <c r="E208" s="21" t="s">
        <v>183</v>
      </c>
      <c r="F208" s="24" t="s">
        <v>184</v>
      </c>
      <c r="G208" s="24" t="s">
        <v>185</v>
      </c>
      <c r="H208" s="24" t="s">
        <v>24</v>
      </c>
      <c r="I208" s="24" t="s">
        <v>186</v>
      </c>
      <c r="J208" s="24" t="s">
        <v>187</v>
      </c>
      <c r="K208" s="17" t="s">
        <v>231</v>
      </c>
      <c r="L208" s="26">
        <v>46119</v>
      </c>
      <c r="M208" s="27">
        <f t="shared" si="4"/>
        <v>1287.07</v>
      </c>
      <c r="N208" s="17">
        <v>0.75</v>
      </c>
      <c r="O208" s="40"/>
      <c r="P208" s="13"/>
      <c r="Q208" s="13"/>
      <c r="R208" s="13"/>
      <c r="S208" s="10"/>
      <c r="T208" s="10"/>
      <c r="U208" s="81"/>
      <c r="V208" s="11"/>
      <c r="W208" s="11"/>
      <c r="X208" s="81"/>
      <c r="Y208" s="12"/>
      <c r="Z208" s="12"/>
      <c r="AA208" s="12"/>
      <c r="AB208" s="12"/>
      <c r="AC208" s="12">
        <v>3</v>
      </c>
      <c r="AD208" s="81"/>
      <c r="AE208" s="13"/>
      <c r="AF208" s="13"/>
      <c r="AG208" s="17"/>
    </row>
    <row r="209" spans="1:33" ht="15" customHeight="1" x14ac:dyDescent="0.3">
      <c r="A209" s="25" t="s">
        <v>225</v>
      </c>
      <c r="B209" s="80" t="s">
        <v>226</v>
      </c>
      <c r="C209" s="21" t="b">
        <v>0</v>
      </c>
      <c r="D209" s="21"/>
      <c r="E209" s="21" t="s">
        <v>183</v>
      </c>
      <c r="F209" s="24" t="s">
        <v>184</v>
      </c>
      <c r="G209" s="24" t="s">
        <v>185</v>
      </c>
      <c r="H209" s="24" t="s">
        <v>24</v>
      </c>
      <c r="I209" s="24" t="s">
        <v>186</v>
      </c>
      <c r="J209" s="24" t="s">
        <v>187</v>
      </c>
      <c r="K209" s="17" t="s">
        <v>231</v>
      </c>
      <c r="L209" s="26">
        <v>46119</v>
      </c>
      <c r="M209" s="27">
        <f t="shared" si="4"/>
        <v>1286.32</v>
      </c>
      <c r="N209" s="17">
        <v>0.75</v>
      </c>
      <c r="O209" s="40"/>
      <c r="P209" s="13"/>
      <c r="Q209" s="13"/>
      <c r="R209" s="13"/>
      <c r="S209" s="10"/>
      <c r="T209" s="10"/>
      <c r="U209" s="81"/>
      <c r="V209" s="11"/>
      <c r="W209" s="11"/>
      <c r="X209" s="81"/>
      <c r="Y209" s="12"/>
      <c r="Z209" s="12"/>
      <c r="AA209" s="12"/>
      <c r="AB209" s="12"/>
      <c r="AC209" s="12">
        <v>3</v>
      </c>
      <c r="AD209" s="81"/>
      <c r="AE209" s="13"/>
      <c r="AF209" s="13"/>
      <c r="AG209" s="17"/>
    </row>
    <row r="210" spans="1:33" ht="15" customHeight="1" x14ac:dyDescent="0.3">
      <c r="A210" s="25"/>
      <c r="B210" s="80"/>
      <c r="C210" s="21"/>
      <c r="D210" s="21"/>
      <c r="E210" s="21"/>
      <c r="F210" s="24"/>
      <c r="G210" s="24"/>
      <c r="H210" s="24"/>
      <c r="I210" s="24"/>
      <c r="J210" s="24"/>
      <c r="K210" s="17"/>
      <c r="L210" s="26"/>
      <c r="M210" s="27"/>
      <c r="N210" s="17"/>
      <c r="O210" s="40"/>
      <c r="P210" s="13"/>
      <c r="Q210" s="13"/>
      <c r="R210" s="13"/>
      <c r="S210" s="10"/>
      <c r="T210" s="10"/>
      <c r="U210" s="81"/>
      <c r="V210" s="11"/>
      <c r="W210" s="11"/>
      <c r="X210" s="81"/>
      <c r="Y210" s="12"/>
      <c r="Z210" s="12"/>
      <c r="AA210" s="12"/>
      <c r="AB210" s="12"/>
      <c r="AC210" s="12"/>
      <c r="AD210" s="81"/>
      <c r="AE210" s="13"/>
      <c r="AF210" s="13"/>
      <c r="AG210" s="17"/>
    </row>
    <row r="211" spans="1:33" ht="15" customHeight="1" x14ac:dyDescent="0.3">
      <c r="A211" s="25"/>
      <c r="B211" s="80"/>
      <c r="C211" s="21"/>
      <c r="D211" s="21"/>
      <c r="E211" s="21"/>
      <c r="F211" s="24"/>
      <c r="G211" s="24"/>
      <c r="H211" s="24"/>
      <c r="I211" s="24"/>
      <c r="J211" s="24"/>
      <c r="K211" s="17"/>
      <c r="L211" s="26"/>
      <c r="M211" s="27"/>
      <c r="N211" s="17"/>
      <c r="O211" s="40"/>
      <c r="P211" s="13"/>
      <c r="Q211" s="13"/>
      <c r="R211" s="13"/>
      <c r="S211" s="10"/>
      <c r="T211" s="10"/>
      <c r="U211" s="81"/>
      <c r="V211" s="11"/>
      <c r="W211" s="11"/>
      <c r="X211" s="81"/>
      <c r="Y211" s="12"/>
      <c r="Z211" s="12"/>
      <c r="AA211" s="12"/>
      <c r="AB211" s="12"/>
      <c r="AC211" s="12"/>
      <c r="AD211" s="81"/>
      <c r="AE211" s="13"/>
      <c r="AF211" s="13"/>
      <c r="AG211" s="17"/>
    </row>
    <row r="212" spans="1:33" ht="15" customHeight="1" x14ac:dyDescent="0.3">
      <c r="A212" s="25"/>
      <c r="B212" s="80"/>
      <c r="C212" s="21"/>
      <c r="D212" s="21"/>
      <c r="E212" s="21"/>
      <c r="F212" s="24"/>
      <c r="G212" s="24"/>
      <c r="H212" s="24"/>
      <c r="I212" s="24"/>
      <c r="J212" s="24"/>
      <c r="K212" s="17"/>
      <c r="L212" s="26"/>
      <c r="M212" s="27"/>
      <c r="N212" s="17"/>
      <c r="O212" s="40"/>
      <c r="P212" s="13"/>
      <c r="Q212" s="13"/>
      <c r="R212" s="13"/>
      <c r="S212" s="10"/>
      <c r="T212" s="10"/>
      <c r="U212" s="81"/>
      <c r="V212" s="11"/>
      <c r="W212" s="11"/>
      <c r="X212" s="81"/>
      <c r="Y212" s="12"/>
      <c r="Z212" s="12"/>
      <c r="AA212" s="12"/>
      <c r="AB212" s="12"/>
      <c r="AC212" s="12"/>
      <c r="AD212" s="81"/>
      <c r="AE212" s="13"/>
      <c r="AF212" s="13"/>
      <c r="AG212" s="17"/>
    </row>
    <row r="213" spans="1:33" ht="15" customHeight="1" x14ac:dyDescent="0.3">
      <c r="A213" s="25"/>
      <c r="B213" s="80"/>
      <c r="C213" s="21"/>
      <c r="D213" s="21"/>
      <c r="E213" s="21"/>
      <c r="F213" s="24"/>
      <c r="G213" s="24"/>
      <c r="H213" s="24"/>
      <c r="I213" s="24"/>
      <c r="J213" s="24"/>
      <c r="K213" s="17"/>
      <c r="L213" s="26"/>
      <c r="M213" s="27"/>
      <c r="N213" s="17"/>
      <c r="O213" s="40"/>
      <c r="P213" s="13"/>
      <c r="Q213" s="13"/>
      <c r="R213" s="13"/>
      <c r="S213" s="10"/>
      <c r="T213" s="10"/>
      <c r="U213" s="81"/>
      <c r="V213" s="11"/>
      <c r="W213" s="11"/>
      <c r="X213" s="81"/>
      <c r="Y213" s="12"/>
      <c r="Z213" s="12"/>
      <c r="AA213" s="12"/>
      <c r="AB213" s="12"/>
      <c r="AC213" s="12"/>
      <c r="AD213" s="81"/>
      <c r="AE213" s="13"/>
      <c r="AF213" s="13"/>
      <c r="AG213" s="17"/>
    </row>
    <row r="214" spans="1:33" ht="15" customHeight="1" x14ac:dyDescent="0.3">
      <c r="A214" s="25"/>
      <c r="B214" s="80"/>
      <c r="C214" s="21"/>
      <c r="D214" s="21"/>
      <c r="E214" s="21"/>
      <c r="F214" s="24"/>
      <c r="G214" s="24"/>
      <c r="H214" s="24"/>
      <c r="I214" s="24"/>
      <c r="J214" s="24"/>
      <c r="K214" s="17"/>
      <c r="L214" s="26"/>
      <c r="M214" s="27"/>
      <c r="N214" s="17"/>
      <c r="O214" s="40"/>
      <c r="P214" s="13"/>
      <c r="Q214" s="13"/>
      <c r="R214" s="13"/>
      <c r="S214" s="10"/>
      <c r="T214" s="10"/>
      <c r="U214" s="81"/>
      <c r="V214" s="11"/>
      <c r="W214" s="11"/>
      <c r="X214" s="81"/>
      <c r="Y214" s="12"/>
      <c r="Z214" s="12"/>
      <c r="AA214" s="12"/>
      <c r="AB214" s="12"/>
      <c r="AC214" s="12"/>
      <c r="AD214" s="81"/>
      <c r="AE214" s="13"/>
      <c r="AF214" s="13"/>
      <c r="AG214" s="17"/>
    </row>
  </sheetData>
  <phoneticPr fontId="6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19" t="s">
        <v>85</v>
      </c>
      <c r="B1" s="19" t="s">
        <v>86</v>
      </c>
      <c r="C1" s="19" t="s">
        <v>33</v>
      </c>
      <c r="D1" s="15" t="s">
        <v>38</v>
      </c>
      <c r="E1" s="106" t="s">
        <v>6</v>
      </c>
      <c r="F1" s="106"/>
      <c r="G1" s="15" t="s">
        <v>11</v>
      </c>
      <c r="H1" s="19" t="s">
        <v>34</v>
      </c>
      <c r="J1" s="19" t="s">
        <v>90</v>
      </c>
      <c r="K1" s="19" t="s">
        <v>91</v>
      </c>
      <c r="L1" s="19" t="s">
        <v>92</v>
      </c>
    </row>
    <row r="2" spans="1:12" x14ac:dyDescent="0.3">
      <c r="A2" s="61">
        <v>45839</v>
      </c>
      <c r="B2" s="62">
        <v>3</v>
      </c>
      <c r="C2" s="18">
        <v>1</v>
      </c>
      <c r="D2" s="29">
        <v>2101.61</v>
      </c>
      <c r="E2" s="30" t="s">
        <v>26</v>
      </c>
      <c r="F2" s="31">
        <v>1</v>
      </c>
      <c r="G2" s="18"/>
      <c r="H2" s="18" t="s">
        <v>35</v>
      </c>
      <c r="J2">
        <v>0.05</v>
      </c>
      <c r="K2">
        <v>27.35</v>
      </c>
    </row>
    <row r="3" spans="1:12" x14ac:dyDescent="0.3">
      <c r="A3" s="61">
        <v>45839</v>
      </c>
      <c r="B3" s="62">
        <v>3</v>
      </c>
      <c r="C3" s="18">
        <f t="shared" ref="C3:C39" si="0">+C2+1</f>
        <v>2</v>
      </c>
      <c r="D3" s="29">
        <v>2102.36</v>
      </c>
      <c r="E3" s="30" t="s">
        <v>26</v>
      </c>
      <c r="F3" s="31">
        <v>2</v>
      </c>
      <c r="G3" s="18"/>
      <c r="H3" s="18" t="s">
        <v>35</v>
      </c>
      <c r="J3">
        <v>0.05</v>
      </c>
      <c r="K3">
        <v>28.106000000000002</v>
      </c>
    </row>
    <row r="4" spans="1:12" x14ac:dyDescent="0.3">
      <c r="A4" s="61">
        <v>45839</v>
      </c>
      <c r="B4" s="62">
        <v>3</v>
      </c>
      <c r="C4" s="18">
        <f t="shared" si="0"/>
        <v>3</v>
      </c>
      <c r="D4" s="29">
        <v>2103.11</v>
      </c>
      <c r="E4" s="30" t="s">
        <v>26</v>
      </c>
      <c r="F4" s="31">
        <v>3</v>
      </c>
      <c r="G4" s="18"/>
      <c r="H4" s="18" t="s">
        <v>35</v>
      </c>
      <c r="J4">
        <v>0.05</v>
      </c>
      <c r="K4">
        <v>28.879000000000001</v>
      </c>
    </row>
    <row r="5" spans="1:12" x14ac:dyDescent="0.3">
      <c r="A5" s="61">
        <v>45839</v>
      </c>
      <c r="B5" s="62">
        <v>3</v>
      </c>
      <c r="C5" s="18">
        <f t="shared" si="0"/>
        <v>4</v>
      </c>
      <c r="D5" s="29">
        <v>2103.11</v>
      </c>
      <c r="E5" s="30" t="s">
        <v>26</v>
      </c>
      <c r="F5" s="31">
        <v>3</v>
      </c>
      <c r="G5" s="18" t="s">
        <v>37</v>
      </c>
      <c r="H5" s="18" t="s">
        <v>83</v>
      </c>
      <c r="J5">
        <v>0.15</v>
      </c>
      <c r="K5" s="64">
        <v>8</v>
      </c>
      <c r="L5">
        <f>+K5*3.47/1000</f>
        <v>2.776E-2</v>
      </c>
    </row>
    <row r="6" spans="1:12" x14ac:dyDescent="0.3">
      <c r="A6" s="61">
        <v>45839</v>
      </c>
      <c r="B6" s="62">
        <v>3</v>
      </c>
      <c r="C6" s="18">
        <f t="shared" si="0"/>
        <v>5</v>
      </c>
      <c r="D6" s="29">
        <v>2103.86</v>
      </c>
      <c r="E6" s="30" t="s">
        <v>26</v>
      </c>
      <c r="F6" s="31">
        <v>4</v>
      </c>
      <c r="G6" s="18"/>
      <c r="H6" s="18" t="s">
        <v>35</v>
      </c>
      <c r="J6">
        <v>0.05</v>
      </c>
      <c r="K6">
        <v>29.536000000000001</v>
      </c>
    </row>
    <row r="7" spans="1:12" x14ac:dyDescent="0.3">
      <c r="A7" s="61">
        <v>45839</v>
      </c>
      <c r="B7" s="62">
        <v>3</v>
      </c>
      <c r="C7" s="18">
        <f t="shared" si="0"/>
        <v>6</v>
      </c>
      <c r="D7" s="29">
        <v>2104.61</v>
      </c>
      <c r="E7" s="30" t="s">
        <v>26</v>
      </c>
      <c r="F7" s="31">
        <v>5</v>
      </c>
      <c r="G7" s="18"/>
      <c r="H7" s="18" t="s">
        <v>35</v>
      </c>
      <c r="J7">
        <v>0.05</v>
      </c>
      <c r="K7">
        <v>30.158000000000001</v>
      </c>
    </row>
    <row r="8" spans="1:12" x14ac:dyDescent="0.3">
      <c r="A8" s="61">
        <v>45839</v>
      </c>
      <c r="B8" s="62">
        <v>3</v>
      </c>
      <c r="C8" s="18">
        <f t="shared" si="0"/>
        <v>7</v>
      </c>
      <c r="D8" s="29">
        <v>2105.36</v>
      </c>
      <c r="E8" s="30" t="s">
        <v>26</v>
      </c>
      <c r="F8" s="31">
        <v>6</v>
      </c>
      <c r="G8" s="18" t="s">
        <v>37</v>
      </c>
      <c r="H8" s="18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61">
        <v>45839</v>
      </c>
      <c r="B9" s="62">
        <v>3</v>
      </c>
      <c r="C9" s="18">
        <f t="shared" si="0"/>
        <v>8</v>
      </c>
      <c r="D9" s="29">
        <v>2106.11</v>
      </c>
      <c r="E9" s="30" t="s">
        <v>26</v>
      </c>
      <c r="F9" s="31">
        <v>1</v>
      </c>
      <c r="G9" s="18"/>
      <c r="H9" s="18" t="s">
        <v>35</v>
      </c>
      <c r="J9">
        <v>0.05</v>
      </c>
      <c r="K9">
        <v>27.35</v>
      </c>
    </row>
    <row r="10" spans="1:12" x14ac:dyDescent="0.3">
      <c r="A10" s="61">
        <v>45839</v>
      </c>
      <c r="B10" s="62">
        <v>3</v>
      </c>
      <c r="C10" s="18">
        <f t="shared" si="0"/>
        <v>9</v>
      </c>
      <c r="D10" s="29">
        <v>2106.86</v>
      </c>
      <c r="E10" s="30" t="s">
        <v>26</v>
      </c>
      <c r="F10" s="31">
        <v>2</v>
      </c>
      <c r="G10" s="18"/>
      <c r="H10" s="18" t="s">
        <v>35</v>
      </c>
      <c r="J10">
        <v>0.05</v>
      </c>
      <c r="K10">
        <v>28.106000000000002</v>
      </c>
    </row>
    <row r="11" spans="1:12" x14ac:dyDescent="0.3">
      <c r="A11" s="61">
        <v>45839</v>
      </c>
      <c r="B11" s="62">
        <v>3</v>
      </c>
      <c r="C11" s="18">
        <f t="shared" si="0"/>
        <v>10</v>
      </c>
      <c r="D11" s="29">
        <v>2107.61</v>
      </c>
      <c r="E11" s="30" t="s">
        <v>26</v>
      </c>
      <c r="F11" s="31">
        <v>3</v>
      </c>
      <c r="G11" s="18"/>
      <c r="H11" s="18" t="s">
        <v>35</v>
      </c>
      <c r="J11">
        <v>0.05</v>
      </c>
      <c r="K11">
        <v>28.879000000000001</v>
      </c>
    </row>
    <row r="12" spans="1:12" x14ac:dyDescent="0.3">
      <c r="A12" s="61">
        <v>45839</v>
      </c>
      <c r="B12" s="62">
        <v>3</v>
      </c>
      <c r="C12" s="18">
        <f t="shared" si="0"/>
        <v>11</v>
      </c>
      <c r="D12" s="29">
        <v>2107.61</v>
      </c>
      <c r="E12" s="30" t="s">
        <v>26</v>
      </c>
      <c r="F12" s="31">
        <v>3</v>
      </c>
      <c r="G12" s="18" t="s">
        <v>37</v>
      </c>
      <c r="H12" s="18" t="s">
        <v>83</v>
      </c>
      <c r="J12">
        <v>0.15</v>
      </c>
      <c r="K12" s="64">
        <v>8</v>
      </c>
      <c r="L12">
        <f>+K12*3.47/1000</f>
        <v>2.776E-2</v>
      </c>
    </row>
    <row r="13" spans="1:12" x14ac:dyDescent="0.3">
      <c r="A13" s="61">
        <v>45839</v>
      </c>
      <c r="B13" s="62">
        <v>3</v>
      </c>
      <c r="C13" s="18">
        <f t="shared" si="0"/>
        <v>12</v>
      </c>
      <c r="D13" s="29">
        <v>2108.36</v>
      </c>
      <c r="E13" s="30" t="s">
        <v>26</v>
      </c>
      <c r="F13" s="31">
        <v>4</v>
      </c>
      <c r="G13" s="18"/>
      <c r="H13" s="18" t="s">
        <v>35</v>
      </c>
      <c r="J13">
        <v>0.05</v>
      </c>
      <c r="K13">
        <v>29.536000000000001</v>
      </c>
    </row>
    <row r="14" spans="1:12" x14ac:dyDescent="0.3">
      <c r="A14" s="61">
        <v>45839</v>
      </c>
      <c r="B14" s="62">
        <v>3</v>
      </c>
      <c r="C14" s="18">
        <f t="shared" si="0"/>
        <v>13</v>
      </c>
      <c r="D14" s="29">
        <v>2109.11</v>
      </c>
      <c r="E14" s="30" t="s">
        <v>26</v>
      </c>
      <c r="F14" s="31">
        <v>5</v>
      </c>
      <c r="G14" s="18"/>
      <c r="H14" s="18" t="s">
        <v>35</v>
      </c>
      <c r="J14">
        <v>0.05</v>
      </c>
      <c r="K14">
        <v>30.158000000000001</v>
      </c>
    </row>
    <row r="15" spans="1:12" x14ac:dyDescent="0.3">
      <c r="A15" s="61">
        <v>45839</v>
      </c>
      <c r="B15" s="62">
        <v>3</v>
      </c>
      <c r="C15" s="18">
        <f t="shared" si="0"/>
        <v>14</v>
      </c>
      <c r="D15" s="29">
        <v>2109.86</v>
      </c>
      <c r="E15" s="30" t="s">
        <v>26</v>
      </c>
      <c r="F15" s="31">
        <v>6</v>
      </c>
      <c r="G15" s="18" t="s">
        <v>37</v>
      </c>
      <c r="H15" s="18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61">
        <v>45839</v>
      </c>
      <c r="B16" s="62">
        <v>3</v>
      </c>
      <c r="C16" s="18">
        <f t="shared" si="0"/>
        <v>15</v>
      </c>
      <c r="D16" s="29">
        <v>2110.61</v>
      </c>
      <c r="E16" s="30" t="s">
        <v>26</v>
      </c>
      <c r="F16" s="31">
        <v>1</v>
      </c>
      <c r="G16" s="18"/>
      <c r="H16" s="18" t="s">
        <v>35</v>
      </c>
      <c r="J16">
        <v>0.05</v>
      </c>
      <c r="K16">
        <v>27.35</v>
      </c>
    </row>
    <row r="17" spans="1:12" x14ac:dyDescent="0.3">
      <c r="A17" s="61">
        <v>45839</v>
      </c>
      <c r="B17" s="62">
        <v>3</v>
      </c>
      <c r="C17" s="18">
        <f t="shared" si="0"/>
        <v>16</v>
      </c>
      <c r="D17" s="29">
        <v>2111.36</v>
      </c>
      <c r="E17" s="30" t="s">
        <v>26</v>
      </c>
      <c r="F17" s="31">
        <v>2</v>
      </c>
      <c r="G17" s="18"/>
      <c r="H17" s="18" t="s">
        <v>35</v>
      </c>
      <c r="J17">
        <v>0.05</v>
      </c>
      <c r="K17">
        <v>28.106000000000002</v>
      </c>
    </row>
    <row r="18" spans="1:12" x14ac:dyDescent="0.3">
      <c r="A18" s="61">
        <v>45839</v>
      </c>
      <c r="B18" s="62">
        <v>3</v>
      </c>
      <c r="C18" s="18">
        <f t="shared" si="0"/>
        <v>17</v>
      </c>
      <c r="D18" s="29">
        <v>2112.11</v>
      </c>
      <c r="E18" s="30" t="s">
        <v>26</v>
      </c>
      <c r="F18" s="31">
        <v>3</v>
      </c>
      <c r="G18" s="18"/>
      <c r="H18" s="18" t="s">
        <v>35</v>
      </c>
      <c r="J18">
        <v>0.05</v>
      </c>
      <c r="K18">
        <v>28.879000000000001</v>
      </c>
    </row>
    <row r="19" spans="1:12" x14ac:dyDescent="0.3">
      <c r="A19" s="61">
        <v>45839</v>
      </c>
      <c r="B19" s="62">
        <v>3</v>
      </c>
      <c r="C19" s="18">
        <f t="shared" si="0"/>
        <v>18</v>
      </c>
      <c r="D19" s="29">
        <v>2112.11</v>
      </c>
      <c r="E19" s="30" t="s">
        <v>26</v>
      </c>
      <c r="F19" s="31">
        <v>3</v>
      </c>
      <c r="G19" s="18" t="s">
        <v>37</v>
      </c>
      <c r="H19" s="18" t="s">
        <v>83</v>
      </c>
      <c r="J19">
        <v>0.15</v>
      </c>
      <c r="K19" s="64">
        <v>8</v>
      </c>
      <c r="L19">
        <f>+K19*3.47/1000</f>
        <v>2.776E-2</v>
      </c>
    </row>
    <row r="20" spans="1:12" x14ac:dyDescent="0.3">
      <c r="A20" s="61">
        <v>45839</v>
      </c>
      <c r="B20" s="62">
        <v>3</v>
      </c>
      <c r="C20" s="18">
        <f t="shared" si="0"/>
        <v>19</v>
      </c>
      <c r="D20" s="29">
        <v>2112.86</v>
      </c>
      <c r="E20" s="30" t="s">
        <v>26</v>
      </c>
      <c r="F20" s="31">
        <v>4</v>
      </c>
      <c r="G20" s="18"/>
      <c r="H20" s="18" t="s">
        <v>35</v>
      </c>
      <c r="J20">
        <v>0.05</v>
      </c>
      <c r="K20">
        <v>29.536000000000001</v>
      </c>
    </row>
    <row r="21" spans="1:12" x14ac:dyDescent="0.3">
      <c r="A21" s="61">
        <v>45839</v>
      </c>
      <c r="B21" s="62">
        <v>3</v>
      </c>
      <c r="C21" s="18">
        <f t="shared" si="0"/>
        <v>20</v>
      </c>
      <c r="D21" s="29">
        <v>2113.61</v>
      </c>
      <c r="E21" s="30" t="s">
        <v>26</v>
      </c>
      <c r="F21" s="31">
        <v>5</v>
      </c>
      <c r="G21" s="18"/>
      <c r="H21" s="18" t="s">
        <v>35</v>
      </c>
      <c r="J21">
        <v>0.05</v>
      </c>
      <c r="K21">
        <v>30.158000000000001</v>
      </c>
    </row>
    <row r="22" spans="1:12" x14ac:dyDescent="0.3">
      <c r="A22" s="61">
        <v>45839</v>
      </c>
      <c r="B22" s="62">
        <v>3</v>
      </c>
      <c r="C22" s="18">
        <f t="shared" si="0"/>
        <v>21</v>
      </c>
      <c r="D22" s="29">
        <v>2114.36</v>
      </c>
      <c r="E22" s="30" t="s">
        <v>26</v>
      </c>
      <c r="F22" s="31">
        <v>6</v>
      </c>
      <c r="G22" s="18" t="s">
        <v>37</v>
      </c>
      <c r="H22" s="18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61">
        <v>45839</v>
      </c>
      <c r="B23" s="62">
        <v>3</v>
      </c>
      <c r="C23" s="18">
        <f t="shared" si="0"/>
        <v>22</v>
      </c>
      <c r="D23" s="29">
        <v>2115.1799999999998</v>
      </c>
      <c r="E23" s="30" t="s">
        <v>26</v>
      </c>
      <c r="F23" s="31">
        <v>6</v>
      </c>
      <c r="G23" s="18"/>
      <c r="H23" s="18" t="s">
        <v>35</v>
      </c>
      <c r="J23">
        <v>0.05</v>
      </c>
      <c r="K23">
        <v>30.867999999999999</v>
      </c>
    </row>
    <row r="24" spans="1:12" x14ac:dyDescent="0.3">
      <c r="A24" s="61">
        <v>45839</v>
      </c>
      <c r="B24" s="62">
        <v>3</v>
      </c>
      <c r="C24" s="18">
        <f t="shared" si="0"/>
        <v>23</v>
      </c>
      <c r="D24" s="29">
        <v>2115.85</v>
      </c>
      <c r="E24" s="30" t="s">
        <v>26</v>
      </c>
      <c r="F24" s="31">
        <v>1</v>
      </c>
      <c r="G24" s="18"/>
      <c r="H24" s="18" t="s">
        <v>35</v>
      </c>
      <c r="J24">
        <v>0.05</v>
      </c>
      <c r="K24">
        <v>27.35</v>
      </c>
    </row>
    <row r="25" spans="1:12" x14ac:dyDescent="0.3">
      <c r="A25" s="61">
        <v>45839</v>
      </c>
      <c r="B25" s="62">
        <v>3</v>
      </c>
      <c r="C25" s="18">
        <f t="shared" si="0"/>
        <v>24</v>
      </c>
      <c r="D25" s="29">
        <v>2116.6</v>
      </c>
      <c r="E25" s="30" t="s">
        <v>26</v>
      </c>
      <c r="F25" s="31">
        <v>2</v>
      </c>
      <c r="G25" s="18"/>
      <c r="H25" s="18" t="s">
        <v>35</v>
      </c>
      <c r="J25">
        <v>0.05</v>
      </c>
      <c r="K25">
        <v>28.106000000000002</v>
      </c>
    </row>
    <row r="26" spans="1:12" x14ac:dyDescent="0.3">
      <c r="A26" s="61">
        <v>45839</v>
      </c>
      <c r="B26" s="62">
        <v>3</v>
      </c>
      <c r="C26" s="18">
        <f t="shared" si="0"/>
        <v>25</v>
      </c>
      <c r="D26" s="29">
        <v>2117.35</v>
      </c>
      <c r="E26" s="30" t="s">
        <v>26</v>
      </c>
      <c r="F26" s="31">
        <v>3</v>
      </c>
      <c r="G26" s="18"/>
      <c r="H26" s="18" t="s">
        <v>35</v>
      </c>
      <c r="J26">
        <v>0.05</v>
      </c>
      <c r="K26">
        <v>28.879000000000001</v>
      </c>
    </row>
    <row r="27" spans="1:12" x14ac:dyDescent="0.3">
      <c r="A27" s="61">
        <v>45839</v>
      </c>
      <c r="B27" s="62">
        <v>3</v>
      </c>
      <c r="C27" s="18">
        <f t="shared" si="0"/>
        <v>26</v>
      </c>
      <c r="D27" s="29">
        <v>2117.35</v>
      </c>
      <c r="E27" s="30" t="s">
        <v>26</v>
      </c>
      <c r="F27" s="31">
        <v>3</v>
      </c>
      <c r="G27" s="18" t="s">
        <v>37</v>
      </c>
      <c r="H27" s="18" t="s">
        <v>83</v>
      </c>
      <c r="J27">
        <v>0.15</v>
      </c>
      <c r="K27" s="64">
        <v>8</v>
      </c>
      <c r="L27">
        <f>+K27*3.47/1000</f>
        <v>2.776E-2</v>
      </c>
    </row>
    <row r="28" spans="1:12" x14ac:dyDescent="0.3">
      <c r="A28" s="61">
        <v>45870</v>
      </c>
      <c r="B28" s="62">
        <v>3</v>
      </c>
      <c r="C28" s="18">
        <f t="shared" si="0"/>
        <v>27</v>
      </c>
      <c r="D28" s="29">
        <v>2118.1</v>
      </c>
      <c r="E28" s="30" t="s">
        <v>26</v>
      </c>
      <c r="F28" s="31">
        <v>4</v>
      </c>
      <c r="G28" s="18"/>
      <c r="H28" s="18" t="s">
        <v>35</v>
      </c>
      <c r="J28">
        <v>0.05</v>
      </c>
      <c r="K28">
        <v>29.536000000000001</v>
      </c>
    </row>
    <row r="29" spans="1:12" x14ac:dyDescent="0.3">
      <c r="A29" s="61">
        <v>45870</v>
      </c>
      <c r="B29" s="62">
        <v>3</v>
      </c>
      <c r="C29" s="18">
        <f t="shared" si="0"/>
        <v>28</v>
      </c>
      <c r="D29" s="29">
        <v>2118.1</v>
      </c>
      <c r="E29" s="30" t="s">
        <v>26</v>
      </c>
      <c r="F29" s="31">
        <v>4</v>
      </c>
      <c r="G29" s="18" t="s">
        <v>37</v>
      </c>
      <c r="H29" s="18" t="s">
        <v>83</v>
      </c>
      <c r="J29">
        <v>0.15</v>
      </c>
      <c r="K29" s="64">
        <v>8</v>
      </c>
      <c r="L29">
        <f>+K29*3.47/1000</f>
        <v>2.776E-2</v>
      </c>
    </row>
    <row r="30" spans="1:12" x14ac:dyDescent="0.3">
      <c r="A30" s="61">
        <v>45870</v>
      </c>
      <c r="B30" s="62">
        <v>3</v>
      </c>
      <c r="C30" s="18">
        <f t="shared" si="0"/>
        <v>29</v>
      </c>
      <c r="D30" s="29">
        <v>2118.85</v>
      </c>
      <c r="E30" s="30" t="s">
        <v>26</v>
      </c>
      <c r="F30" s="31">
        <v>5</v>
      </c>
      <c r="G30" s="18"/>
      <c r="H30" s="18" t="s">
        <v>35</v>
      </c>
      <c r="J30">
        <v>0.05</v>
      </c>
      <c r="K30">
        <v>30.158000000000001</v>
      </c>
    </row>
    <row r="31" spans="1:12" x14ac:dyDescent="0.3">
      <c r="A31" s="61">
        <v>45870</v>
      </c>
      <c r="B31" s="62">
        <v>3</v>
      </c>
      <c r="C31" s="18">
        <f t="shared" si="0"/>
        <v>30</v>
      </c>
      <c r="D31" s="29">
        <v>2119.6</v>
      </c>
      <c r="E31" s="30" t="s">
        <v>26</v>
      </c>
      <c r="F31" s="31">
        <v>6</v>
      </c>
      <c r="G31" s="18" t="s">
        <v>37</v>
      </c>
      <c r="H31" s="18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61">
        <v>45870</v>
      </c>
      <c r="B32" s="62">
        <v>3</v>
      </c>
      <c r="C32" s="18">
        <f t="shared" si="0"/>
        <v>31</v>
      </c>
      <c r="D32" s="29">
        <v>2120.35</v>
      </c>
      <c r="E32" s="30" t="s">
        <v>26</v>
      </c>
      <c r="F32" s="31">
        <v>1</v>
      </c>
      <c r="G32" s="18"/>
      <c r="H32" s="18" t="s">
        <v>35</v>
      </c>
      <c r="J32">
        <v>0.05</v>
      </c>
      <c r="K32">
        <v>27.35</v>
      </c>
    </row>
    <row r="33" spans="1:12" x14ac:dyDescent="0.3">
      <c r="A33" s="61">
        <v>45870</v>
      </c>
      <c r="B33" s="62">
        <v>3</v>
      </c>
      <c r="C33" s="18">
        <f t="shared" si="0"/>
        <v>32</v>
      </c>
      <c r="D33" s="29">
        <v>2121.1</v>
      </c>
      <c r="E33" s="30" t="s">
        <v>26</v>
      </c>
      <c r="F33" s="31">
        <v>2</v>
      </c>
      <c r="G33" s="18"/>
      <c r="H33" s="18" t="s">
        <v>35</v>
      </c>
      <c r="J33">
        <v>0.05</v>
      </c>
      <c r="K33">
        <v>28.106000000000002</v>
      </c>
    </row>
    <row r="34" spans="1:12" x14ac:dyDescent="0.3">
      <c r="A34" s="61">
        <v>45870</v>
      </c>
      <c r="B34" s="62">
        <v>3</v>
      </c>
      <c r="C34" s="18">
        <f t="shared" si="0"/>
        <v>33</v>
      </c>
      <c r="D34" s="29">
        <v>2121.1</v>
      </c>
      <c r="E34" s="30" t="s">
        <v>26</v>
      </c>
      <c r="F34" s="31">
        <v>2</v>
      </c>
      <c r="G34" s="18" t="s">
        <v>37</v>
      </c>
      <c r="H34" s="18" t="s">
        <v>83</v>
      </c>
      <c r="J34">
        <v>0.15</v>
      </c>
      <c r="K34" s="64">
        <v>8</v>
      </c>
      <c r="L34">
        <f>+K34*3.47/1000</f>
        <v>2.776E-2</v>
      </c>
    </row>
    <row r="35" spans="1:12" x14ac:dyDescent="0.3">
      <c r="A35" s="61">
        <v>45870</v>
      </c>
      <c r="B35" s="62">
        <v>3</v>
      </c>
      <c r="C35" s="18">
        <f t="shared" si="0"/>
        <v>34</v>
      </c>
      <c r="D35" s="29">
        <v>2121.85</v>
      </c>
      <c r="E35" s="30" t="s">
        <v>26</v>
      </c>
      <c r="F35" s="31">
        <v>3</v>
      </c>
      <c r="G35" s="18"/>
      <c r="H35" s="18" t="s">
        <v>35</v>
      </c>
      <c r="J35">
        <v>0.05</v>
      </c>
      <c r="K35">
        <v>28.879000000000001</v>
      </c>
    </row>
    <row r="36" spans="1:12" x14ac:dyDescent="0.3">
      <c r="A36" s="61">
        <v>45870</v>
      </c>
      <c r="B36" s="62">
        <v>3</v>
      </c>
      <c r="C36" s="18">
        <f t="shared" si="0"/>
        <v>35</v>
      </c>
      <c r="D36" s="29">
        <v>2122.6</v>
      </c>
      <c r="E36" s="30" t="s">
        <v>26</v>
      </c>
      <c r="F36" s="31">
        <v>4</v>
      </c>
      <c r="G36" s="18"/>
      <c r="H36" s="18" t="s">
        <v>35</v>
      </c>
      <c r="J36">
        <v>0.05</v>
      </c>
      <c r="K36">
        <v>29.536000000000001</v>
      </c>
    </row>
    <row r="37" spans="1:12" x14ac:dyDescent="0.3">
      <c r="A37" s="61">
        <v>45870</v>
      </c>
      <c r="B37" s="62">
        <v>3</v>
      </c>
      <c r="C37" s="18">
        <f t="shared" si="0"/>
        <v>36</v>
      </c>
      <c r="D37" s="29">
        <v>2122.6</v>
      </c>
      <c r="E37" s="30" t="s">
        <v>26</v>
      </c>
      <c r="F37" s="31">
        <v>4</v>
      </c>
      <c r="G37" s="18" t="s">
        <v>37</v>
      </c>
      <c r="H37" s="18" t="s">
        <v>88</v>
      </c>
      <c r="J37">
        <v>0.15</v>
      </c>
      <c r="K37" s="64">
        <v>6</v>
      </c>
      <c r="L37">
        <f>+K37*3.47/1000</f>
        <v>2.0820000000000002E-2</v>
      </c>
    </row>
    <row r="38" spans="1:12" x14ac:dyDescent="0.3">
      <c r="A38" s="61">
        <v>45870</v>
      </c>
      <c r="B38" s="62">
        <v>3</v>
      </c>
      <c r="C38" s="18">
        <f t="shared" si="0"/>
        <v>37</v>
      </c>
      <c r="D38" s="27">
        <v>2123.35</v>
      </c>
      <c r="E38" s="30" t="s">
        <v>26</v>
      </c>
      <c r="F38" s="31">
        <v>5</v>
      </c>
      <c r="G38" s="18"/>
      <c r="H38" s="18" t="s">
        <v>35</v>
      </c>
      <c r="J38">
        <v>0.05</v>
      </c>
      <c r="K38">
        <v>30.158000000000001</v>
      </c>
    </row>
    <row r="39" spans="1:12" x14ac:dyDescent="0.3">
      <c r="A39" s="61">
        <v>45870</v>
      </c>
      <c r="B39" s="62">
        <v>3</v>
      </c>
      <c r="C39" s="18">
        <f t="shared" si="0"/>
        <v>38</v>
      </c>
      <c r="D39" s="29">
        <v>2124.48</v>
      </c>
      <c r="E39" s="30" t="s">
        <v>26</v>
      </c>
      <c r="F39" s="31">
        <v>6</v>
      </c>
      <c r="G39" s="18" t="s">
        <v>89</v>
      </c>
      <c r="H39" s="18" t="s">
        <v>31</v>
      </c>
      <c r="J39" s="65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60" t="s">
        <v>93</v>
      </c>
      <c r="F2" s="63">
        <f>+_xlfn.MINIFS(DATA!M:M,DATA!Q:Q,"Q589/589-Çift Kat")</f>
        <v>1242.8599999999999</v>
      </c>
      <c r="G2" s="63">
        <f>+_xlfn.MINIFS(DATA!M:M,DATA!Q:Q,"3xQ221/221-Çift Kat")</f>
        <v>0</v>
      </c>
      <c r="H2" s="34"/>
    </row>
    <row r="3" spans="1:9" x14ac:dyDescent="0.3">
      <c r="E3" s="60" t="s">
        <v>94</v>
      </c>
      <c r="F3" s="76">
        <f>+_xlfn.MAXIFS(DATA!M:M,DATA!Q:Q,"Q589/589-Çift Kat")+0.3</f>
        <v>1315.49</v>
      </c>
      <c r="G3" s="63">
        <f>+_xlfn.MAXIFS(DATA!M:M,DATA!Q:Q,"3xQ221/221-Çift Kat")</f>
        <v>0</v>
      </c>
      <c r="H3" s="34"/>
      <c r="I3" s="77" t="s">
        <v>168</v>
      </c>
    </row>
    <row r="4" spans="1:9" x14ac:dyDescent="0.3">
      <c r="A4" s="66" t="s">
        <v>95</v>
      </c>
      <c r="B4" s="66" t="s">
        <v>9</v>
      </c>
      <c r="C4" s="15" t="s">
        <v>96</v>
      </c>
      <c r="D4" s="67" t="s">
        <v>97</v>
      </c>
      <c r="E4" s="15" t="s">
        <v>98</v>
      </c>
      <c r="F4" s="15" t="s">
        <v>99</v>
      </c>
      <c r="G4" s="15" t="s">
        <v>100</v>
      </c>
      <c r="H4" s="15" t="s">
        <v>101</v>
      </c>
    </row>
    <row r="5" spans="1:9" x14ac:dyDescent="0.3">
      <c r="A5" s="68" t="s">
        <v>102</v>
      </c>
      <c r="B5" s="69" t="s">
        <v>103</v>
      </c>
      <c r="C5" s="18" t="s">
        <v>104</v>
      </c>
      <c r="D5" s="70">
        <v>5075</v>
      </c>
      <c r="E5" s="71">
        <f>ROUND(SUM(F5:H5),3)</f>
        <v>2181.3359999999998</v>
      </c>
      <c r="F5" s="34">
        <f>+ROUND(ABS(F2-F3)*29.15,3)</f>
        <v>2117.165</v>
      </c>
      <c r="G5" s="34">
        <f>+ROUND(ABS(G2-G3)*1.149,3)</f>
        <v>0</v>
      </c>
      <c r="H5" s="34">
        <f>+SUMPRODUCT('AYNA TAKİP'!J1:J38,'AYNA TAKİP'!K1:K38)</f>
        <v>64.171449999999993</v>
      </c>
    </row>
    <row r="6" spans="1:9" x14ac:dyDescent="0.3">
      <c r="A6" s="69" t="s">
        <v>105</v>
      </c>
      <c r="B6" s="69" t="s">
        <v>106</v>
      </c>
      <c r="C6" s="18" t="s">
        <v>104</v>
      </c>
      <c r="D6" s="70">
        <v>600</v>
      </c>
      <c r="E6" s="71">
        <f t="shared" ref="E6:E7" si="0">ROUND(SUM(F6:H6),3)</f>
        <v>0</v>
      </c>
      <c r="F6" s="34"/>
      <c r="G6" s="34"/>
      <c r="H6" s="34"/>
    </row>
    <row r="7" spans="1:9" x14ac:dyDescent="0.3">
      <c r="A7" s="69" t="s">
        <v>107</v>
      </c>
      <c r="B7" s="69" t="s">
        <v>108</v>
      </c>
      <c r="C7" s="18" t="s">
        <v>104</v>
      </c>
      <c r="D7" s="70">
        <v>1500</v>
      </c>
      <c r="E7" s="71">
        <f t="shared" si="0"/>
        <v>0</v>
      </c>
      <c r="F7" s="34"/>
      <c r="G7" s="34"/>
      <c r="H7" s="34"/>
    </row>
    <row r="8" spans="1:9" x14ac:dyDescent="0.3">
      <c r="A8" s="68" t="s">
        <v>109</v>
      </c>
      <c r="B8" s="69" t="s">
        <v>110</v>
      </c>
      <c r="C8" s="18" t="s">
        <v>104</v>
      </c>
      <c r="D8" s="70">
        <v>15334</v>
      </c>
      <c r="E8" s="71">
        <f>ROUND(SUM(F8:H8),3)</f>
        <v>270.971</v>
      </c>
      <c r="F8" s="72">
        <f>+ROUND(ABS(F2-F3)*3.022,3)*0.9</f>
        <v>197.53919999999999</v>
      </c>
      <c r="G8" s="34">
        <f>+ROUND(ABS(G2-G3)*1.149,3)</f>
        <v>0</v>
      </c>
      <c r="H8" s="34">
        <f>+SUMPRODUCT('AYNA TAKİP'!J:J,'AYNA TAKİP'!K:K)</f>
        <v>73.431849999999997</v>
      </c>
    </row>
    <row r="9" spans="1:9" x14ac:dyDescent="0.3">
      <c r="A9" s="69" t="s">
        <v>111</v>
      </c>
      <c r="B9" s="69" t="s">
        <v>112</v>
      </c>
      <c r="C9" s="18" t="s">
        <v>113</v>
      </c>
      <c r="D9" s="70">
        <v>248</v>
      </c>
      <c r="E9" s="73"/>
      <c r="F9" s="34"/>
      <c r="G9" s="34"/>
      <c r="H9" s="34"/>
    </row>
    <row r="10" spans="1:9" x14ac:dyDescent="0.3">
      <c r="A10" s="69" t="s">
        <v>114</v>
      </c>
      <c r="B10" s="69" t="s">
        <v>115</v>
      </c>
      <c r="C10" s="18" t="s">
        <v>113</v>
      </c>
      <c r="D10" s="70">
        <v>371</v>
      </c>
      <c r="E10" s="73"/>
      <c r="F10" s="34"/>
      <c r="G10" s="34"/>
      <c r="H10" s="34"/>
    </row>
    <row r="11" spans="1:9" x14ac:dyDescent="0.3">
      <c r="A11" s="69" t="s">
        <v>116</v>
      </c>
      <c r="B11" s="69" t="s">
        <v>117</v>
      </c>
      <c r="C11" s="18" t="s">
        <v>118</v>
      </c>
      <c r="D11" s="70">
        <v>2250</v>
      </c>
      <c r="E11" s="73">
        <f>+SUM(DATA!Y:Y)</f>
        <v>0</v>
      </c>
      <c r="F11" s="34"/>
      <c r="G11" s="34"/>
      <c r="H11" s="34"/>
    </row>
    <row r="12" spans="1:9" x14ac:dyDescent="0.3">
      <c r="A12" s="69" t="s">
        <v>119</v>
      </c>
      <c r="B12" s="69" t="s">
        <v>120</v>
      </c>
      <c r="C12" s="18" t="s">
        <v>118</v>
      </c>
      <c r="D12" s="70">
        <v>8000</v>
      </c>
      <c r="E12" s="73">
        <f>+SUM(DATA!Z:Z)</f>
        <v>0</v>
      </c>
      <c r="F12" s="34"/>
      <c r="G12" s="34"/>
      <c r="H12" s="34"/>
    </row>
    <row r="13" spans="1:9" x14ac:dyDescent="0.3">
      <c r="A13" s="69" t="s">
        <v>121</v>
      </c>
      <c r="B13" s="69" t="s">
        <v>122</v>
      </c>
      <c r="C13" s="18" t="s">
        <v>118</v>
      </c>
      <c r="D13" s="70">
        <v>8288</v>
      </c>
      <c r="E13" s="73">
        <f>+SUM(DATA!AA:AA)</f>
        <v>0</v>
      </c>
      <c r="F13" s="34"/>
      <c r="G13" s="34"/>
      <c r="H13" s="34"/>
    </row>
    <row r="14" spans="1:9" x14ac:dyDescent="0.3">
      <c r="A14" s="69" t="s">
        <v>123</v>
      </c>
      <c r="B14" s="69" t="s">
        <v>124</v>
      </c>
      <c r="C14" s="18" t="s">
        <v>118</v>
      </c>
      <c r="D14" s="70">
        <v>12000</v>
      </c>
      <c r="E14" s="73">
        <f>+SUM(DATA!AB:AB)</f>
        <v>0</v>
      </c>
      <c r="F14" s="34"/>
      <c r="G14" s="34"/>
      <c r="H14" s="34"/>
    </row>
    <row r="15" spans="1:9" x14ac:dyDescent="0.3">
      <c r="A15" s="69" t="s">
        <v>125</v>
      </c>
      <c r="B15" s="69" t="s">
        <v>126</v>
      </c>
      <c r="C15" s="18" t="s">
        <v>118</v>
      </c>
      <c r="D15" s="70">
        <v>28000</v>
      </c>
      <c r="E15" s="73">
        <f>+SUM(DATA!AC:AC)</f>
        <v>270</v>
      </c>
      <c r="F15" s="34"/>
      <c r="G15" s="34"/>
      <c r="H15" s="34"/>
    </row>
    <row r="16" spans="1:9" x14ac:dyDescent="0.3">
      <c r="A16" s="69" t="s">
        <v>127</v>
      </c>
      <c r="B16" s="69" t="s">
        <v>128</v>
      </c>
      <c r="C16" s="18" t="s">
        <v>113</v>
      </c>
      <c r="D16" s="70">
        <v>375</v>
      </c>
      <c r="E16" s="73">
        <f>+SUM(DATA!AE:AE)</f>
        <v>0</v>
      </c>
      <c r="F16" s="34"/>
      <c r="G16" s="34"/>
      <c r="H16" s="34"/>
    </row>
    <row r="17" spans="1:8" x14ac:dyDescent="0.3">
      <c r="A17" s="69" t="s">
        <v>129</v>
      </c>
      <c r="B17" s="69" t="s">
        <v>130</v>
      </c>
      <c r="C17" s="18" t="s">
        <v>113</v>
      </c>
      <c r="D17" s="70">
        <v>388</v>
      </c>
      <c r="E17" s="73">
        <f>+SUM(DATA!AF:AF)</f>
        <v>0</v>
      </c>
      <c r="F17" s="34"/>
      <c r="G17" s="34"/>
      <c r="H17" s="34"/>
    </row>
    <row r="18" spans="1:8" x14ac:dyDescent="0.3">
      <c r="A18" s="68" t="s">
        <v>131</v>
      </c>
      <c r="B18" s="69" t="s">
        <v>132</v>
      </c>
      <c r="C18" s="18" t="s">
        <v>133</v>
      </c>
      <c r="D18" s="70">
        <v>102000</v>
      </c>
      <c r="E18" s="71">
        <f>ROUND(SUM(F18:G18),3)</f>
        <v>77.614000000000004</v>
      </c>
      <c r="F18" s="74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77.613854000000003</v>
      </c>
      <c r="G18" s="74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4"/>
    </row>
    <row r="19" spans="1:8" x14ac:dyDescent="0.3">
      <c r="A19" s="68" t="s">
        <v>134</v>
      </c>
      <c r="B19" s="69" t="s">
        <v>135</v>
      </c>
      <c r="C19" s="18" t="s">
        <v>113</v>
      </c>
      <c r="D19" s="70">
        <v>3400</v>
      </c>
      <c r="E19" s="73">
        <f>+SUM(DATA!V:V)</f>
        <v>0</v>
      </c>
      <c r="F19" s="34"/>
      <c r="G19" s="34"/>
      <c r="H19" s="34"/>
    </row>
    <row r="20" spans="1:8" x14ac:dyDescent="0.3">
      <c r="A20" s="69" t="s">
        <v>136</v>
      </c>
      <c r="B20" s="69" t="s">
        <v>137</v>
      </c>
      <c r="C20" s="18" t="s">
        <v>138</v>
      </c>
      <c r="D20" s="70">
        <v>510</v>
      </c>
      <c r="E20" s="73"/>
      <c r="F20" s="34"/>
      <c r="G20" s="34"/>
      <c r="H20" s="34"/>
    </row>
    <row r="21" spans="1:8" x14ac:dyDescent="0.3">
      <c r="A21" s="69" t="s">
        <v>139</v>
      </c>
      <c r="B21" s="69" t="s">
        <v>140</v>
      </c>
      <c r="C21" s="18" t="s">
        <v>138</v>
      </c>
      <c r="D21" s="70">
        <v>1200</v>
      </c>
      <c r="E21" s="73"/>
      <c r="F21" s="34"/>
      <c r="G21" s="34"/>
      <c r="H21" s="34"/>
    </row>
    <row r="22" spans="1:8" x14ac:dyDescent="0.3">
      <c r="A22" s="68" t="s">
        <v>141</v>
      </c>
      <c r="B22" s="69" t="s">
        <v>142</v>
      </c>
      <c r="C22" s="18" t="s">
        <v>113</v>
      </c>
      <c r="D22" s="70">
        <v>2160</v>
      </c>
      <c r="E22" s="73"/>
      <c r="F22" s="34"/>
      <c r="G22" s="34"/>
      <c r="H22" s="34"/>
    </row>
    <row r="23" spans="1:8" x14ac:dyDescent="0.3">
      <c r="A23" s="69" t="s">
        <v>143</v>
      </c>
      <c r="B23" s="69" t="s">
        <v>144</v>
      </c>
      <c r="C23" s="18" t="s">
        <v>138</v>
      </c>
      <c r="D23" s="70">
        <v>4150</v>
      </c>
      <c r="E23" s="73"/>
      <c r="F23" s="34"/>
      <c r="G23" s="34"/>
      <c r="H23" s="34"/>
    </row>
    <row r="24" spans="1:8" x14ac:dyDescent="0.3">
      <c r="A24" s="69" t="s">
        <v>145</v>
      </c>
      <c r="B24" s="69" t="s">
        <v>146</v>
      </c>
      <c r="C24" s="18" t="s">
        <v>138</v>
      </c>
      <c r="D24" s="70">
        <v>1500</v>
      </c>
      <c r="E24" s="73"/>
      <c r="F24" s="34"/>
      <c r="G24" s="34"/>
      <c r="H24" s="34"/>
    </row>
    <row r="25" spans="1:8" x14ac:dyDescent="0.3">
      <c r="A25" s="69" t="s">
        <v>147</v>
      </c>
      <c r="B25" s="69" t="s">
        <v>148</v>
      </c>
      <c r="C25" s="18" t="s">
        <v>138</v>
      </c>
      <c r="D25" s="70">
        <v>500</v>
      </c>
      <c r="E25" s="73"/>
      <c r="F25" s="34"/>
      <c r="G25" s="34"/>
      <c r="H25" s="34"/>
    </row>
    <row r="26" spans="1:8" x14ac:dyDescent="0.3">
      <c r="A26" s="69" t="s">
        <v>149</v>
      </c>
      <c r="B26" s="69" t="s">
        <v>150</v>
      </c>
      <c r="C26" s="18" t="s">
        <v>104</v>
      </c>
      <c r="D26" s="70">
        <v>6030</v>
      </c>
      <c r="E26" s="73"/>
      <c r="F26" s="34"/>
      <c r="G26" s="34"/>
      <c r="H26" s="34"/>
    </row>
    <row r="27" spans="1:8" x14ac:dyDescent="0.3">
      <c r="A27" s="69" t="s">
        <v>151</v>
      </c>
      <c r="B27" s="69" t="s">
        <v>152</v>
      </c>
      <c r="C27" s="18" t="s">
        <v>104</v>
      </c>
      <c r="D27" s="70">
        <v>10355</v>
      </c>
      <c r="E27" s="73"/>
      <c r="F27" s="34"/>
      <c r="G27" s="34"/>
      <c r="H27" s="34"/>
    </row>
    <row r="28" spans="1:8" x14ac:dyDescent="0.3">
      <c r="A28" s="69" t="s">
        <v>153</v>
      </c>
      <c r="B28" s="69" t="s">
        <v>154</v>
      </c>
      <c r="C28" s="18" t="s">
        <v>104</v>
      </c>
      <c r="D28" s="70">
        <v>10355</v>
      </c>
      <c r="E28" s="73"/>
      <c r="F28" s="34"/>
      <c r="G28" s="34"/>
      <c r="H28" s="34"/>
    </row>
    <row r="29" spans="1:8" x14ac:dyDescent="0.3">
      <c r="A29" s="69" t="s">
        <v>155</v>
      </c>
      <c r="B29" s="69" t="s">
        <v>156</v>
      </c>
      <c r="C29" s="18" t="s">
        <v>104</v>
      </c>
      <c r="D29" s="70">
        <v>10355</v>
      </c>
      <c r="E29" s="73"/>
      <c r="F29" s="34"/>
      <c r="G29" s="34"/>
      <c r="H29" s="34"/>
    </row>
    <row r="30" spans="1:8" x14ac:dyDescent="0.3">
      <c r="A30" s="69" t="s">
        <v>157</v>
      </c>
      <c r="B30" s="69" t="s">
        <v>158</v>
      </c>
      <c r="C30" s="18" t="s">
        <v>133</v>
      </c>
      <c r="D30" s="70">
        <v>46250</v>
      </c>
      <c r="E30" s="71">
        <f>ROUND(SUM(F30:G30),3)</f>
        <v>3.8820000000000001</v>
      </c>
      <c r="F30" s="34">
        <f>ROUND(SUM(DATA!T:T)*(20*0.888*1.5+9*1.208*0.95)/1000,3)</f>
        <v>3.8820000000000001</v>
      </c>
      <c r="G30" s="34"/>
      <c r="H30" s="34"/>
    </row>
    <row r="31" spans="1:8" x14ac:dyDescent="0.3">
      <c r="A31" s="69" t="s">
        <v>159</v>
      </c>
      <c r="B31" s="69" t="s">
        <v>160</v>
      </c>
      <c r="C31" s="18" t="s">
        <v>133</v>
      </c>
      <c r="D31" s="70">
        <v>92500</v>
      </c>
      <c r="E31" s="71">
        <f>ROUND(SUM(F31:G31),3)</f>
        <v>0</v>
      </c>
      <c r="F31" s="34">
        <f>+ROUND(COUNTIFS(DATA!AG:AG,"30 adet L=2m Ø12 Demir montajı yapıldı.")*30*0.888*2/1000,3)</f>
        <v>0</v>
      </c>
      <c r="G31" s="34"/>
      <c r="H31" s="34"/>
    </row>
    <row r="32" spans="1:8" x14ac:dyDescent="0.3">
      <c r="A32" s="69" t="s">
        <v>161</v>
      </c>
      <c r="B32" s="69" t="s">
        <v>162</v>
      </c>
      <c r="C32" s="18" t="s">
        <v>133</v>
      </c>
      <c r="D32" s="70">
        <v>97333</v>
      </c>
      <c r="E32" s="71">
        <f>ROUND(SUM(F32:H32),3)</f>
        <v>21.54</v>
      </c>
      <c r="F32" s="34">
        <f>ROUND(SUM(DATA!T:T)*0.195718,3)</f>
        <v>20.55</v>
      </c>
      <c r="G32" s="34">
        <f>ROUND(SUM(DATA!S:S)*0.11171,3)</f>
        <v>0</v>
      </c>
      <c r="H32" s="34">
        <f>+SUM('AYNA TAKİP'!L:L)</f>
        <v>0.98982599999999987</v>
      </c>
    </row>
    <row r="33" spans="1:8" x14ac:dyDescent="0.3">
      <c r="A33" s="69" t="s">
        <v>163</v>
      </c>
      <c r="B33" s="69" t="s">
        <v>164</v>
      </c>
      <c r="C33" s="18" t="s">
        <v>165</v>
      </c>
      <c r="D33" s="70">
        <v>150</v>
      </c>
      <c r="E33" s="73"/>
      <c r="F33" s="34"/>
      <c r="G33" s="34"/>
      <c r="H33" s="34"/>
    </row>
    <row r="34" spans="1:8" x14ac:dyDescent="0.3">
      <c r="A34" s="69" t="s">
        <v>166</v>
      </c>
      <c r="B34" s="69" t="s">
        <v>167</v>
      </c>
      <c r="C34" s="18" t="s">
        <v>165</v>
      </c>
      <c r="D34" s="70">
        <v>180</v>
      </c>
      <c r="E34" s="73"/>
      <c r="F34" s="34"/>
      <c r="G34" s="34"/>
      <c r="H34" s="34"/>
    </row>
    <row r="35" spans="1:8" x14ac:dyDescent="0.3">
      <c r="E35" s="75">
        <f>+SUMPRODUCT(D5:D34,E5:E34)</f>
        <v>32978072.833999999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2026-05-08T11:27:21Z</cp:lastPrinted>
  <dcterms:created xsi:type="dcterms:W3CDTF">2015-06-05T18:19:34Z</dcterms:created>
  <dcterms:modified xsi:type="dcterms:W3CDTF">2026-05-08T11:27:22Z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