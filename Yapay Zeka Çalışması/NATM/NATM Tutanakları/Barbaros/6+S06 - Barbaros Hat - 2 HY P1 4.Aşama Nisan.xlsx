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F1D433F6-D0C5-4BBB-856A-583B658AD8AA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'KAZI-İKSA'!$A$1:$I$114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1" l="1"/>
  <c r="C95" i="1"/>
  <c r="E94" i="1"/>
  <c r="C94" i="1"/>
  <c r="E93" i="1"/>
  <c r="C93" i="1"/>
  <c r="E92" i="1"/>
  <c r="C92" i="1"/>
  <c r="E91" i="1"/>
  <c r="C91" i="1"/>
  <c r="E90" i="1"/>
  <c r="C90" i="1"/>
  <c r="M89" i="1"/>
  <c r="M90" i="1" s="1"/>
  <c r="M91" i="1" s="1"/>
  <c r="M92" i="1" s="1"/>
  <c r="M93" i="1" s="1"/>
  <c r="M94" i="1" s="1"/>
  <c r="M95" i="1" s="1"/>
  <c r="E89" i="1"/>
  <c r="C89" i="1"/>
  <c r="E88" i="1"/>
  <c r="C88" i="1"/>
  <c r="M82" i="1"/>
  <c r="M84" i="1"/>
  <c r="M86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M80" i="1"/>
  <c r="E80" i="1"/>
  <c r="C80" i="1"/>
  <c r="E79" i="1"/>
  <c r="C79" i="1"/>
  <c r="M63" i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M61" i="1"/>
  <c r="E60" i="1"/>
  <c r="C60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M175" i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M166" i="1"/>
  <c r="M167" i="1" s="1"/>
  <c r="M168" i="1" s="1"/>
  <c r="M169" i="1" s="1"/>
  <c r="M170" i="1" s="1"/>
  <c r="M171" i="1" s="1"/>
  <c r="M172" i="1" s="1"/>
  <c r="E166" i="1"/>
  <c r="C166" i="1"/>
  <c r="E165" i="1"/>
  <c r="C165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M3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E18" i="13" l="1"/>
  <c r="G8" i="13"/>
  <c r="E32" i="13"/>
  <c r="F8" i="13"/>
  <c r="F5" i="13"/>
  <c r="G5" i="13"/>
  <c r="L31" i="12"/>
  <c r="L22" i="12"/>
  <c r="L15" i="12"/>
  <c r="L8" i="12"/>
  <c r="L5" i="12"/>
  <c r="E8" i="13" l="1"/>
  <c r="E5" i="13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H6" i="10"/>
  <c r="I6" i="6"/>
  <c r="I6" i="9"/>
  <c r="H6" i="11"/>
  <c r="C9" i="4"/>
  <c r="M4" i="2" a="1"/>
  <c r="M4" i="2" s="1"/>
  <c r="A4" i="4" l="1"/>
  <c r="A25" i="2"/>
  <c r="C4" i="10"/>
  <c r="E35" i="13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Rahman BASAK</author>
  </authors>
  <commentList>
    <comment ref="M162" authorId="0" shapeId="0" xr:uid="{F4024D0A-9DEC-4213-9805-0B13C996611B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0,65
</t>
        </r>
      </text>
    </comment>
    <comment ref="M163" authorId="0" shapeId="0" xr:uid="{CBF98E61-BB56-4488-B2AF-02D57981B586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0,65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<sst xmlns="http://schemas.openxmlformats.org/spreadsheetml/2006/main" count="2528" uniqueCount="230">
  <si>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</si>
  <si>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</si>
  <si>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</si>
  <si>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</si>
  <si>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</si>
  <si>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</si>
  <si>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</si>
  <si>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</si>
  <si>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</si>
  <si>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</si>
  <si>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</si>
  <si>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</si>
  <si>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</si>
  <si>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</si>
  <si>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</si>
  <si>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</si>
  <si>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</si>
  <si>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</si>
  <si>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</si>
  <si>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</si>
  <si>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</si>
  <si>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</si>
  <si>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</si>
  <si>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</si>
  <si>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</si>
  <si>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</si>
  <si>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</si>
  <si>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</si>
  <si>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</si>
  <si>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</si>
  <si>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</si>
  <si>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</si>
  <si>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</si>
  <si>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</si>
  <si>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</si>
  <si>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</si>
  <si>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</si>
  <si>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</si>
  <si>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</si>
  <si>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</si>
  <si>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</si>
  <si>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</si>
  <si>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</si>
  <si>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</si>
  <si>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</si>
  <si>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</si>
  <si>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</si>
  <si>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</si>
  <si>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</si>
  <si>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</si>
  <si>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</si>
  <si>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</si>
  <si>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</si>
  <si>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</si>
  <si>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</si>
  <si>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</si>
  <si>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</si>
  <si>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</si>
  <si>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</si>
  <si>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</si>
  <si>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</si>
  <si>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</si>
  <si>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</si>
  <si>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</si>
  <si>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</si>
  <si>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</si>
  <si>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</si>
  <si>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</si>
  <si>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</si>
  <si>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</si>
  <si>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</si>
  <si>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</si>
  <si>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</si>
  <si>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</si>
  <si>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</si>
  <si>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</si>
  <si>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Bulon İcmali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</si>
  <si>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</si>
  <si>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</si>
  <si>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</si>
  <si>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</si>
  <si>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</si>
  <si>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</si>
  <si>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</si>
  <si>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</si>
  <si>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</si>
  <si>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</si>
  <si>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</si>
  <si>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</si>
  <si>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</si>
  <si>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</si>
  <si>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</si>
  <si>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</si>
  <si>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</si>
  <si>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</si>
  <si>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</si>
  <si>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</si>
  <si>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</si>
  <si>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</si>
  <si>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</si>
  <si>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</si>
  <si>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</si>
  <si>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</si>
  <si>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</si>
  <si>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</si>
  <si>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</si>
  <si>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</si>
  <si>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</si>
  <si>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</si>
  <si>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</si>
  <si>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</si>
  <si>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</si>
  <si>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</si>
  <si>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</si>
  <si>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</si>
  <si>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</si>
  <si>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</si>
  <si>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</si>
  <si>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</si>
  <si>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</si>
  <si>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</si>
  <si>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</si>
  <si>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</si>
  <si>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</si>
  <si>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</si>
  <si>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</si>
  <si>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</si>
  <si>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</si>
  <si>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</si>
  <si>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</si>
  <si>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</si>
  <si>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</si>
  <si>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</si>
  <si>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</si>
  <si>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</si>
  <si>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</si>
  <si>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</si>
  <si>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</si>
  <si>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</si>
  <si>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</si>
  <si>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</si>
  <si>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</si>
  <si>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</si>
  <si>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</si>
  <si>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</si>
  <si>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</si>
  <si>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</si>
  <si>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</si>
  <si>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</si>
  <si>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</si>
  <si>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</si>
  <si>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</si>
  <si>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</si>
  <si>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</si>
  <si>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</si>
  <si>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</si>
  <si>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</si>
  <si>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</si>
  <si>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</si>
  <si>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</si>
  <si>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</si>
  <si>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</si>
  <si>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</si>
  <si>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</si>
  <si>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</si>
  <si>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</si>
  <si>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</si>
  <si>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(boş)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</si>
  <si>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</si>
  <si>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</si>
  <si>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</si>
  <si>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</si>
  <si>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</si>
  <si>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</si>
  <si>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</si>
  <si>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</si>
  <si>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</si>
  <si>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</si>
  <si>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</si>
  <si>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S06-Barbaros İstasyonu</t>
  </si>
  <si>
    <t>Hat-2 HY</t>
  </si>
  <si>
    <t>4.Aşama</t>
  </si>
  <si>
    <t>Alt Yarı</t>
  </si>
  <si>
    <t>KDO-NATM-S06-1103</t>
  </si>
  <si>
    <t>2026.03-012</t>
  </si>
  <si>
    <t>S06.H2.HY.P1.A4.001</t>
  </si>
  <si>
    <t>KDO-NATM-S06-1170</t>
  </si>
  <si>
    <t>KDO-NATM-S06-1165</t>
  </si>
  <si>
    <t>KDO-NATM-S06-1158</t>
  </si>
  <si>
    <t>KDO-NATM-S06-1152</t>
  </si>
  <si>
    <t>KDO-NATM-S06-1147</t>
  </si>
  <si>
    <t>KDO-NATM-S06-1146</t>
  </si>
  <si>
    <t>KDO-NATM-S06-1138</t>
  </si>
  <si>
    <t>KDO-NATM-S06-1133</t>
  </si>
  <si>
    <t>KDO-NATM-S06-1129</t>
  </si>
  <si>
    <t>KDO-NATM-S06-1125</t>
  </si>
  <si>
    <t>KDO-NATM-S06-1121</t>
  </si>
  <si>
    <t>KDO-NATM-S06-1115</t>
  </si>
  <si>
    <t>KDO-NATM-S06-1108</t>
  </si>
  <si>
    <t>KDO-NATM-S06-1099</t>
  </si>
  <si>
    <t>KDO-NATM-S06-1095</t>
  </si>
  <si>
    <t>KDO-NATM-S06-1090</t>
  </si>
  <si>
    <t>KDO-NATM-S06-1085</t>
  </si>
  <si>
    <t>KDO-NATM-S06-1086</t>
  </si>
  <si>
    <t>TBT-NATM-S06-231</t>
  </si>
  <si>
    <t>TBT-NATM-S06-239</t>
  </si>
  <si>
    <t>Tip - 6 Geçici İksa</t>
  </si>
  <si>
    <t>KDO-NATM-S06-1174</t>
  </si>
  <si>
    <t>KDO-NATM-S06-1178</t>
  </si>
  <si>
    <t>KDO-NATM-S06-1182</t>
  </si>
  <si>
    <t>KDO-NATM-S06-1183</t>
  </si>
  <si>
    <t>KDO-NATM-S06-1186</t>
  </si>
  <si>
    <t>KDO-NATM-S06-1189</t>
  </si>
  <si>
    <t>KDO-NATM-S06-1193</t>
  </si>
  <si>
    <t>KDO-NATM-S06-1195</t>
  </si>
  <si>
    <t>KDO-NATM-S06-1197</t>
  </si>
  <si>
    <t>KDO-NATM-S06-1203</t>
  </si>
  <si>
    <t>KDO-NATM-S06-1207</t>
  </si>
  <si>
    <t>KDO-NATM-S06-1208</t>
  </si>
  <si>
    <t>KDO-NATM-S06-1211</t>
  </si>
  <si>
    <t>KDO-NATM-S06-1219</t>
  </si>
  <si>
    <t>KDO-NATM-S06-1221</t>
  </si>
  <si>
    <t>KDO-NATM-S06-1223</t>
  </si>
  <si>
    <t>KDO-NATM-S06-1224</t>
  </si>
  <si>
    <t>KDO-NATM-S06-1226</t>
  </si>
  <si>
    <t>2026.04-006</t>
  </si>
  <si>
    <t>S06.H2.HY.P1.A4.002</t>
  </si>
  <si>
    <t>TBT-NATM-S06-249</t>
  </si>
  <si>
    <t>TBT-NATM-S06-250</t>
  </si>
  <si>
    <t>TBT-NATM-S06-253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</si>
</sst>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6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1" xfId="0" pivotButton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pivotButton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8" xfId="0" applyBorder="1"/>
    <xf numFmtId="168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indent="3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9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9" fillId="0" borderId="1" xfId="0" applyNumberFormat="1" applyFont="1" applyBorder="1"/>
    <xf numFmtId="0" fontId="9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67" fontId="0" fillId="6" borderId="2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 indent="2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 wrapText="1"/>
    </xf>
    <xf numFmtId="165" fontId="0" fillId="0" borderId="1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76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19</xdr:row>
      <xdr:rowOff>30385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100658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72383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27</xdr:row>
      <xdr:rowOff>19611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%20-%20Barbaros%20Hat%20-%202%20HY%20P1%204.A&#351;ama%20Mart%20Yeni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2%20HY%20P1%204.A&#351;ama%20Mart%20Yeni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2%20HY%20P1%204.A&#351;ama%20Mart%20Yeni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 refreshError="1">
        <row r="6">
          <cell r="D6" t="str">
            <v>2026.03-012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30932175924" createdVersion="8" refreshedVersion="8" minRefreshableVersion="3" recordCount="187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6">
        <m/>
        <s v="2026.04-006"/>
        <s v="2026.03-012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m/>
        <s v="S06.H2.HY.P1.A4.002"/>
        <s v="S06.H2.HY.P1.A4.001"/>
        <n v="1" u="1"/>
        <n v="2" u="1"/>
        <n v="3" u="1"/>
      </sharedItems>
    </cacheField>
    <cacheField name="Kazı Boyu için Kullan" numFmtId="0">
      <sharedItems containsBlank="1" count="3">
        <b v="0"/>
        <m/>
        <b v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b v="0"/>
        <s v="KAZI-PÜS-H.ÇELİK"/>
        <m/>
        <s v="BULON"/>
        <s v="SÜREN" u="1"/>
        <s v="ZEMİN ÇİVİSİ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11">
        <s v="KDO-NATM-S06-1103"/>
        <s v="KDO-NATM-S06-1226"/>
        <s v="KDO-NATM-S06-1224"/>
        <s v="KDO-NATM-S06-1223"/>
        <s v="KDO-NATM-S06-1221"/>
        <s v="KDO-NATM-S06-1219"/>
        <s v="KDO-NATM-S06-1211"/>
        <s v="KDO-NATM-S06-1208"/>
        <s v="KDO-NATM-S06-1207"/>
        <s v="KDO-NATM-S06-1203"/>
        <s v="KDO-NATM-S06-1197"/>
        <s v="KDO-NATM-S06-1195"/>
        <s v="KDO-NATM-S06-1193"/>
        <s v="KDO-NATM-S06-1189"/>
        <s v="KDO-NATM-S06-1186"/>
        <s v="KDO-NATM-S06-1182"/>
        <s v="KDO-NATM-S06-1183"/>
        <s v="KDO-NATM-S06-1178"/>
        <s v="KDO-NATM-S06-1174"/>
        <m/>
        <s v="TBT-NATM-S06-249"/>
        <s v="TBT-NATM-S06-250"/>
        <s v="TBT-NATM-S06-253"/>
        <s v="KDO-NATM-S06-1170"/>
        <s v="KDO-NATM-S06-1165"/>
        <s v="KDO-NATM-S06-1158"/>
        <s v="KDO-NATM-S06-1152"/>
        <s v="KDO-NATM-S06-1147"/>
        <s v="KDO-NATM-S06-1146"/>
        <s v="KDO-NATM-S06-1138"/>
        <s v="KDO-NATM-S06-1133"/>
        <s v="KDO-NATM-S06-1129"/>
        <s v="KDO-NATM-S06-1125"/>
        <s v="KDO-NATM-S06-1121"/>
        <s v="KDO-NATM-S06-1115"/>
        <s v="KDO-NATM-S06-1108"/>
        <s v="KDO-NATM-S06-1099"/>
        <s v="KDO-NATM-S06-1095"/>
        <s v="KDO-NATM-S06-1090"/>
        <s v="KDO-NATM-S06-1085"/>
        <s v="KDO-NATM-S06-1086"/>
        <s v="TBT-NATM-S06-231"/>
        <s v="TBT-NATM-S06-239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5-01T00:00:00" count="81">
        <d v="2026-03-13T00:00:00"/>
        <d v="2026-04-24T00:00:00"/>
        <d v="2026-04-23T00:00:00"/>
        <d v="2026-04-22T00:00:00"/>
        <d v="2026-04-21T00:00:00"/>
        <d v="2026-04-20T00:00:00"/>
        <d v="2026-04-17T00:00:00"/>
        <d v="2026-04-16T00:00:00"/>
        <d v="2026-04-15T00:00:00"/>
        <d v="2026-04-13T00:00:00"/>
        <d v="2026-04-11T00:00:00"/>
        <d v="2026-04-10T00:00:00"/>
        <d v="2026-04-07T00:00:00"/>
        <d v="2026-04-04T00:00:00"/>
        <d v="2026-04-03T00:00:00"/>
        <d v="2026-04-02T00:00:00"/>
        <d v="2026-04-01T00:00:00"/>
        <m/>
        <d v="2026-04-08T00:00:00"/>
        <d v="2026-04-30T00:00:00"/>
        <d v="2026-03-31T00:00:00"/>
        <d v="2026-03-30T00:00:00"/>
        <d v="2026-03-29T00:00:00"/>
        <d v="2026-03-28T00:00:00"/>
        <d v="2026-03-27T00:00:00"/>
        <d v="2026-03-25T00:00:00"/>
        <d v="2026-03-24T00:00:00"/>
        <d v="2026-03-23T00:00:00"/>
        <d v="2026-03-17T00:00:00"/>
        <d v="2026-03-16T00:00:00"/>
        <d v="2026-03-15T00:00:00"/>
        <d v="2026-03-14T00:00:00"/>
        <d v="2026-03-12T00:00:00"/>
        <d v="2026-03-11T00:00:00"/>
        <d v="2026-03-10T00:00:00"/>
        <d v="2026-03-09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String="0" containsBlank="1" containsNumber="1" minValue="1356.6599999999999" maxValue="2124.9299999999998" count="238">
        <n v="1357.04"/>
        <n v="1356.6599999999999"/>
        <n v="1357.79"/>
        <n v="1358.54"/>
        <n v="1359.29"/>
        <n v="1360.04"/>
        <n v="1360.79"/>
        <n v="1361.54"/>
        <n v="1362.29"/>
        <n v="1363.04"/>
        <n v="1363.79"/>
        <n v="1364.54"/>
        <n v="1365.29"/>
        <n v="1366.04"/>
        <n v="1366.79"/>
        <n v="1367.54"/>
        <n v="1368.29"/>
        <n v="1369.04"/>
        <n v="1369.79"/>
        <n v="1370.54"/>
        <n v="1371.29"/>
        <n v="1372.04"/>
        <n v="1372.79"/>
        <n v="1373.54"/>
        <n v="1374.29"/>
        <n v="1375.04"/>
        <n v="1375.79"/>
        <n v="1376.54"/>
        <n v="1377.29"/>
        <n v="1378.04"/>
        <n v="1378.79"/>
        <n v="1379.54"/>
        <n v="1380.29"/>
        <n v="1381.04"/>
        <n v="1381.79"/>
        <n v="1382.54"/>
        <n v="1383.29"/>
        <n v="1384.04"/>
        <n v="1384.79"/>
        <n v="1385.54"/>
        <n v="1386.29"/>
        <n v="1387.04"/>
        <n v="1387.79"/>
        <n v="1388.54"/>
        <n v="1389.29"/>
        <n v="1390.04"/>
        <n v="1390.79"/>
        <n v="1391.54"/>
        <n v="1392.29"/>
        <n v="1393.04"/>
        <n v="1393.79"/>
        <n v="1394.54"/>
        <n v="1395.29"/>
        <n v="1396.04"/>
        <n v="1396.79"/>
        <m/>
        <n v="1385.17"/>
        <n v="1385.92"/>
        <n v="1394.92"/>
        <n v="1395.67"/>
        <n v="1396.42"/>
        <n v="1397.17"/>
        <n v="1397.92"/>
        <n v="1398.67"/>
        <n v="1399.42"/>
        <n v="1400.17"/>
        <n v="1400.92"/>
        <n v="1401.67"/>
        <n v="1402.42"/>
        <n v="1403.17"/>
        <n v="1403.92"/>
        <n v="1404.67"/>
        <n v="1405.42"/>
        <n v="1406.17"/>
        <n v="1406.92"/>
        <n v="1407.67"/>
        <n v="1408.42"/>
        <n v="1409.17"/>
        <n v="1409.92"/>
        <n v="1410.67"/>
        <n v="1411.42"/>
        <n v="1412.17"/>
        <n v="1412.92"/>
        <n v="1413.67"/>
        <n v="1379.17"/>
        <n v="1379.92"/>
        <n v="1380.67"/>
        <n v="1381.42"/>
        <n v="1382.17"/>
        <n v="1382.92"/>
        <n v="1383.67"/>
        <n v="1384.42"/>
        <n v="1397.54"/>
        <n v="1398.25"/>
        <n v="1399.04"/>
        <n v="1399.79"/>
        <n v="1400.54"/>
        <n v="1401.29"/>
        <n v="1402.04"/>
        <n v="1402.79"/>
        <n v="1403.54"/>
        <n v="1404.29"/>
        <n v="1405.04"/>
        <n v="1405.79"/>
        <n v="1406.54"/>
        <n v="1407.29"/>
        <n v="1408.04"/>
        <n v="1408.79"/>
        <n v="1409.54"/>
        <n v="1410.29"/>
        <n v="1411.04"/>
        <n v="1411.79"/>
        <n v="1412.54"/>
        <n v="1413.29"/>
        <n v="1414.04"/>
        <n v="1414.79"/>
        <n v="1415.54"/>
        <n v="1416.29"/>
        <n v="1417.04"/>
        <n v="1417.79"/>
        <n v="1418.54"/>
        <n v="1419.29"/>
        <n v="1420.04"/>
        <n v="1420.79"/>
        <n v="1421.54"/>
        <n v="1422.29"/>
        <n v="1423.04"/>
        <n v="1423.79"/>
        <n v="1424.54"/>
        <n v="1425.29"/>
        <n v="1426.04"/>
        <n v="1426.79"/>
        <n v="1427.54"/>
        <n v="1428.29"/>
        <n v="1429.04"/>
        <n v="1429.79"/>
        <n v="1430.54"/>
        <n v="1431.29"/>
        <n v="1432.04"/>
        <n v="1432.79"/>
        <n v="1433.54"/>
        <n v="1434.29"/>
        <n v="1435.04"/>
        <n v="1435.79"/>
        <n v="1436.54"/>
        <n v="1437.29"/>
        <n v="1437.94"/>
        <n v="1438.24"/>
        <n v="1431.67"/>
        <n v="1432.42"/>
        <n v="1433.17"/>
        <n v="1433.92"/>
        <n v="1434.67"/>
        <n v="1435.42"/>
        <n v="1436.17"/>
        <n v="1436.92"/>
        <n v="1437.62"/>
        <n v="1414.42"/>
        <n v="1415.17"/>
        <n v="1415.92"/>
        <n v="1416.67"/>
        <n v="1417.42"/>
        <n v="1418.17"/>
        <n v="1418.92"/>
        <n v="1419.67"/>
        <n v="1420.42"/>
        <n v="1421.17"/>
        <n v="1421.92"/>
        <n v="1422.67"/>
        <n v="1423.42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3">
        <m/>
        <s v="Umbrella-1"/>
        <s v="Umbrella-2"/>
        <s v="Umbrella-3"/>
        <s v="Umbrella-4"/>
        <s v="Umbrella-5"/>
        <s v="Umbrella-6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m/>
        <s v="Q589/589-Çift Kat"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m/>
        <s v="30 cm atıldı"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6-03-09T00:00:00" endDate="2026-05-01T00:00:00"/>
        <groupItems count="368">
          <s v="&lt;9.03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.05.2026"/>
        </groupItems>
      </fieldGroup>
    </cacheField>
    <cacheField name="Ay (Tarih)" numFmtId="0" databaseField="0">
      <fieldGroup base="11">
        <rangePr groupBy="months" startDate="2026-03-09T00:00:00" endDate="2026-05-01T00:00:00"/>
        <groupItems count="14">
          <s v="&lt;9.03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.05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31452430555" createdVersion="8" refreshedVersion="8" minRefreshableVersion="3" recordCount="187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6">
        <m/>
        <s v="2026.04-006"/>
        <s v="2026.03-012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m/>
        <s v="S06.H2.HY.P1.A4.002"/>
        <s v="S06.H2.HY.P1.A4.001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b v="0"/>
        <s v="KAZI-PÜS-H.ÇELİK"/>
        <m/>
        <s v="BULON"/>
        <s v="SÜREN" u="1"/>
        <s v="ZEMİN ÇİVİSİ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99">
        <s v="KDO-NATM-S06-1103"/>
        <s v="KDO-NATM-S06-1226"/>
        <s v="KDO-NATM-S06-1224"/>
        <s v="KDO-NATM-S06-1223"/>
        <s v="KDO-NATM-S06-1221"/>
        <s v="KDO-NATM-S06-1219"/>
        <s v="KDO-NATM-S06-1211"/>
        <s v="KDO-NATM-S06-1208"/>
        <s v="KDO-NATM-S06-1207"/>
        <s v="KDO-NATM-S06-1203"/>
        <s v="KDO-NATM-S06-1197"/>
        <s v="KDO-NATM-S06-1195"/>
        <s v="KDO-NATM-S06-1193"/>
        <s v="KDO-NATM-S06-1189"/>
        <s v="KDO-NATM-S06-1186"/>
        <s v="KDO-NATM-S06-1182"/>
        <s v="KDO-NATM-S06-1183"/>
        <s v="KDO-NATM-S06-1178"/>
        <s v="KDO-NATM-S06-1174"/>
        <m/>
        <s v="TBT-NATM-S06-249"/>
        <s v="TBT-NATM-S06-250"/>
        <s v="TBT-NATM-S06-253"/>
        <s v="KDO-NATM-S06-1170"/>
        <s v="KDO-NATM-S06-1165"/>
        <s v="KDO-NATM-S06-1158"/>
        <s v="KDO-NATM-S06-1152"/>
        <s v="KDO-NATM-S06-1147"/>
        <s v="KDO-NATM-S06-1146"/>
        <s v="KDO-NATM-S06-1138"/>
        <s v="KDO-NATM-S06-1133"/>
        <s v="KDO-NATM-S06-1129"/>
        <s v="KDO-NATM-S06-1125"/>
        <s v="KDO-NATM-S06-1121"/>
        <s v="KDO-NATM-S06-1115"/>
        <s v="KDO-NATM-S06-1108"/>
        <s v="KDO-NATM-S06-1099"/>
        <s v="KDO-NATM-S06-1095"/>
        <s v="KDO-NATM-S06-1090"/>
        <s v="KDO-NATM-S06-1085"/>
        <s v="KDO-NATM-S06-1086"/>
        <s v="TBT-NATM-S06-231"/>
        <s v="TBT-NATM-S06-239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5-01T00:00:00" count="81">
        <d v="2026-03-13T00:00:00"/>
        <d v="2026-04-24T00:00:00"/>
        <d v="2026-04-23T00:00:00"/>
        <d v="2026-04-22T00:00:00"/>
        <d v="2026-04-21T00:00:00"/>
        <d v="2026-04-20T00:00:00"/>
        <d v="2026-04-17T00:00:00"/>
        <d v="2026-04-16T00:00:00"/>
        <d v="2026-04-15T00:00:00"/>
        <d v="2026-04-13T00:00:00"/>
        <d v="2026-04-11T00:00:00"/>
        <d v="2026-04-10T00:00:00"/>
        <d v="2026-04-07T00:00:00"/>
        <d v="2026-04-04T00:00:00"/>
        <d v="2026-04-03T00:00:00"/>
        <d v="2026-04-02T00:00:00"/>
        <d v="2026-04-01T00:00:00"/>
        <m/>
        <d v="2026-04-08T00:00:00"/>
        <d v="2026-04-30T00:00:00"/>
        <d v="2026-03-31T00:00:00"/>
        <d v="2026-03-30T00:00:00"/>
        <d v="2026-03-29T00:00:00"/>
        <d v="2026-03-28T00:00:00"/>
        <d v="2026-03-27T00:00:00"/>
        <d v="2026-03-25T00:00:00"/>
        <d v="2026-03-24T00:00:00"/>
        <d v="2026-03-23T00:00:00"/>
        <d v="2026-03-17T00:00:00"/>
        <d v="2026-03-16T00:00:00"/>
        <d v="2026-03-15T00:00:00"/>
        <d v="2026-03-14T00:00:00"/>
        <d v="2026-03-12T00:00:00"/>
        <d v="2026-03-11T00:00:00"/>
        <d v="2026-03-10T00:00:00"/>
        <d v="2026-03-09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String="0" containsBlank="1" containsNumber="1" minValue="1356.6599999999999" maxValue="2124.9299999999998" count="238">
        <n v="1357.04"/>
        <n v="1356.6599999999999"/>
        <n v="1357.79"/>
        <n v="1358.54"/>
        <n v="1359.29"/>
        <n v="1360.04"/>
        <n v="1360.79"/>
        <n v="1361.54"/>
        <n v="1362.29"/>
        <n v="1363.04"/>
        <n v="1363.79"/>
        <n v="1364.54"/>
        <n v="1365.29"/>
        <n v="1366.04"/>
        <n v="1366.79"/>
        <n v="1367.54"/>
        <n v="1368.29"/>
        <n v="1369.04"/>
        <n v="1369.79"/>
        <n v="1370.54"/>
        <n v="1371.29"/>
        <n v="1372.04"/>
        <n v="1372.79"/>
        <n v="1373.54"/>
        <n v="1374.29"/>
        <n v="1375.04"/>
        <n v="1375.79"/>
        <n v="1376.54"/>
        <n v="1377.29"/>
        <n v="1378.04"/>
        <n v="1378.79"/>
        <n v="1379.54"/>
        <n v="1380.29"/>
        <n v="1381.04"/>
        <n v="1381.79"/>
        <n v="1382.54"/>
        <n v="1383.29"/>
        <n v="1384.04"/>
        <n v="1384.79"/>
        <n v="1385.54"/>
        <n v="1386.29"/>
        <n v="1387.04"/>
        <n v="1387.79"/>
        <n v="1388.54"/>
        <n v="1389.29"/>
        <n v="1390.04"/>
        <n v="1390.79"/>
        <n v="1391.54"/>
        <n v="1392.29"/>
        <n v="1393.04"/>
        <n v="1393.79"/>
        <n v="1394.54"/>
        <n v="1395.29"/>
        <n v="1396.04"/>
        <n v="1396.79"/>
        <m/>
        <n v="1385.17"/>
        <n v="1385.92"/>
        <n v="1394.92"/>
        <n v="1395.67"/>
        <n v="1396.42"/>
        <n v="1397.17"/>
        <n v="1397.92"/>
        <n v="1398.67"/>
        <n v="1399.42"/>
        <n v="1400.17"/>
        <n v="1400.92"/>
        <n v="1401.67"/>
        <n v="1402.42"/>
        <n v="1403.17"/>
        <n v="1403.92"/>
        <n v="1404.67"/>
        <n v="1405.42"/>
        <n v="1406.17"/>
        <n v="1406.92"/>
        <n v="1407.67"/>
        <n v="1408.42"/>
        <n v="1409.17"/>
        <n v="1409.92"/>
        <n v="1410.67"/>
        <n v="1411.42"/>
        <n v="1412.17"/>
        <n v="1412.92"/>
        <n v="1413.67"/>
        <n v="1379.17"/>
        <n v="1379.92"/>
        <n v="1380.67"/>
        <n v="1381.42"/>
        <n v="1382.17"/>
        <n v="1382.92"/>
        <n v="1383.67"/>
        <n v="1384.42"/>
        <n v="1397.54"/>
        <n v="1398.25"/>
        <n v="1399.04"/>
        <n v="1399.79"/>
        <n v="1400.54"/>
        <n v="1401.29"/>
        <n v="1402.04"/>
        <n v="1402.79"/>
        <n v="1403.54"/>
        <n v="1404.29"/>
        <n v="1405.04"/>
        <n v="1405.79"/>
        <n v="1406.54"/>
        <n v="1407.29"/>
        <n v="1408.04"/>
        <n v="1408.79"/>
        <n v="1409.54"/>
        <n v="1410.29"/>
        <n v="1411.04"/>
        <n v="1411.79"/>
        <n v="1412.54"/>
        <n v="1413.29"/>
        <n v="1414.04"/>
        <n v="1414.79"/>
        <n v="1415.54"/>
        <n v="1416.29"/>
        <n v="1417.04"/>
        <n v="1417.79"/>
        <n v="1418.54"/>
        <n v="1419.29"/>
        <n v="1420.04"/>
        <n v="1420.79"/>
        <n v="1421.54"/>
        <n v="1422.29"/>
        <n v="1423.04"/>
        <n v="1423.79"/>
        <n v="1424.54"/>
        <n v="1425.29"/>
        <n v="1426.04"/>
        <n v="1426.79"/>
        <n v="1427.54"/>
        <n v="1428.29"/>
        <n v="1429.04"/>
        <n v="1429.79"/>
        <n v="1430.54"/>
        <n v="1431.29"/>
        <n v="1432.04"/>
        <n v="1432.79"/>
        <n v="1433.54"/>
        <n v="1434.29"/>
        <n v="1435.04"/>
        <n v="1435.79"/>
        <n v="1436.54"/>
        <n v="1437.29"/>
        <n v="1437.94"/>
        <n v="1438.24"/>
        <n v="1431.67"/>
        <n v="1432.42"/>
        <n v="1433.17"/>
        <n v="1433.92"/>
        <n v="1434.67"/>
        <n v="1435.42"/>
        <n v="1436.17"/>
        <n v="1436.92"/>
        <n v="1437.62"/>
        <n v="1414.42"/>
        <n v="1415.17"/>
        <n v="1415.92"/>
        <n v="1416.67"/>
        <n v="1417.42"/>
        <n v="1418.17"/>
        <n v="1418.92"/>
        <n v="1419.67"/>
        <n v="1420.42"/>
        <n v="1421.17"/>
        <n v="1421.92"/>
        <n v="1422.67"/>
        <n v="1423.42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6-03-09T00:00:00" endDate="2026-05-01T00:00:00"/>
        <groupItems count="368">
          <s v="&lt;9.03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.05.2026"/>
        </groupItems>
      </fieldGroup>
    </cacheField>
    <cacheField name="Ay (Tarih)" numFmtId="0" databaseField="0">
      <fieldGroup base="11">
        <rangePr groupBy="months" startDate="2026-03-09T00:00:00" endDate="2026-05-01T00:00:00"/>
        <groupItems count="14">
          <s v="&lt;9.03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.05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x v="0"/>
    <m/>
    <x v="0"/>
    <s v="S06-Barbaros İstasyonu"/>
    <s v="Hat-2 HY"/>
    <s v="P1"/>
    <s v="4.Aşama"/>
    <x v="0"/>
    <x v="0"/>
    <x v="0"/>
    <x v="0"/>
    <m/>
    <x v="0"/>
    <m/>
    <x v="0"/>
    <x v="0"/>
    <m/>
    <m/>
  </r>
  <r>
    <x v="1"/>
    <x v="1"/>
    <x v="0"/>
    <m/>
    <x v="1"/>
    <s v="S06-Barbaros İstasyonu"/>
    <s v="Hat-2 HY"/>
    <s v="P1"/>
    <s v="4.Aşama"/>
    <x v="0"/>
    <x v="1"/>
    <x v="1"/>
    <x v="1"/>
    <m/>
    <x v="0"/>
    <s v="Tamamlandı"/>
    <x v="1"/>
    <x v="1"/>
    <m/>
    <m/>
  </r>
  <r>
    <x v="1"/>
    <x v="1"/>
    <x v="0"/>
    <m/>
    <x v="1"/>
    <s v="S06-Barbaros İstasyonu"/>
    <s v="Hat-2 HY"/>
    <s v="P1"/>
    <s v="4.Aşama"/>
    <x v="0"/>
    <x v="1"/>
    <x v="1"/>
    <x v="0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"/>
    <x v="1"/>
    <x v="2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"/>
    <x v="1"/>
    <x v="3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2"/>
    <x v="2"/>
    <x v="4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2"/>
    <x v="2"/>
    <x v="5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2"/>
    <x v="2"/>
    <x v="6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3"/>
    <x v="3"/>
    <x v="7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3"/>
    <x v="3"/>
    <x v="8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3"/>
    <x v="3"/>
    <x v="9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4"/>
    <x v="4"/>
    <x v="10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4"/>
    <x v="4"/>
    <x v="11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4"/>
    <x v="4"/>
    <x v="12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5"/>
    <x v="5"/>
    <x v="13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5"/>
    <x v="5"/>
    <x v="14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5"/>
    <x v="5"/>
    <x v="15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6"/>
    <x v="6"/>
    <x v="16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6"/>
    <x v="6"/>
    <x v="17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6"/>
    <x v="6"/>
    <x v="18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7"/>
    <x v="7"/>
    <x v="19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7"/>
    <x v="7"/>
    <x v="20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7"/>
    <x v="7"/>
    <x v="21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8"/>
    <x v="7"/>
    <x v="22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8"/>
    <x v="7"/>
    <x v="23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8"/>
    <x v="7"/>
    <x v="24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9"/>
    <x v="8"/>
    <x v="25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9"/>
    <x v="8"/>
    <x v="26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9"/>
    <x v="8"/>
    <x v="27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0"/>
    <x v="9"/>
    <x v="28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0"/>
    <x v="9"/>
    <x v="29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0"/>
    <x v="9"/>
    <x v="30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1"/>
    <x v="10"/>
    <x v="31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1"/>
    <x v="10"/>
    <x v="32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1"/>
    <x v="10"/>
    <x v="33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2"/>
    <x v="11"/>
    <x v="34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2"/>
    <x v="11"/>
    <x v="35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2"/>
    <x v="11"/>
    <x v="36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3"/>
    <x v="12"/>
    <x v="37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3"/>
    <x v="12"/>
    <x v="38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3"/>
    <x v="12"/>
    <x v="39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4"/>
    <x v="13"/>
    <x v="40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4"/>
    <x v="13"/>
    <x v="41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4"/>
    <x v="13"/>
    <x v="42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5"/>
    <x v="14"/>
    <x v="43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5"/>
    <x v="14"/>
    <x v="44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5"/>
    <x v="14"/>
    <x v="45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5"/>
    <x v="14"/>
    <x v="46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6"/>
    <x v="14"/>
    <x v="47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6"/>
    <x v="14"/>
    <x v="48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7"/>
    <x v="15"/>
    <x v="49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7"/>
    <x v="15"/>
    <x v="50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7"/>
    <x v="15"/>
    <x v="51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8"/>
    <x v="16"/>
    <x v="52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8"/>
    <x v="16"/>
    <x v="53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4.Aşama"/>
    <x v="0"/>
    <x v="18"/>
    <x v="16"/>
    <x v="54"/>
    <s v="KALICI"/>
    <x v="6"/>
    <s v="Tamamlandı"/>
    <x v="1"/>
    <x v="1"/>
    <m/>
    <n v="1"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56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57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58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59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0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1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2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3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4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5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6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7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8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69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70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71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72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73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0"/>
    <x v="18"/>
    <x v="74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75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76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77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78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79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80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81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82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1"/>
    <x v="18"/>
    <x v="83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4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5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6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7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8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89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90"/>
    <n v="0.75"/>
    <x v="0"/>
    <m/>
    <x v="0"/>
    <x v="0"/>
    <m/>
    <m/>
  </r>
  <r>
    <x v="1"/>
    <x v="1"/>
    <x v="0"/>
    <m/>
    <x v="3"/>
    <s v="S06-Barbaros İstasyonu"/>
    <s v="Hat-2 HY"/>
    <s v="P1"/>
    <s v="4.Aşama"/>
    <x v="0"/>
    <x v="22"/>
    <x v="19"/>
    <x v="91"/>
    <n v="0.75"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2"/>
    <x v="2"/>
    <x v="2"/>
    <m/>
    <x v="1"/>
    <s v="S06-Barbaros İstasyonu"/>
    <s v="Hat-2 HY"/>
    <s v="P1"/>
    <s v="4.Aşama"/>
    <x v="0"/>
    <x v="23"/>
    <x v="20"/>
    <x v="54"/>
    <s v="KALICI"/>
    <x v="6"/>
    <s v="Tamamlandı"/>
    <x v="1"/>
    <x v="1"/>
    <m/>
    <m/>
  </r>
  <r>
    <x v="2"/>
    <x v="2"/>
    <x v="2"/>
    <m/>
    <x v="1"/>
    <s v="S06-Barbaros İstasyonu"/>
    <s v="Hat-2 HY"/>
    <s v="P1"/>
    <s v="4.Aşama"/>
    <x v="0"/>
    <x v="23"/>
    <x v="20"/>
    <x v="92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3"/>
    <x v="20"/>
    <x v="93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3"/>
    <x v="20"/>
    <x v="94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4"/>
    <x v="21"/>
    <x v="95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4"/>
    <x v="21"/>
    <x v="96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4"/>
    <x v="21"/>
    <x v="97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5"/>
    <x v="22"/>
    <x v="98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5"/>
    <x v="22"/>
    <x v="99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5"/>
    <x v="22"/>
    <x v="100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6"/>
    <x v="23"/>
    <x v="101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6"/>
    <x v="23"/>
    <x v="102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6"/>
    <x v="23"/>
    <x v="103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7"/>
    <x v="24"/>
    <x v="104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7"/>
    <x v="24"/>
    <x v="105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7"/>
    <x v="24"/>
    <x v="106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8"/>
    <x v="24"/>
    <x v="107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8"/>
    <x v="24"/>
    <x v="108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8"/>
    <x v="24"/>
    <x v="109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9"/>
    <x v="25"/>
    <x v="110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9"/>
    <x v="25"/>
    <x v="111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29"/>
    <x v="25"/>
    <x v="112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0"/>
    <x v="26"/>
    <x v="113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0"/>
    <x v="26"/>
    <x v="114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0"/>
    <x v="26"/>
    <x v="115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1"/>
    <x v="27"/>
    <x v="116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1"/>
    <x v="27"/>
    <x v="117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1"/>
    <x v="27"/>
    <x v="118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2"/>
    <x v="28"/>
    <x v="119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2"/>
    <x v="28"/>
    <x v="120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2"/>
    <x v="28"/>
    <x v="121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3"/>
    <x v="29"/>
    <x v="122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3"/>
    <x v="29"/>
    <x v="123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3"/>
    <x v="29"/>
    <x v="124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4"/>
    <x v="30"/>
    <x v="125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4"/>
    <x v="30"/>
    <x v="126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4"/>
    <x v="30"/>
    <x v="127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5"/>
    <x v="31"/>
    <x v="128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5"/>
    <x v="31"/>
    <x v="129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5"/>
    <x v="31"/>
    <x v="130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0"/>
    <x v="0"/>
    <x v="131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0"/>
    <x v="0"/>
    <x v="132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0"/>
    <x v="0"/>
    <x v="133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6"/>
    <x v="32"/>
    <x v="134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6"/>
    <x v="32"/>
    <x v="135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6"/>
    <x v="32"/>
    <x v="136"/>
    <s v="KALICI"/>
    <x v="3"/>
    <s v="Tamamlandı"/>
    <x v="1"/>
    <x v="1"/>
    <m/>
    <n v="1"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2"/>
    <x v="2"/>
    <x v="2"/>
    <m/>
    <x v="1"/>
    <s v="S06-Barbaros İstasyonu"/>
    <s v="Hat-2 HY"/>
    <s v="P1"/>
    <s v="4.Aşama"/>
    <x v="0"/>
    <x v="37"/>
    <x v="33"/>
    <x v="137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7"/>
    <x v="33"/>
    <x v="138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7"/>
    <x v="33"/>
    <x v="139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8"/>
    <x v="34"/>
    <x v="140"/>
    <s v="KALICI"/>
    <x v="1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8"/>
    <x v="34"/>
    <x v="141"/>
    <s v="KALICI"/>
    <x v="2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8"/>
    <x v="34"/>
    <x v="142"/>
    <s v="KALICI"/>
    <x v="3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9"/>
    <x v="35"/>
    <x v="143"/>
    <s v="KALICI"/>
    <x v="4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9"/>
    <x v="35"/>
    <x v="144"/>
    <s v="KALICI"/>
    <x v="5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9"/>
    <x v="35"/>
    <x v="145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39"/>
    <x v="35"/>
    <x v="146"/>
    <s v="KALICI"/>
    <x v="6"/>
    <s v="Tamamlandı"/>
    <x v="1"/>
    <x v="1"/>
    <m/>
    <n v="1"/>
  </r>
  <r>
    <x v="2"/>
    <x v="2"/>
    <x v="2"/>
    <m/>
    <x v="1"/>
    <s v="S06-Barbaros İstasyonu"/>
    <s v="Hat-2 HY"/>
    <s v="P1"/>
    <s v="4.Aşama"/>
    <x v="0"/>
    <x v="40"/>
    <x v="35"/>
    <x v="147"/>
    <s v="KALICI"/>
    <x v="0"/>
    <s v="Tamamlandı"/>
    <x v="1"/>
    <x v="1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48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49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0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1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2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3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4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5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1"/>
    <x v="31"/>
    <x v="156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57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58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59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0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1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2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3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4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5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6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7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8"/>
    <n v="0.75"/>
    <x v="0"/>
    <m/>
    <x v="0"/>
    <x v="0"/>
    <m/>
    <m/>
  </r>
  <r>
    <x v="2"/>
    <x v="2"/>
    <x v="0"/>
    <m/>
    <x v="3"/>
    <s v="S06-Barbaros İstasyonu"/>
    <s v="Hat-2 HY"/>
    <s v="P1"/>
    <s v="4.Aşama"/>
    <x v="0"/>
    <x v="42"/>
    <x v="21"/>
    <x v="169"/>
    <n v="0.75"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  <r>
    <x v="0"/>
    <x v="0"/>
    <x v="1"/>
    <m/>
    <x v="2"/>
    <m/>
    <m/>
    <m/>
    <m/>
    <x v="1"/>
    <x v="19"/>
    <x v="17"/>
    <x v="55"/>
    <m/>
    <x v="0"/>
    <m/>
    <x v="0"/>
    <x v="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b v="0"/>
    <m/>
    <x v="0"/>
    <s v="S06-Barbaros İstasyonu"/>
    <s v="Hat-2 HY"/>
    <s v="P1"/>
    <s v="4.Aşama"/>
    <x v="0"/>
    <x v="0"/>
    <x v="0"/>
    <x v="0"/>
    <m/>
    <m/>
    <m/>
    <m/>
    <m/>
    <m/>
    <m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"/>
    <x v="1"/>
    <x v="1"/>
    <m/>
    <m/>
    <s v="Tamamlandı"/>
    <s v="Q589/589-Çift Kat"/>
    <s v="30 cm atıldı"/>
    <m/>
    <m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"/>
    <x v="1"/>
    <x v="0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"/>
    <x v="1"/>
    <x v="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2"/>
    <x v="2"/>
    <x v="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2"/>
    <x v="2"/>
    <x v="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3"/>
    <x v="3"/>
    <x v="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3"/>
    <x v="3"/>
    <x v="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3"/>
    <x v="3"/>
    <x v="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4"/>
    <x v="4"/>
    <x v="1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4"/>
    <x v="4"/>
    <x v="1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4"/>
    <x v="4"/>
    <x v="1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5"/>
    <x v="5"/>
    <x v="1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5"/>
    <x v="5"/>
    <x v="1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5"/>
    <x v="5"/>
    <x v="1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6"/>
    <x v="6"/>
    <x v="1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6"/>
    <x v="6"/>
    <x v="1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6"/>
    <x v="6"/>
    <x v="18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7"/>
    <x v="7"/>
    <x v="19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7"/>
    <x v="7"/>
    <x v="20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7"/>
    <x v="7"/>
    <x v="21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8"/>
    <x v="7"/>
    <x v="22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8"/>
    <x v="7"/>
    <x v="23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8"/>
    <x v="7"/>
    <x v="24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9"/>
    <x v="8"/>
    <x v="25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9"/>
    <x v="8"/>
    <x v="26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9"/>
    <x v="8"/>
    <x v="27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0"/>
    <x v="9"/>
    <x v="28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0"/>
    <x v="9"/>
    <x v="29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0"/>
    <x v="9"/>
    <x v="30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1"/>
    <x v="10"/>
    <x v="31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1"/>
    <x v="10"/>
    <x v="3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1"/>
    <x v="10"/>
    <x v="3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2"/>
    <x v="11"/>
    <x v="3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2"/>
    <x v="11"/>
    <x v="3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2"/>
    <x v="11"/>
    <x v="3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3"/>
    <x v="12"/>
    <x v="3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3"/>
    <x v="12"/>
    <x v="3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3"/>
    <x v="12"/>
    <x v="3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4"/>
    <x v="13"/>
    <x v="4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4"/>
    <x v="13"/>
    <x v="4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4"/>
    <x v="13"/>
    <x v="4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5"/>
    <x v="14"/>
    <x v="4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5"/>
    <x v="14"/>
    <x v="4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5"/>
    <x v="14"/>
    <x v="4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5"/>
    <x v="14"/>
    <x v="4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6"/>
    <x v="14"/>
    <x v="4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6"/>
    <x v="14"/>
    <x v="48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7"/>
    <x v="15"/>
    <x v="49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7"/>
    <x v="15"/>
    <x v="50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7"/>
    <x v="15"/>
    <x v="51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8"/>
    <x v="16"/>
    <x v="52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8"/>
    <x v="16"/>
    <x v="53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4.Aşama"/>
    <x v="0"/>
    <x v="18"/>
    <x v="16"/>
    <x v="54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1"/>
    <x v="1"/>
    <b v="0"/>
    <m/>
    <x v="3"/>
    <s v="S06-Barbaros İstasyonu"/>
    <s v="Hat-2 HY"/>
    <s v="P1"/>
    <s v="4.Aşama"/>
    <x v="0"/>
    <x v="20"/>
    <x v="18"/>
    <x v="56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57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58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59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0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1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2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3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4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5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6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7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8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69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70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71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72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73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0"/>
    <x v="18"/>
    <x v="74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75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76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77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78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79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80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81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82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1"/>
    <x v="18"/>
    <x v="83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4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5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6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7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8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89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90"/>
    <n v="0.75"/>
    <m/>
    <m/>
    <m/>
    <m/>
    <m/>
    <m/>
    <m/>
    <m/>
    <m/>
    <m/>
    <m/>
    <m/>
    <m/>
    <m/>
    <n v="3"/>
  </r>
  <r>
    <x v="1"/>
    <x v="1"/>
    <b v="0"/>
    <m/>
    <x v="3"/>
    <s v="S06-Barbaros İstasyonu"/>
    <s v="Hat-2 HY"/>
    <s v="P1"/>
    <s v="4.Aşama"/>
    <x v="0"/>
    <x v="22"/>
    <x v="19"/>
    <x v="91"/>
    <n v="0.75"/>
    <m/>
    <m/>
    <m/>
    <m/>
    <m/>
    <m/>
    <m/>
    <m/>
    <m/>
    <m/>
    <m/>
    <m/>
    <m/>
    <m/>
    <n v="3"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3"/>
    <x v="20"/>
    <x v="54"/>
    <s v="KALICI"/>
    <s v="Umbrella-6"/>
    <s v="Tamamlandı"/>
    <s v="Q589/589-Çift Kat"/>
    <s v="30 cm atıldı"/>
    <m/>
    <m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3"/>
    <x v="20"/>
    <x v="92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3"/>
    <x v="20"/>
    <x v="93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3"/>
    <x v="20"/>
    <x v="94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4"/>
    <x v="21"/>
    <x v="95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4"/>
    <x v="21"/>
    <x v="96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4"/>
    <x v="21"/>
    <x v="97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5"/>
    <x v="22"/>
    <x v="98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5"/>
    <x v="22"/>
    <x v="99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5"/>
    <x v="22"/>
    <x v="100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6"/>
    <x v="23"/>
    <x v="101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6"/>
    <x v="23"/>
    <x v="102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6"/>
    <x v="23"/>
    <x v="103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7"/>
    <x v="24"/>
    <x v="104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7"/>
    <x v="24"/>
    <x v="105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7"/>
    <x v="24"/>
    <x v="106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8"/>
    <x v="24"/>
    <x v="107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8"/>
    <x v="24"/>
    <x v="108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8"/>
    <x v="24"/>
    <x v="109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9"/>
    <x v="25"/>
    <x v="110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9"/>
    <x v="25"/>
    <x v="111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29"/>
    <x v="25"/>
    <x v="112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0"/>
    <x v="26"/>
    <x v="113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0"/>
    <x v="26"/>
    <x v="114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0"/>
    <x v="26"/>
    <x v="115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1"/>
    <x v="27"/>
    <x v="116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1"/>
    <x v="27"/>
    <x v="117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1"/>
    <x v="27"/>
    <x v="118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2"/>
    <x v="28"/>
    <x v="119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2"/>
    <x v="28"/>
    <x v="120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2"/>
    <x v="28"/>
    <x v="121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3"/>
    <x v="29"/>
    <x v="122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3"/>
    <x v="29"/>
    <x v="123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3"/>
    <x v="29"/>
    <x v="124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4"/>
    <x v="30"/>
    <x v="125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4"/>
    <x v="30"/>
    <x v="126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4"/>
    <x v="30"/>
    <x v="127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5"/>
    <x v="31"/>
    <x v="128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5"/>
    <x v="31"/>
    <x v="129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5"/>
    <x v="31"/>
    <x v="130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0"/>
    <x v="0"/>
    <x v="131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0"/>
    <x v="0"/>
    <x v="132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0"/>
    <x v="0"/>
    <x v="133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6"/>
    <x v="32"/>
    <x v="134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6"/>
    <x v="32"/>
    <x v="135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6"/>
    <x v="32"/>
    <x v="136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7"/>
    <x v="33"/>
    <x v="137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7"/>
    <x v="33"/>
    <x v="138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7"/>
    <x v="33"/>
    <x v="139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8"/>
    <x v="34"/>
    <x v="140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8"/>
    <x v="34"/>
    <x v="141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8"/>
    <x v="34"/>
    <x v="142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9"/>
    <x v="35"/>
    <x v="143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9"/>
    <x v="35"/>
    <x v="144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9"/>
    <x v="35"/>
    <x v="145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39"/>
    <x v="35"/>
    <x v="146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1"/>
    <m/>
    <x v="1"/>
    <s v="S06-Barbaros İstasyonu"/>
    <s v="Hat-2 HY"/>
    <s v="P1"/>
    <s v="4.Aşama"/>
    <x v="0"/>
    <x v="40"/>
    <x v="35"/>
    <x v="147"/>
    <s v="KALICI"/>
    <m/>
    <s v="Tamamlandı"/>
    <s v="Q589/589-Çift Kat"/>
    <s v="30 cm atıldı"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2"/>
    <x v="2"/>
    <b v="0"/>
    <m/>
    <x v="3"/>
    <s v="S06-Barbaros İstasyonu"/>
    <s v="Hat-2 HY"/>
    <s v="P1"/>
    <s v="4.Aşama"/>
    <x v="0"/>
    <x v="41"/>
    <x v="31"/>
    <x v="148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49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0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1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2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3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4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5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1"/>
    <x v="31"/>
    <x v="156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57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58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59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0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1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2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3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4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5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6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7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8"/>
    <n v="0.75"/>
    <m/>
    <m/>
    <m/>
    <m/>
    <m/>
    <m/>
    <m/>
    <m/>
    <m/>
    <m/>
    <m/>
    <m/>
    <m/>
    <m/>
    <n v="3"/>
  </r>
  <r>
    <x v="2"/>
    <x v="2"/>
    <b v="0"/>
    <m/>
    <x v="3"/>
    <s v="S06-Barbaros İstasyonu"/>
    <s v="Hat-2 HY"/>
    <s v="P1"/>
    <s v="4.Aşama"/>
    <x v="0"/>
    <x v="42"/>
    <x v="21"/>
    <x v="169"/>
    <n v="0.75"/>
    <m/>
    <m/>
    <m/>
    <m/>
    <m/>
    <m/>
    <m/>
    <m/>
    <m/>
    <m/>
    <m/>
    <m/>
    <m/>
    <m/>
    <n v="3"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  <r>
    <x v="0"/>
    <x v="0"/>
    <m/>
    <m/>
    <x v="2"/>
    <m/>
    <m/>
    <m/>
    <m/>
    <x v="1"/>
    <x v="19"/>
    <x v="17"/>
    <x v="55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2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A13:H69" firstHeaderRow="0" firstDataRow="1" firstDataCol="6"/>
  <pivotFields count="22">
    <pivotField compact="0" outline="0" showAll="0">
      <items count="7">
        <item m="1" x="3"/>
        <item m="1" x="4"/>
        <item m="1" x="5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7">
        <item h="1" m="1" x="3"/>
        <item h="1" m="1" x="4"/>
        <item h="1" m="1" x="5"/>
        <item h="1" x="2"/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3"/>
        <item x="1"/>
        <item h="1" m="1" x="4"/>
        <item h="1" m="1" x="6"/>
        <item h="1" m="1" x="5"/>
        <item h="1"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11">
        <item x="39"/>
        <item x="40"/>
        <item x="38"/>
        <item x="37"/>
        <item x="36"/>
        <item x="0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18"/>
        <item x="17"/>
        <item x="15"/>
        <item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m="1" x="81"/>
        <item m="1" x="43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4"/>
        <item m="1" x="45"/>
        <item m="1" x="46"/>
        <item m="1" x="47"/>
        <item m="1" x="48"/>
        <item m="1" x="49"/>
        <item m="1" x="51"/>
        <item m="1" x="52"/>
        <item m="1" x="53"/>
        <item m="1" x="54"/>
        <item m="1" x="55"/>
        <item m="1" x="56"/>
        <item m="1" x="99"/>
        <item m="1" x="58"/>
        <item m="1" x="59"/>
        <item m="1" x="60"/>
        <item m="1" x="61"/>
        <item m="1" x="62"/>
        <item m="1" x="104"/>
        <item m="1" x="63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5"/>
        <item m="1" x="105"/>
        <item m="1" x="76"/>
        <item m="1" x="106"/>
        <item m="1" x="77"/>
        <item m="1" x="78"/>
        <item m="1" x="107"/>
        <item m="1" x="80"/>
        <item m="1" x="100"/>
        <item m="1" x="108"/>
        <item m="1" x="109"/>
        <item m="1" x="110"/>
        <item m="1" x="101"/>
        <item m="1" x="102"/>
        <item m="1" x="103"/>
        <item x="41"/>
        <item x="42"/>
        <item x="20"/>
        <item x="21"/>
        <item x="22"/>
        <item m="1" x="50"/>
        <item m="1" x="57"/>
        <item m="1" x="64"/>
        <item m="1" x="74"/>
        <item m="1" x="79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1">
        <item m="1" x="67"/>
        <item m="1" x="36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37"/>
        <item m="1" x="38"/>
        <item m="1" x="39"/>
        <item m="1" x="80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x="35"/>
        <item x="34"/>
        <item x="33"/>
        <item x="32"/>
        <item x="0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6"/>
        <item x="15"/>
        <item x="14"/>
        <item x="13"/>
        <item x="12"/>
        <item x="18"/>
        <item x="11"/>
        <item x="10"/>
        <item x="9"/>
        <item x="8"/>
        <item x="7"/>
        <item x="6"/>
        <item x="5"/>
        <item x="4"/>
        <item x="3"/>
        <item x="2"/>
        <item x="1"/>
        <item x="1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38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84"/>
        <item x="31"/>
        <item x="85"/>
        <item x="32"/>
        <item x="86"/>
        <item x="33"/>
        <item x="87"/>
        <item x="34"/>
        <item x="88"/>
        <item x="35"/>
        <item x="89"/>
        <item x="36"/>
        <item x="90"/>
        <item x="37"/>
        <item x="91"/>
        <item x="38"/>
        <item x="56"/>
        <item x="39"/>
        <item x="57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8"/>
        <item x="52"/>
        <item x="59"/>
        <item x="53"/>
        <item x="60"/>
        <item x="54"/>
        <item x="61"/>
        <item x="92"/>
        <item x="62"/>
        <item x="93"/>
        <item x="63"/>
        <item x="94"/>
        <item x="64"/>
        <item x="95"/>
        <item x="65"/>
        <item x="96"/>
        <item x="66"/>
        <item x="97"/>
        <item x="67"/>
        <item x="98"/>
        <item x="68"/>
        <item x="99"/>
        <item x="69"/>
        <item x="100"/>
        <item x="70"/>
        <item x="101"/>
        <item x="71"/>
        <item x="102"/>
        <item x="72"/>
        <item x="103"/>
        <item x="73"/>
        <item x="104"/>
        <item x="74"/>
        <item x="105"/>
        <item x="75"/>
        <item x="106"/>
        <item x="76"/>
        <item x="107"/>
        <item x="77"/>
        <item x="108"/>
        <item x="78"/>
        <item x="109"/>
        <item x="79"/>
        <item x="110"/>
        <item x="80"/>
        <item x="111"/>
        <item x="81"/>
        <item x="112"/>
        <item x="82"/>
        <item x="113"/>
        <item x="83"/>
        <item x="114"/>
        <item x="157"/>
        <item x="115"/>
        <item x="158"/>
        <item x="116"/>
        <item x="159"/>
        <item x="117"/>
        <item x="160"/>
        <item x="118"/>
        <item x="161"/>
        <item x="119"/>
        <item x="162"/>
        <item x="120"/>
        <item x="163"/>
        <item x="121"/>
        <item x="164"/>
        <item x="122"/>
        <item x="165"/>
        <item x="123"/>
        <item x="166"/>
        <item x="124"/>
        <item x="167"/>
        <item x="125"/>
        <item x="168"/>
        <item x="126"/>
        <item x="16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8"/>
        <item x="138"/>
        <item x="149"/>
        <item x="139"/>
        <item x="150"/>
        <item x="140"/>
        <item x="151"/>
        <item x="141"/>
        <item x="152"/>
        <item x="142"/>
        <item x="153"/>
        <item x="143"/>
        <item x="154"/>
        <item x="144"/>
        <item x="155"/>
        <item x="145"/>
        <item x="156"/>
        <item x="146"/>
        <item x="147"/>
        <item m="1" x="179"/>
        <item m="1" x="180"/>
        <item m="1" x="170"/>
        <item m="1" x="181"/>
        <item m="1" x="171"/>
        <item m="1" x="182"/>
        <item m="1" x="172"/>
        <item m="1" x="183"/>
        <item m="1" x="173"/>
        <item m="1" x="190"/>
        <item m="1" x="174"/>
        <item m="1" x="191"/>
        <item m="1" x="175"/>
        <item m="1" x="192"/>
        <item m="1" x="176"/>
        <item m="1" x="193"/>
        <item m="1" x="177"/>
        <item m="1" x="194"/>
        <item m="1" x="178"/>
        <item m="1" x="195"/>
        <item m="1" x="184"/>
        <item m="1" x="202"/>
        <item m="1" x="185"/>
        <item m="1" x="203"/>
        <item m="1" x="186"/>
        <item m="1" x="204"/>
        <item m="1" x="187"/>
        <item m="1" x="205"/>
        <item m="1" x="188"/>
        <item m="1" x="206"/>
        <item m="1" x="189"/>
        <item m="1" x="207"/>
        <item m="1" x="196"/>
        <item m="1" x="208"/>
        <item m="1" x="197"/>
        <item m="1" x="218"/>
        <item m="1" x="198"/>
        <item m="1" x="219"/>
        <item m="1" x="199"/>
        <item m="1" x="220"/>
        <item m="1" x="200"/>
        <item m="1" x="221"/>
        <item m="1" x="201"/>
        <item m="1" x="222"/>
        <item m="1" x="209"/>
        <item m="1" x="223"/>
        <item m="1" x="210"/>
        <item m="1" x="227"/>
        <item m="1" x="211"/>
        <item m="1" x="214"/>
        <item m="1" x="228"/>
        <item m="1" x="212"/>
        <item m="1" x="229"/>
        <item m="1" x="213"/>
        <item m="1" x="230"/>
        <item m="1" x="215"/>
        <item m="1" x="231"/>
        <item m="1" x="216"/>
        <item m="1" x="232"/>
        <item m="1" x="217"/>
        <item m="1" x="233"/>
        <item m="1" x="224"/>
        <item m="1" x="234"/>
        <item m="1" x="225"/>
        <item m="1" x="235"/>
        <item m="1" x="226"/>
        <item m="1" x="236"/>
        <item m="1" x="237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56">
    <i>
      <x v="19"/>
      <x v="62"/>
      <x v="63"/>
      <x v="3"/>
      <x v="1"/>
      <x v="10"/>
    </i>
    <i r="2">
      <x v="65"/>
      <x v="3"/>
      <x v="1"/>
      <x v="11"/>
    </i>
    <i r="2">
      <x v="67"/>
      <x v="3"/>
      <x v="1"/>
      <x v="12"/>
    </i>
    <i>
      <x v="20"/>
      <x v="63"/>
      <x v="59"/>
      <x v="3"/>
      <x v="1"/>
      <x v="7"/>
    </i>
    <i r="2">
      <x v="60"/>
      <x v="3"/>
      <x v="1"/>
      <x v="8"/>
    </i>
    <i r="2">
      <x v="61"/>
      <x v="3"/>
      <x v="1"/>
      <x v="9"/>
    </i>
    <i>
      <x v="21"/>
      <x v="64"/>
      <x v="53"/>
      <x v="3"/>
      <x v="1"/>
      <x v="7"/>
    </i>
    <i r="2">
      <x v="54"/>
      <x v="3"/>
      <x v="1"/>
      <x v="8"/>
    </i>
    <i r="2">
      <x v="55"/>
      <x v="3"/>
      <x v="1"/>
      <x v="9"/>
    </i>
    <i r="2">
      <x v="56"/>
      <x v="3"/>
      <x v="1"/>
      <x v="10"/>
    </i>
    <i>
      <x v="22"/>
      <x v="64"/>
      <x v="57"/>
      <x v="3"/>
      <x v="1"/>
      <x v="11"/>
    </i>
    <i r="2">
      <x v="58"/>
      <x v="3"/>
      <x v="1"/>
      <x v="12"/>
    </i>
    <i>
      <x v="23"/>
      <x v="65"/>
      <x v="50"/>
      <x v="3"/>
      <x v="1"/>
      <x v="10"/>
    </i>
    <i r="2">
      <x v="51"/>
      <x v="3"/>
      <x v="1"/>
      <x v="11"/>
    </i>
    <i r="2">
      <x v="52"/>
      <x v="3"/>
      <x v="1"/>
      <x v="12"/>
    </i>
    <i>
      <x v="24"/>
      <x v="66"/>
      <x v="44"/>
      <x v="3"/>
      <x v="1"/>
      <x v="7"/>
    </i>
    <i r="2">
      <x v="46"/>
      <x v="3"/>
      <x v="1"/>
      <x v="8"/>
    </i>
    <i r="2">
      <x v="48"/>
      <x v="3"/>
      <x v="1"/>
      <x v="9"/>
    </i>
    <i>
      <x v="25"/>
      <x v="68"/>
      <x v="38"/>
      <x v="3"/>
      <x v="1"/>
      <x v="10"/>
    </i>
    <i r="2">
      <x v="40"/>
      <x v="3"/>
      <x v="1"/>
      <x v="11"/>
    </i>
    <i r="2">
      <x v="42"/>
      <x v="3"/>
      <x v="1"/>
      <x v="12"/>
    </i>
    <i>
      <x v="26"/>
      <x v="69"/>
      <x v="32"/>
      <x v="3"/>
      <x v="1"/>
      <x v="7"/>
    </i>
    <i r="2">
      <x v="34"/>
      <x v="3"/>
      <x v="1"/>
      <x v="8"/>
    </i>
    <i r="2">
      <x v="36"/>
      <x v="3"/>
      <x v="1"/>
      <x v="9"/>
    </i>
    <i>
      <x v="27"/>
      <x v="70"/>
      <x v="28"/>
      <x v="3"/>
      <x v="1"/>
      <x v="10"/>
    </i>
    <i r="2">
      <x v="29"/>
      <x v="3"/>
      <x v="1"/>
      <x v="11"/>
    </i>
    <i r="2">
      <x v="30"/>
      <x v="3"/>
      <x v="1"/>
      <x v="12"/>
    </i>
    <i>
      <x v="28"/>
      <x v="71"/>
      <x v="25"/>
      <x v="3"/>
      <x v="1"/>
      <x v="7"/>
    </i>
    <i r="2">
      <x v="26"/>
      <x v="3"/>
      <x v="1"/>
      <x v="8"/>
    </i>
    <i r="2">
      <x v="27"/>
      <x v="3"/>
      <x v="1"/>
      <x v="9"/>
    </i>
    <i>
      <x v="29"/>
      <x v="72"/>
      <x v="22"/>
      <x v="3"/>
      <x v="1"/>
      <x v="10"/>
    </i>
    <i r="2">
      <x v="23"/>
      <x v="3"/>
      <x v="1"/>
      <x v="11"/>
    </i>
    <i r="2">
      <x v="24"/>
      <x v="3"/>
      <x v="1"/>
      <x v="12"/>
    </i>
    <i>
      <x v="30"/>
      <x v="72"/>
      <x v="19"/>
      <x v="3"/>
      <x v="1"/>
      <x v="7"/>
    </i>
    <i r="2">
      <x v="20"/>
      <x v="3"/>
      <x v="1"/>
      <x v="8"/>
    </i>
    <i r="2">
      <x v="21"/>
      <x v="3"/>
      <x v="1"/>
      <x v="9"/>
    </i>
    <i>
      <x v="31"/>
      <x v="73"/>
      <x v="16"/>
      <x v="3"/>
      <x v="1"/>
      <x v="10"/>
    </i>
    <i r="2">
      <x v="17"/>
      <x v="3"/>
      <x v="1"/>
      <x v="11"/>
    </i>
    <i r="2">
      <x v="18"/>
      <x v="3"/>
      <x v="1"/>
      <x v="12"/>
    </i>
    <i>
      <x v="32"/>
      <x v="74"/>
      <x v="13"/>
      <x v="3"/>
      <x v="1"/>
      <x v="7"/>
    </i>
    <i r="2">
      <x v="14"/>
      <x v="3"/>
      <x v="1"/>
      <x v="8"/>
    </i>
    <i r="2">
      <x v="15"/>
      <x v="3"/>
      <x v="1"/>
      <x v="9"/>
    </i>
    <i>
      <x v="33"/>
      <x v="75"/>
      <x v="10"/>
      <x v="3"/>
      <x v="1"/>
      <x v="10"/>
    </i>
    <i r="2">
      <x v="11"/>
      <x v="3"/>
      <x v="1"/>
      <x v="11"/>
    </i>
    <i r="2">
      <x v="12"/>
      <x v="3"/>
      <x v="1"/>
      <x v="12"/>
    </i>
    <i>
      <x v="34"/>
      <x v="76"/>
      <x v="7"/>
      <x v="3"/>
      <x v="1"/>
      <x v="7"/>
    </i>
    <i r="2">
      <x v="8"/>
      <x v="3"/>
      <x v="1"/>
      <x v="8"/>
    </i>
    <i r="2">
      <x v="9"/>
      <x v="3"/>
      <x v="1"/>
      <x v="9"/>
    </i>
    <i>
      <x v="35"/>
      <x v="77"/>
      <x v="4"/>
      <x v="3"/>
      <x v="1"/>
      <x v="10"/>
    </i>
    <i r="2">
      <x v="5"/>
      <x v="3"/>
      <x v="1"/>
      <x v="11"/>
    </i>
    <i r="2">
      <x v="6"/>
      <x v="3"/>
      <x v="1"/>
      <x v="12"/>
    </i>
    <i>
      <x v="36"/>
      <x v="78"/>
      <x/>
      <x v="3"/>
      <x v="1"/>
      <x v="6"/>
    </i>
    <i r="2">
      <x v="1"/>
      <x v="3"/>
      <x v="1"/>
      <x v="7"/>
    </i>
    <i r="2">
      <x v="2"/>
      <x v="3"/>
      <x v="1"/>
      <x v="8"/>
    </i>
    <i r="2">
      <x v="3"/>
      <x v="3"/>
      <x v="1"/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79">
    <format dxfId="669">
      <pivotArea dataOnly="0" labelOnly="1" outline="0" fieldPosition="0">
        <references count="1">
          <reference field="10" count="12">
            <x v="68"/>
            <x v="74"/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668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66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666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665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664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663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662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661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660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659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658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65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656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655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654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653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652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651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650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649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648">
      <pivotArea dataOnly="0" labelOnly="1" outline="0" fieldPosition="0">
        <references count="4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647">
      <pivotArea dataOnly="0" labelOnly="1" outline="0" fieldPosition="0">
        <references count="4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646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5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4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3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2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1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0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9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8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7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6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5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4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3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2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1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0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9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8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7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6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5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4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3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2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1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0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9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8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7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6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5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4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3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2">
      <pivotArea dataOnly="0" labelOnly="1" outline="0" fieldPosition="0">
        <references count="5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11">
      <pivotArea dataOnly="0" labelOnly="1" outline="0" fieldPosition="0">
        <references count="5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10">
      <pivotArea field="10" type="button" dataOnly="0" labelOnly="1" outline="0" axis="axisRow" fieldPosition="0"/>
    </format>
    <format dxfId="609">
      <pivotArea field="11" type="button" dataOnly="0" labelOnly="1" outline="0" axis="axisRow" fieldPosition="1"/>
    </format>
    <format dxfId="608">
      <pivotArea field="12" type="button" dataOnly="0" labelOnly="1" outline="0" axis="axisRow" fieldPosition="2"/>
    </format>
    <format dxfId="607">
      <pivotArea field="16" type="button" dataOnly="0" labelOnly="1" outline="0" axis="axisRow" fieldPosition="3"/>
    </format>
    <format dxfId="606">
      <pivotArea field="17" type="button" dataOnly="0" labelOnly="1" outline="0" axis="axisRow" fieldPosition="4"/>
    </format>
    <format dxfId="605">
      <pivotArea field="14" type="button" dataOnly="0" labelOnly="1" outline="0" axis="axisRow" fieldPosition="5"/>
    </format>
    <format dxfId="604">
      <pivotArea field="10" type="button" dataOnly="0" labelOnly="1" outline="0" axis="axisRow" fieldPosition="0"/>
    </format>
    <format dxfId="603">
      <pivotArea field="11" type="button" dataOnly="0" labelOnly="1" outline="0" axis="axisRow" fieldPosition="1"/>
    </format>
    <format dxfId="602">
      <pivotArea field="12" type="button" dataOnly="0" labelOnly="1" outline="0" axis="axisRow" fieldPosition="2"/>
    </format>
    <format dxfId="601">
      <pivotArea field="16" type="button" dataOnly="0" labelOnly="1" outline="0" axis="axisRow" fieldPosition="3"/>
    </format>
    <format dxfId="600">
      <pivotArea field="17" type="button" dataOnly="0" labelOnly="1" outline="0" axis="axisRow" fieldPosition="4"/>
    </format>
    <format dxfId="599">
      <pivotArea field="14" type="button" dataOnly="0" labelOnly="1" outline="0" axis="axisRow" fieldPosition="5"/>
    </format>
    <format dxfId="598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597">
      <pivotArea dataOnly="0" labelOnly="1" outline="0" fieldPosition="0">
        <references count="2">
          <reference field="10" count="1" selected="0">
            <x v="86"/>
          </reference>
          <reference field="11" count="1">
            <x v="7"/>
          </reference>
        </references>
      </pivotArea>
    </format>
    <format dxfId="596">
      <pivotArea dataOnly="0" labelOnly="1" outline="0" fieldPosition="0">
        <references count="2">
          <reference field="10" count="1" selected="0">
            <x v="91"/>
          </reference>
          <reference field="11" count="1">
            <x v="8"/>
          </reference>
        </references>
      </pivotArea>
    </format>
    <format dxfId="595">
      <pivotArea dataOnly="0" labelOnly="1" outline="0" fieldPosition="0">
        <references count="2">
          <reference field="10" count="1" selected="0">
            <x v="93"/>
          </reference>
          <reference field="11" count="1">
            <x v="2"/>
          </reference>
        </references>
      </pivotArea>
    </format>
    <format dxfId="594">
      <pivotArea dataOnly="0" labelOnly="1" outline="0" fieldPosition="0">
        <references count="2">
          <reference field="10" count="1" selected="0">
            <x v="94"/>
          </reference>
          <reference field="11" count="1">
            <x v="9"/>
          </reference>
        </references>
      </pivotArea>
    </format>
    <format dxfId="593">
      <pivotArea dataOnly="0" labelOnly="1" outline="0" fieldPosition="0">
        <references count="2">
          <reference field="10" count="1" selected="0">
            <x v="95"/>
          </reference>
          <reference field="11" count="1">
            <x v="10"/>
          </reference>
        </references>
      </pivotArea>
    </format>
    <format dxfId="592">
      <pivotArea dataOnly="0" labelOnly="1" outline="0" fieldPosition="0">
        <references count="2">
          <reference field="10" count="1" selected="0">
            <x v="96"/>
          </reference>
          <reference field="11" count="1">
            <x v="11"/>
          </reference>
        </references>
      </pivotArea>
    </format>
    <format dxfId="591">
      <pivotArea dataOnly="0" labelOnly="1" outline="0" fieldPosition="0">
        <references count="2">
          <reference field="10" count="1" selected="0">
            <x v="97"/>
          </reference>
          <reference field="11" count="1">
            <x v="3"/>
          </reference>
        </references>
      </pivotArea>
    </format>
    <format dxfId="590">
      <pivotArea dataOnly="0" labelOnly="1" outline="0" fieldPosition="0">
        <references count="2">
          <reference field="10" count="1" selected="0">
            <x v="98"/>
          </reference>
          <reference field="11" count="1">
            <x v="4"/>
          </reference>
        </references>
      </pivotArea>
    </format>
    <format dxfId="589">
      <pivotArea dataOnly="0" labelOnly="1" outline="0" fieldPosition="0">
        <references count="2">
          <reference field="10" count="1" selected="0">
            <x v="99"/>
          </reference>
          <reference field="11" count="1">
            <x v="5"/>
          </reference>
        </references>
      </pivotArea>
    </format>
    <format dxfId="588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587">
      <pivotArea dataOnly="0" labelOnly="1" outline="0" fieldPosition="0">
        <references count="2">
          <reference field="10" count="1" selected="0">
            <x v="86"/>
          </reference>
          <reference field="11" count="1">
            <x v="7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91"/>
          </reference>
          <reference field="11" count="1">
            <x v="8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93"/>
          </reference>
          <reference field="11" count="1">
            <x v="2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94"/>
          </reference>
          <reference field="11" count="1">
            <x v="9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95"/>
          </reference>
          <reference field="11" count="1">
            <x v="10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96"/>
          </reference>
          <reference field="11" count="1">
            <x v="11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97"/>
          </reference>
          <reference field="11" count="1">
            <x v="3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98"/>
          </reference>
          <reference field="11" count="1">
            <x v="4"/>
          </reference>
        </references>
      </pivotArea>
    </format>
    <format dxfId="579">
      <pivotArea dataOnly="0" labelOnly="1" outline="0" fieldPosition="0">
        <references count="2">
          <reference field="10" count="1" selected="0">
            <x v="99"/>
          </reference>
          <reference field="11" count="1">
            <x v="5"/>
          </reference>
        </references>
      </pivotArea>
    </format>
    <format dxfId="578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577">
      <pivotArea dataOnly="0" labelOnly="1" outline="0" fieldPosition="0">
        <references count="2">
          <reference field="10" count="1" selected="0">
            <x v="86"/>
          </reference>
          <reference field="11" count="1">
            <x v="7"/>
          </reference>
        </references>
      </pivotArea>
    </format>
    <format dxfId="576">
      <pivotArea dataOnly="0" labelOnly="1" outline="0" fieldPosition="0">
        <references count="2">
          <reference field="10" count="1" selected="0">
            <x v="91"/>
          </reference>
          <reference field="11" count="1">
            <x v="8"/>
          </reference>
        </references>
      </pivotArea>
    </format>
    <format dxfId="575">
      <pivotArea dataOnly="0" labelOnly="1" outline="0" fieldPosition="0">
        <references count="2">
          <reference field="10" count="1" selected="0">
            <x v="93"/>
          </reference>
          <reference field="11" count="1">
            <x v="2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94"/>
          </reference>
          <reference field="11" count="1">
            <x v="9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95"/>
          </reference>
          <reference field="11" count="1">
            <x v="10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96"/>
          </reference>
          <reference field="11" count="1">
            <x v="11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97"/>
          </reference>
          <reference field="11" count="1">
            <x v="3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98"/>
          </reference>
          <reference field="11" count="1">
            <x v="4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99"/>
          </reference>
          <reference field="11" count="1">
            <x v="5"/>
          </reference>
        </references>
      </pivotArea>
    </format>
    <format dxfId="568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567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558">
      <pivotArea dataOnly="0" labelOnly="1" outline="0" fieldPosition="0">
        <references count="4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557">
      <pivotArea dataOnly="0" labelOnly="1" outline="0" fieldPosition="0">
        <references count="4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556">
      <pivotArea dataOnly="0" labelOnly="1" outline="0" fieldPosition="0">
        <references count="5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5">
      <pivotArea dataOnly="0" labelOnly="1" outline="0" fieldPosition="0">
        <references count="5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4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3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2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1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2">
          <reference field="10" count="1" selected="0">
            <x v="86"/>
          </reference>
          <reference field="11" count="1">
            <x v="7"/>
          </reference>
        </references>
      </pivotArea>
    </format>
    <format dxfId="536">
      <pivotArea dataOnly="0" labelOnly="1" outline="0" fieldPosition="0">
        <references count="2">
          <reference field="10" count="1" selected="0">
            <x v="91"/>
          </reference>
          <reference field="11" count="1">
            <x v="8"/>
          </reference>
        </references>
      </pivotArea>
    </format>
    <format dxfId="535">
      <pivotArea dataOnly="0" labelOnly="1" outline="0" fieldPosition="0">
        <references count="2">
          <reference field="10" count="1" selected="0">
            <x v="93"/>
          </reference>
          <reference field="11" count="1">
            <x v="2"/>
          </reference>
        </references>
      </pivotArea>
    </format>
    <format dxfId="534">
      <pivotArea dataOnly="0" labelOnly="1" outline="0" fieldPosition="0">
        <references count="2">
          <reference field="10" count="1" selected="0">
            <x v="94"/>
          </reference>
          <reference field="11" count="1">
            <x v="9"/>
          </reference>
        </references>
      </pivotArea>
    </format>
    <format dxfId="533">
      <pivotArea dataOnly="0" labelOnly="1" outline="0" fieldPosition="0">
        <references count="2">
          <reference field="10" count="1" selected="0">
            <x v="95"/>
          </reference>
          <reference field="11" count="1">
            <x v="10"/>
          </reference>
        </references>
      </pivotArea>
    </format>
    <format dxfId="532">
      <pivotArea dataOnly="0" labelOnly="1" outline="0" fieldPosition="0">
        <references count="2">
          <reference field="10" count="1" selected="0">
            <x v="96"/>
          </reference>
          <reference field="11" count="1">
            <x v="11"/>
          </reference>
        </references>
      </pivotArea>
    </format>
    <format dxfId="531">
      <pivotArea dataOnly="0" labelOnly="1" outline="0" fieldPosition="0">
        <references count="2">
          <reference field="10" count="1" selected="0">
            <x v="97"/>
          </reference>
          <reference field="11" count="1">
            <x v="3"/>
          </reference>
        </references>
      </pivotArea>
    </format>
    <format dxfId="530">
      <pivotArea dataOnly="0" labelOnly="1" outline="0" fieldPosition="0">
        <references count="2">
          <reference field="10" count="1" selected="0">
            <x v="98"/>
          </reference>
          <reference field="11" count="1">
            <x v="4"/>
          </reference>
        </references>
      </pivotArea>
    </format>
    <format dxfId="529">
      <pivotArea dataOnly="0" labelOnly="1" outline="0" fieldPosition="0">
        <references count="2">
          <reference field="10" count="1" selected="0">
            <x v="99"/>
          </reference>
          <reference field="11" count="1">
            <x v="5"/>
          </reference>
        </references>
      </pivotArea>
    </format>
    <format dxfId="528">
      <pivotArea outline="0" collapsedLevelsAreSubtotals="1" fieldPosition="0"/>
    </format>
    <format dxfId="527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526">
      <pivotArea dataOnly="0" labelOnly="1" grandRow="1" outline="0" fieldPosition="0"/>
    </format>
    <format dxfId="525">
      <pivotArea dataOnly="0" labelOnly="1" outline="0" fieldPosition="0">
        <references count="2">
          <reference field="10" count="1" selected="0">
            <x v="39"/>
          </reference>
          <reference field="11" count="1">
            <x v="2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40"/>
          </reference>
          <reference field="11" count="1">
            <x v="3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41"/>
          </reference>
          <reference field="11" count="1">
            <x v="4"/>
          </reference>
        </references>
      </pivotArea>
    </format>
    <format dxfId="522">
      <pivotArea dataOnly="0" labelOnly="1" outline="0" fieldPosition="0">
        <references count="2">
          <reference field="10" count="1" selected="0">
            <x v="42"/>
          </reference>
          <reference field="11" count="1">
            <x v="5"/>
          </reference>
        </references>
      </pivotArea>
    </format>
    <format dxfId="521">
      <pivotArea dataOnly="0" labelOnly="1" outline="0" fieldPosition="0">
        <references count="2">
          <reference field="10" count="1" selected="0">
            <x v="44"/>
          </reference>
          <reference field="11" count="1">
            <x v="7"/>
          </reference>
        </references>
      </pivotArea>
    </format>
    <format dxfId="520">
      <pivotArea dataOnly="0" labelOnly="1" outline="0" fieldPosition="0">
        <references count="2">
          <reference field="10" count="1" selected="0">
            <x v="46"/>
          </reference>
          <reference field="11" count="1">
            <x v="8"/>
          </reference>
        </references>
      </pivotArea>
    </format>
    <format dxfId="519">
      <pivotArea dataOnly="0" labelOnly="1" outline="0" fieldPosition="0">
        <references count="2">
          <reference field="10" count="1" selected="0">
            <x v="47"/>
          </reference>
          <reference field="11" count="1">
            <x v="9"/>
          </reference>
        </references>
      </pivotArea>
    </format>
    <format dxfId="518">
      <pivotArea dataOnly="0" labelOnly="1" outline="0" fieldPosition="0">
        <references count="2">
          <reference field="10" count="1" selected="0">
            <x v="48"/>
          </reference>
          <reference field="11" count="1">
            <x v="10"/>
          </reference>
        </references>
      </pivotArea>
    </format>
    <format dxfId="517">
      <pivotArea dataOnly="0" labelOnly="1" outline="0" fieldPosition="0">
        <references count="2">
          <reference field="10" count="1" selected="0">
            <x v="49"/>
          </reference>
          <reference field="11" count="1">
            <x v="11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512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511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510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509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508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507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506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>
            <x v="1"/>
          </reference>
        </references>
      </pivotArea>
    </format>
    <format dxfId="505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504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503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2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1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7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6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5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4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3">
      <pivotArea outline="0" collapsedLevelsAreSubtotals="1" fieldPosition="0"/>
    </format>
    <format dxfId="482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481">
      <pivotArea dataOnly="0" labelOnly="1" grandRow="1" outline="0" fieldPosition="0"/>
    </format>
    <format dxfId="480">
      <pivotArea dataOnly="0" labelOnly="1" outline="0" fieldPosition="0">
        <references count="2">
          <reference field="10" count="1" selected="0">
            <x v="39"/>
          </reference>
          <reference field="11" count="1">
            <x v="2"/>
          </reference>
        </references>
      </pivotArea>
    </format>
    <format dxfId="479">
      <pivotArea dataOnly="0" labelOnly="1" outline="0" fieldPosition="0">
        <references count="2">
          <reference field="10" count="1" selected="0">
            <x v="40"/>
          </reference>
          <reference field="11" count="1">
            <x v="3"/>
          </reference>
        </references>
      </pivotArea>
    </format>
    <format dxfId="478">
      <pivotArea dataOnly="0" labelOnly="1" outline="0" fieldPosition="0">
        <references count="2">
          <reference field="10" count="1" selected="0">
            <x v="41"/>
          </reference>
          <reference field="11" count="1">
            <x v="4"/>
          </reference>
        </references>
      </pivotArea>
    </format>
    <format dxfId="477">
      <pivotArea dataOnly="0" labelOnly="1" outline="0" fieldPosition="0">
        <references count="2">
          <reference field="10" count="1" selected="0">
            <x v="42"/>
          </reference>
          <reference field="11" count="1">
            <x v="5"/>
          </reference>
        </references>
      </pivotArea>
    </format>
    <format dxfId="476">
      <pivotArea dataOnly="0" labelOnly="1" outline="0" fieldPosition="0">
        <references count="2">
          <reference field="10" count="1" selected="0">
            <x v="44"/>
          </reference>
          <reference field="11" count="1">
            <x v="7"/>
          </reference>
        </references>
      </pivotArea>
    </format>
    <format dxfId="475">
      <pivotArea dataOnly="0" labelOnly="1" outline="0" fieldPosition="0">
        <references count="2">
          <reference field="10" count="1" selected="0">
            <x v="46"/>
          </reference>
          <reference field="11" count="1">
            <x v="8"/>
          </reference>
        </references>
      </pivotArea>
    </format>
    <format dxfId="474">
      <pivotArea dataOnly="0" labelOnly="1" outline="0" fieldPosition="0">
        <references count="2">
          <reference field="10" count="1" selected="0">
            <x v="47"/>
          </reference>
          <reference field="11" count="1">
            <x v="9"/>
          </reference>
        </references>
      </pivotArea>
    </format>
    <format dxfId="473">
      <pivotArea dataOnly="0" labelOnly="1" outline="0" fieldPosition="0">
        <references count="2">
          <reference field="10" count="1" selected="0">
            <x v="48"/>
          </reference>
          <reference field="11" count="1">
            <x v="10"/>
          </reference>
        </references>
      </pivotArea>
    </format>
    <format dxfId="472">
      <pivotArea dataOnly="0" labelOnly="1" outline="0" fieldPosition="0">
        <references count="2">
          <reference field="10" count="1" selected="0">
            <x v="49"/>
          </reference>
          <reference field="11" count="1">
            <x v="11"/>
          </reference>
        </references>
      </pivotArea>
    </format>
    <format dxfId="471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47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469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468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467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466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465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464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463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462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461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>
            <x v="1"/>
          </reference>
        </references>
      </pivotArea>
    </format>
    <format dxfId="460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459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458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7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56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5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3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1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0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6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5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4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437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436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435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434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433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432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43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43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42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field="10" type="button" dataOnly="0" labelOnly="1" outline="0" axis="axisRow" fieldPosition="0"/>
    </format>
    <format dxfId="425">
      <pivotArea field="11" type="button" dataOnly="0" labelOnly="1" outline="0" axis="axisRow" fieldPosition="1"/>
    </format>
    <format dxfId="424">
      <pivotArea field="12" type="button" dataOnly="0" labelOnly="1" outline="0" axis="axisRow" fieldPosition="2"/>
    </format>
    <format dxfId="423">
      <pivotArea field="16" type="button" dataOnly="0" labelOnly="1" outline="0" axis="axisRow" fieldPosition="3"/>
    </format>
    <format dxfId="422">
      <pivotArea field="17" type="button" dataOnly="0" labelOnly="1" outline="0" axis="axisRow" fieldPosition="4"/>
    </format>
    <format dxfId="421">
      <pivotArea field="14" type="button" dataOnly="0" labelOnly="1" outline="0" axis="axisRow" fieldPosition="5"/>
    </format>
    <format dxfId="420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419">
      <pivotArea dataOnly="0" labelOnly="1" grandRow="1" outline="0" fieldPosition="0"/>
    </format>
    <format dxfId="418">
      <pivotArea dataOnly="0" labelOnly="1" outline="0" fieldPosition="0">
        <references count="2">
          <reference field="10" count="1" selected="0">
            <x v="39"/>
          </reference>
          <reference field="11" count="1">
            <x v="2"/>
          </reference>
        </references>
      </pivotArea>
    </format>
    <format dxfId="417">
      <pivotArea dataOnly="0" labelOnly="1" outline="0" fieldPosition="0">
        <references count="2">
          <reference field="10" count="1" selected="0">
            <x v="40"/>
          </reference>
          <reference field="11" count="1">
            <x v="3"/>
          </reference>
        </references>
      </pivotArea>
    </format>
    <format dxfId="416">
      <pivotArea dataOnly="0" labelOnly="1" outline="0" fieldPosition="0">
        <references count="2">
          <reference field="10" count="1" selected="0">
            <x v="41"/>
          </reference>
          <reference field="11" count="1">
            <x v="4"/>
          </reference>
        </references>
      </pivotArea>
    </format>
    <format dxfId="415">
      <pivotArea dataOnly="0" labelOnly="1" outline="0" fieldPosition="0">
        <references count="2">
          <reference field="10" count="1" selected="0">
            <x v="42"/>
          </reference>
          <reference field="11" count="1">
            <x v="5"/>
          </reference>
        </references>
      </pivotArea>
    </format>
    <format dxfId="414">
      <pivotArea dataOnly="0" labelOnly="1" outline="0" fieldPosition="0">
        <references count="2">
          <reference field="10" count="1" selected="0">
            <x v="44"/>
          </reference>
          <reference field="11" count="1">
            <x v="7"/>
          </reference>
        </references>
      </pivotArea>
    </format>
    <format dxfId="413">
      <pivotArea dataOnly="0" labelOnly="1" outline="0" fieldPosition="0">
        <references count="2">
          <reference field="10" count="1" selected="0">
            <x v="46"/>
          </reference>
          <reference field="11" count="1">
            <x v="8"/>
          </reference>
        </references>
      </pivotArea>
    </format>
    <format dxfId="412">
      <pivotArea dataOnly="0" labelOnly="1" outline="0" fieldPosition="0">
        <references count="2">
          <reference field="10" count="1" selected="0">
            <x v="47"/>
          </reference>
          <reference field="11" count="1">
            <x v="9"/>
          </reference>
        </references>
      </pivotArea>
    </format>
    <format dxfId="411">
      <pivotArea dataOnly="0" labelOnly="1" outline="0" fieldPosition="0">
        <references count="2">
          <reference field="10" count="1" selected="0">
            <x v="48"/>
          </reference>
          <reference field="11" count="1">
            <x v="10"/>
          </reference>
        </references>
      </pivotArea>
    </format>
    <format dxfId="410">
      <pivotArea dataOnly="0" labelOnly="1" outline="0" fieldPosition="0">
        <references count="2">
          <reference field="10" count="1" selected="0">
            <x v="49"/>
          </reference>
          <reference field="11" count="1">
            <x v="11"/>
          </reference>
        </references>
      </pivotArea>
    </format>
    <format dxfId="409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408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407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406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405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404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40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40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40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40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399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>
            <x v="1"/>
          </reference>
        </references>
      </pivotArea>
    </format>
    <format dxfId="398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397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396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95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94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2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1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9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8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6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5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3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2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1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0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9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8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7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10" type="button" dataOnly="0" labelOnly="1" outline="0" axis="axisRow" fieldPosition="0"/>
    </format>
    <format dxfId="372">
      <pivotArea field="11" type="button" dataOnly="0" labelOnly="1" outline="0" axis="axisRow" fieldPosition="1"/>
    </format>
    <format dxfId="371">
      <pivotArea field="12" type="button" dataOnly="0" labelOnly="1" outline="0" axis="axisRow" fieldPosition="2"/>
    </format>
    <format dxfId="370">
      <pivotArea field="16" type="button" dataOnly="0" labelOnly="1" outline="0" axis="axisRow" fieldPosition="3"/>
    </format>
    <format dxfId="369">
      <pivotArea field="17" type="button" dataOnly="0" labelOnly="1" outline="0" axis="axisRow" fieldPosition="4"/>
    </format>
    <format dxfId="368">
      <pivotArea field="14" type="button" dataOnly="0" labelOnly="1" outline="0" axis="axisRow" fieldPosition="5"/>
    </format>
    <format dxfId="367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366">
      <pivotArea dataOnly="0" labelOnly="1" grandRow="1" outline="0" fieldPosition="0"/>
    </format>
    <format dxfId="365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>
            <x v="1"/>
          </reference>
        </references>
      </pivotArea>
    </format>
    <format dxfId="364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363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362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61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60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8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7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0" type="button" dataOnly="0" labelOnly="1" outline="0" axis="axisRow" fieldPosition="0"/>
    </format>
    <format dxfId="338">
      <pivotArea field="11" type="button" dataOnly="0" labelOnly="1" outline="0" axis="axisRow" fieldPosition="1"/>
    </format>
    <format dxfId="337">
      <pivotArea field="12" type="button" dataOnly="0" labelOnly="1" outline="0" axis="axisRow" fieldPosition="2"/>
    </format>
    <format dxfId="336">
      <pivotArea field="16" type="button" dataOnly="0" labelOnly="1" outline="0" axis="axisRow" fieldPosition="3"/>
    </format>
    <format dxfId="335">
      <pivotArea field="17" type="button" dataOnly="0" labelOnly="1" outline="0" axis="axisRow" fieldPosition="4"/>
    </format>
    <format dxfId="334">
      <pivotArea field="14" type="button" dataOnly="0" labelOnly="1" outline="0" axis="axisRow" fieldPosition="5"/>
    </format>
    <format dxfId="333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332">
      <pivotArea dataOnly="0" labelOnly="1" grandRow="1" outline="0" fieldPosition="0"/>
    </format>
    <format dxfId="331">
      <pivotArea dataOnly="0" labelOnly="1" outline="0" fieldPosition="0">
        <references count="2">
          <reference field="10" count="1" selected="0">
            <x v="39"/>
          </reference>
          <reference field="11" count="1">
            <x v="2"/>
          </reference>
        </references>
      </pivotArea>
    </format>
    <format dxfId="330">
      <pivotArea dataOnly="0" labelOnly="1" outline="0" fieldPosition="0">
        <references count="2">
          <reference field="10" count="1" selected="0">
            <x v="40"/>
          </reference>
          <reference field="11" count="1">
            <x v="3"/>
          </reference>
        </references>
      </pivotArea>
    </format>
    <format dxfId="329">
      <pivotArea dataOnly="0" labelOnly="1" outline="0" fieldPosition="0">
        <references count="2">
          <reference field="10" count="1" selected="0">
            <x v="41"/>
          </reference>
          <reference field="11" count="1">
            <x v="4"/>
          </reference>
        </references>
      </pivotArea>
    </format>
    <format dxfId="328">
      <pivotArea dataOnly="0" labelOnly="1" outline="0" fieldPosition="0">
        <references count="2">
          <reference field="10" count="1" selected="0">
            <x v="42"/>
          </reference>
          <reference field="11" count="1">
            <x v="5"/>
          </reference>
        </references>
      </pivotArea>
    </format>
    <format dxfId="327">
      <pivotArea dataOnly="0" labelOnly="1" outline="0" fieldPosition="0">
        <references count="2">
          <reference field="10" count="1" selected="0">
            <x v="44"/>
          </reference>
          <reference field="11" count="1">
            <x v="7"/>
          </reference>
        </references>
      </pivotArea>
    </format>
    <format dxfId="326">
      <pivotArea dataOnly="0" labelOnly="1" outline="0" fieldPosition="0">
        <references count="2">
          <reference field="10" count="1" selected="0">
            <x v="46"/>
          </reference>
          <reference field="11" count="1">
            <x v="8"/>
          </reference>
        </references>
      </pivotArea>
    </format>
    <format dxfId="325">
      <pivotArea dataOnly="0" labelOnly="1" outline="0" fieldPosition="0">
        <references count="2">
          <reference field="10" count="1" selected="0">
            <x v="47"/>
          </reference>
          <reference field="11" count="1">
            <x v="9"/>
          </reference>
        </references>
      </pivotArea>
    </format>
    <format dxfId="324">
      <pivotArea dataOnly="0" labelOnly="1" outline="0" fieldPosition="0">
        <references count="2">
          <reference field="10" count="1" selected="0">
            <x v="48"/>
          </reference>
          <reference field="11" count="1">
            <x v="10"/>
          </reference>
        </references>
      </pivotArea>
    </format>
    <format dxfId="323">
      <pivotArea dataOnly="0" labelOnly="1" outline="0" fieldPosition="0">
        <references count="2">
          <reference field="10" count="1" selected="0">
            <x v="49"/>
          </reference>
          <reference field="11" count="1">
            <x v="11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312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>
            <x v="1"/>
          </reference>
        </references>
      </pivotArea>
    </format>
    <format dxfId="311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>
            <x v="0"/>
          </reference>
        </references>
      </pivotArea>
    </format>
    <format dxfId="310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>
            <x v="1"/>
          </reference>
        </references>
      </pivotArea>
    </format>
    <format dxfId="309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08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07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06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2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5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3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4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1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5"/>
          </reference>
          <reference field="12" count="1" selected="0">
            <x v="222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0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1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3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5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7"/>
          </reference>
          <reference field="12" count="1" selected="0">
            <x v="217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220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5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8"/>
          </reference>
          <reference field="12" count="1" selected="0">
            <x v="224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4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6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3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9"/>
          </reference>
          <reference field="12" count="1" selected="0">
            <x v="228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2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0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1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10"/>
          </reference>
          <reference field="12" count="1" selected="0">
            <x v="232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0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1"/>
          </reference>
          <reference field="12" count="1" selected="0">
            <x v="234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8">
      <pivotArea dataOnly="0" labelOnly="1" outline="0" fieldPosition="0">
        <references count="2">
          <reference field="10" count="1" selected="0">
            <x v="39"/>
          </reference>
          <reference field="11" count="1">
            <x v="2"/>
          </reference>
        </references>
      </pivotArea>
    </format>
    <format dxfId="287">
      <pivotArea dataOnly="0" labelOnly="1" outline="0" fieldPosition="0">
        <references count="2">
          <reference field="10" count="1" selected="0">
            <x v="40"/>
          </reference>
          <reference field="11" count="1">
            <x v="3"/>
          </reference>
        </references>
      </pivotArea>
    </format>
    <format dxfId="286">
      <pivotArea dataOnly="0" labelOnly="1" outline="0" fieldPosition="0">
        <references count="2">
          <reference field="10" count="1" selected="0">
            <x v="41"/>
          </reference>
          <reference field="11" count="1">
            <x v="4"/>
          </reference>
        </references>
      </pivotArea>
    </format>
    <format dxfId="285">
      <pivotArea dataOnly="0" labelOnly="1" outline="0" fieldPosition="0">
        <references count="2">
          <reference field="10" count="1" selected="0">
            <x v="42"/>
          </reference>
          <reference field="11" count="1">
            <x v="5"/>
          </reference>
        </references>
      </pivotArea>
    </format>
    <format dxfId="284">
      <pivotArea dataOnly="0" labelOnly="1" outline="0" fieldPosition="0">
        <references count="2">
          <reference field="10" count="1" selected="0">
            <x v="44"/>
          </reference>
          <reference field="11" count="1">
            <x v="7"/>
          </reference>
        </references>
      </pivotArea>
    </format>
    <format dxfId="283">
      <pivotArea dataOnly="0" labelOnly="1" outline="0" fieldPosition="0">
        <references count="2">
          <reference field="10" count="1" selected="0">
            <x v="46"/>
          </reference>
          <reference field="11" count="1">
            <x v="8"/>
          </reference>
        </references>
      </pivotArea>
    </format>
    <format dxfId="282">
      <pivotArea dataOnly="0" labelOnly="1" outline="0" fieldPosition="0">
        <references count="2">
          <reference field="10" count="1" selected="0">
            <x v="47"/>
          </reference>
          <reference field="11" count="1">
            <x v="9"/>
          </reference>
        </references>
      </pivotArea>
    </format>
    <format dxfId="281">
      <pivotArea dataOnly="0" labelOnly="1" outline="0" fieldPosition="0">
        <references count="2">
          <reference field="10" count="1" selected="0">
            <x v="48"/>
          </reference>
          <reference field="11" count="1">
            <x v="10"/>
          </reference>
        </references>
      </pivotArea>
    </format>
    <format dxfId="280">
      <pivotArea dataOnly="0" labelOnly="1" outline="0" fieldPosition="0">
        <references count="2">
          <reference field="10" count="1" selected="0">
            <x v="49"/>
          </reference>
          <reference field="11" count="1">
            <x v="11"/>
          </reference>
        </references>
      </pivotArea>
    </format>
    <format dxfId="2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8">
      <pivotArea grandRow="1" outline="0" collapsedLevelsAreSubtotals="1" fieldPosition="0"/>
    </format>
    <format dxfId="277">
      <pivotArea dataOnly="0" labelOnly="1" grandRow="1" outline="0" fieldPosition="0"/>
    </format>
    <format dxfId="276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2"/>
          </reference>
          <reference field="12" count="1">
            <x v="211"/>
          </reference>
        </references>
      </pivotArea>
    </format>
    <format dxfId="275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"/>
          </reference>
          <reference field="12" count="2">
            <x v="213"/>
            <x v="215"/>
          </reference>
        </references>
      </pivotArea>
    </format>
    <format dxfId="274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4"/>
          </reference>
          <reference field="12" count="2">
            <x v="217"/>
            <x v="220"/>
          </reference>
        </references>
      </pivotArea>
    </format>
    <format dxfId="273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5"/>
          </reference>
          <reference field="12" count="1">
            <x v="222"/>
          </reference>
        </references>
      </pivotArea>
    </format>
    <format dxfId="272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7"/>
          </reference>
          <reference field="12" count="4">
            <x v="211"/>
            <x v="213"/>
            <x v="215"/>
            <x v="217"/>
          </reference>
        </references>
      </pivotArea>
    </format>
    <format dxfId="271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1">
            <x v="220"/>
          </reference>
        </references>
      </pivotArea>
    </format>
    <format dxfId="270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8"/>
          </reference>
          <reference field="12" count="1">
            <x v="224"/>
          </reference>
        </references>
      </pivotArea>
    </format>
    <format dxfId="269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9"/>
          </reference>
          <reference field="12" count="2">
            <x v="226"/>
            <x v="228"/>
          </reference>
        </references>
      </pivotArea>
    </format>
    <format dxfId="268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0"/>
          </reference>
          <reference field="12" count="2">
            <x v="230"/>
            <x v="232"/>
          </reference>
        </references>
      </pivotArea>
    </format>
    <format dxfId="267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1"/>
          </reference>
          <reference field="12" count="1">
            <x v="234"/>
          </reference>
        </references>
      </pivotArea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4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4"/>
          </reference>
          <reference field="12" count="2">
            <x v="173"/>
            <x v="175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15"/>
          </reference>
          <reference field="12" count="2">
            <x v="177"/>
            <x v="179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16"/>
          </reference>
          <reference field="12" count="2">
            <x v="181"/>
            <x v="183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4"/>
          </reference>
          <reference field="12" count="1">
            <x v="171"/>
          </reference>
        </references>
      </pivotArea>
    </format>
    <format dxfId="260">
      <pivotArea dataOnly="0" labelOnly="1" outline="0" fieldPosition="0">
        <references count="4">
          <reference field="10" count="1" selected="0">
            <x v="56"/>
          </reference>
          <reference field="11" count="1" selected="0">
            <x v="14"/>
          </reference>
          <reference field="12" count="1" selected="0">
            <x v="171"/>
          </reference>
          <reference field="16" count="1">
            <x v="3"/>
          </reference>
        </references>
      </pivotArea>
    </format>
    <format dxfId="259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19"/>
          </reference>
          <reference field="12" count="1" selected="0">
            <x v="171"/>
          </reference>
          <reference field="16" count="1">
            <x v="4"/>
          </reference>
        </references>
      </pivotArea>
    </format>
    <format dxfId="258">
      <pivotArea dataOnly="0" labelOnly="1" outline="0" fieldPosition="0">
        <references count="4">
          <reference field="10" count="1" selected="0">
            <x v="61"/>
          </reference>
          <reference field="11" count="1" selected="0">
            <x v="20"/>
          </reference>
          <reference field="12" count="1" selected="0">
            <x v="185"/>
          </reference>
          <reference field="16" count="1">
            <x v="3"/>
          </reference>
        </references>
      </pivotArea>
    </format>
    <format dxfId="257">
      <pivotArea dataOnly="0" labelOnly="1" outline="0" fieldPosition="0">
        <references count="4">
          <reference field="10" count="1" selected="0">
            <x v="65"/>
          </reference>
          <reference field="11" count="1" selected="0">
            <x v="24"/>
          </reference>
          <reference field="12" count="1" selected="0">
            <x v="181"/>
          </reference>
          <reference field="16" count="1">
            <x v="4"/>
          </reference>
        </references>
      </pivotArea>
    </format>
    <format dxfId="256">
      <pivotArea dataOnly="0" labelOnly="1" outline="0" fieldPosition="0">
        <references count="4">
          <reference field="10" count="1" selected="0">
            <x v="67"/>
          </reference>
          <reference field="11" count="1" selected="0">
            <x v="25"/>
          </reference>
          <reference field="12" count="1" selected="0">
            <x v="197"/>
          </reference>
          <reference field="16" count="1">
            <x v="3"/>
          </reference>
        </references>
      </pivotArea>
    </format>
    <format dxfId="25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19"/>
          </reference>
          <reference field="12" count="1" selected="0">
            <x v="171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54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19"/>
          </reference>
          <reference field="12" count="5">
            <x v="171"/>
            <x v="173"/>
            <x v="175"/>
            <x v="177"/>
            <x v="179"/>
          </reference>
        </references>
      </pivotArea>
    </format>
    <format dxfId="253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20"/>
          </reference>
          <reference field="12" count="2">
            <x v="185"/>
            <x v="187"/>
          </reference>
        </references>
      </pivotArea>
    </format>
    <format dxfId="252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21"/>
          </reference>
          <reference field="12" count="1">
            <x v="189"/>
          </reference>
        </references>
      </pivotArea>
    </format>
    <format dxfId="251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22"/>
          </reference>
          <reference field="12" count="3">
            <x v="191"/>
            <x v="193"/>
            <x v="195"/>
          </reference>
        </references>
      </pivotArea>
    </format>
    <format dxfId="250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24"/>
          </reference>
          <reference field="12" count="4">
            <x v="181"/>
            <x v="183"/>
            <x v="185"/>
            <x v="187"/>
          </reference>
        </references>
      </pivotArea>
    </format>
    <format dxfId="249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24"/>
          </reference>
          <reference field="12" count="2">
            <x v="189"/>
            <x v="191"/>
          </reference>
        </references>
      </pivotArea>
    </format>
    <format dxfId="248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25"/>
          </reference>
          <reference field="12" count="2">
            <x v="197"/>
            <x v="199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69"/>
          </reference>
          <reference field="11" count="1" selected="0">
            <x v="26"/>
          </reference>
          <reference field="12" count="3">
            <x v="201"/>
            <x v="203"/>
            <x v="205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70"/>
          </reference>
          <reference field="11" count="1" selected="0">
            <x v="27"/>
          </reference>
          <reference field="12" count="1">
            <x v="207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29"/>
          </reference>
          <reference field="12" count="4">
            <x v="193"/>
            <x v="195"/>
            <x v="197"/>
            <x v="199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9"/>
          </reference>
          <reference field="12" count="2">
            <x v="201"/>
            <x v="209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30"/>
          </reference>
          <reference field="12" count="1">
            <x v="211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31"/>
          </reference>
          <reference field="12" count="2">
            <x v="213"/>
            <x v="215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32"/>
          </reference>
          <reference field="12" count="1">
            <x v="217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33"/>
          </reference>
          <reference field="12" count="2">
            <x v="220"/>
            <x v="222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35"/>
          </reference>
          <reference field="12" count="4">
            <x v="203"/>
            <x v="205"/>
            <x v="207"/>
            <x v="209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35"/>
          </reference>
          <reference field="12" count="1">
            <x v="211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36"/>
          </reference>
          <reference field="12" count="4">
            <x v="213"/>
            <x v="215"/>
            <x v="218"/>
            <x v="224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37"/>
          </reference>
          <reference field="12" count="1">
            <x v="226"/>
          </reference>
        </references>
      </pivotArea>
    </format>
    <format dxfId="235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38"/>
          </reference>
          <reference field="12" count="1">
            <x v="228"/>
          </reference>
        </references>
      </pivotArea>
    </format>
    <format dxfId="234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40"/>
          </reference>
          <reference field="12" count="2">
            <x v="230"/>
            <x v="232"/>
          </reference>
        </references>
      </pivotArea>
    </format>
    <format dxfId="233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41"/>
          </reference>
          <reference field="12" count="1">
            <x v="234"/>
          </reference>
        </references>
      </pivotArea>
    </format>
    <format dxfId="232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44"/>
          </reference>
          <reference field="12" count="1" selected="0">
            <x v="235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31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42"/>
          </reference>
          <reference field="12" count="4">
            <x v="220"/>
            <x v="222"/>
            <x v="224"/>
            <x v="226"/>
          </reference>
        </references>
      </pivotArea>
    </format>
    <format dxfId="230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42"/>
          </reference>
          <reference field="12" count="1">
            <x v="228"/>
          </reference>
        </references>
      </pivotArea>
    </format>
    <format dxfId="229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44"/>
          </reference>
          <reference field="12" count="4">
            <x v="230"/>
            <x v="232"/>
            <x v="234"/>
            <x v="235"/>
          </reference>
        </references>
      </pivotArea>
    </format>
    <format dxfId="228">
      <pivotArea outline="0" fieldPosition="0">
        <references count="7">
          <reference field="4294967294" count="1" selected="0">
            <x v="0"/>
          </reference>
          <reference field="10" count="1" selected="0">
            <x v="80"/>
          </reference>
          <reference field="11" count="1" selected="0">
            <x v="35"/>
          </reference>
          <reference field="12" count="4" selected="0">
            <x v="203"/>
            <x v="205"/>
            <x v="207"/>
            <x v="209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2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45"/>
          </reference>
          <reference field="12" count="4">
            <x v="161"/>
            <x v="163"/>
            <x v="165"/>
            <x v="167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45"/>
          </reference>
          <reference field="12" count="1">
            <x v="168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46"/>
          </reference>
          <reference field="12" count="3">
            <x v="155"/>
            <x v="157"/>
            <x v="159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47"/>
          </reference>
          <reference field="12" count="3">
            <x v="149"/>
            <x v="151"/>
            <x v="153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8"/>
          </reference>
          <reference field="12" count="3">
            <x v="146"/>
            <x v="147"/>
            <x v="148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49"/>
          </reference>
          <reference field="12" count="3">
            <x v="143"/>
            <x v="144"/>
            <x v="145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0"/>
          </reference>
          <reference field="12" count="3">
            <x v="140"/>
            <x v="141"/>
            <x v="142"/>
          </reference>
        </references>
      </pivotArea>
    </format>
    <format dxfId="220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51"/>
          </reference>
          <reference field="12" count="3">
            <x v="135"/>
            <x v="137"/>
            <x v="139"/>
          </reference>
        </references>
      </pivotArea>
    </format>
    <format dxfId="219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2"/>
          </reference>
          <reference field="12" count="3">
            <x v="129"/>
            <x v="131"/>
            <x v="133"/>
          </reference>
        </references>
      </pivotArea>
    </format>
    <format dxfId="218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53"/>
          </reference>
          <reference field="12" count="3">
            <x v="123"/>
            <x v="125"/>
            <x v="127"/>
          </reference>
        </references>
      </pivotArea>
    </format>
    <format dxfId="217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54"/>
          </reference>
          <reference field="12" count="3">
            <x v="117"/>
            <x v="119"/>
            <x v="121"/>
          </reference>
        </references>
      </pivotArea>
    </format>
    <format dxfId="216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55"/>
          </reference>
          <reference field="12" count="3">
            <x v="111"/>
            <x v="113"/>
            <x v="115"/>
          </reference>
        </references>
      </pivotArea>
    </format>
    <format dxfId="215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56"/>
          </reference>
          <reference field="12" count="3">
            <x v="105"/>
            <x v="107"/>
            <x v="109"/>
          </reference>
        </references>
      </pivotArea>
    </format>
    <format dxfId="214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57"/>
          </reference>
          <reference field="12" count="3">
            <x v="99"/>
            <x v="101"/>
            <x v="103"/>
          </reference>
        </references>
      </pivotArea>
    </format>
    <format dxfId="213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57"/>
          </reference>
          <reference field="12" count="3">
            <x v="93"/>
            <x v="95"/>
            <x v="97"/>
          </reference>
        </references>
      </pivotArea>
    </format>
    <format dxfId="212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58"/>
          </reference>
          <reference field="12" count="3">
            <x v="87"/>
            <x v="89"/>
            <x v="91"/>
          </reference>
        </references>
      </pivotArea>
    </format>
    <format dxfId="211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59"/>
          </reference>
          <reference field="12" count="3">
            <x v="81"/>
            <x v="83"/>
            <x v="85"/>
          </reference>
        </references>
      </pivotArea>
    </format>
    <format dxfId="210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60"/>
          </reference>
          <reference field="12" count="3">
            <x v="75"/>
            <x v="77"/>
            <x v="79"/>
          </reference>
        </references>
      </pivotArea>
    </format>
    <format dxfId="209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61"/>
          </reference>
          <reference field="12" count="4">
            <x v="67"/>
            <x v="69"/>
            <x v="71"/>
            <x v="73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62"/>
          </reference>
          <reference field="12" count="3">
            <x v="63"/>
            <x v="65"/>
            <x v="67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63"/>
          </reference>
          <reference field="12" count="3">
            <x v="59"/>
            <x v="60"/>
            <x v="61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64"/>
          </reference>
          <reference field="12" count="4">
            <x v="53"/>
            <x v="54"/>
            <x v="55"/>
            <x v="56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64"/>
          </reference>
          <reference field="12" count="2">
            <x v="57"/>
            <x v="58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23"/>
          </reference>
          <reference field="11" count="1" selected="0">
            <x v="65"/>
          </reference>
          <reference field="12" count="3">
            <x v="50"/>
            <x v="51"/>
            <x v="52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66"/>
          </reference>
          <reference field="12" count="3">
            <x v="44"/>
            <x v="46"/>
            <x v="48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25"/>
          </reference>
          <reference field="11" count="1" selected="0">
            <x v="68"/>
          </reference>
          <reference field="12" count="3">
            <x v="38"/>
            <x v="40"/>
            <x v="42"/>
          </reference>
        </references>
      </pivotArea>
    </format>
    <format dxfId="20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69"/>
          </reference>
          <reference field="12" count="3">
            <x v="32"/>
            <x v="34"/>
            <x v="36"/>
          </reference>
        </references>
      </pivotArea>
    </format>
    <format dxfId="200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70"/>
          </reference>
          <reference field="12" count="3">
            <x v="28"/>
            <x v="29"/>
            <x v="30"/>
          </reference>
        </references>
      </pivotArea>
    </format>
    <format dxfId="199">
      <pivotArea dataOnly="0" labelOnly="1" outline="0" fieldPosition="0">
        <references count="3">
          <reference field="10" count="1" selected="0">
            <x v="28"/>
          </reference>
          <reference field="11" count="1" selected="0">
            <x v="71"/>
          </reference>
          <reference field="12" count="3">
            <x v="25"/>
            <x v="26"/>
            <x v="27"/>
          </reference>
        </references>
      </pivotArea>
    </format>
    <format dxfId="198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72"/>
          </reference>
          <reference field="12" count="3">
            <x v="22"/>
            <x v="23"/>
            <x v="24"/>
          </reference>
        </references>
      </pivotArea>
    </format>
    <format dxfId="197">
      <pivotArea dataOnly="0" labelOnly="1" outline="0" fieldPosition="0">
        <references count="3">
          <reference field="10" count="1" selected="0">
            <x v="30"/>
          </reference>
          <reference field="11" count="1" selected="0">
            <x v="72"/>
          </reference>
          <reference field="12" count="3">
            <x v="19"/>
            <x v="20"/>
            <x v="21"/>
          </reference>
        </references>
      </pivotArea>
    </format>
    <format dxfId="196">
      <pivotArea dataOnly="0" labelOnly="1" outline="0" fieldPosition="0">
        <references count="3">
          <reference field="10" count="1" selected="0">
            <x v="31"/>
          </reference>
          <reference field="11" count="1" selected="0">
            <x v="73"/>
          </reference>
          <reference field="12" count="3">
            <x v="16"/>
            <x v="17"/>
            <x v="18"/>
          </reference>
        </references>
      </pivotArea>
    </format>
    <format dxfId="1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74"/>
          </reference>
          <reference field="12" count="3">
            <x v="13"/>
            <x v="14"/>
            <x v="15"/>
          </reference>
        </references>
      </pivotArea>
    </format>
    <format dxfId="194">
      <pivotArea dataOnly="0" labelOnly="1" outline="0" fieldPosition="0">
        <references count="3">
          <reference field="10" count="1" selected="0">
            <x v="33"/>
          </reference>
          <reference field="11" count="1" selected="0">
            <x v="75"/>
          </reference>
          <reference field="12" count="3">
            <x v="10"/>
            <x v="11"/>
            <x v="12"/>
          </reference>
        </references>
      </pivotArea>
    </format>
    <format dxfId="193">
      <pivotArea dataOnly="0" labelOnly="1" outline="0" fieldPosition="0">
        <references count="3">
          <reference field="10" count="1" selected="0">
            <x v="34"/>
          </reference>
          <reference field="11" count="1" selected="0">
            <x v="76"/>
          </reference>
          <reference field="12" count="3">
            <x v="7"/>
            <x v="8"/>
            <x v="9"/>
          </reference>
        </references>
      </pivotArea>
    </format>
    <format dxfId="192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77"/>
          </reference>
          <reference field="12" count="3">
            <x v="4"/>
            <x v="5"/>
            <x v="6"/>
          </reference>
        </references>
      </pivotArea>
    </format>
    <format dxfId="191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78"/>
          </reference>
          <reference field="12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3" applyNumberFormats="0" applyBorderFormats="0" applyFontFormats="0" applyPatternFormats="0" applyAlignmentFormats="0" applyWidthHeightFormats="1" dataCaption="Değerler" grandTotalCaption="Genel Toplam (adet)" updatedVersion="8" minRefreshableVersion="3" useAutoFormatting="1" itemPrintTitles="1" createdVersion="8" indent="0" compact="0" compactData="0" multipleFieldFilters="0">
  <location ref="C13:H50" firstHeaderRow="0" firstDataRow="1" firstDataCol="3"/>
  <pivotFields count="31">
    <pivotField compact="0" outline="0" showAll="0">
      <items count="7">
        <item h="1" m="1" x="3"/>
        <item h="1" m="1" x="4"/>
        <item h="1" m="1" x="5"/>
        <item h="1" x="2"/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h="1" m="1" x="3"/>
        <item h="1" m="1" x="4"/>
        <item h="1" m="1" x="5"/>
        <item h="1" x="2"/>
        <item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3"/>
        <item h="1" x="1"/>
        <item h="1" m="1" x="4"/>
        <item h="1" m="1" x="6"/>
        <item h="1" m="1" x="5"/>
        <item h="1"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9">
        <item x="39"/>
        <item x="40"/>
        <item x="38"/>
        <item x="37"/>
        <item x="36"/>
        <item x="0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18"/>
        <item x="17"/>
        <item x="15"/>
        <item x="16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m="1" x="81"/>
        <item m="1" x="43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4"/>
        <item m="1" x="45"/>
        <item m="1" x="46"/>
        <item m="1" x="47"/>
        <item m="1" x="48"/>
        <item m="1" x="49"/>
        <item m="1" x="51"/>
        <item m="1" x="52"/>
        <item m="1" x="53"/>
        <item m="1" x="54"/>
        <item m="1" x="55"/>
        <item m="1" x="56"/>
        <item m="1" x="58"/>
        <item m="1" x="59"/>
        <item m="1" x="60"/>
        <item m="1" x="61"/>
        <item m="1" x="62"/>
        <item m="1" x="63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x="41"/>
        <item x="42"/>
        <item x="20"/>
        <item x="21"/>
        <item x="22"/>
        <item m="1" x="50"/>
        <item m="1" x="57"/>
        <item m="1" x="64"/>
        <item m="1" x="74"/>
        <item m="1" x="79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1"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37"/>
        <item m="1" x="38"/>
        <item m="1" x="39"/>
        <item m="1" x="80"/>
        <item x="17"/>
        <item m="1" x="36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2"/>
        <item m="1" x="63"/>
        <item m="1" x="61"/>
        <item m="1" x="64"/>
        <item m="1" x="65"/>
        <item m="1" x="66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m="1" x="200"/>
        <item m="1" x="201"/>
        <item m="1" x="209"/>
        <item m="1" x="210"/>
        <item m="1" x="211"/>
        <item m="1" x="212"/>
        <item m="1" x="213"/>
        <item m="1" x="215"/>
        <item m="1" x="216"/>
        <item m="1" x="217"/>
        <item m="1" x="224"/>
        <item m="1" x="225"/>
        <item m="1" x="226"/>
        <item m="1" x="237"/>
        <item x="55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84"/>
        <item m="1" x="185"/>
        <item m="1" x="186"/>
        <item m="1" x="187"/>
        <item m="1" x="188"/>
        <item m="1" x="189"/>
        <item m="1" x="196"/>
        <item m="1" x="197"/>
        <item m="1" x="198"/>
        <item m="1" x="199"/>
        <item m="1" x="179"/>
        <item m="1" x="180"/>
        <item m="1" x="181"/>
        <item m="1" x="182"/>
        <item m="1" x="183"/>
        <item m="1" x="190"/>
        <item m="1" x="191"/>
        <item m="1" x="192"/>
        <item m="1" x="193"/>
        <item m="1" x="194"/>
        <item m="1" x="195"/>
        <item m="1" x="202"/>
        <item m="1" x="203"/>
        <item m="1" x="204"/>
        <item m="1" x="205"/>
        <item m="1" x="206"/>
        <item m="1" x="207"/>
        <item m="1" x="208"/>
        <item m="1" x="214"/>
        <item m="1" x="218"/>
        <item m="1" x="219"/>
        <item m="1" x="220"/>
        <item m="1" x="221"/>
        <item m="1" x="222"/>
        <item m="1" x="223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37">
    <i>
      <x v="90"/>
      <x v="79"/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>
      <x v="91"/>
      <x v="79"/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>
      <x v="92"/>
      <x v="80"/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92">
    <format dxfId="761">
      <pivotArea field="10" type="button" dataOnly="0" labelOnly="1" outline="0" axis="axisRow" fieldPosition="0"/>
    </format>
    <format dxfId="760">
      <pivotArea field="11" type="button" dataOnly="0" labelOnly="1" outline="0" axis="axisRow" fieldPosition="1"/>
    </format>
    <format dxfId="759">
      <pivotArea field="12" type="button" dataOnly="0" labelOnly="1" outline="0" axis="axisRow" fieldPosition="2"/>
    </format>
    <format dxfId="7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57">
      <pivotArea outline="0" collapsedLevelsAreSubtotals="1" fieldPosition="0"/>
    </format>
    <format dxfId="756">
      <pivotArea dataOnly="0" labelOnly="1" outline="0" fieldPosition="0">
        <references count="1">
          <reference field="10" count="6">
            <x v="50"/>
            <x v="51"/>
            <x v="52"/>
            <x v="53"/>
            <x v="54"/>
            <x v="55"/>
          </reference>
        </references>
      </pivotArea>
    </format>
    <format dxfId="755">
      <pivotArea dataOnly="0" labelOnly="1" grandRow="1" outline="0" fieldPosition="0"/>
    </format>
    <format dxfId="754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753">
      <pivotArea dataOnly="0" labelOnly="1" outline="0" fieldPosition="0">
        <references count="2">
          <reference field="10" count="1" selected="0">
            <x v="51"/>
          </reference>
          <reference field="11" count="1">
            <x v="12"/>
          </reference>
        </references>
      </pivotArea>
    </format>
    <format dxfId="752">
      <pivotArea dataOnly="0" labelOnly="1" outline="0" fieldPosition="0">
        <references count="2">
          <reference field="10" count="1" selected="0">
            <x v="52"/>
          </reference>
          <reference field="11" count="1">
            <x v="13"/>
          </reference>
        </references>
      </pivotArea>
    </format>
    <format dxfId="751">
      <pivotArea dataOnly="0" labelOnly="1" outline="0" fieldPosition="0">
        <references count="2">
          <reference field="10" count="1" selected="0">
            <x v="53"/>
          </reference>
          <reference field="11" count="1">
            <x v="14"/>
          </reference>
        </references>
      </pivotArea>
    </format>
    <format dxfId="750">
      <pivotArea dataOnly="0" labelOnly="1" outline="0" fieldPosition="0">
        <references count="2">
          <reference field="10" count="1" selected="0">
            <x v="54"/>
          </reference>
          <reference field="11" count="1">
            <x v="15"/>
          </reference>
        </references>
      </pivotArea>
    </format>
    <format dxfId="749">
      <pivotArea dataOnly="0" labelOnly="1" outline="0" fieldPosition="0">
        <references count="2">
          <reference field="10" count="1" selected="0">
            <x v="55"/>
          </reference>
          <reference field="11" count="1">
            <x v="16"/>
          </reference>
        </references>
      </pivotArea>
    </format>
    <format dxfId="74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47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4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45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44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43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42">
      <pivotArea outline="0" collapsedLevelsAreSubtotals="1" fieldPosition="0"/>
    </format>
    <format dxfId="741">
      <pivotArea dataOnly="0" labelOnly="1" outline="0" fieldPosition="0">
        <references count="1">
          <reference field="10" count="6">
            <x v="50"/>
            <x v="51"/>
            <x v="52"/>
            <x v="53"/>
            <x v="54"/>
            <x v="55"/>
          </reference>
        </references>
      </pivotArea>
    </format>
    <format dxfId="740">
      <pivotArea dataOnly="0" labelOnly="1" grandRow="1" outline="0" fieldPosition="0"/>
    </format>
    <format dxfId="739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738">
      <pivotArea dataOnly="0" labelOnly="1" outline="0" fieldPosition="0">
        <references count="2">
          <reference field="10" count="1" selected="0">
            <x v="51"/>
          </reference>
          <reference field="11" count="1">
            <x v="12"/>
          </reference>
        </references>
      </pivotArea>
    </format>
    <format dxfId="737">
      <pivotArea dataOnly="0" labelOnly="1" outline="0" fieldPosition="0">
        <references count="2">
          <reference field="10" count="1" selected="0">
            <x v="52"/>
          </reference>
          <reference field="11" count="1">
            <x v="13"/>
          </reference>
        </references>
      </pivotArea>
    </format>
    <format dxfId="736">
      <pivotArea dataOnly="0" labelOnly="1" outline="0" fieldPosition="0">
        <references count="2">
          <reference field="10" count="1" selected="0">
            <x v="53"/>
          </reference>
          <reference field="11" count="1">
            <x v="14"/>
          </reference>
        </references>
      </pivotArea>
    </format>
    <format dxfId="735">
      <pivotArea dataOnly="0" labelOnly="1" outline="0" fieldPosition="0">
        <references count="2">
          <reference field="10" count="1" selected="0">
            <x v="54"/>
          </reference>
          <reference field="11" count="1">
            <x v="15"/>
          </reference>
        </references>
      </pivotArea>
    </format>
    <format dxfId="734">
      <pivotArea dataOnly="0" labelOnly="1" outline="0" fieldPosition="0">
        <references count="2">
          <reference field="10" count="1" selected="0">
            <x v="55"/>
          </reference>
          <reference field="11" count="1">
            <x v="16"/>
          </reference>
        </references>
      </pivotArea>
    </format>
    <format dxfId="73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3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31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30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29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28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27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26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25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24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23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22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21">
      <pivotArea outline="0" collapsedLevelsAreSubtotals="1" fieldPosition="0"/>
    </format>
    <format dxfId="720">
      <pivotArea dataOnly="0" labelOnly="1" outline="0" fieldPosition="0">
        <references count="1">
          <reference field="10" count="6">
            <x v="50"/>
            <x v="51"/>
            <x v="52"/>
            <x v="53"/>
            <x v="54"/>
            <x v="55"/>
          </reference>
        </references>
      </pivotArea>
    </format>
    <format dxfId="719">
      <pivotArea dataOnly="0" labelOnly="1" grandRow="1" outline="0" fieldPosition="0"/>
    </format>
    <format dxfId="718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717">
      <pivotArea dataOnly="0" labelOnly="1" outline="0" fieldPosition="0">
        <references count="2">
          <reference field="10" count="1" selected="0">
            <x v="51"/>
          </reference>
          <reference field="11" count="1">
            <x v="12"/>
          </reference>
        </references>
      </pivotArea>
    </format>
    <format dxfId="716">
      <pivotArea dataOnly="0" labelOnly="1" outline="0" fieldPosition="0">
        <references count="2">
          <reference field="10" count="1" selected="0">
            <x v="52"/>
          </reference>
          <reference field="11" count="1">
            <x v="13"/>
          </reference>
        </references>
      </pivotArea>
    </format>
    <format dxfId="715">
      <pivotArea dataOnly="0" labelOnly="1" outline="0" fieldPosition="0">
        <references count="2">
          <reference field="10" count="1" selected="0">
            <x v="53"/>
          </reference>
          <reference field="11" count="1">
            <x v="14"/>
          </reference>
        </references>
      </pivotArea>
    </format>
    <format dxfId="714">
      <pivotArea dataOnly="0" labelOnly="1" outline="0" fieldPosition="0">
        <references count="2">
          <reference field="10" count="1" selected="0">
            <x v="54"/>
          </reference>
          <reference field="11" count="1">
            <x v="15"/>
          </reference>
        </references>
      </pivotArea>
    </format>
    <format dxfId="713">
      <pivotArea dataOnly="0" labelOnly="1" outline="0" fieldPosition="0">
        <references count="2">
          <reference field="10" count="1" selected="0">
            <x v="55"/>
          </reference>
          <reference field="11" count="1">
            <x v="16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06">
      <pivotArea type="all" dataOnly="0" outline="0" fieldPosition="0"/>
    </format>
    <format dxfId="705">
      <pivotArea outline="0" collapsedLevelsAreSubtotals="1" fieldPosition="0"/>
    </format>
    <format dxfId="704">
      <pivotArea field="10" type="button" dataOnly="0" labelOnly="1" outline="0" axis="axisRow" fieldPosition="0"/>
    </format>
    <format dxfId="703">
      <pivotArea field="11" type="button" dataOnly="0" labelOnly="1" outline="0" axis="axisRow" fieldPosition="1"/>
    </format>
    <format dxfId="702">
      <pivotArea field="12" type="button" dataOnly="0" labelOnly="1" outline="0" axis="axisRow" fieldPosition="2"/>
    </format>
    <format dxfId="701">
      <pivotArea dataOnly="0" labelOnly="1" outline="0" fieldPosition="0">
        <references count="1">
          <reference field="10" count="6">
            <x v="50"/>
            <x v="51"/>
            <x v="52"/>
            <x v="53"/>
            <x v="54"/>
            <x v="55"/>
          </reference>
        </references>
      </pivotArea>
    </format>
    <format dxfId="700">
      <pivotArea dataOnly="0" labelOnly="1" grandRow="1" outline="0" fieldPosition="0"/>
    </format>
    <format dxfId="699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698">
      <pivotArea dataOnly="0" labelOnly="1" outline="0" fieldPosition="0">
        <references count="2">
          <reference field="10" count="1" selected="0">
            <x v="51"/>
          </reference>
          <reference field="11" count="1">
            <x v="12"/>
          </reference>
        </references>
      </pivotArea>
    </format>
    <format dxfId="697">
      <pivotArea dataOnly="0" labelOnly="1" outline="0" fieldPosition="0">
        <references count="2">
          <reference field="10" count="1" selected="0">
            <x v="52"/>
          </reference>
          <reference field="11" count="1">
            <x v="13"/>
          </reference>
        </references>
      </pivotArea>
    </format>
    <format dxfId="696">
      <pivotArea dataOnly="0" labelOnly="1" outline="0" fieldPosition="0">
        <references count="2">
          <reference field="10" count="1" selected="0">
            <x v="53"/>
          </reference>
          <reference field="11" count="1">
            <x v="14"/>
          </reference>
        </references>
      </pivotArea>
    </format>
    <format dxfId="695">
      <pivotArea dataOnly="0" labelOnly="1" outline="0" fieldPosition="0">
        <references count="2">
          <reference field="10" count="1" selected="0">
            <x v="54"/>
          </reference>
          <reference field="11" count="1">
            <x v="15"/>
          </reference>
        </references>
      </pivotArea>
    </format>
    <format dxfId="694">
      <pivotArea dataOnly="0" labelOnly="1" outline="0" fieldPosition="0">
        <references count="2">
          <reference field="10" count="1" selected="0">
            <x v="55"/>
          </reference>
          <reference field="11" count="1">
            <x v="16"/>
          </reference>
        </references>
      </pivotArea>
    </format>
    <format dxfId="69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9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91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90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89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88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6">
      <pivotArea grandRow="1" outline="0" collapsedLevelsAreSubtotals="1" fieldPosition="0"/>
    </format>
    <format dxfId="685">
      <pivotArea dataOnly="0" labelOnly="1" grandRow="1" outline="0" fieldPosition="0"/>
    </format>
    <format dxfId="68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3">
      <pivotArea dataOnly="0" labelOnly="1" outline="0" fieldPosition="0">
        <references count="2">
          <reference field="10" count="1" selected="0">
            <x v="93"/>
          </reference>
          <reference field="11" count="1">
            <x v="21"/>
          </reference>
        </references>
      </pivotArea>
    </format>
    <format dxfId="682">
      <pivotArea dataOnly="0" labelOnly="1" outline="0" fieldPosition="0">
        <references count="2">
          <reference field="10" count="1" selected="0">
            <x v="94"/>
          </reference>
          <reference field="11" count="1">
            <x v="26"/>
          </reference>
        </references>
      </pivotArea>
    </format>
    <format dxfId="681">
      <pivotArea dataOnly="0" labelOnly="1" outline="0" fieldPosition="0">
        <references count="1">
          <reference field="12" count="0"/>
        </references>
      </pivotArea>
    </format>
    <format dxfId="680">
      <pivotArea dataOnly="0" labelOnly="1" outline="0" fieldPosition="0">
        <references count="1">
          <reference field="12" count="0"/>
        </references>
      </pivotArea>
    </format>
    <format dxfId="679">
      <pivotArea dataOnly="0" labelOnly="1" outline="0" fieldPosition="0">
        <references count="2">
          <reference field="10" count="1" selected="0">
            <x v="95"/>
          </reference>
          <reference field="11" count="1">
            <x v="31"/>
          </reference>
        </references>
      </pivotArea>
    </format>
    <format dxfId="678">
      <pivotArea dataOnly="0" labelOnly="1" outline="0" fieldPosition="0">
        <references count="2">
          <reference field="10" count="1" selected="0">
            <x v="96"/>
          </reference>
          <reference field="11" count="1">
            <x v="42"/>
          </reference>
        </references>
      </pivotArea>
    </format>
    <format dxfId="677">
      <pivotArea dataOnly="0" labelOnly="1" outline="0" fieldPosition="0">
        <references count="2">
          <reference field="10" count="1" selected="0">
            <x v="97"/>
          </reference>
          <reference field="11" count="1">
            <x v="44"/>
          </reference>
        </references>
      </pivotArea>
    </format>
    <format dxfId="676">
      <pivotArea dataOnly="0" labelOnly="1" outline="0" fieldPosition="0">
        <references count="2">
          <reference field="10" count="1" selected="0">
            <x v="88"/>
          </reference>
          <reference field="11" count="1">
            <x v="58"/>
          </reference>
        </references>
      </pivotArea>
    </format>
    <format dxfId="675">
      <pivotArea dataOnly="0" labelOnly="1" outline="0" fieldPosition="0">
        <references count="2">
          <reference field="10" count="1" selected="0">
            <x v="89"/>
          </reference>
          <reference field="11" count="1">
            <x v="48"/>
          </reference>
        </references>
      </pivotArea>
    </format>
    <format dxfId="674">
      <pivotArea dataOnly="0" labelOnly="1" outline="0" fieldPosition="0">
        <references count="2">
          <reference field="10" count="1" selected="0">
            <x v="90"/>
          </reference>
          <reference field="11" count="1">
            <x v="79"/>
          </reference>
        </references>
      </pivotArea>
    </format>
    <format dxfId="673">
      <pivotArea dataOnly="0" labelOnly="1" outline="0" fieldPosition="0">
        <references count="2">
          <reference field="10" count="1" selected="0">
            <x v="92"/>
          </reference>
          <reference field="11" count="1">
            <x v="80"/>
          </reference>
        </references>
      </pivotArea>
    </format>
    <format dxfId="672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79"/>
          </reference>
          <reference field="12" count="19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</reference>
        </references>
      </pivotArea>
    </format>
    <format dxfId="671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79"/>
          </reference>
          <reference field="12" count="9">
            <x v="221"/>
            <x v="222"/>
            <x v="223"/>
            <x v="224"/>
            <x v="225"/>
            <x v="226"/>
            <x v="227"/>
            <x v="228"/>
            <x v="229"/>
          </reference>
        </references>
      </pivotArea>
    </format>
    <format dxfId="670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80"/>
          </reference>
          <reference field="12" count="8">
            <x v="230"/>
            <x v="231"/>
            <x v="232"/>
            <x v="233"/>
            <x v="234"/>
            <x v="235"/>
            <x v="236"/>
            <x v="237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0">
      <pivotArea field="10" type="button" dataOnly="0" labelOnly="1" outline="0" axis="axisRow" fieldPosition="0"/>
    </format>
    <format dxfId="189">
      <pivotArea field="11" type="button" dataOnly="0" labelOnly="1" outline="0" axis="axisRow" fieldPosition="1"/>
    </format>
    <format dxfId="188">
      <pivotArea field="12" type="button" dataOnly="0" labelOnly="1" outline="0" axis="axisRow" fieldPosition="2"/>
    </format>
    <format dxfId="187">
      <pivotArea dataOnly="0" labelOnly="1" outline="0" axis="axisValues" fieldPosition="0"/>
    </format>
    <format dxfId="186">
      <pivotArea field="10" type="button" dataOnly="0" labelOnly="1" outline="0" axis="axisRow" fieldPosition="0"/>
    </format>
    <format dxfId="185">
      <pivotArea field="11" type="button" dataOnly="0" labelOnly="1" outline="0" axis="axisRow" fieldPosition="1"/>
    </format>
    <format dxfId="184">
      <pivotArea field="12" type="button" dataOnly="0" labelOnly="1" outline="0" axis="axisRow" fieldPosition="2"/>
    </format>
    <format dxfId="183">
      <pivotArea dataOnly="0" labelOnly="1" outline="0" axis="axisValues" fieldPosition="0"/>
    </format>
    <format dxfId="182">
      <pivotArea outline="0" collapsedLevelsAreSubtotals="1" fieldPosition="0"/>
    </format>
    <format dxfId="181">
      <pivotArea dataOnly="0" labelOnly="1" grandRow="1" outline="0" fieldPosition="0"/>
    </format>
    <format dxfId="180">
      <pivotArea dataOnly="0" labelOnly="1" grandRow="1" outline="0" fieldPosition="0"/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field="11" type="button" dataOnly="0" labelOnly="1" outline="0" axis="axisRow" fieldPosition="1"/>
    </format>
    <format dxfId="172">
      <pivotArea field="12" type="button" dataOnly="0" labelOnly="1" outline="0" axis="axisRow" fieldPosition="2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1">
          <reference field="10" count="0"/>
        </references>
      </pivotArea>
    </format>
    <format dxfId="139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0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7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5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8">
      <pivotArea field="10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8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7">
      <pivotArea outline="0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6">
      <pivotArea dataOnly="0" labelOnly="1" outline="0" fieldPosition="0">
        <references count="1">
          <reference field="1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9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grandRow="1" outline="0" fieldPosition="0"/>
    </format>
    <format dxfId="27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2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6">
        <i x="1" s="1"/>
        <i x="3" nd="1"/>
        <i x="4" nd="1"/>
        <i x="5" nd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1" s="1"/>
        <i x="3" nd="1"/>
        <i x="4" nd="1"/>
        <i x="6" nd="1"/>
        <i x="5" nd="1"/>
        <i x="0" nd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6">
        <i x="1" s="1"/>
        <i x="3" nd="1"/>
        <i x="4" nd="1"/>
        <i x="5" nd="1"/>
        <i x="2" nd="1"/>
        <i x="0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3" s="1"/>
        <i x="1" nd="1"/>
        <i x="4" nd="1"/>
        <i x="6" nd="1"/>
        <i x="5" nd="1"/>
        <i x="0" nd="1"/>
        <i x="2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6">
        <i x="3" s="1"/>
        <i x="4" s="1"/>
        <i x="5" s="1"/>
        <i x="2" s="1"/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3" s="1"/>
        <i x="1" s="1"/>
        <i x="4" s="1"/>
        <i x="6" s="1"/>
        <i x="5" s="1"/>
        <i x="0" s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6">
        <i x="1" s="1"/>
        <i x="3" nd="1"/>
        <i x="4" nd="1"/>
        <i x="5" nd="1"/>
        <i x="2" nd="1"/>
        <i x="0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6">
        <i x="1" s="1"/>
        <i x="3" s="1" nd="1"/>
        <i x="4" s="1" nd="1"/>
        <i x="5" s="1" nd="1"/>
        <i x="2" s="1" nd="1"/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14" sqref="D14:E14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103" t="s">
        <v>40</v>
      </c>
      <c r="B2" s="103"/>
      <c r="C2" s="103"/>
      <c r="D2" s="103"/>
      <c r="E2" s="103"/>
      <c r="F2" s="103"/>
      <c r="G2" s="103"/>
      <c r="H2" s="103"/>
      <c r="I2" s="103"/>
    </row>
    <row r="3" spans="1:13" ht="15" customHeight="1" x14ac:dyDescent="0.3">
      <c r="L3" t="s">
        <v>59</v>
      </c>
      <c r="M3" s="37" t="str" cm="1">
        <f t="array" ref="M3">+TEXT(MIN(IF(DATA!A:A=D6,DATA!L:L)),"gg.aa.yyyy")</f>
        <v>01.04.2026</v>
      </c>
    </row>
    <row r="4" spans="1:13" ht="15" customHeight="1" x14ac:dyDescent="0.3">
      <c r="A4" s="31" t="s">
        <v>46</v>
      </c>
      <c r="B4" s="31"/>
      <c r="C4" s="31" t="s">
        <v>43</v>
      </c>
      <c r="D4" s="107" t="str">
        <f>+DATA!F3&amp;" "&amp;DATA!G3&amp;" "&amp;DATA!I3&amp;" ("&amp;DATA!J3&amp;") "&amp;" '"&amp;DATA!H3&amp;"' Tipi Tünel İmalatları"</f>
        <v>S06-Barbaros İstasyonu Hat-2 HY 4.Aşama (Alt Yarı)  'P1' Tipi Tünel İmalatları</v>
      </c>
      <c r="E4" s="107"/>
      <c r="F4" s="107"/>
      <c r="G4" s="107"/>
      <c r="H4" s="107"/>
      <c r="I4" s="107"/>
      <c r="L4" t="s">
        <v>60</v>
      </c>
      <c r="M4" s="37" t="str" cm="1">
        <f t="array" ref="M4">+TEXT(MAX(IF(DATA!A:A=D6,DATA!L:L)),"gg.aa.yyyy")</f>
        <v>30.04.2026</v>
      </c>
    </row>
    <row r="5" spans="1:13" ht="15" customHeight="1" x14ac:dyDescent="0.3">
      <c r="A5" s="31"/>
      <c r="B5" s="31"/>
      <c r="C5" s="31"/>
      <c r="D5" s="107"/>
      <c r="E5" s="107"/>
      <c r="F5" s="107"/>
      <c r="G5" s="107"/>
      <c r="H5" s="107"/>
      <c r="I5" s="107"/>
    </row>
    <row r="6" spans="1:13" ht="15" customHeight="1" x14ac:dyDescent="0.3">
      <c r="A6" s="31" t="s">
        <v>41</v>
      </c>
      <c r="B6" s="40" t="s">
        <v>42</v>
      </c>
      <c r="C6" s="31" t="s">
        <v>43</v>
      </c>
      <c r="D6" s="62" t="s">
        <v>225</v>
      </c>
      <c r="J6" t="s">
        <v>79</v>
      </c>
    </row>
    <row r="7" spans="1:13" ht="15" customHeight="1" x14ac:dyDescent="0.3">
      <c r="A7" s="31"/>
      <c r="B7" s="40" t="s">
        <v>44</v>
      </c>
      <c r="C7" s="31" t="s">
        <v>43</v>
      </c>
      <c r="D7" s="108" t="s">
        <v>226</v>
      </c>
      <c r="E7" s="108"/>
      <c r="F7" s="108"/>
      <c r="J7" t="s">
        <v>79</v>
      </c>
    </row>
    <row r="8" spans="1:13" ht="15" customHeight="1" x14ac:dyDescent="0.3">
      <c r="A8" s="31" t="s">
        <v>45</v>
      </c>
      <c r="B8" s="31"/>
      <c r="C8" s="31" t="s">
        <v>43</v>
      </c>
      <c r="D8" s="105">
        <v>46142</v>
      </c>
      <c r="E8" s="106"/>
      <c r="F8" s="106"/>
      <c r="J8" t="s">
        <v>79</v>
      </c>
    </row>
    <row r="9" spans="1:13" ht="15" customHeight="1" x14ac:dyDescent="0.3">
      <c r="A9" s="31" t="s">
        <v>46</v>
      </c>
      <c r="B9" s="31"/>
      <c r="C9" s="31" t="s">
        <v>43</v>
      </c>
      <c r="D9" s="36" t="s">
        <v>47</v>
      </c>
    </row>
    <row r="10" spans="1:13" ht="15" customHeight="1" x14ac:dyDescent="0.3">
      <c r="A10" s="31" t="s">
        <v>48</v>
      </c>
      <c r="B10" s="31"/>
      <c r="C10" s="31" t="s">
        <v>43</v>
      </c>
      <c r="D10" s="60">
        <v>1</v>
      </c>
      <c r="E10" t="s">
        <v>75</v>
      </c>
    </row>
    <row r="11" spans="1:13" ht="15" customHeight="1" x14ac:dyDescent="0.3">
      <c r="A11" s="31"/>
      <c r="B11" s="31"/>
      <c r="C11" s="31"/>
      <c r="D11" s="60">
        <v>2</v>
      </c>
      <c r="E11" t="s">
        <v>76</v>
      </c>
    </row>
    <row r="12" spans="1:13" ht="15" customHeight="1" x14ac:dyDescent="0.3">
      <c r="A12" s="31"/>
      <c r="B12" s="31"/>
      <c r="C12" s="31"/>
      <c r="D12" s="60"/>
    </row>
    <row r="13" spans="1:13" ht="15" customHeight="1" x14ac:dyDescent="0.3">
      <c r="A13" s="31"/>
      <c r="B13" s="31"/>
      <c r="C13" s="31"/>
      <c r="D13" s="60"/>
    </row>
    <row r="14" spans="1:13" ht="15" customHeight="1" x14ac:dyDescent="0.3">
      <c r="A14" s="31"/>
      <c r="B14" s="31"/>
      <c r="C14" s="31"/>
      <c r="D14" s="60"/>
    </row>
    <row r="15" spans="1:13" ht="15" customHeight="1" x14ac:dyDescent="0.3">
      <c r="A15" s="31"/>
      <c r="B15" s="31"/>
      <c r="C15" s="31"/>
    </row>
    <row r="16" spans="1:13" ht="15" customHeight="1" x14ac:dyDescent="0.3">
      <c r="A16" s="31" t="s">
        <v>49</v>
      </c>
      <c r="B16" s="31"/>
      <c r="C16" s="31" t="s">
        <v>43</v>
      </c>
      <c r="D16" s="101" t="s">
        <v>50</v>
      </c>
      <c r="E16" s="101"/>
      <c r="F16" s="101"/>
      <c r="G16" s="101"/>
      <c r="H16" s="101"/>
      <c r="I16" s="101"/>
    </row>
    <row r="17" spans="1:9" ht="15" customHeight="1" x14ac:dyDescent="0.3">
      <c r="A17" s="31"/>
      <c r="B17" s="31"/>
      <c r="C17" s="31"/>
      <c r="D17" s="101"/>
      <c r="E17" s="101"/>
      <c r="F17" s="101"/>
      <c r="G17" s="101"/>
      <c r="H17" s="101"/>
      <c r="I17" s="101"/>
    </row>
    <row r="18" spans="1:9" ht="15" customHeight="1" x14ac:dyDescent="0.3">
      <c r="A18" s="31"/>
      <c r="B18" s="31"/>
      <c r="C18" s="31"/>
      <c r="D18" s="101"/>
      <c r="E18" s="101"/>
      <c r="F18" s="101"/>
      <c r="G18" s="101"/>
      <c r="H18" s="101"/>
      <c r="I18" s="101"/>
    </row>
    <row r="19" spans="1:9" ht="15" customHeight="1" x14ac:dyDescent="0.3">
      <c r="A19" s="31" t="s">
        <v>51</v>
      </c>
      <c r="B19" s="31"/>
      <c r="C19" s="31" t="s">
        <v>43</v>
      </c>
      <c r="D19" s="102" t="s">
        <v>52</v>
      </c>
      <c r="E19" s="102"/>
      <c r="F19" s="102"/>
      <c r="G19" s="102"/>
      <c r="H19" s="102"/>
      <c r="I19" s="102"/>
    </row>
    <row r="20" spans="1:9" ht="15" customHeight="1" x14ac:dyDescent="0.3">
      <c r="A20" s="31" t="s">
        <v>53</v>
      </c>
      <c r="B20" s="31"/>
      <c r="C20" s="31" t="s">
        <v>43</v>
      </c>
      <c r="D20" s="105">
        <v>45639</v>
      </c>
      <c r="E20" s="105"/>
      <c r="F20" s="105"/>
    </row>
    <row r="21" spans="1:9" ht="15" customHeight="1" x14ac:dyDescent="0.3">
      <c r="A21" s="31" t="s">
        <v>54</v>
      </c>
      <c r="B21" s="31"/>
      <c r="C21" s="31" t="s">
        <v>43</v>
      </c>
      <c r="D21" s="105">
        <v>45653</v>
      </c>
      <c r="E21" s="105"/>
      <c r="F21" s="105"/>
    </row>
    <row r="22" spans="1:9" ht="15" customHeight="1" x14ac:dyDescent="0.3">
      <c r="A22" s="31" t="s">
        <v>55</v>
      </c>
      <c r="B22" s="31"/>
      <c r="C22" s="31" t="s">
        <v>43</v>
      </c>
      <c r="D22" s="106" t="s">
        <v>56</v>
      </c>
      <c r="E22" s="106"/>
      <c r="F22" s="106"/>
    </row>
    <row r="23" spans="1:9" ht="15" customHeight="1" x14ac:dyDescent="0.3">
      <c r="A23" s="31" t="s">
        <v>57</v>
      </c>
      <c r="B23" s="31"/>
      <c r="C23" s="31" t="s">
        <v>43</v>
      </c>
      <c r="D23" s="105">
        <v>47093</v>
      </c>
      <c r="E23" s="105"/>
      <c r="F23" s="105"/>
    </row>
    <row r="24" spans="1:9" ht="15" customHeight="1" x14ac:dyDescent="0.3">
      <c r="D24" s="35"/>
    </row>
    <row r="25" spans="1:9" ht="15" customHeight="1" x14ac:dyDescent="0.3">
      <c r="A25" s="104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01.04.2026 - 30.04.2026 tarihleri arasında Şartnamesine uygun olarak yapılan imalatlar ekli tablolarda belirtilmiştir.</v>
      </c>
      <c r="B25" s="104"/>
      <c r="C25" s="104"/>
      <c r="D25" s="104"/>
      <c r="E25" s="104"/>
      <c r="F25" s="104"/>
      <c r="G25" s="104"/>
      <c r="H25" s="104"/>
      <c r="I25" s="104"/>
    </row>
    <row r="26" spans="1:9" ht="15" customHeight="1" x14ac:dyDescent="0.3">
      <c r="A26" s="104"/>
      <c r="B26" s="104"/>
      <c r="C26" s="104"/>
      <c r="D26" s="104"/>
      <c r="E26" s="104"/>
      <c r="F26" s="104"/>
      <c r="G26" s="104"/>
      <c r="H26" s="104"/>
      <c r="I26" s="104"/>
    </row>
    <row r="27" spans="1:9" ht="15" customHeight="1" x14ac:dyDescent="0.3">
      <c r="A27" s="104"/>
      <c r="B27" s="104"/>
      <c r="C27" s="104"/>
      <c r="D27" s="104"/>
      <c r="E27" s="104"/>
      <c r="F27" s="104"/>
      <c r="G27" s="104"/>
      <c r="H27" s="104"/>
      <c r="I27" s="104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100"/>
      <c r="B34" s="100"/>
      <c r="C34" s="95"/>
      <c r="D34" s="95"/>
      <c r="E34" s="95"/>
      <c r="F34" s="95"/>
      <c r="G34" s="95"/>
      <c r="H34" s="95"/>
      <c r="I34" s="95"/>
    </row>
    <row r="35" spans="1:9" ht="15" customHeight="1" x14ac:dyDescent="0.3">
      <c r="A35" s="98"/>
      <c r="B35" s="98"/>
      <c r="C35" s="98"/>
      <c r="D35" s="98"/>
      <c r="E35" s="98"/>
      <c r="F35" s="98"/>
      <c r="G35" s="98"/>
      <c r="H35" s="98"/>
      <c r="I35" s="98"/>
    </row>
    <row r="36" spans="1:9" ht="15" customHeight="1" x14ac:dyDescent="0.3">
      <c r="A36" s="98"/>
      <c r="B36" s="98"/>
      <c r="C36" s="98"/>
      <c r="D36" s="98"/>
      <c r="E36" s="98"/>
      <c r="F36" s="98"/>
      <c r="G36" s="98"/>
      <c r="H36" s="98"/>
      <c r="I36" s="98"/>
    </row>
    <row r="45" spans="1:9" ht="15" customHeight="1" x14ac:dyDescent="0.3">
      <c r="A45" s="99"/>
      <c r="B45" s="99"/>
      <c r="C45" s="99"/>
      <c r="D45" s="99"/>
      <c r="E45" s="99"/>
      <c r="F45" s="99"/>
      <c r="G45" s="99"/>
      <c r="H45" s="99"/>
      <c r="I45" s="99"/>
    </row>
    <row r="46" spans="1:9" ht="15" customHeight="1" x14ac:dyDescent="0.3">
      <c r="A46" s="99"/>
      <c r="B46" s="99"/>
      <c r="C46" s="99"/>
      <c r="D46" s="99"/>
      <c r="E46" s="99"/>
      <c r="F46" s="99"/>
      <c r="G46" s="99"/>
      <c r="H46" s="99"/>
      <c r="I46" s="99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7" priority="10" operator="equal">
      <formula>0</formula>
    </cfRule>
  </conditionalFormatting>
  <conditionalFormatting sqref="D11">
    <cfRule type="cellIs" dxfId="16" priority="8" operator="equal">
      <formula>$D$10</formula>
    </cfRule>
  </conditionalFormatting>
  <conditionalFormatting sqref="D12">
    <cfRule type="cellIs" dxfId="15" priority="7" operator="equal">
      <formula>$D$11</formula>
    </cfRule>
  </conditionalFormatting>
  <conditionalFormatting sqref="D13">
    <cfRule type="cellIs" dxfId="14" priority="6" operator="equal">
      <formula>$D$12</formula>
    </cfRule>
  </conditionalFormatting>
  <conditionalFormatting sqref="D14">
    <cfRule type="cellIs" dxfId="13" priority="5" operator="equal">
      <formula>$D$13</formula>
    </cfRule>
  </conditionalFormatting>
  <conditionalFormatting sqref="E10">
    <cfRule type="expression" dxfId="12" priority="9">
      <formula>$D$10=0</formula>
    </cfRule>
  </conditionalFormatting>
  <conditionalFormatting sqref="E11">
    <cfRule type="expression" dxfId="11" priority="4">
      <formula>$D$11=$D$10</formula>
    </cfRule>
  </conditionalFormatting>
  <conditionalFormatting sqref="E12">
    <cfRule type="expression" dxfId="10" priority="3">
      <formula>$D$12=$D$11</formula>
    </cfRule>
  </conditionalFormatting>
  <conditionalFormatting sqref="E13">
    <cfRule type="expression" dxfId="9" priority="2">
      <formula>$D$13=$D$12</formula>
    </cfRule>
  </conditionalFormatting>
  <conditionalFormatting sqref="E14">
    <cfRule type="expression" dxfId="8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tabSelected="1" view="pageBreakPreview" zoomScale="85" zoomScaleNormal="85" zoomScaleSheetLayoutView="85" workbookViewId="0">
      <selection activeCell="D14" sqref="D14:E14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" bestFit="1" customWidth="1"/>
    <col min="7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95" t="s">
        <v>170</v>
      </c>
      <c r="B2" s="95"/>
      <c r="C2" s="95"/>
      <c r="D2" s="95"/>
      <c r="E2" s="95"/>
      <c r="F2" s="95"/>
      <c r="G2" s="95"/>
      <c r="H2" s="95"/>
    </row>
    <row r="3" spans="1:9" ht="15" customHeight="1" x14ac:dyDescent="0.3">
      <c r="A3" s="95" t="s">
        <v>78</v>
      </c>
      <c r="B3" s="95"/>
      <c r="C3" s="95"/>
      <c r="D3" s="95"/>
      <c r="E3" s="95"/>
      <c r="F3" s="95"/>
      <c r="G3" s="95"/>
      <c r="H3" s="95"/>
    </row>
    <row r="4" spans="1:9" ht="15" customHeight="1" x14ac:dyDescent="0.3">
      <c r="A4" s="95" t="str">
        <f>+"İKSA, PÜSKÜRTME BETONU VE HASIR ÇELİK İCMALİ  (" &amp; TUTANAK!$M$3&amp; "-"&amp; TUTANAK!$M$4&amp; ")"</f>
        <v>İKSA, PÜSKÜRTME BETONU VE HASIR ÇELİK İCMALİ  (01.04.2026-30.04.2026)</v>
      </c>
      <c r="B4" s="95"/>
      <c r="C4" s="95"/>
      <c r="D4" s="95"/>
      <c r="E4" s="95"/>
      <c r="F4" s="95"/>
      <c r="G4" s="95"/>
      <c r="H4" s="95"/>
    </row>
    <row r="5" spans="1:9" ht="15" customHeight="1" x14ac:dyDescent="0.3">
      <c r="A5" s="96" t="str">
        <f>+DATA!H3</f>
        <v>P1</v>
      </c>
      <c r="B5" s="96"/>
      <c r="C5" s="96"/>
      <c r="D5" s="96"/>
      <c r="E5" s="96"/>
      <c r="F5" s="96"/>
      <c r="G5" s="96"/>
      <c r="H5" s="96"/>
    </row>
    <row r="6" spans="1:9" ht="15" customHeight="1" x14ac:dyDescent="0.3">
      <c r="A6" s="45"/>
      <c r="B6" s="45"/>
      <c r="C6" s="45"/>
      <c r="D6" s="45"/>
      <c r="E6" s="45"/>
      <c r="H6" s="40" t="s">
        <v>73</v>
      </c>
      <c r="I6" s="36">
        <f>+TUTANAK!$D$10</f>
        <v>1</v>
      </c>
    </row>
    <row r="7" spans="1:9" ht="15" customHeight="1" x14ac:dyDescent="0.3">
      <c r="A7" s="46" t="s">
        <v>72</v>
      </c>
      <c r="B7" t="str">
        <f>+DATA!$F$3&amp;" "&amp;DATA!$G$3&amp;" "&amp;DATA!$H$3&amp;" Tüneli "&amp;DATA!$I$3&amp;" ("&amp;DATA!$J$3&amp;")"</f>
        <v>S06-Barbaros İstasyonu Hat-2 HY P1 Tüneli 4.Aşama (Alt Yarı)</v>
      </c>
    </row>
    <row r="8" spans="1:9" ht="15" customHeight="1" x14ac:dyDescent="0.3">
      <c r="A8" s="46" t="s">
        <v>69</v>
      </c>
      <c r="B8" s="94" t="str">
        <f>+TUTANAK!$D$6</f>
        <v>2026.04-006</v>
      </c>
      <c r="C8" s="94"/>
    </row>
    <row r="9" spans="1:9" ht="15" customHeight="1" x14ac:dyDescent="0.3">
      <c r="A9" s="46" t="s">
        <v>70</v>
      </c>
      <c r="B9" s="97" t="str">
        <f>+TUTANAK!$D$7</f>
        <v>S06.H2.HY.P1.A4.002</v>
      </c>
      <c r="C9" s="97"/>
    </row>
    <row r="10" spans="1:9" ht="15" customHeight="1" x14ac:dyDescent="0.3">
      <c r="A10" s="46" t="s">
        <v>71</v>
      </c>
      <c r="B10" s="94">
        <f>+TUTANAK!$D$8</f>
        <v>46142</v>
      </c>
      <c r="C10" s="109"/>
    </row>
    <row r="11" spans="1:9" ht="15" customHeight="1" x14ac:dyDescent="0.3">
      <c r="A11" s="41"/>
      <c r="B11" s="38"/>
      <c r="C11" s="39"/>
    </row>
    <row r="12" spans="1:9" ht="15" customHeight="1" x14ac:dyDescent="0.3">
      <c r="A12" s="91"/>
      <c r="B12" s="38"/>
      <c r="C12" s="39"/>
    </row>
    <row r="13" spans="1:9" ht="57.6" x14ac:dyDescent="0.3">
      <c r="A13" s="44" t="s">
        <v>27</v>
      </c>
      <c r="B13" s="44" t="s">
        <v>7</v>
      </c>
      <c r="C13" s="44" t="s">
        <v>8</v>
      </c>
      <c r="D13" s="44" t="s">
        <v>11</v>
      </c>
      <c r="E13" s="44" t="s">
        <v>12</v>
      </c>
      <c r="F13" s="44" t="s">
        <v>68</v>
      </c>
      <c r="G13" s="20" t="s">
        <v>168</v>
      </c>
      <c r="H13" s="20" t="s">
        <v>169</v>
      </c>
    </row>
    <row r="14" spans="1:9" ht="14.4" x14ac:dyDescent="0.3">
      <c r="A14" s="19" t="s">
        <v>207</v>
      </c>
      <c r="B14" s="42">
        <v>46113</v>
      </c>
      <c r="C14" s="32">
        <v>1395.29</v>
      </c>
      <c r="D14" s="19" t="s">
        <v>82</v>
      </c>
      <c r="E14" s="19" t="s">
        <v>31</v>
      </c>
      <c r="F14" s="19" t="s">
        <v>65</v>
      </c>
      <c r="G14" s="19"/>
      <c r="H14" s="19">
        <v>1</v>
      </c>
      <c r="I14" s="90"/>
    </row>
    <row r="15" spans="1:9" ht="14.4" x14ac:dyDescent="0.3">
      <c r="A15" s="19" t="s">
        <v>207</v>
      </c>
      <c r="B15" s="42">
        <v>46113</v>
      </c>
      <c r="C15" s="32">
        <v>1396.04</v>
      </c>
      <c r="D15" s="19" t="s">
        <v>82</v>
      </c>
      <c r="E15" s="19" t="s">
        <v>31</v>
      </c>
      <c r="F15" s="19" t="s">
        <v>66</v>
      </c>
      <c r="G15" s="19"/>
      <c r="H15" s="19">
        <v>1</v>
      </c>
      <c r="I15" s="90"/>
    </row>
    <row r="16" spans="1:9" ht="14.4" x14ac:dyDescent="0.3">
      <c r="A16" s="19" t="s">
        <v>207</v>
      </c>
      <c r="B16" s="42">
        <v>46113</v>
      </c>
      <c r="C16" s="32">
        <v>1396.79</v>
      </c>
      <c r="D16" s="19" t="s">
        <v>82</v>
      </c>
      <c r="E16" s="19" t="s">
        <v>31</v>
      </c>
      <c r="F16" s="19" t="s">
        <v>67</v>
      </c>
      <c r="G16" s="19"/>
      <c r="H16" s="19">
        <v>1</v>
      </c>
      <c r="I16" s="90"/>
    </row>
    <row r="17" spans="1:9" ht="14.4" x14ac:dyDescent="0.3">
      <c r="A17" s="19" t="s">
        <v>208</v>
      </c>
      <c r="B17" s="42">
        <v>46114</v>
      </c>
      <c r="C17" s="32">
        <v>1393.04</v>
      </c>
      <c r="D17" s="19" t="s">
        <v>82</v>
      </c>
      <c r="E17" s="19" t="s">
        <v>31</v>
      </c>
      <c r="F17" s="19" t="s">
        <v>29</v>
      </c>
      <c r="G17" s="19"/>
      <c r="H17" s="19">
        <v>1</v>
      </c>
      <c r="I17" s="90"/>
    </row>
    <row r="18" spans="1:9" ht="14.4" x14ac:dyDescent="0.3">
      <c r="A18" s="19" t="s">
        <v>208</v>
      </c>
      <c r="B18" s="42">
        <v>46114</v>
      </c>
      <c r="C18" s="32">
        <v>1393.79</v>
      </c>
      <c r="D18" s="19" t="s">
        <v>82</v>
      </c>
      <c r="E18" s="19" t="s">
        <v>31</v>
      </c>
      <c r="F18" s="19" t="s">
        <v>63</v>
      </c>
      <c r="G18" s="19"/>
      <c r="H18" s="19">
        <v>1</v>
      </c>
      <c r="I18" s="90"/>
    </row>
    <row r="19" spans="1:9" ht="14.4" x14ac:dyDescent="0.3">
      <c r="A19" s="19" t="s">
        <v>208</v>
      </c>
      <c r="B19" s="42">
        <v>46114</v>
      </c>
      <c r="C19" s="32">
        <v>1394.54</v>
      </c>
      <c r="D19" s="19" t="s">
        <v>82</v>
      </c>
      <c r="E19" s="19" t="s">
        <v>31</v>
      </c>
      <c r="F19" s="19" t="s">
        <v>64</v>
      </c>
      <c r="G19" s="19"/>
      <c r="H19" s="19">
        <v>1</v>
      </c>
      <c r="I19" s="90"/>
    </row>
    <row r="20" spans="1:9" ht="14.4" x14ac:dyDescent="0.3">
      <c r="A20" s="19" t="s">
        <v>209</v>
      </c>
      <c r="B20" s="42">
        <v>46115</v>
      </c>
      <c r="C20" s="32">
        <v>1388.54</v>
      </c>
      <c r="D20" s="19" t="s">
        <v>82</v>
      </c>
      <c r="E20" s="19" t="s">
        <v>31</v>
      </c>
      <c r="F20" s="19" t="s">
        <v>29</v>
      </c>
      <c r="G20" s="19"/>
      <c r="H20" s="19">
        <v>1</v>
      </c>
      <c r="I20" s="90"/>
    </row>
    <row r="21" spans="1:9" ht="14.4" x14ac:dyDescent="0.3">
      <c r="A21" s="19" t="s">
        <v>209</v>
      </c>
      <c r="B21" s="42">
        <v>46115</v>
      </c>
      <c r="C21" s="32">
        <v>1389.29</v>
      </c>
      <c r="D21" s="19" t="s">
        <v>82</v>
      </c>
      <c r="E21" s="19" t="s">
        <v>31</v>
      </c>
      <c r="F21" s="19" t="s">
        <v>63</v>
      </c>
      <c r="G21" s="19"/>
      <c r="H21" s="19">
        <v>1</v>
      </c>
      <c r="I21" s="90"/>
    </row>
    <row r="22" spans="1:9" ht="14.4" x14ac:dyDescent="0.3">
      <c r="A22" s="19" t="s">
        <v>209</v>
      </c>
      <c r="B22" s="42">
        <v>46115</v>
      </c>
      <c r="C22" s="32">
        <v>1390.04</v>
      </c>
      <c r="D22" s="19" t="s">
        <v>82</v>
      </c>
      <c r="E22" s="19" t="s">
        <v>31</v>
      </c>
      <c r="F22" s="19" t="s">
        <v>64</v>
      </c>
      <c r="G22" s="19"/>
      <c r="H22" s="19">
        <v>1</v>
      </c>
      <c r="I22" s="90"/>
    </row>
    <row r="23" spans="1:9" ht="14.4" x14ac:dyDescent="0.3">
      <c r="A23" s="19" t="s">
        <v>209</v>
      </c>
      <c r="B23" s="42">
        <v>46115</v>
      </c>
      <c r="C23" s="32">
        <v>1390.79</v>
      </c>
      <c r="D23" s="19" t="s">
        <v>82</v>
      </c>
      <c r="E23" s="19" t="s">
        <v>31</v>
      </c>
      <c r="F23" s="19" t="s">
        <v>65</v>
      </c>
      <c r="G23" s="19"/>
      <c r="H23" s="19">
        <v>1</v>
      </c>
      <c r="I23" s="90"/>
    </row>
    <row r="24" spans="1:9" ht="14.4" x14ac:dyDescent="0.3">
      <c r="A24" s="19" t="s">
        <v>210</v>
      </c>
      <c r="B24" s="42">
        <v>46115</v>
      </c>
      <c r="C24" s="32">
        <v>1391.54</v>
      </c>
      <c r="D24" s="19" t="s">
        <v>82</v>
      </c>
      <c r="E24" s="19" t="s">
        <v>31</v>
      </c>
      <c r="F24" s="19" t="s">
        <v>66</v>
      </c>
      <c r="G24" s="19"/>
      <c r="H24" s="19">
        <v>1</v>
      </c>
      <c r="I24" s="90"/>
    </row>
    <row r="25" spans="1:9" ht="14.4" x14ac:dyDescent="0.3">
      <c r="A25" s="19" t="s">
        <v>210</v>
      </c>
      <c r="B25" s="42">
        <v>46115</v>
      </c>
      <c r="C25" s="32">
        <v>1392.29</v>
      </c>
      <c r="D25" s="19" t="s">
        <v>82</v>
      </c>
      <c r="E25" s="19" t="s">
        <v>31</v>
      </c>
      <c r="F25" s="19" t="s">
        <v>67</v>
      </c>
      <c r="G25" s="19"/>
      <c r="H25" s="19">
        <v>1</v>
      </c>
      <c r="I25" s="90"/>
    </row>
    <row r="26" spans="1:9" ht="14.4" x14ac:dyDescent="0.3">
      <c r="A26" s="19" t="s">
        <v>211</v>
      </c>
      <c r="B26" s="42">
        <v>46116</v>
      </c>
      <c r="C26" s="32">
        <v>1386.29</v>
      </c>
      <c r="D26" s="19" t="s">
        <v>82</v>
      </c>
      <c r="E26" s="19" t="s">
        <v>31</v>
      </c>
      <c r="F26" s="19" t="s">
        <v>65</v>
      </c>
      <c r="G26" s="19"/>
      <c r="H26" s="19">
        <v>1</v>
      </c>
      <c r="I26" s="90"/>
    </row>
    <row r="27" spans="1:9" ht="14.4" x14ac:dyDescent="0.3">
      <c r="A27" s="19" t="s">
        <v>211</v>
      </c>
      <c r="B27" s="42">
        <v>46116</v>
      </c>
      <c r="C27" s="32">
        <v>1387.04</v>
      </c>
      <c r="D27" s="19" t="s">
        <v>82</v>
      </c>
      <c r="E27" s="19" t="s">
        <v>31</v>
      </c>
      <c r="F27" s="19" t="s">
        <v>66</v>
      </c>
      <c r="G27" s="19"/>
      <c r="H27" s="19">
        <v>1</v>
      </c>
      <c r="I27" s="90"/>
    </row>
    <row r="28" spans="1:9" ht="14.4" x14ac:dyDescent="0.3">
      <c r="A28" s="19" t="s">
        <v>211</v>
      </c>
      <c r="B28" s="42">
        <v>46116</v>
      </c>
      <c r="C28" s="32">
        <v>1387.79</v>
      </c>
      <c r="D28" s="19" t="s">
        <v>82</v>
      </c>
      <c r="E28" s="19" t="s">
        <v>31</v>
      </c>
      <c r="F28" s="19" t="s">
        <v>67</v>
      </c>
      <c r="G28" s="19"/>
      <c r="H28" s="19">
        <v>1</v>
      </c>
      <c r="I28" s="90"/>
    </row>
    <row r="29" spans="1:9" ht="14.4" x14ac:dyDescent="0.3">
      <c r="A29" s="19" t="s">
        <v>212</v>
      </c>
      <c r="B29" s="42">
        <v>46119</v>
      </c>
      <c r="C29" s="32">
        <v>1384.04</v>
      </c>
      <c r="D29" s="19" t="s">
        <v>82</v>
      </c>
      <c r="E29" s="19" t="s">
        <v>31</v>
      </c>
      <c r="F29" s="19" t="s">
        <v>29</v>
      </c>
      <c r="G29" s="19"/>
      <c r="H29" s="19">
        <v>1</v>
      </c>
      <c r="I29" s="90"/>
    </row>
    <row r="30" spans="1:9" ht="14.4" x14ac:dyDescent="0.3">
      <c r="A30" s="19" t="s">
        <v>212</v>
      </c>
      <c r="B30" s="42">
        <v>46119</v>
      </c>
      <c r="C30" s="32">
        <v>1384.79</v>
      </c>
      <c r="D30" s="19" t="s">
        <v>82</v>
      </c>
      <c r="E30" s="19" t="s">
        <v>31</v>
      </c>
      <c r="F30" s="19" t="s">
        <v>63</v>
      </c>
      <c r="G30" s="19"/>
      <c r="H30" s="19">
        <v>1</v>
      </c>
      <c r="I30" s="90"/>
    </row>
    <row r="31" spans="1:9" ht="14.4" x14ac:dyDescent="0.3">
      <c r="A31" s="19" t="s">
        <v>212</v>
      </c>
      <c r="B31" s="42">
        <v>46119</v>
      </c>
      <c r="C31" s="32">
        <v>1385.54</v>
      </c>
      <c r="D31" s="19" t="s">
        <v>82</v>
      </c>
      <c r="E31" s="19" t="s">
        <v>31</v>
      </c>
      <c r="F31" s="19" t="s">
        <v>64</v>
      </c>
      <c r="G31" s="19"/>
      <c r="H31" s="19">
        <v>1</v>
      </c>
      <c r="I31" s="90"/>
    </row>
    <row r="32" spans="1:9" ht="14.4" x14ac:dyDescent="0.3">
      <c r="A32" s="19" t="s">
        <v>213</v>
      </c>
      <c r="B32" s="42">
        <v>46122</v>
      </c>
      <c r="C32" s="32">
        <v>1381.79</v>
      </c>
      <c r="D32" s="19" t="s">
        <v>82</v>
      </c>
      <c r="E32" s="19" t="s">
        <v>31</v>
      </c>
      <c r="F32" s="19" t="s">
        <v>65</v>
      </c>
      <c r="G32" s="19"/>
      <c r="H32" s="19">
        <v>1</v>
      </c>
      <c r="I32" s="90"/>
    </row>
    <row r="33" spans="1:9" ht="14.4" x14ac:dyDescent="0.3">
      <c r="A33" s="19" t="s">
        <v>213</v>
      </c>
      <c r="B33" s="42">
        <v>46122</v>
      </c>
      <c r="C33" s="32">
        <v>1382.54</v>
      </c>
      <c r="D33" s="19" t="s">
        <v>82</v>
      </c>
      <c r="E33" s="19" t="s">
        <v>31</v>
      </c>
      <c r="F33" s="19" t="s">
        <v>66</v>
      </c>
      <c r="G33" s="19"/>
      <c r="H33" s="19">
        <v>1</v>
      </c>
      <c r="I33" s="90"/>
    </row>
    <row r="34" spans="1:9" ht="14.4" x14ac:dyDescent="0.3">
      <c r="A34" s="19" t="s">
        <v>213</v>
      </c>
      <c r="B34" s="42">
        <v>46122</v>
      </c>
      <c r="C34" s="32">
        <v>1383.29</v>
      </c>
      <c r="D34" s="19" t="s">
        <v>82</v>
      </c>
      <c r="E34" s="19" t="s">
        <v>31</v>
      </c>
      <c r="F34" s="19" t="s">
        <v>67</v>
      </c>
      <c r="G34" s="19"/>
      <c r="H34" s="19">
        <v>1</v>
      </c>
      <c r="I34" s="90"/>
    </row>
    <row r="35" spans="1:9" ht="14.4" x14ac:dyDescent="0.3">
      <c r="A35" s="19" t="s">
        <v>214</v>
      </c>
      <c r="B35" s="42">
        <v>46123</v>
      </c>
      <c r="C35" s="32">
        <v>1379.54</v>
      </c>
      <c r="D35" s="19" t="s">
        <v>82</v>
      </c>
      <c r="E35" s="19" t="s">
        <v>31</v>
      </c>
      <c r="F35" s="19" t="s">
        <v>29</v>
      </c>
      <c r="G35" s="19"/>
      <c r="H35" s="19">
        <v>1</v>
      </c>
      <c r="I35" s="90"/>
    </row>
    <row r="36" spans="1:9" ht="14.4" x14ac:dyDescent="0.3">
      <c r="A36" s="19" t="s">
        <v>214</v>
      </c>
      <c r="B36" s="42">
        <v>46123</v>
      </c>
      <c r="C36" s="32">
        <v>1380.29</v>
      </c>
      <c r="D36" s="19" t="s">
        <v>82</v>
      </c>
      <c r="E36" s="19" t="s">
        <v>31</v>
      </c>
      <c r="F36" s="19" t="s">
        <v>63</v>
      </c>
      <c r="G36" s="19"/>
      <c r="H36" s="19">
        <v>1</v>
      </c>
      <c r="I36" s="90"/>
    </row>
    <row r="37" spans="1:9" ht="14.4" x14ac:dyDescent="0.3">
      <c r="A37" s="19" t="s">
        <v>214</v>
      </c>
      <c r="B37" s="42">
        <v>46123</v>
      </c>
      <c r="C37" s="32">
        <v>1381.04</v>
      </c>
      <c r="D37" s="19" t="s">
        <v>82</v>
      </c>
      <c r="E37" s="19" t="s">
        <v>31</v>
      </c>
      <c r="F37" s="19" t="s">
        <v>64</v>
      </c>
      <c r="G37" s="19"/>
      <c r="H37" s="19">
        <v>1</v>
      </c>
      <c r="I37" s="90"/>
    </row>
    <row r="38" spans="1:9" ht="14.4" x14ac:dyDescent="0.3">
      <c r="A38" s="19" t="s">
        <v>215</v>
      </c>
      <c r="B38" s="42">
        <v>46125</v>
      </c>
      <c r="C38" s="32">
        <v>1377.29</v>
      </c>
      <c r="D38" s="19" t="s">
        <v>82</v>
      </c>
      <c r="E38" s="19" t="s">
        <v>31</v>
      </c>
      <c r="F38" s="19" t="s">
        <v>65</v>
      </c>
      <c r="G38" s="19"/>
      <c r="H38" s="19">
        <v>1</v>
      </c>
      <c r="I38" s="90"/>
    </row>
    <row r="39" spans="1:9" ht="14.4" x14ac:dyDescent="0.3">
      <c r="A39" s="19" t="s">
        <v>215</v>
      </c>
      <c r="B39" s="42">
        <v>46125</v>
      </c>
      <c r="C39" s="32">
        <v>1378.04</v>
      </c>
      <c r="D39" s="19" t="s">
        <v>82</v>
      </c>
      <c r="E39" s="19" t="s">
        <v>31</v>
      </c>
      <c r="F39" s="19" t="s">
        <v>66</v>
      </c>
      <c r="G39" s="19"/>
      <c r="H39" s="19">
        <v>1</v>
      </c>
      <c r="I39" s="90"/>
    </row>
    <row r="40" spans="1:9" ht="14.4" x14ac:dyDescent="0.3">
      <c r="A40" s="19" t="s">
        <v>215</v>
      </c>
      <c r="B40" s="42">
        <v>46125</v>
      </c>
      <c r="C40" s="32">
        <v>1378.79</v>
      </c>
      <c r="D40" s="19" t="s">
        <v>82</v>
      </c>
      <c r="E40" s="19" t="s">
        <v>31</v>
      </c>
      <c r="F40" s="19" t="s">
        <v>67</v>
      </c>
      <c r="G40" s="19"/>
      <c r="H40" s="19">
        <v>1</v>
      </c>
      <c r="I40" s="90"/>
    </row>
    <row r="41" spans="1:9" ht="14.4" x14ac:dyDescent="0.3">
      <c r="A41" s="19" t="s">
        <v>216</v>
      </c>
      <c r="B41" s="42">
        <v>46127</v>
      </c>
      <c r="C41" s="32">
        <v>1375.04</v>
      </c>
      <c r="D41" s="19" t="s">
        <v>82</v>
      </c>
      <c r="E41" s="19" t="s">
        <v>31</v>
      </c>
      <c r="F41" s="19" t="s">
        <v>29</v>
      </c>
      <c r="G41" s="19"/>
      <c r="H41" s="19">
        <v>1</v>
      </c>
      <c r="I41" s="90"/>
    </row>
    <row r="42" spans="1:9" ht="14.4" x14ac:dyDescent="0.3">
      <c r="A42" s="19" t="s">
        <v>216</v>
      </c>
      <c r="B42" s="42">
        <v>46127</v>
      </c>
      <c r="C42" s="32">
        <v>1375.79</v>
      </c>
      <c r="D42" s="19" t="s">
        <v>82</v>
      </c>
      <c r="E42" s="19" t="s">
        <v>31</v>
      </c>
      <c r="F42" s="19" t="s">
        <v>63</v>
      </c>
      <c r="G42" s="19"/>
      <c r="H42" s="19">
        <v>1</v>
      </c>
      <c r="I42" s="90"/>
    </row>
    <row r="43" spans="1:9" ht="14.4" x14ac:dyDescent="0.3">
      <c r="A43" s="19" t="s">
        <v>216</v>
      </c>
      <c r="B43" s="42">
        <v>46127</v>
      </c>
      <c r="C43" s="32">
        <v>1376.54</v>
      </c>
      <c r="D43" s="19" t="s">
        <v>82</v>
      </c>
      <c r="E43" s="19" t="s">
        <v>31</v>
      </c>
      <c r="F43" s="19" t="s">
        <v>64</v>
      </c>
      <c r="G43" s="19"/>
      <c r="H43" s="19">
        <v>1</v>
      </c>
      <c r="I43" s="90"/>
    </row>
    <row r="44" spans="1:9" ht="14.4" x14ac:dyDescent="0.3">
      <c r="A44" s="19" t="s">
        <v>217</v>
      </c>
      <c r="B44" s="42">
        <v>46128</v>
      </c>
      <c r="C44" s="32">
        <v>1372.79</v>
      </c>
      <c r="D44" s="19" t="s">
        <v>82</v>
      </c>
      <c r="E44" s="19" t="s">
        <v>31</v>
      </c>
      <c r="F44" s="19" t="s">
        <v>65</v>
      </c>
      <c r="G44" s="19"/>
      <c r="H44" s="19">
        <v>1</v>
      </c>
      <c r="I44" s="90"/>
    </row>
    <row r="45" spans="1:9" ht="14.4" x14ac:dyDescent="0.3">
      <c r="A45" s="19" t="s">
        <v>217</v>
      </c>
      <c r="B45" s="42">
        <v>46128</v>
      </c>
      <c r="C45" s="32">
        <v>1373.54</v>
      </c>
      <c r="D45" s="19" t="s">
        <v>82</v>
      </c>
      <c r="E45" s="19" t="s">
        <v>31</v>
      </c>
      <c r="F45" s="19" t="s">
        <v>66</v>
      </c>
      <c r="G45" s="19"/>
      <c r="H45" s="19">
        <v>1</v>
      </c>
      <c r="I45" s="90"/>
    </row>
    <row r="46" spans="1:9" ht="14.4" x14ac:dyDescent="0.3">
      <c r="A46" s="19" t="s">
        <v>217</v>
      </c>
      <c r="B46" s="42">
        <v>46128</v>
      </c>
      <c r="C46" s="32">
        <v>1374.29</v>
      </c>
      <c r="D46" s="19" t="s">
        <v>82</v>
      </c>
      <c r="E46" s="19" t="s">
        <v>31</v>
      </c>
      <c r="F46" s="19" t="s">
        <v>67</v>
      </c>
      <c r="G46" s="19"/>
      <c r="H46" s="19">
        <v>1</v>
      </c>
      <c r="I46" s="90"/>
    </row>
    <row r="47" spans="1:9" ht="14.4" x14ac:dyDescent="0.3">
      <c r="A47" s="19" t="s">
        <v>218</v>
      </c>
      <c r="B47" s="42">
        <v>46128</v>
      </c>
      <c r="C47" s="32">
        <v>1370.54</v>
      </c>
      <c r="D47" s="19" t="s">
        <v>82</v>
      </c>
      <c r="E47" s="19" t="s">
        <v>31</v>
      </c>
      <c r="F47" s="19" t="s">
        <v>29</v>
      </c>
      <c r="G47" s="19"/>
      <c r="H47" s="19">
        <v>1</v>
      </c>
      <c r="I47" s="90"/>
    </row>
    <row r="48" spans="1:9" ht="14.4" x14ac:dyDescent="0.3">
      <c r="A48" s="19" t="s">
        <v>218</v>
      </c>
      <c r="B48" s="42">
        <v>46128</v>
      </c>
      <c r="C48" s="32">
        <v>1371.29</v>
      </c>
      <c r="D48" s="19" t="s">
        <v>82</v>
      </c>
      <c r="E48" s="19" t="s">
        <v>31</v>
      </c>
      <c r="F48" s="19" t="s">
        <v>63</v>
      </c>
      <c r="G48" s="19"/>
      <c r="H48" s="19">
        <v>1</v>
      </c>
      <c r="I48" s="90"/>
    </row>
    <row r="49" spans="1:9" ht="14.4" x14ac:dyDescent="0.3">
      <c r="A49" s="19" t="s">
        <v>218</v>
      </c>
      <c r="B49" s="42">
        <v>46128</v>
      </c>
      <c r="C49" s="32">
        <v>1372.04</v>
      </c>
      <c r="D49" s="19" t="s">
        <v>82</v>
      </c>
      <c r="E49" s="19" t="s">
        <v>31</v>
      </c>
      <c r="F49" s="19" t="s">
        <v>64</v>
      </c>
      <c r="G49" s="19"/>
      <c r="H49" s="19">
        <v>1</v>
      </c>
      <c r="I49" s="90"/>
    </row>
    <row r="50" spans="1:9" ht="14.4" x14ac:dyDescent="0.3">
      <c r="A50" s="19" t="s">
        <v>219</v>
      </c>
      <c r="B50" s="42">
        <v>46129</v>
      </c>
      <c r="C50" s="32">
        <v>1368.29</v>
      </c>
      <c r="D50" s="19" t="s">
        <v>82</v>
      </c>
      <c r="E50" s="19" t="s">
        <v>31</v>
      </c>
      <c r="F50" s="19" t="s">
        <v>65</v>
      </c>
      <c r="G50" s="19"/>
      <c r="H50" s="19">
        <v>1</v>
      </c>
      <c r="I50" s="90"/>
    </row>
    <row r="51" spans="1:9" ht="14.4" x14ac:dyDescent="0.3">
      <c r="A51" s="19" t="s">
        <v>219</v>
      </c>
      <c r="B51" s="42">
        <v>46129</v>
      </c>
      <c r="C51" s="32">
        <v>1369.04</v>
      </c>
      <c r="D51" s="19" t="s">
        <v>82</v>
      </c>
      <c r="E51" s="19" t="s">
        <v>31</v>
      </c>
      <c r="F51" s="19" t="s">
        <v>66</v>
      </c>
      <c r="G51" s="19"/>
      <c r="H51" s="19">
        <v>1</v>
      </c>
      <c r="I51" s="90"/>
    </row>
    <row r="52" spans="1:9" ht="14.4" x14ac:dyDescent="0.3">
      <c r="A52" s="19" t="s">
        <v>219</v>
      </c>
      <c r="B52" s="42">
        <v>46129</v>
      </c>
      <c r="C52" s="32">
        <v>1369.79</v>
      </c>
      <c r="D52" s="19" t="s">
        <v>82</v>
      </c>
      <c r="E52" s="19" t="s">
        <v>31</v>
      </c>
      <c r="F52" s="19" t="s">
        <v>67</v>
      </c>
      <c r="G52" s="19"/>
      <c r="H52" s="19">
        <v>1</v>
      </c>
      <c r="I52" s="90"/>
    </row>
    <row r="53" spans="1:9" ht="14.4" x14ac:dyDescent="0.3">
      <c r="A53" s="19" t="s">
        <v>220</v>
      </c>
      <c r="B53" s="42">
        <v>46132</v>
      </c>
      <c r="C53" s="32">
        <v>1366.04</v>
      </c>
      <c r="D53" s="19" t="s">
        <v>82</v>
      </c>
      <c r="E53" s="19" t="s">
        <v>31</v>
      </c>
      <c r="F53" s="19" t="s">
        <v>29</v>
      </c>
      <c r="G53" s="19"/>
      <c r="H53" s="19">
        <v>1</v>
      </c>
      <c r="I53" s="90"/>
    </row>
    <row r="54" spans="1:9" ht="14.4" x14ac:dyDescent="0.3">
      <c r="A54" s="19" t="s">
        <v>220</v>
      </c>
      <c r="B54" s="42">
        <v>46132</v>
      </c>
      <c r="C54" s="32">
        <v>1366.79</v>
      </c>
      <c r="D54" s="19" t="s">
        <v>82</v>
      </c>
      <c r="E54" s="19" t="s">
        <v>31</v>
      </c>
      <c r="F54" s="19" t="s">
        <v>63</v>
      </c>
      <c r="G54" s="19"/>
      <c r="H54" s="19">
        <v>1</v>
      </c>
      <c r="I54" s="90"/>
    </row>
    <row r="55" spans="1:9" ht="14.4" x14ac:dyDescent="0.3">
      <c r="A55" s="19" t="s">
        <v>220</v>
      </c>
      <c r="B55" s="42">
        <v>46132</v>
      </c>
      <c r="C55" s="32">
        <v>1367.54</v>
      </c>
      <c r="D55" s="19" t="s">
        <v>82</v>
      </c>
      <c r="E55" s="19" t="s">
        <v>31</v>
      </c>
      <c r="F55" s="19" t="s">
        <v>64</v>
      </c>
      <c r="G55" s="19"/>
      <c r="H55" s="19">
        <v>1</v>
      </c>
      <c r="I55" s="90"/>
    </row>
    <row r="56" spans="1:9" ht="14.4" x14ac:dyDescent="0.3">
      <c r="A56" s="19" t="s">
        <v>221</v>
      </c>
      <c r="B56" s="42">
        <v>46133</v>
      </c>
      <c r="C56" s="32">
        <v>1363.79</v>
      </c>
      <c r="D56" s="19" t="s">
        <v>82</v>
      </c>
      <c r="E56" s="19" t="s">
        <v>31</v>
      </c>
      <c r="F56" s="19" t="s">
        <v>65</v>
      </c>
      <c r="G56" s="19"/>
      <c r="H56" s="19">
        <v>1</v>
      </c>
      <c r="I56" s="90"/>
    </row>
    <row r="57" spans="1:9" ht="14.4" x14ac:dyDescent="0.3">
      <c r="A57" s="19" t="s">
        <v>221</v>
      </c>
      <c r="B57" s="42">
        <v>46133</v>
      </c>
      <c r="C57" s="32">
        <v>1364.54</v>
      </c>
      <c r="D57" s="19" t="s">
        <v>82</v>
      </c>
      <c r="E57" s="19" t="s">
        <v>31</v>
      </c>
      <c r="F57" s="19" t="s">
        <v>66</v>
      </c>
      <c r="G57" s="19"/>
      <c r="H57" s="19">
        <v>1</v>
      </c>
      <c r="I57" s="90"/>
    </row>
    <row r="58" spans="1:9" ht="14.4" x14ac:dyDescent="0.3">
      <c r="A58" s="19" t="s">
        <v>221</v>
      </c>
      <c r="B58" s="42">
        <v>46133</v>
      </c>
      <c r="C58" s="32">
        <v>1365.29</v>
      </c>
      <c r="D58" s="19" t="s">
        <v>82</v>
      </c>
      <c r="E58" s="19" t="s">
        <v>31</v>
      </c>
      <c r="F58" s="19" t="s">
        <v>67</v>
      </c>
      <c r="G58" s="19"/>
      <c r="H58" s="19">
        <v>1</v>
      </c>
      <c r="I58" s="90"/>
    </row>
    <row r="59" spans="1:9" ht="14.4" x14ac:dyDescent="0.3">
      <c r="A59" s="19" t="s">
        <v>222</v>
      </c>
      <c r="B59" s="42">
        <v>46134</v>
      </c>
      <c r="C59" s="32">
        <v>1361.54</v>
      </c>
      <c r="D59" s="19" t="s">
        <v>82</v>
      </c>
      <c r="E59" s="19" t="s">
        <v>31</v>
      </c>
      <c r="F59" s="19" t="s">
        <v>29</v>
      </c>
      <c r="G59" s="19"/>
      <c r="H59" s="19">
        <v>1</v>
      </c>
      <c r="I59" s="90"/>
    </row>
    <row r="60" spans="1:9" ht="14.4" x14ac:dyDescent="0.3">
      <c r="A60" s="19" t="s">
        <v>222</v>
      </c>
      <c r="B60" s="42">
        <v>46134</v>
      </c>
      <c r="C60" s="32">
        <v>1362.29</v>
      </c>
      <c r="D60" s="19" t="s">
        <v>82</v>
      </c>
      <c r="E60" s="19" t="s">
        <v>31</v>
      </c>
      <c r="F60" s="19" t="s">
        <v>63</v>
      </c>
      <c r="G60" s="19"/>
      <c r="H60" s="19">
        <v>1</v>
      </c>
      <c r="I60" s="90"/>
    </row>
    <row r="61" spans="1:9" ht="14.4" x14ac:dyDescent="0.3">
      <c r="A61" s="19" t="s">
        <v>222</v>
      </c>
      <c r="B61" s="42">
        <v>46134</v>
      </c>
      <c r="C61" s="32">
        <v>1363.04</v>
      </c>
      <c r="D61" s="19" t="s">
        <v>82</v>
      </c>
      <c r="E61" s="19" t="s">
        <v>31</v>
      </c>
      <c r="F61" s="19" t="s">
        <v>64</v>
      </c>
      <c r="G61" s="19"/>
      <c r="H61" s="19">
        <v>1</v>
      </c>
      <c r="I61" s="90"/>
    </row>
    <row r="62" spans="1:9" ht="14.4" x14ac:dyDescent="0.3">
      <c r="A62" s="19" t="s">
        <v>223</v>
      </c>
      <c r="B62" s="42">
        <v>46135</v>
      </c>
      <c r="C62" s="32">
        <v>1359.29</v>
      </c>
      <c r="D62" s="19" t="s">
        <v>82</v>
      </c>
      <c r="E62" s="19" t="s">
        <v>31</v>
      </c>
      <c r="F62" s="19" t="s">
        <v>65</v>
      </c>
      <c r="G62" s="19"/>
      <c r="H62" s="19">
        <v>1</v>
      </c>
      <c r="I62" s="90"/>
    </row>
    <row r="63" spans="1:9" ht="14.4" x14ac:dyDescent="0.3">
      <c r="A63" s="19" t="s">
        <v>223</v>
      </c>
      <c r="B63" s="42">
        <v>46135</v>
      </c>
      <c r="C63" s="32">
        <v>1360.04</v>
      </c>
      <c r="D63" s="19" t="s">
        <v>82</v>
      </c>
      <c r="E63" s="19" t="s">
        <v>31</v>
      </c>
      <c r="F63" s="19" t="s">
        <v>66</v>
      </c>
      <c r="G63" s="19"/>
      <c r="H63" s="19">
        <v>1</v>
      </c>
      <c r="I63" s="90"/>
    </row>
    <row r="64" spans="1:9" ht="14.4" x14ac:dyDescent="0.3">
      <c r="A64" s="19" t="s">
        <v>223</v>
      </c>
      <c r="B64" s="42">
        <v>46135</v>
      </c>
      <c r="C64" s="32">
        <v>1360.79</v>
      </c>
      <c r="D64" s="19" t="s">
        <v>82</v>
      </c>
      <c r="E64" s="19" t="s">
        <v>31</v>
      </c>
      <c r="F64" s="19" t="s">
        <v>67</v>
      </c>
      <c r="G64" s="19"/>
      <c r="H64" s="19">
        <v>1</v>
      </c>
      <c r="I64" s="90"/>
    </row>
    <row r="65" spans="1:9" ht="14.4" x14ac:dyDescent="0.3">
      <c r="A65" s="19" t="s">
        <v>224</v>
      </c>
      <c r="B65" s="42">
        <v>46136</v>
      </c>
      <c r="C65" s="32">
        <v>1356.6599999999999</v>
      </c>
      <c r="D65" s="19" t="s">
        <v>82</v>
      </c>
      <c r="E65" s="19" t="s">
        <v>31</v>
      </c>
      <c r="F65" s="19" t="s">
        <v>167</v>
      </c>
      <c r="G65" s="19"/>
      <c r="H65" s="19"/>
      <c r="I65" s="90"/>
    </row>
    <row r="66" spans="1:9" ht="14.4" x14ac:dyDescent="0.3">
      <c r="A66" s="19" t="s">
        <v>224</v>
      </c>
      <c r="B66" s="42">
        <v>46136</v>
      </c>
      <c r="C66" s="32">
        <v>1357.04</v>
      </c>
      <c r="D66" s="19" t="s">
        <v>82</v>
      </c>
      <c r="E66" s="19" t="s">
        <v>31</v>
      </c>
      <c r="F66" s="19" t="s">
        <v>29</v>
      </c>
      <c r="G66" s="19"/>
      <c r="H66" s="19">
        <v>1</v>
      </c>
      <c r="I66" s="90"/>
    </row>
    <row r="67" spans="1:9" ht="14.4" x14ac:dyDescent="0.3">
      <c r="A67" s="19" t="s">
        <v>224</v>
      </c>
      <c r="B67" s="42">
        <v>46136</v>
      </c>
      <c r="C67" s="32">
        <v>1357.79</v>
      </c>
      <c r="D67" s="19" t="s">
        <v>82</v>
      </c>
      <c r="E67" s="19" t="s">
        <v>31</v>
      </c>
      <c r="F67" s="19" t="s">
        <v>63</v>
      </c>
      <c r="G67" s="19"/>
      <c r="H67" s="19">
        <v>1</v>
      </c>
      <c r="I67" s="90"/>
    </row>
    <row r="68" spans="1:9" ht="14.4" x14ac:dyDescent="0.3">
      <c r="A68" s="19" t="s">
        <v>224</v>
      </c>
      <c r="B68" s="42">
        <v>46136</v>
      </c>
      <c r="C68" s="32">
        <v>1358.54</v>
      </c>
      <c r="D68" s="19" t="s">
        <v>82</v>
      </c>
      <c r="E68" s="19" t="s">
        <v>31</v>
      </c>
      <c r="F68" s="19" t="s">
        <v>64</v>
      </c>
      <c r="G68" s="19"/>
      <c r="H68" s="19">
        <v>1</v>
      </c>
      <c r="I68" s="90"/>
    </row>
    <row r="69" spans="1:9" ht="14.4" x14ac:dyDescent="0.3">
      <c r="A69" s="15" t="s">
        <v>62</v>
      </c>
      <c r="B69" s="15"/>
      <c r="C69" s="15"/>
      <c r="D69" s="15"/>
      <c r="E69" s="15"/>
      <c r="F69" s="15"/>
      <c r="G69" s="15"/>
      <c r="H69" s="15">
        <v>54</v>
      </c>
      <c r="I69" s="90"/>
    </row>
    <row r="70" spans="1:9" ht="14.4" x14ac:dyDescent="0.3">
      <c r="I70" s="90"/>
    </row>
    <row r="71" spans="1:9" ht="14.4" x14ac:dyDescent="0.3">
      <c r="I71" s="90"/>
    </row>
    <row r="72" spans="1:9" ht="15" customHeight="1" x14ac:dyDescent="0.3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5" customHeight="1" x14ac:dyDescent="0.3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5" customHeight="1" x14ac:dyDescent="0.3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5" customHeight="1" x14ac:dyDescent="0.3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5" customHeight="1" x14ac:dyDescent="0.3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5" customHeight="1" x14ac:dyDescent="0.3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5" customHeight="1" x14ac:dyDescent="0.3">
      <c r="A78" s="64"/>
    </row>
    <row r="79" spans="1:9" ht="15" customHeight="1" x14ac:dyDescent="0.3">
      <c r="A79" s="66"/>
    </row>
    <row r="80" spans="1:9" ht="15" customHeight="1" x14ac:dyDescent="0.3">
      <c r="A80" s="66"/>
    </row>
    <row r="81" spans="1:1" ht="15" customHeight="1" x14ac:dyDescent="0.3">
      <c r="A81" s="66"/>
    </row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4 A78:A126">
    <cfRule type="cellIs" dxfId="7" priority="1" operator="equal">
      <formula>"(boş)"</formula>
    </cfRule>
  </conditionalFormatting>
  <conditionalFormatting sqref="A13:F13 A127:F132">
    <cfRule type="cellIs" dxfId="6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rowBreaks count="1" manualBreakCount="1">
    <brk id="53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0"/>
  <sheetViews>
    <sheetView tabSelected="1" view="pageBreakPreview" zoomScale="70" zoomScaleNormal="85" zoomScaleSheetLayoutView="70" workbookViewId="0">
      <selection activeCell="D14" sqref="D14:E14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95" t="s">
        <v>77</v>
      </c>
      <c r="D2" s="95"/>
      <c r="E2" s="95"/>
      <c r="F2" s="95"/>
      <c r="G2" s="95"/>
      <c r="H2" s="95"/>
      <c r="I2" s="31"/>
    </row>
    <row r="3" spans="2:9" ht="15" customHeight="1" x14ac:dyDescent="0.3">
      <c r="B3" s="31"/>
      <c r="C3" s="95" t="s">
        <v>78</v>
      </c>
      <c r="D3" s="95"/>
      <c r="E3" s="95"/>
      <c r="F3" s="95"/>
      <c r="G3" s="95"/>
      <c r="H3" s="95"/>
      <c r="I3" s="31"/>
    </row>
    <row r="4" spans="2:9" ht="15" customHeight="1" x14ac:dyDescent="0.3">
      <c r="B4" s="31"/>
      <c r="C4" s="95" t="str">
        <f>+"BULON İCMALİ  (" &amp; TUTANAK!$M$3&amp; "-"&amp; TUTANAK!$M$4&amp; ")"</f>
        <v>BULON İCMALİ  (01.04.2026-30.04.2026)</v>
      </c>
      <c r="D4" s="95"/>
      <c r="E4" s="95"/>
      <c r="F4" s="95"/>
      <c r="G4" s="95"/>
      <c r="H4" s="95"/>
      <c r="I4" s="31"/>
    </row>
    <row r="5" spans="2:9" ht="15" customHeight="1" x14ac:dyDescent="0.3">
      <c r="B5" s="53"/>
      <c r="C5" s="96" t="s">
        <v>24</v>
      </c>
      <c r="D5" s="96"/>
      <c r="E5" s="96"/>
      <c r="F5" s="96"/>
      <c r="G5" s="96"/>
      <c r="H5" s="96"/>
      <c r="I5" s="53"/>
    </row>
    <row r="6" spans="2:9" ht="15" customHeight="1" x14ac:dyDescent="0.3">
      <c r="B6" s="45"/>
      <c r="C6" s="45"/>
      <c r="D6" s="45"/>
      <c r="E6" s="45"/>
      <c r="F6" s="45"/>
      <c r="H6" s="40" t="s">
        <v>73</v>
      </c>
      <c r="I6" s="36">
        <f>+TUTANAK!$D$11</f>
        <v>2</v>
      </c>
    </row>
    <row r="7" spans="2:9" ht="15" customHeight="1" x14ac:dyDescent="0.3">
      <c r="C7" s="46" t="s">
        <v>72</v>
      </c>
      <c r="D7" t="str">
        <f>+DATA!$F$3&amp;" "&amp;DATA!$G$3&amp;" "&amp;DATA!$H$3&amp;" Tüneli "&amp;DATA!$I$3&amp;" ("&amp;DATA!$J$3&amp;")"</f>
        <v>S06-Barbaros İstasyonu Hat-2 HY P1 Tüneli 4.Aşama (Alt Yarı)</v>
      </c>
    </row>
    <row r="8" spans="2:9" ht="15" customHeight="1" x14ac:dyDescent="0.3">
      <c r="C8" s="46" t="s">
        <v>69</v>
      </c>
      <c r="D8" s="94" t="str">
        <f>+TUTANAK!$D$6</f>
        <v>2026.04-006</v>
      </c>
      <c r="E8" s="94"/>
    </row>
    <row r="9" spans="2:9" ht="15" customHeight="1" x14ac:dyDescent="0.3">
      <c r="C9" s="46" t="s">
        <v>70</v>
      </c>
      <c r="D9" s="97" t="str">
        <f>+TUTANAK!$D$7</f>
        <v>S06.H2.HY.P1.A4.002</v>
      </c>
      <c r="E9" s="97"/>
    </row>
    <row r="10" spans="2:9" ht="15" customHeight="1" x14ac:dyDescent="0.3">
      <c r="C10" s="46" t="s">
        <v>71</v>
      </c>
      <c r="D10" s="94">
        <f>+TUTANAK!$D$8</f>
        <v>46142</v>
      </c>
      <c r="E10" s="94"/>
    </row>
    <row r="11" spans="2:9" ht="15" customHeight="1" x14ac:dyDescent="0.3">
      <c r="D11" s="39"/>
    </row>
    <row r="12" spans="2:9" ht="15" customHeight="1" x14ac:dyDescent="0.3">
      <c r="B12" s="51"/>
      <c r="C12" s="48"/>
      <c r="D12" s="48"/>
      <c r="E12" s="48"/>
      <c r="F12" s="48"/>
      <c r="G12" s="48"/>
    </row>
    <row r="13" spans="2:9" ht="28.8" x14ac:dyDescent="0.3">
      <c r="B13" s="52"/>
      <c r="C13" s="49" t="s">
        <v>27</v>
      </c>
      <c r="D13" s="49" t="s">
        <v>7</v>
      </c>
      <c r="E13" s="49" t="s">
        <v>8</v>
      </c>
      <c r="F13" s="50" t="s">
        <v>171</v>
      </c>
      <c r="G13" s="50" t="s">
        <v>172</v>
      </c>
      <c r="H13" s="20" t="s">
        <v>173</v>
      </c>
    </row>
    <row r="14" spans="2:9" ht="14.4" x14ac:dyDescent="0.3">
      <c r="C14" s="37" t="s">
        <v>227</v>
      </c>
      <c r="D14" s="63">
        <v>46120</v>
      </c>
      <c r="E14" s="57">
        <v>1385.17</v>
      </c>
      <c r="F14" s="19"/>
      <c r="G14" s="19"/>
      <c r="H14" s="19">
        <v>3</v>
      </c>
    </row>
    <row r="15" spans="2:9" ht="15" customHeight="1" x14ac:dyDescent="0.3">
      <c r="C15" s="37" t="s">
        <v>227</v>
      </c>
      <c r="D15" s="63">
        <v>46120</v>
      </c>
      <c r="E15" s="57">
        <v>1385.92</v>
      </c>
      <c r="F15" s="19"/>
      <c r="G15" s="19"/>
      <c r="H15" s="19">
        <v>3</v>
      </c>
    </row>
    <row r="16" spans="2:9" ht="14.4" x14ac:dyDescent="0.3">
      <c r="C16" s="37" t="s">
        <v>227</v>
      </c>
      <c r="D16" s="63">
        <v>46120</v>
      </c>
      <c r="E16" s="57">
        <v>1394.92</v>
      </c>
      <c r="F16" s="19"/>
      <c r="G16" s="19"/>
      <c r="H16" s="19">
        <v>3</v>
      </c>
    </row>
    <row r="17" spans="3:8" ht="15" customHeight="1" x14ac:dyDescent="0.3">
      <c r="C17" s="37" t="s">
        <v>227</v>
      </c>
      <c r="D17" s="63">
        <v>46120</v>
      </c>
      <c r="E17" s="57">
        <v>1395.67</v>
      </c>
      <c r="F17" s="19"/>
      <c r="G17" s="19"/>
      <c r="H17" s="19">
        <v>3</v>
      </c>
    </row>
    <row r="18" spans="3:8" ht="15" customHeight="1" x14ac:dyDescent="0.3">
      <c r="C18" s="37" t="s">
        <v>227</v>
      </c>
      <c r="D18" s="63">
        <v>46120</v>
      </c>
      <c r="E18" s="57">
        <v>1396.42</v>
      </c>
      <c r="F18" s="19"/>
      <c r="G18" s="19"/>
      <c r="H18" s="19">
        <v>3</v>
      </c>
    </row>
    <row r="19" spans="3:8" ht="15" customHeight="1" x14ac:dyDescent="0.3">
      <c r="C19" s="37" t="s">
        <v>227</v>
      </c>
      <c r="D19" s="63">
        <v>46120</v>
      </c>
      <c r="E19" s="57">
        <v>1397.17</v>
      </c>
      <c r="F19" s="19"/>
      <c r="G19" s="19"/>
      <c r="H19" s="19">
        <v>3</v>
      </c>
    </row>
    <row r="20" spans="3:8" ht="14.4" x14ac:dyDescent="0.3">
      <c r="C20" s="37" t="s">
        <v>227</v>
      </c>
      <c r="D20" s="63">
        <v>46120</v>
      </c>
      <c r="E20" s="57">
        <v>1397.92</v>
      </c>
      <c r="F20" s="19"/>
      <c r="G20" s="19"/>
      <c r="H20" s="19">
        <v>3</v>
      </c>
    </row>
    <row r="21" spans="3:8" ht="15" customHeight="1" x14ac:dyDescent="0.3">
      <c r="C21" s="37" t="s">
        <v>227</v>
      </c>
      <c r="D21" s="63">
        <v>46120</v>
      </c>
      <c r="E21" s="57">
        <v>1398.67</v>
      </c>
      <c r="F21" s="19"/>
      <c r="G21" s="19"/>
      <c r="H21" s="19">
        <v>3</v>
      </c>
    </row>
    <row r="22" spans="3:8" ht="15" customHeight="1" x14ac:dyDescent="0.3">
      <c r="C22" s="37" t="s">
        <v>227</v>
      </c>
      <c r="D22" s="63">
        <v>46120</v>
      </c>
      <c r="E22" s="57">
        <v>1399.42</v>
      </c>
      <c r="F22" s="19"/>
      <c r="G22" s="19"/>
      <c r="H22" s="19">
        <v>3</v>
      </c>
    </row>
    <row r="23" spans="3:8" ht="14.4" x14ac:dyDescent="0.3">
      <c r="C23" s="37" t="s">
        <v>227</v>
      </c>
      <c r="D23" s="63">
        <v>46120</v>
      </c>
      <c r="E23" s="57">
        <v>1400.17</v>
      </c>
      <c r="F23" s="19"/>
      <c r="G23" s="19"/>
      <c r="H23" s="19">
        <v>3</v>
      </c>
    </row>
    <row r="24" spans="3:8" ht="15" customHeight="1" x14ac:dyDescent="0.3">
      <c r="C24" s="37" t="s">
        <v>227</v>
      </c>
      <c r="D24" s="63">
        <v>46120</v>
      </c>
      <c r="E24" s="57">
        <v>1400.92</v>
      </c>
      <c r="F24" s="19"/>
      <c r="G24" s="19"/>
      <c r="H24" s="19">
        <v>3</v>
      </c>
    </row>
    <row r="25" spans="3:8" ht="14.4" x14ac:dyDescent="0.3">
      <c r="C25" s="37" t="s">
        <v>227</v>
      </c>
      <c r="D25" s="63">
        <v>46120</v>
      </c>
      <c r="E25" s="57">
        <v>1401.67</v>
      </c>
      <c r="F25" s="19"/>
      <c r="G25" s="19"/>
      <c r="H25" s="19">
        <v>3</v>
      </c>
    </row>
    <row r="26" spans="3:8" ht="15" customHeight="1" x14ac:dyDescent="0.3">
      <c r="C26" s="37" t="s">
        <v>227</v>
      </c>
      <c r="D26" s="63">
        <v>46120</v>
      </c>
      <c r="E26" s="57">
        <v>1402.42</v>
      </c>
      <c r="F26" s="19"/>
      <c r="G26" s="19"/>
      <c r="H26" s="19">
        <v>3</v>
      </c>
    </row>
    <row r="27" spans="3:8" ht="15" customHeight="1" x14ac:dyDescent="0.3">
      <c r="C27" s="37" t="s">
        <v>227</v>
      </c>
      <c r="D27" s="63">
        <v>46120</v>
      </c>
      <c r="E27" s="57">
        <v>1403.17</v>
      </c>
      <c r="F27" s="19"/>
      <c r="G27" s="19"/>
      <c r="H27" s="19">
        <v>3</v>
      </c>
    </row>
    <row r="28" spans="3:8" ht="15" customHeight="1" x14ac:dyDescent="0.3">
      <c r="C28" s="37" t="s">
        <v>227</v>
      </c>
      <c r="D28" s="63">
        <v>46120</v>
      </c>
      <c r="E28" s="57">
        <v>1403.92</v>
      </c>
      <c r="F28" s="19"/>
      <c r="G28" s="19"/>
      <c r="H28" s="19">
        <v>3</v>
      </c>
    </row>
    <row r="29" spans="3:8" ht="14.4" x14ac:dyDescent="0.3">
      <c r="C29" s="37" t="s">
        <v>227</v>
      </c>
      <c r="D29" s="63">
        <v>46120</v>
      </c>
      <c r="E29" s="57">
        <v>1404.67</v>
      </c>
      <c r="F29" s="19"/>
      <c r="G29" s="19"/>
      <c r="H29" s="19">
        <v>3</v>
      </c>
    </row>
    <row r="30" spans="3:8" ht="15" customHeight="1" x14ac:dyDescent="0.3">
      <c r="C30" s="37" t="s">
        <v>227</v>
      </c>
      <c r="D30" s="63">
        <v>46120</v>
      </c>
      <c r="E30" s="57">
        <v>1405.42</v>
      </c>
      <c r="F30" s="19"/>
      <c r="G30" s="19"/>
      <c r="H30" s="19">
        <v>3</v>
      </c>
    </row>
    <row r="31" spans="3:8" ht="15" customHeight="1" x14ac:dyDescent="0.3">
      <c r="C31" s="37" t="s">
        <v>227</v>
      </c>
      <c r="D31" s="63">
        <v>46120</v>
      </c>
      <c r="E31" s="57">
        <v>1406.17</v>
      </c>
      <c r="F31" s="19"/>
      <c r="G31" s="19"/>
      <c r="H31" s="19">
        <v>3</v>
      </c>
    </row>
    <row r="32" spans="3:8" ht="14.4" x14ac:dyDescent="0.3">
      <c r="C32" s="37" t="s">
        <v>227</v>
      </c>
      <c r="D32" s="63">
        <v>46120</v>
      </c>
      <c r="E32" s="57">
        <v>1406.92</v>
      </c>
      <c r="F32" s="19"/>
      <c r="G32" s="19"/>
      <c r="H32" s="19">
        <v>3</v>
      </c>
    </row>
    <row r="33" spans="2:10" ht="15" customHeight="1" x14ac:dyDescent="0.3">
      <c r="C33" s="37" t="s">
        <v>228</v>
      </c>
      <c r="D33" s="63">
        <v>46120</v>
      </c>
      <c r="E33" s="57">
        <v>1407.67</v>
      </c>
      <c r="F33" s="19"/>
      <c r="G33" s="19"/>
      <c r="H33" s="19">
        <v>3</v>
      </c>
    </row>
    <row r="34" spans="2:10" ht="15" customHeight="1" x14ac:dyDescent="0.3">
      <c r="C34" s="37" t="s">
        <v>228</v>
      </c>
      <c r="D34" s="63">
        <v>46120</v>
      </c>
      <c r="E34" s="57">
        <v>1408.42</v>
      </c>
      <c r="F34" s="19"/>
      <c r="G34" s="19"/>
      <c r="H34" s="19">
        <v>3</v>
      </c>
    </row>
    <row r="35" spans="2:10" ht="15" customHeight="1" x14ac:dyDescent="0.3">
      <c r="C35" s="37" t="s">
        <v>228</v>
      </c>
      <c r="D35" s="63">
        <v>46120</v>
      </c>
      <c r="E35" s="57">
        <v>1409.17</v>
      </c>
      <c r="F35" s="19"/>
      <c r="G35" s="19"/>
      <c r="H35" s="19">
        <v>3</v>
      </c>
    </row>
    <row r="36" spans="2:10" ht="14.4" x14ac:dyDescent="0.3">
      <c r="C36" s="37" t="s">
        <v>228</v>
      </c>
      <c r="D36" s="63">
        <v>46120</v>
      </c>
      <c r="E36" s="57">
        <v>1409.92</v>
      </c>
      <c r="F36" s="19"/>
      <c r="G36" s="19"/>
      <c r="H36" s="19">
        <v>3</v>
      </c>
    </row>
    <row r="37" spans="2:10" ht="15" customHeight="1" x14ac:dyDescent="0.3">
      <c r="C37" s="37" t="s">
        <v>228</v>
      </c>
      <c r="D37" s="63">
        <v>46120</v>
      </c>
      <c r="E37" s="57">
        <v>1410.67</v>
      </c>
      <c r="F37" s="19"/>
      <c r="G37" s="19"/>
      <c r="H37" s="19">
        <v>3</v>
      </c>
    </row>
    <row r="38" spans="2:10" ht="15" customHeight="1" x14ac:dyDescent="0.3">
      <c r="C38" s="37" t="s">
        <v>228</v>
      </c>
      <c r="D38" s="63">
        <v>46120</v>
      </c>
      <c r="E38" s="57">
        <v>1411.42</v>
      </c>
      <c r="F38" s="19"/>
      <c r="G38" s="19"/>
      <c r="H38" s="19">
        <v>3</v>
      </c>
    </row>
    <row r="39" spans="2:10" ht="15" customHeight="1" x14ac:dyDescent="0.3">
      <c r="C39" s="37" t="s">
        <v>228</v>
      </c>
      <c r="D39" s="63">
        <v>46120</v>
      </c>
      <c r="E39" s="57">
        <v>1412.17</v>
      </c>
      <c r="F39" s="19"/>
      <c r="G39" s="19"/>
      <c r="H39" s="19">
        <v>3</v>
      </c>
    </row>
    <row r="40" spans="2:10" ht="15" customHeight="1" x14ac:dyDescent="0.3">
      <c r="C40" s="37" t="s">
        <v>228</v>
      </c>
      <c r="D40" s="63">
        <v>46120</v>
      </c>
      <c r="E40" s="57">
        <v>1412.92</v>
      </c>
      <c r="F40" s="19"/>
      <c r="G40" s="19"/>
      <c r="H40" s="19">
        <v>3</v>
      </c>
    </row>
    <row r="41" spans="2:10" ht="15" customHeight="1" x14ac:dyDescent="0.3">
      <c r="C41" s="37" t="s">
        <v>228</v>
      </c>
      <c r="D41" s="63">
        <v>46120</v>
      </c>
      <c r="E41" s="57">
        <v>1413.67</v>
      </c>
      <c r="F41" s="19"/>
      <c r="G41" s="19"/>
      <c r="H41" s="19">
        <v>3</v>
      </c>
    </row>
    <row r="42" spans="2:10" ht="15" customHeight="1" x14ac:dyDescent="0.3">
      <c r="B42" s="54"/>
      <c r="C42" s="37" t="s">
        <v>229</v>
      </c>
      <c r="D42" s="63">
        <v>46142</v>
      </c>
      <c r="E42" s="57">
        <v>1379.17</v>
      </c>
      <c r="F42" s="19"/>
      <c r="G42" s="19"/>
      <c r="H42" s="19">
        <v>3</v>
      </c>
      <c r="J42" s="31"/>
    </row>
    <row r="43" spans="2:10" ht="15" customHeight="1" x14ac:dyDescent="0.3">
      <c r="B43" s="47"/>
      <c r="C43" s="37" t="s">
        <v>229</v>
      </c>
      <c r="D43" s="63">
        <v>46142</v>
      </c>
      <c r="E43" s="57">
        <v>1379.92</v>
      </c>
      <c r="F43" s="19"/>
      <c r="G43" s="19"/>
      <c r="H43" s="19">
        <v>3</v>
      </c>
      <c r="J43" s="47"/>
    </row>
    <row r="44" spans="2:10" ht="15" customHeight="1" x14ac:dyDescent="0.3">
      <c r="B44" s="47"/>
      <c r="C44" s="37" t="s">
        <v>229</v>
      </c>
      <c r="D44" s="63">
        <v>46142</v>
      </c>
      <c r="E44" s="57">
        <v>1380.67</v>
      </c>
      <c r="F44" s="19"/>
      <c r="G44" s="19"/>
      <c r="H44" s="19">
        <v>3</v>
      </c>
      <c r="J44" s="47"/>
    </row>
    <row r="45" spans="2:10" ht="15" customHeight="1" x14ac:dyDescent="0.3">
      <c r="C45" s="37" t="s">
        <v>229</v>
      </c>
      <c r="D45" s="63">
        <v>46142</v>
      </c>
      <c r="E45" s="57">
        <v>1381.42</v>
      </c>
      <c r="F45" s="19"/>
      <c r="G45" s="19"/>
      <c r="H45" s="19">
        <v>3</v>
      </c>
    </row>
    <row r="46" spans="2:10" ht="15" customHeight="1" x14ac:dyDescent="0.3">
      <c r="C46" s="37" t="s">
        <v>229</v>
      </c>
      <c r="D46" s="63">
        <v>46142</v>
      </c>
      <c r="E46" s="57">
        <v>1382.17</v>
      </c>
      <c r="F46" s="19"/>
      <c r="G46" s="19"/>
      <c r="H46" s="19">
        <v>3</v>
      </c>
    </row>
    <row r="47" spans="2:10" ht="15" customHeight="1" x14ac:dyDescent="0.3">
      <c r="C47" s="37" t="s">
        <v>229</v>
      </c>
      <c r="D47" s="63">
        <v>46142</v>
      </c>
      <c r="E47" s="57">
        <v>1382.92</v>
      </c>
      <c r="F47" s="19"/>
      <c r="G47" s="19"/>
      <c r="H47" s="19">
        <v>3</v>
      </c>
    </row>
    <row r="48" spans="2:10" ht="15" customHeight="1" x14ac:dyDescent="0.3">
      <c r="C48" s="37" t="s">
        <v>229</v>
      </c>
      <c r="D48" s="63">
        <v>46142</v>
      </c>
      <c r="E48" s="57">
        <v>1383.67</v>
      </c>
      <c r="F48" s="19"/>
      <c r="G48" s="19"/>
      <c r="H48" s="19">
        <v>3</v>
      </c>
    </row>
    <row r="49" spans="3:8" ht="15" customHeight="1" x14ac:dyDescent="0.3">
      <c r="C49" s="37" t="s">
        <v>229</v>
      </c>
      <c r="D49" s="63">
        <v>46142</v>
      </c>
      <c r="E49" s="57">
        <v>1384.42</v>
      </c>
      <c r="F49" s="19"/>
      <c r="G49" s="19"/>
      <c r="H49" s="19">
        <v>3</v>
      </c>
    </row>
    <row r="50" spans="3:8" ht="14.4" x14ac:dyDescent="0.3">
      <c r="C50" s="15" t="s">
        <v>174</v>
      </c>
      <c r="D50" s="15"/>
      <c r="E50" s="15"/>
      <c r="F50" s="15"/>
      <c r="G50" s="15"/>
      <c r="H50" s="15">
        <v>108</v>
      </c>
    </row>
  </sheetData>
  <mergeCells count="7">
    <mergeCell ref="D10:E10"/>
    <mergeCell ref="C2:H2"/>
    <mergeCell ref="C4:H4"/>
    <mergeCell ref="C5:H5"/>
    <mergeCell ref="D8:E8"/>
    <mergeCell ref="D9:E9"/>
    <mergeCell ref="C3:H3"/>
  </mergeCells>
  <conditionalFormatting sqref="B34:B123 B124:G129">
    <cfRule type="cellIs" dxfId="5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G15" sqref="G15:H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95" t="s">
        <v>77</v>
      </c>
      <c r="D2" s="95"/>
      <c r="E2" s="95"/>
      <c r="F2" s="95"/>
      <c r="G2" s="95"/>
      <c r="H2" s="95"/>
      <c r="I2" s="31"/>
    </row>
    <row r="3" spans="2:9" ht="15" customHeight="1" x14ac:dyDescent="0.3">
      <c r="B3" s="31"/>
      <c r="C3" s="95" t="s">
        <v>78</v>
      </c>
      <c r="D3" s="95"/>
      <c r="E3" s="95"/>
      <c r="F3" s="95"/>
      <c r="G3" s="95"/>
      <c r="H3" s="95"/>
      <c r="I3" s="31"/>
    </row>
    <row r="4" spans="2:9" ht="15" customHeight="1" x14ac:dyDescent="0.3">
      <c r="B4" s="31"/>
      <c r="C4" s="95" t="str">
        <f>+"UMBRELLA ARCH İCMALİ  (" &amp; TUTANAK!$M$3&amp; "-"&amp; TUTANAK!$M$4&amp; ")"</f>
        <v>UMBRELLA ARCH İCMALİ  (01.04.2026-30.04.2026)</v>
      </c>
      <c r="D4" s="95"/>
      <c r="E4" s="95"/>
      <c r="F4" s="95"/>
      <c r="G4" s="95"/>
      <c r="H4" s="95"/>
      <c r="I4" s="31"/>
    </row>
    <row r="5" spans="2:9" ht="15" customHeight="1" x14ac:dyDescent="0.3">
      <c r="B5" s="53"/>
      <c r="C5" s="96" t="s">
        <v>24</v>
      </c>
      <c r="D5" s="96"/>
      <c r="E5" s="96"/>
      <c r="F5" s="96"/>
      <c r="G5" s="96"/>
      <c r="H5" s="96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73</v>
      </c>
      <c r="H6" s="36">
        <f>+TUTANAK!$D$12</f>
        <v>0</v>
      </c>
      <c r="I6" s="45"/>
    </row>
    <row r="7" spans="2:9" ht="27.6" customHeight="1" x14ac:dyDescent="0.3">
      <c r="D7" s="46" t="s">
        <v>72</v>
      </c>
      <c r="E7" s="104" t="str">
        <f>+DATA!$F$3&amp;" "&amp;DATA!$G$3&amp;" "&amp;DATA!$H$3&amp;" Tüneli "&amp;DATA!$I$3&amp;" ("&amp;DATA!$J$3&amp;")"</f>
        <v>S06-Barbaros İstasyonu Hat-2 HY P1 Tüneli 4.Aşama (Alt Yarı)</v>
      </c>
      <c r="F7" s="104"/>
    </row>
    <row r="8" spans="2:9" ht="15" customHeight="1" x14ac:dyDescent="0.3">
      <c r="D8" s="46" t="s">
        <v>69</v>
      </c>
      <c r="E8" s="38" t="str">
        <f>+TUTANAK!$D$6</f>
        <v>2026.04-006</v>
      </c>
    </row>
    <row r="9" spans="2:9" ht="15" customHeight="1" x14ac:dyDescent="0.3">
      <c r="D9" s="46" t="s">
        <v>70</v>
      </c>
      <c r="E9" s="84" t="str">
        <f>+TUTANAK!$D$7</f>
        <v>S06.H2.HY.P1.A4.002</v>
      </c>
      <c r="F9" s="84"/>
    </row>
    <row r="10" spans="2:9" ht="15" customHeight="1" x14ac:dyDescent="0.3">
      <c r="D10" s="46" t="s">
        <v>71</v>
      </c>
      <c r="E10" s="38">
        <f>+TUTANAK!$D$8</f>
        <v>46142</v>
      </c>
      <c r="F10" s="38"/>
    </row>
    <row r="11" spans="2:9" ht="15" customHeight="1" x14ac:dyDescent="0.3">
      <c r="D11" s="39"/>
    </row>
    <row r="12" spans="2:9" ht="14.4" x14ac:dyDescent="0.3">
      <c r="B12" s="51"/>
      <c r="F12" s="51"/>
      <c r="G12" s="51"/>
    </row>
    <row r="14" spans="2:9" ht="14.4" x14ac:dyDescent="0.3">
      <c r="D14" s="15" t="s">
        <v>27</v>
      </c>
      <c r="E14" s="15" t="s">
        <v>7</v>
      </c>
      <c r="F14" s="15" t="s">
        <v>8</v>
      </c>
      <c r="G14" s="15" t="s">
        <v>177</v>
      </c>
    </row>
    <row r="15" spans="2:9" ht="14.4" x14ac:dyDescent="0.3">
      <c r="D15" s="19" t="s">
        <v>85</v>
      </c>
      <c r="E15" s="63">
        <v>45874</v>
      </c>
      <c r="F15" s="57">
        <v>2119.6</v>
      </c>
      <c r="G15" s="55">
        <v>423</v>
      </c>
    </row>
    <row r="16" spans="2:9" ht="14.4" x14ac:dyDescent="0.3">
      <c r="D16" s="86" t="s">
        <v>178</v>
      </c>
      <c r="E16" s="56"/>
      <c r="F16" s="56"/>
      <c r="G16" s="65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4"/>
      <c r="C55" s="100"/>
      <c r="D55" s="100"/>
      <c r="E55" s="95"/>
      <c r="F55" s="95"/>
      <c r="G55" s="95"/>
      <c r="H55" s="95"/>
      <c r="I55" s="31"/>
      <c r="J55" s="31"/>
    </row>
    <row r="56" spans="2:10" ht="15" customHeight="1" x14ac:dyDescent="0.3">
      <c r="B56" s="47"/>
      <c r="C56" s="110"/>
      <c r="D56" s="110"/>
      <c r="E56" s="110"/>
      <c r="F56" s="110"/>
      <c r="G56" s="110"/>
      <c r="H56" s="110"/>
      <c r="I56" s="47"/>
      <c r="J56" s="47"/>
    </row>
    <row r="57" spans="2:10" ht="15" customHeight="1" x14ac:dyDescent="0.3">
      <c r="B57" s="47"/>
      <c r="C57" s="47"/>
      <c r="D57" s="47"/>
      <c r="E57" s="47"/>
      <c r="F57" s="47"/>
      <c r="G57" s="47"/>
      <c r="H57" s="47"/>
      <c r="I57" s="47"/>
      <c r="J57" s="47"/>
    </row>
    <row r="66" spans="3:8" ht="15" customHeight="1" x14ac:dyDescent="0.3">
      <c r="C66" s="99"/>
      <c r="D66" s="99"/>
      <c r="E66" s="99"/>
      <c r="F66" s="99"/>
      <c r="G66" s="99"/>
      <c r="H66" s="99"/>
    </row>
    <row r="67" spans="3:8" ht="15" customHeight="1" x14ac:dyDescent="0.3">
      <c r="C67" s="99"/>
      <c r="D67" s="99"/>
      <c r="E67" s="99"/>
      <c r="F67" s="99"/>
      <c r="G67" s="99"/>
      <c r="H67" s="99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G15" sqref="G15:H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95" t="s">
        <v>77</v>
      </c>
      <c r="D2" s="95"/>
      <c r="E2" s="95"/>
      <c r="F2" s="95"/>
      <c r="G2" s="95"/>
      <c r="H2" s="95"/>
      <c r="I2" s="31"/>
    </row>
    <row r="3" spans="2:9" ht="15" customHeight="1" x14ac:dyDescent="0.3">
      <c r="B3" s="31"/>
      <c r="C3" s="95" t="s">
        <v>78</v>
      </c>
      <c r="D3" s="95"/>
      <c r="E3" s="95"/>
      <c r="F3" s="95"/>
      <c r="G3" s="95"/>
      <c r="H3" s="95"/>
      <c r="I3" s="31"/>
    </row>
    <row r="4" spans="2:9" ht="15" customHeight="1" x14ac:dyDescent="0.3">
      <c r="B4" s="31"/>
      <c r="C4" s="95" t="str">
        <f>+"ZEMİN ÇİVİSİ İCMALİ  (" &amp; TUTANAK!$M$3&amp; "-"&amp; TUTANAK!$M$4&amp; ")"</f>
        <v>ZEMİN ÇİVİSİ İCMALİ  (01.04.2026-30.04.2026)</v>
      </c>
      <c r="D4" s="95"/>
      <c r="E4" s="95"/>
      <c r="F4" s="95"/>
      <c r="G4" s="95"/>
      <c r="H4" s="95"/>
      <c r="I4" s="31"/>
    </row>
    <row r="5" spans="2:9" ht="15" customHeight="1" x14ac:dyDescent="0.3">
      <c r="B5" s="53"/>
      <c r="C5" s="96" t="s">
        <v>24</v>
      </c>
      <c r="D5" s="96"/>
      <c r="E5" s="96"/>
      <c r="F5" s="96"/>
      <c r="G5" s="96"/>
      <c r="H5" s="96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73</v>
      </c>
      <c r="H6" s="36">
        <f>+TUTANAK!$D$13</f>
        <v>0</v>
      </c>
      <c r="I6" s="45"/>
    </row>
    <row r="7" spans="2:9" ht="15" customHeight="1" x14ac:dyDescent="0.3">
      <c r="C7" s="46" t="s">
        <v>72</v>
      </c>
      <c r="D7" t="str">
        <f>+DATA!$F$3&amp;" "&amp;DATA!$G$3&amp;" "&amp;DATA!$H$3&amp;" Tüneli "&amp;DATA!$I$3&amp;" ("&amp;DATA!$J$3&amp;")"</f>
        <v>S06-Barbaros İstasyonu Hat-2 HY P1 Tüneli 4.Aşama (Alt Yarı)</v>
      </c>
    </row>
    <row r="8" spans="2:9" ht="15" customHeight="1" x14ac:dyDescent="0.3">
      <c r="C8" s="46" t="s">
        <v>69</v>
      </c>
      <c r="D8" s="94" t="str">
        <f>+TUTANAK!$D$6</f>
        <v>2026.04-006</v>
      </c>
      <c r="E8" s="94"/>
    </row>
    <row r="9" spans="2:9" ht="15" customHeight="1" x14ac:dyDescent="0.3">
      <c r="C9" s="46" t="s">
        <v>70</v>
      </c>
      <c r="D9" s="97" t="str">
        <f>+TUTANAK!$D$7</f>
        <v>S06.H2.HY.P1.A4.002</v>
      </c>
      <c r="E9" s="97"/>
    </row>
    <row r="10" spans="2:9" ht="15" customHeight="1" x14ac:dyDescent="0.3">
      <c r="C10" s="46" t="s">
        <v>71</v>
      </c>
      <c r="D10" s="94">
        <f>+TUTANAK!$D$8</f>
        <v>46142</v>
      </c>
      <c r="E10" s="94"/>
    </row>
    <row r="11" spans="2:9" ht="15" customHeight="1" x14ac:dyDescent="0.3">
      <c r="D11" s="39"/>
    </row>
    <row r="12" spans="2:9" ht="15" customHeight="1" x14ac:dyDescent="0.3">
      <c r="B12" s="51"/>
      <c r="D12" s="51"/>
      <c r="E12" s="51"/>
      <c r="F12" s="51"/>
      <c r="G12" s="51"/>
    </row>
    <row r="13" spans="2:9" ht="28.8" customHeight="1" x14ac:dyDescent="0.3">
      <c r="C13" s="44" t="s">
        <v>27</v>
      </c>
      <c r="D13" s="44" t="s">
        <v>7</v>
      </c>
      <c r="E13" s="44" t="s">
        <v>8</v>
      </c>
      <c r="F13" s="20" t="s">
        <v>175</v>
      </c>
      <c r="G13" s="20" t="s">
        <v>176</v>
      </c>
    </row>
    <row r="14" spans="2:9" ht="14.4" x14ac:dyDescent="0.3">
      <c r="C14" s="55" t="s">
        <v>85</v>
      </c>
      <c r="D14" s="63">
        <v>45874</v>
      </c>
      <c r="E14" s="57">
        <v>2119.6</v>
      </c>
      <c r="F14" s="55">
        <v>162</v>
      </c>
      <c r="G14" s="37"/>
    </row>
    <row r="15" spans="2:9" ht="14.4" x14ac:dyDescent="0.3">
      <c r="C15" s="65" t="s">
        <v>178</v>
      </c>
      <c r="D15" s="65"/>
      <c r="E15" s="65"/>
      <c r="F15" s="65">
        <v>162</v>
      </c>
      <c r="G15" s="56"/>
    </row>
    <row r="17" ht="14.4" x14ac:dyDescent="0.3"/>
    <row r="19" ht="14.4" x14ac:dyDescent="0.3"/>
    <row r="42" spans="2:10" ht="15" customHeight="1" x14ac:dyDescent="0.3">
      <c r="B42" s="54"/>
      <c r="C42" s="100"/>
      <c r="D42" s="100"/>
      <c r="E42" s="95"/>
      <c r="F42" s="95"/>
      <c r="G42" s="95"/>
      <c r="H42" s="95"/>
      <c r="I42" s="31"/>
      <c r="J42" s="31"/>
    </row>
    <row r="43" spans="2:10" ht="15" customHeight="1" x14ac:dyDescent="0.3">
      <c r="B43" s="47"/>
      <c r="C43" s="110"/>
      <c r="D43" s="110"/>
      <c r="E43" s="110"/>
      <c r="F43" s="110"/>
      <c r="G43" s="110"/>
      <c r="H43" s="110"/>
      <c r="I43" s="47"/>
      <c r="J43" s="47"/>
    </row>
    <row r="44" spans="2:10" ht="15" customHeight="1" x14ac:dyDescent="0.3">
      <c r="B44" s="47"/>
      <c r="C44" s="47"/>
      <c r="D44" s="47"/>
      <c r="E44" s="47"/>
      <c r="F44" s="47"/>
      <c r="G44" s="47"/>
      <c r="H44" s="47"/>
      <c r="I44" s="47"/>
      <c r="J44" s="47"/>
    </row>
    <row r="53" spans="3:8" ht="15" customHeight="1" x14ac:dyDescent="0.3">
      <c r="C53" s="99"/>
      <c r="D53" s="99"/>
      <c r="E53" s="99"/>
      <c r="F53" s="99"/>
      <c r="G53" s="99"/>
      <c r="H53" s="99"/>
    </row>
    <row r="54" spans="3:8" ht="15" customHeight="1" x14ac:dyDescent="0.3">
      <c r="C54" s="99"/>
      <c r="D54" s="99"/>
      <c r="E54" s="99"/>
      <c r="F54" s="99"/>
      <c r="G54" s="99"/>
      <c r="H54" s="99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topLeftCell="A4" zoomScaleNormal="100" zoomScaleSheetLayoutView="100" workbookViewId="0">
      <selection activeCell="C35" sqref="C35:F3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95" t="s">
        <v>77</v>
      </c>
      <c r="B2" s="95"/>
      <c r="C2" s="95"/>
      <c r="D2" s="95"/>
      <c r="E2" s="95"/>
      <c r="F2" s="95"/>
      <c r="G2" s="95"/>
      <c r="H2" s="95"/>
    </row>
    <row r="3" spans="1:8" customFormat="1" ht="15" customHeight="1" x14ac:dyDescent="0.3">
      <c r="A3" s="95" t="s">
        <v>78</v>
      </c>
      <c r="B3" s="95"/>
      <c r="C3" s="95"/>
      <c r="D3" s="95"/>
      <c r="E3" s="95"/>
      <c r="F3" s="95"/>
      <c r="G3" s="95"/>
      <c r="H3" s="95"/>
    </row>
    <row r="4" spans="1:8" customFormat="1" ht="15" customHeight="1" x14ac:dyDescent="0.3">
      <c r="A4" s="95" t="str">
        <f>+"AYNA İCMALİ  (" &amp; TUTANAK!$M$3&amp; "-"&amp; TUTANAK!$M$4&amp; ")"</f>
        <v>AYNA İCMALİ  (01.04.2026-30.04.2026)</v>
      </c>
      <c r="B4" s="95"/>
      <c r="C4" s="95"/>
      <c r="D4" s="95"/>
      <c r="E4" s="95"/>
      <c r="F4" s="95"/>
      <c r="G4" s="95"/>
      <c r="H4" s="95"/>
    </row>
    <row r="5" spans="1:8" customFormat="1" ht="15" customHeight="1" x14ac:dyDescent="0.3">
      <c r="A5" s="96" t="s">
        <v>24</v>
      </c>
      <c r="B5" s="96"/>
      <c r="C5" s="96"/>
      <c r="D5" s="96"/>
      <c r="E5" s="96"/>
      <c r="F5" s="96"/>
      <c r="G5" s="96"/>
      <c r="H5" s="96"/>
    </row>
    <row r="6" spans="1:8" customFormat="1" ht="15" customHeight="1" x14ac:dyDescent="0.3">
      <c r="A6" s="45"/>
      <c r="B6" s="45"/>
      <c r="C6" s="45"/>
      <c r="D6" s="45"/>
      <c r="E6" s="45"/>
      <c r="F6" s="45"/>
      <c r="G6" s="40" t="s">
        <v>73</v>
      </c>
      <c r="H6" s="36">
        <f>+TUTANAK!$D$14</f>
        <v>0</v>
      </c>
    </row>
    <row r="7" spans="1:8" customFormat="1" ht="15" customHeight="1" x14ac:dyDescent="0.3">
      <c r="A7" s="46" t="s">
        <v>72</v>
      </c>
      <c r="C7" t="str">
        <f>+DATA!$F$3&amp;" "&amp;DATA!$G$3&amp;" "&amp;DATA!$H$3&amp;" Tüneli "&amp;DATA!$I$3&amp;" ("&amp;DATA!$J$3&amp;")"</f>
        <v>S06-Barbaros İstasyonu Hat-2 HY P1 Tüneli 4.Aşama (Alt Yarı)</v>
      </c>
      <c r="E7" s="2"/>
      <c r="F7" s="2"/>
      <c r="G7" s="2"/>
      <c r="H7" s="2"/>
    </row>
    <row r="8" spans="1:8" customFormat="1" ht="15" customHeight="1" x14ac:dyDescent="0.3">
      <c r="A8" s="46" t="s">
        <v>69</v>
      </c>
      <c r="B8" s="35"/>
      <c r="C8" s="35" t="str">
        <f>+TUTANAK!$D$6</f>
        <v>2026.04-006</v>
      </c>
      <c r="D8" s="35"/>
    </row>
    <row r="9" spans="1:8" customFormat="1" ht="15" customHeight="1" x14ac:dyDescent="0.3">
      <c r="A9" s="46" t="s">
        <v>70</v>
      </c>
      <c r="B9" s="61"/>
      <c r="C9" s="97" t="str">
        <f>+TUTANAK!$D$7</f>
        <v>S06.H2.HY.P1.A4.002</v>
      </c>
      <c r="D9" s="97"/>
    </row>
    <row r="10" spans="1:8" customFormat="1" ht="15" customHeight="1" x14ac:dyDescent="0.3">
      <c r="A10" s="46" t="s">
        <v>71</v>
      </c>
      <c r="B10" s="35"/>
      <c r="C10" s="38">
        <f>+TUTANAK!$D$8</f>
        <v>46142</v>
      </c>
      <c r="D10" s="35"/>
    </row>
    <row r="11" spans="1:8" customFormat="1" ht="15" customHeight="1" x14ac:dyDescent="0.3">
      <c r="A11" s="46"/>
      <c r="B11" s="38"/>
      <c r="C11" s="38"/>
    </row>
    <row r="12" spans="1:8" customFormat="1" ht="15" customHeight="1" x14ac:dyDescent="0.3">
      <c r="A12" s="46"/>
      <c r="B12" s="38"/>
      <c r="C12" s="38"/>
    </row>
    <row r="13" spans="1:8" ht="15" customHeight="1" x14ac:dyDescent="0.3">
      <c r="B13" s="115" t="s">
        <v>32</v>
      </c>
      <c r="C13" s="115"/>
      <c r="D13" s="115"/>
      <c r="E13" s="115"/>
      <c r="F13" s="115"/>
      <c r="G13" s="115"/>
    </row>
    <row r="14" spans="1:8" s="3" customFormat="1" ht="30" customHeight="1" x14ac:dyDescent="0.3">
      <c r="A14" s="113" t="s">
        <v>33</v>
      </c>
      <c r="B14" s="113"/>
      <c r="C14" s="15" t="s">
        <v>38</v>
      </c>
      <c r="D14" s="114" t="s">
        <v>6</v>
      </c>
      <c r="E14" s="114"/>
      <c r="F14" s="15" t="s">
        <v>11</v>
      </c>
      <c r="G14" s="113" t="s">
        <v>34</v>
      </c>
      <c r="H14" s="113"/>
    </row>
    <row r="15" spans="1:8" ht="15" customHeight="1" x14ac:dyDescent="0.3">
      <c r="A15" s="111">
        <v>1</v>
      </c>
      <c r="B15" s="111"/>
      <c r="C15" s="116">
        <v>1438.24</v>
      </c>
      <c r="D15" s="117" t="s">
        <v>26</v>
      </c>
      <c r="E15" s="119" t="s">
        <v>206</v>
      </c>
      <c r="F15" s="121" t="s">
        <v>87</v>
      </c>
      <c r="G15" s="117" t="s">
        <v>31</v>
      </c>
      <c r="H15" s="123"/>
    </row>
    <row r="16" spans="1:8" ht="15" customHeight="1" x14ac:dyDescent="0.3">
      <c r="A16" s="111"/>
      <c r="B16" s="111"/>
      <c r="C16" s="116"/>
      <c r="D16" s="118"/>
      <c r="E16" s="120"/>
      <c r="F16" s="122"/>
      <c r="G16" s="118"/>
      <c r="H16" s="124"/>
    </row>
    <row r="17" spans="1:8" ht="15" customHeight="1" x14ac:dyDescent="0.3">
      <c r="A17" s="112"/>
      <c r="B17" s="112"/>
      <c r="C17" s="92"/>
      <c r="D17" s="3"/>
      <c r="E17" s="93"/>
      <c r="F17" s="3"/>
      <c r="G17" s="112"/>
      <c r="H17" s="112"/>
    </row>
    <row r="18" spans="1:8" ht="15" customHeight="1" x14ac:dyDescent="0.3">
      <c r="A18" s="112"/>
      <c r="B18" s="112"/>
      <c r="C18" s="92"/>
      <c r="D18" s="3"/>
      <c r="E18" s="93"/>
      <c r="F18" s="3"/>
      <c r="G18" s="112"/>
      <c r="H18" s="112"/>
    </row>
    <row r="19" spans="1:8" ht="15" customHeight="1" x14ac:dyDescent="0.3">
      <c r="A19" s="112"/>
      <c r="B19" s="112"/>
      <c r="C19" s="92"/>
      <c r="D19" s="3"/>
      <c r="E19" s="93"/>
      <c r="F19" s="3"/>
      <c r="G19" s="112"/>
      <c r="H19" s="112"/>
    </row>
    <row r="20" spans="1:8" ht="15" customHeight="1" x14ac:dyDescent="0.3">
      <c r="A20" s="112"/>
      <c r="B20" s="112"/>
      <c r="C20" s="92"/>
      <c r="D20" s="3"/>
      <c r="E20" s="93"/>
      <c r="F20" s="3"/>
      <c r="G20" s="112"/>
      <c r="H20" s="112"/>
    </row>
    <row r="21" spans="1:8" ht="15" customHeight="1" x14ac:dyDescent="0.3">
      <c r="A21" s="112"/>
      <c r="B21" s="112"/>
      <c r="C21" s="92"/>
      <c r="D21" s="3"/>
      <c r="E21" s="93"/>
      <c r="F21" s="3"/>
      <c r="G21" s="112"/>
      <c r="H21" s="112"/>
    </row>
    <row r="22" spans="1:8" ht="15" customHeight="1" x14ac:dyDescent="0.3">
      <c r="A22" s="112"/>
      <c r="B22" s="112"/>
      <c r="C22" s="92"/>
      <c r="D22" s="3"/>
      <c r="E22" s="93"/>
      <c r="F22" s="3"/>
      <c r="G22" s="112"/>
      <c r="H22" s="112"/>
    </row>
    <row r="23" spans="1:8" ht="15" customHeight="1" x14ac:dyDescent="0.3">
      <c r="A23" s="112"/>
      <c r="B23" s="112"/>
      <c r="C23" s="92"/>
      <c r="D23" s="3"/>
      <c r="E23" s="93"/>
      <c r="F23" s="3"/>
      <c r="G23" s="112"/>
      <c r="H23" s="112"/>
    </row>
    <row r="24" spans="1:8" ht="15" customHeight="1" x14ac:dyDescent="0.3">
      <c r="A24" s="112"/>
      <c r="B24" s="112"/>
      <c r="C24" s="92"/>
      <c r="D24" s="3"/>
      <c r="E24" s="93"/>
      <c r="F24" s="3"/>
      <c r="G24" s="112"/>
      <c r="H24" s="112"/>
    </row>
    <row r="25" spans="1:8" ht="15" customHeight="1" x14ac:dyDescent="0.3">
      <c r="A25" s="112"/>
      <c r="B25" s="112"/>
      <c r="C25" s="92"/>
      <c r="D25" s="3"/>
      <c r="E25" s="93"/>
      <c r="F25" s="3"/>
      <c r="G25" s="112"/>
      <c r="H25" s="112"/>
    </row>
    <row r="26" spans="1:8" ht="15" customHeight="1" x14ac:dyDescent="0.3">
      <c r="A26" s="112"/>
      <c r="B26" s="112"/>
      <c r="C26" s="92"/>
      <c r="D26" s="3"/>
      <c r="E26" s="93"/>
      <c r="F26" s="3"/>
      <c r="G26" s="112"/>
      <c r="H26" s="112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100"/>
      <c r="B39" s="100"/>
      <c r="C39" s="100"/>
      <c r="D39" s="95"/>
      <c r="E39" s="95"/>
      <c r="F39" s="95"/>
      <c r="G39" s="95"/>
      <c r="H39" s="95"/>
    </row>
    <row r="40" spans="1:8" ht="15" customHeight="1" x14ac:dyDescent="0.3">
      <c r="A40" s="110"/>
      <c r="B40" s="110"/>
      <c r="C40" s="110"/>
      <c r="D40" s="110"/>
      <c r="E40" s="110"/>
      <c r="F40" s="110"/>
      <c r="G40" s="110"/>
      <c r="H40" s="110"/>
    </row>
    <row r="41" spans="1:8" ht="15" customHeight="1" x14ac:dyDescent="0.3">
      <c r="A41" s="110"/>
      <c r="B41" s="110"/>
      <c r="C41" s="110"/>
      <c r="D41" s="47"/>
      <c r="E41" s="47"/>
      <c r="F41" s="47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99"/>
      <c r="B50" s="99"/>
      <c r="C50" s="99"/>
      <c r="D50" s="99"/>
      <c r="E50" s="99"/>
      <c r="F50" s="99"/>
      <c r="G50" s="99"/>
      <c r="H50" s="99"/>
    </row>
    <row r="51" spans="1:8" ht="15" customHeight="1" x14ac:dyDescent="0.3">
      <c r="A51" s="99"/>
      <c r="B51" s="99"/>
      <c r="C51" s="99"/>
      <c r="D51" s="99"/>
      <c r="E51" s="99"/>
      <c r="F51" s="99"/>
      <c r="G51" s="99"/>
      <c r="H51" s="99"/>
    </row>
  </sheetData>
  <mergeCells count="47">
    <mergeCell ref="C15:C16"/>
    <mergeCell ref="D15:D16"/>
    <mergeCell ref="E15:E16"/>
    <mergeCell ref="F15:F16"/>
    <mergeCell ref="G15:H16"/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2:B22"/>
    <mergeCell ref="A23:B23"/>
    <mergeCell ref="A24:B24"/>
    <mergeCell ref="A17:B17"/>
    <mergeCell ref="A18:B18"/>
    <mergeCell ref="A19:B19"/>
    <mergeCell ref="A15:B16"/>
    <mergeCell ref="A25:B25"/>
    <mergeCell ref="A26:B26"/>
    <mergeCell ref="G14:H14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  <mergeCell ref="A21:B21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186"/>
  <sheetViews>
    <sheetView topLeftCell="F1" zoomScale="85" zoomScaleNormal="85" workbookViewId="0">
      <selection activeCell="M4" sqref="M4:M57"/>
    </sheetView>
  </sheetViews>
  <sheetFormatPr defaultRowHeight="15" customHeight="1" x14ac:dyDescent="0.3"/>
  <cols>
    <col min="1" max="1" width="15.6640625" style="3" bestFit="1" customWidth="1"/>
    <col min="2" max="2" width="20.2187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20.554687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.33203125" style="3" customWidth="1"/>
    <col min="18" max="18" width="18" style="3" customWidth="1"/>
    <col min="19" max="20" width="16.109375" style="3" customWidth="1"/>
    <col min="21" max="21" width="2.109375" style="3" customWidth="1"/>
    <col min="22" max="22" width="13.109375" style="3" customWidth="1"/>
    <col min="23" max="23" width="10.77734375" style="3" customWidth="1"/>
    <col min="24" max="24" width="2.109375" style="3" customWidth="1"/>
    <col min="25" max="29" width="15.88671875" style="3" customWidth="1"/>
    <col min="30" max="30" width="2.109375" style="3" customWidth="1"/>
    <col min="31" max="31" width="19.6640625" style="3" customWidth="1"/>
    <col min="32" max="32" width="18.88671875" style="3" customWidth="1"/>
    <col min="33" max="33" width="37.109375" style="3" customWidth="1"/>
    <col min="34" max="16384" width="8.88671875" style="3"/>
  </cols>
  <sheetData>
    <row r="1" spans="1:33" ht="30" customHeight="1" x14ac:dyDescent="0.3">
      <c r="A1" s="21" t="s">
        <v>80</v>
      </c>
      <c r="B1" s="21" t="s">
        <v>61</v>
      </c>
      <c r="C1" s="21" t="s">
        <v>0</v>
      </c>
      <c r="D1" s="21" t="s">
        <v>1</v>
      </c>
      <c r="E1" s="21" t="s">
        <v>2</v>
      </c>
      <c r="F1" s="24" t="s">
        <v>3</v>
      </c>
      <c r="G1" s="24" t="s">
        <v>4</v>
      </c>
      <c r="H1" s="24" t="s">
        <v>5</v>
      </c>
      <c r="I1" s="24" t="s">
        <v>58</v>
      </c>
      <c r="J1" s="24" t="s">
        <v>6</v>
      </c>
      <c r="K1" s="15" t="s">
        <v>27</v>
      </c>
      <c r="L1" s="15" t="s">
        <v>7</v>
      </c>
      <c r="M1" s="15" t="s">
        <v>8</v>
      </c>
      <c r="N1" s="15" t="s">
        <v>9</v>
      </c>
      <c r="O1" s="15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5" t="s">
        <v>39</v>
      </c>
    </row>
    <row r="2" spans="1:33" ht="15" customHeight="1" x14ac:dyDescent="0.3">
      <c r="A2" s="27"/>
      <c r="B2" s="87"/>
      <c r="C2" s="22" t="b">
        <f>AND(A2=[1]TUTANAK!$D$6,P2="Tamamlandı")</f>
        <v>0</v>
      </c>
      <c r="D2" s="22"/>
      <c r="E2" s="22" t="b">
        <f>+IF(OR(P2&lt;&gt;""),"KAZI-PÜS-H.ÇELİK",IF(AND(SUM(V2:W2)&gt;0,SUM(AE2:AF2)=0),"SÜREN",IF(SUM(Y2:AC2)&gt;0,"BULON",IF(SUM(AE2:AF2)&gt;0,"ZEMİN ÇİVİSİ"))))</f>
        <v>0</v>
      </c>
      <c r="F2" s="25" t="s">
        <v>179</v>
      </c>
      <c r="G2" s="25" t="s">
        <v>180</v>
      </c>
      <c r="H2" s="25" t="s">
        <v>24</v>
      </c>
      <c r="I2" s="25" t="s">
        <v>181</v>
      </c>
      <c r="J2" s="25" t="s">
        <v>182</v>
      </c>
      <c r="K2" s="16" t="s">
        <v>183</v>
      </c>
      <c r="L2" s="17">
        <v>46094</v>
      </c>
      <c r="M2" s="85">
        <v>1357.04</v>
      </c>
      <c r="N2" s="16"/>
      <c r="O2" s="43"/>
      <c r="P2" s="13"/>
      <c r="Q2" s="13"/>
      <c r="R2" s="13"/>
      <c r="S2" s="10"/>
      <c r="T2" s="10"/>
      <c r="U2" s="58"/>
      <c r="V2" s="7"/>
      <c r="W2" s="7"/>
      <c r="X2" s="58"/>
      <c r="Y2" s="8"/>
      <c r="Z2" s="8"/>
      <c r="AA2" s="8"/>
      <c r="AB2" s="8"/>
      <c r="AC2" s="8"/>
      <c r="AD2" s="58"/>
      <c r="AE2" s="9"/>
      <c r="AF2" s="9"/>
      <c r="AG2" s="16"/>
    </row>
    <row r="3" spans="1:33" ht="15" customHeight="1" x14ac:dyDescent="0.3">
      <c r="A3" s="28" t="s">
        <v>225</v>
      </c>
      <c r="B3" s="88" t="s">
        <v>226</v>
      </c>
      <c r="C3" s="23" t="b">
        <f>AND(A3=[1]TUTANAK!$D$6,P3="Tamamlandı")</f>
        <v>0</v>
      </c>
      <c r="D3" s="23"/>
      <c r="E3" s="23" t="str">
        <f>+IF(OR(P3&lt;&gt;""),"KAZI-PÜS-H.ÇELİK",IF(AND(SUM(V3:W3)&gt;0,SUM(AE3:AF3)=0),"SÜREN",IF(SUM(Y3:AC3)&gt;0,"BULON",IF(SUM(AE3:AF3)&gt;0,"ZEMİN ÇİVİSİ"))))</f>
        <v>KAZI-PÜS-H.ÇELİK</v>
      </c>
      <c r="F3" s="26" t="s">
        <v>179</v>
      </c>
      <c r="G3" s="26" t="s">
        <v>180</v>
      </c>
      <c r="H3" s="26" t="s">
        <v>24</v>
      </c>
      <c r="I3" s="26" t="s">
        <v>181</v>
      </c>
      <c r="J3" s="26" t="s">
        <v>182</v>
      </c>
      <c r="K3" s="18" t="s">
        <v>224</v>
      </c>
      <c r="L3" s="29">
        <v>46136</v>
      </c>
      <c r="M3" s="30">
        <f>1357.04-0.38</f>
        <v>1356.6599999999999</v>
      </c>
      <c r="N3" s="18"/>
      <c r="O3" s="43"/>
      <c r="P3" s="13" t="s">
        <v>30</v>
      </c>
      <c r="Q3" s="13" t="s">
        <v>82</v>
      </c>
      <c r="R3" s="13" t="s">
        <v>31</v>
      </c>
      <c r="S3" s="10"/>
      <c r="T3" s="10"/>
      <c r="U3" s="89"/>
      <c r="V3" s="11"/>
      <c r="W3" s="11"/>
      <c r="X3" s="89"/>
      <c r="Y3" s="12"/>
      <c r="Z3" s="12"/>
      <c r="AA3" s="12"/>
      <c r="AB3" s="12"/>
      <c r="AC3" s="12"/>
      <c r="AD3" s="89"/>
      <c r="AE3" s="13"/>
      <c r="AF3" s="13"/>
      <c r="AG3" s="18"/>
    </row>
    <row r="4" spans="1:33" ht="15" customHeight="1" x14ac:dyDescent="0.3">
      <c r="A4" s="28" t="s">
        <v>225</v>
      </c>
      <c r="B4" s="88" t="s">
        <v>226</v>
      </c>
      <c r="C4" s="23" t="b">
        <f>AND(A4=[1]TUTANAK!$D$6,P4="Tamamlandı")</f>
        <v>0</v>
      </c>
      <c r="D4" s="23"/>
      <c r="E4" s="23" t="str">
        <f t="shared" ref="E4:E115" si="0">+IF(OR(P4&lt;&gt;""),"KAZI-PÜS-H.ÇELİK",IF(AND(SUM(V4:W4)&gt;0,SUM(AE4:AF4)=0),"SÜREN",IF(SUM(Y4:AC4)&gt;0,"BULON",IF(SUM(AE4:AF4)&gt;0,"ZEMİN ÇİVİSİ"))))</f>
        <v>KAZI-PÜS-H.ÇELİK</v>
      </c>
      <c r="F4" s="26" t="s">
        <v>179</v>
      </c>
      <c r="G4" s="26" t="s">
        <v>180</v>
      </c>
      <c r="H4" s="26" t="s">
        <v>24</v>
      </c>
      <c r="I4" s="26" t="s">
        <v>181</v>
      </c>
      <c r="J4" s="26" t="s">
        <v>182</v>
      </c>
      <c r="K4" s="18" t="s">
        <v>224</v>
      </c>
      <c r="L4" s="29">
        <v>46136</v>
      </c>
      <c r="M4" s="30">
        <v>1357.04</v>
      </c>
      <c r="N4" s="18" t="s">
        <v>28</v>
      </c>
      <c r="O4" s="43" t="s">
        <v>29</v>
      </c>
      <c r="P4" s="13" t="s">
        <v>30</v>
      </c>
      <c r="Q4" s="13" t="s">
        <v>82</v>
      </c>
      <c r="R4" s="13" t="s">
        <v>31</v>
      </c>
      <c r="S4" s="10"/>
      <c r="T4" s="10">
        <v>1</v>
      </c>
      <c r="U4" s="89"/>
      <c r="V4" s="11"/>
      <c r="W4" s="11"/>
      <c r="X4" s="89"/>
      <c r="Y4" s="12"/>
      <c r="Z4" s="12"/>
      <c r="AA4" s="12"/>
      <c r="AB4" s="12"/>
      <c r="AC4" s="12"/>
      <c r="AD4" s="89"/>
      <c r="AE4" s="13"/>
      <c r="AF4" s="13"/>
      <c r="AG4" s="18"/>
    </row>
    <row r="5" spans="1:33" ht="15" customHeight="1" x14ac:dyDescent="0.3">
      <c r="A5" s="28" t="s">
        <v>225</v>
      </c>
      <c r="B5" s="88" t="s">
        <v>226</v>
      </c>
      <c r="C5" s="23" t="b">
        <f>AND(A5=[1]TUTANAK!$D$6,P5="Tamamlandı")</f>
        <v>0</v>
      </c>
      <c r="D5" s="23"/>
      <c r="E5" s="23" t="str">
        <f t="shared" si="0"/>
        <v>KAZI-PÜS-H.ÇELİK</v>
      </c>
      <c r="F5" s="26" t="s">
        <v>179</v>
      </c>
      <c r="G5" s="26" t="s">
        <v>180</v>
      </c>
      <c r="H5" s="26" t="s">
        <v>24</v>
      </c>
      <c r="I5" s="26" t="s">
        <v>181</v>
      </c>
      <c r="J5" s="26" t="s">
        <v>182</v>
      </c>
      <c r="K5" s="18" t="s">
        <v>224</v>
      </c>
      <c r="L5" s="29">
        <v>46136</v>
      </c>
      <c r="M5" s="30">
        <v>1357.79</v>
      </c>
      <c r="N5" s="18" t="s">
        <v>28</v>
      </c>
      <c r="O5" s="43" t="s">
        <v>63</v>
      </c>
      <c r="P5" s="13" t="s">
        <v>30</v>
      </c>
      <c r="Q5" s="13" t="s">
        <v>82</v>
      </c>
      <c r="R5" s="13" t="s">
        <v>31</v>
      </c>
      <c r="S5" s="10"/>
      <c r="T5" s="10">
        <v>1</v>
      </c>
      <c r="U5" s="89"/>
      <c r="V5" s="11"/>
      <c r="W5" s="11"/>
      <c r="X5" s="89"/>
      <c r="Y5" s="12"/>
      <c r="Z5" s="12"/>
      <c r="AA5" s="12"/>
      <c r="AB5" s="12"/>
      <c r="AC5" s="12"/>
      <c r="AD5" s="89"/>
      <c r="AE5" s="13"/>
      <c r="AF5" s="13"/>
      <c r="AG5" s="18"/>
    </row>
    <row r="6" spans="1:33" ht="15" customHeight="1" x14ac:dyDescent="0.3">
      <c r="A6" s="28" t="s">
        <v>225</v>
      </c>
      <c r="B6" s="88" t="s">
        <v>226</v>
      </c>
      <c r="C6" s="23" t="b">
        <f>AND(A6=[1]TUTANAK!$D$6,P6="Tamamlandı")</f>
        <v>0</v>
      </c>
      <c r="D6" s="23"/>
      <c r="E6" s="23" t="str">
        <f t="shared" si="0"/>
        <v>KAZI-PÜS-H.ÇELİK</v>
      </c>
      <c r="F6" s="26" t="s">
        <v>179</v>
      </c>
      <c r="G6" s="26" t="s">
        <v>180</v>
      </c>
      <c r="H6" s="26" t="s">
        <v>24</v>
      </c>
      <c r="I6" s="26" t="s">
        <v>181</v>
      </c>
      <c r="J6" s="26" t="s">
        <v>182</v>
      </c>
      <c r="K6" s="18" t="s">
        <v>224</v>
      </c>
      <c r="L6" s="29">
        <v>46136</v>
      </c>
      <c r="M6" s="30">
        <v>1358.54</v>
      </c>
      <c r="N6" s="18" t="s">
        <v>28</v>
      </c>
      <c r="O6" s="43" t="s">
        <v>64</v>
      </c>
      <c r="P6" s="13" t="s">
        <v>30</v>
      </c>
      <c r="Q6" s="13" t="s">
        <v>82</v>
      </c>
      <c r="R6" s="13" t="s">
        <v>31</v>
      </c>
      <c r="S6" s="10"/>
      <c r="T6" s="10">
        <v>1</v>
      </c>
      <c r="U6" s="89"/>
      <c r="V6" s="11"/>
      <c r="W6" s="11"/>
      <c r="X6" s="89"/>
      <c r="Y6" s="12"/>
      <c r="Z6" s="12"/>
      <c r="AA6" s="12"/>
      <c r="AB6" s="12"/>
      <c r="AC6" s="12"/>
      <c r="AD6" s="89"/>
      <c r="AE6" s="13"/>
      <c r="AF6" s="13"/>
      <c r="AG6" s="18"/>
    </row>
    <row r="7" spans="1:33" ht="15" customHeight="1" x14ac:dyDescent="0.3">
      <c r="A7" s="28" t="s">
        <v>225</v>
      </c>
      <c r="B7" s="88" t="s">
        <v>226</v>
      </c>
      <c r="C7" s="23" t="b">
        <f>AND(A7=[1]TUTANAK!$D$6,P7="Tamamlandı")</f>
        <v>0</v>
      </c>
      <c r="D7" s="23"/>
      <c r="E7" s="23" t="str">
        <f t="shared" si="0"/>
        <v>KAZI-PÜS-H.ÇELİK</v>
      </c>
      <c r="F7" s="26" t="s">
        <v>179</v>
      </c>
      <c r="G7" s="26" t="s">
        <v>180</v>
      </c>
      <c r="H7" s="26" t="s">
        <v>24</v>
      </c>
      <c r="I7" s="26" t="s">
        <v>181</v>
      </c>
      <c r="J7" s="26" t="s">
        <v>182</v>
      </c>
      <c r="K7" s="18" t="s">
        <v>223</v>
      </c>
      <c r="L7" s="29">
        <v>46135</v>
      </c>
      <c r="M7" s="30">
        <v>1359.29</v>
      </c>
      <c r="N7" s="18" t="s">
        <v>28</v>
      </c>
      <c r="O7" s="43" t="s">
        <v>65</v>
      </c>
      <c r="P7" s="13" t="s">
        <v>30</v>
      </c>
      <c r="Q7" s="13" t="s">
        <v>82</v>
      </c>
      <c r="R7" s="13" t="s">
        <v>31</v>
      </c>
      <c r="S7" s="10"/>
      <c r="T7" s="10">
        <v>1</v>
      </c>
      <c r="U7" s="89"/>
      <c r="V7" s="11"/>
      <c r="W7" s="11"/>
      <c r="X7" s="89"/>
      <c r="Y7" s="12"/>
      <c r="Z7" s="12"/>
      <c r="AA7" s="12"/>
      <c r="AB7" s="12"/>
      <c r="AC7" s="12"/>
      <c r="AD7" s="89"/>
      <c r="AE7" s="13"/>
      <c r="AF7" s="13"/>
      <c r="AG7" s="18"/>
    </row>
    <row r="8" spans="1:33" ht="15" customHeight="1" x14ac:dyDescent="0.3">
      <c r="A8" s="28" t="s">
        <v>225</v>
      </c>
      <c r="B8" s="88" t="s">
        <v>226</v>
      </c>
      <c r="C8" s="23" t="b">
        <f>AND(A8=[1]TUTANAK!$D$6,P8="Tamamlandı")</f>
        <v>0</v>
      </c>
      <c r="D8" s="23"/>
      <c r="E8" s="23" t="str">
        <f t="shared" si="0"/>
        <v>KAZI-PÜS-H.ÇELİK</v>
      </c>
      <c r="F8" s="26" t="s">
        <v>179</v>
      </c>
      <c r="G8" s="26" t="s">
        <v>180</v>
      </c>
      <c r="H8" s="26" t="s">
        <v>24</v>
      </c>
      <c r="I8" s="26" t="s">
        <v>181</v>
      </c>
      <c r="J8" s="26" t="s">
        <v>182</v>
      </c>
      <c r="K8" s="18" t="s">
        <v>223</v>
      </c>
      <c r="L8" s="29">
        <v>46135</v>
      </c>
      <c r="M8" s="30">
        <v>1360.04</v>
      </c>
      <c r="N8" s="18" t="s">
        <v>28</v>
      </c>
      <c r="O8" s="43" t="s">
        <v>66</v>
      </c>
      <c r="P8" s="13" t="s">
        <v>30</v>
      </c>
      <c r="Q8" s="13" t="s">
        <v>82</v>
      </c>
      <c r="R8" s="13" t="s">
        <v>31</v>
      </c>
      <c r="S8" s="10"/>
      <c r="T8" s="10">
        <v>1</v>
      </c>
      <c r="U8" s="89"/>
      <c r="V8" s="11"/>
      <c r="W8" s="11"/>
      <c r="X8" s="89"/>
      <c r="Y8" s="12"/>
      <c r="Z8" s="12"/>
      <c r="AA8" s="12"/>
      <c r="AB8" s="12"/>
      <c r="AC8" s="12"/>
      <c r="AD8" s="89"/>
      <c r="AE8" s="13"/>
      <c r="AF8" s="13"/>
      <c r="AG8" s="18"/>
    </row>
    <row r="9" spans="1:33" ht="15" customHeight="1" x14ac:dyDescent="0.3">
      <c r="A9" s="28" t="s">
        <v>225</v>
      </c>
      <c r="B9" s="88" t="s">
        <v>226</v>
      </c>
      <c r="C9" s="23" t="b">
        <f>AND(A9=[1]TUTANAK!$D$6,P9="Tamamlandı")</f>
        <v>0</v>
      </c>
      <c r="D9" s="23"/>
      <c r="E9" s="23" t="str">
        <f t="shared" si="0"/>
        <v>KAZI-PÜS-H.ÇELİK</v>
      </c>
      <c r="F9" s="26" t="s">
        <v>179</v>
      </c>
      <c r="G9" s="26" t="s">
        <v>180</v>
      </c>
      <c r="H9" s="26" t="s">
        <v>24</v>
      </c>
      <c r="I9" s="26" t="s">
        <v>181</v>
      </c>
      <c r="J9" s="26" t="s">
        <v>182</v>
      </c>
      <c r="K9" s="18" t="s">
        <v>223</v>
      </c>
      <c r="L9" s="29">
        <v>46135</v>
      </c>
      <c r="M9" s="30">
        <v>1360.79</v>
      </c>
      <c r="N9" s="18" t="s">
        <v>28</v>
      </c>
      <c r="O9" s="43" t="s">
        <v>67</v>
      </c>
      <c r="P9" s="13" t="s">
        <v>30</v>
      </c>
      <c r="Q9" s="13" t="s">
        <v>82</v>
      </c>
      <c r="R9" s="13" t="s">
        <v>31</v>
      </c>
      <c r="S9" s="10"/>
      <c r="T9" s="10">
        <v>1</v>
      </c>
      <c r="U9" s="89"/>
      <c r="V9" s="11"/>
      <c r="W9" s="11"/>
      <c r="X9" s="89"/>
      <c r="Y9" s="12"/>
      <c r="Z9" s="12"/>
      <c r="AA9" s="12"/>
      <c r="AB9" s="12"/>
      <c r="AC9" s="12"/>
      <c r="AD9" s="89"/>
      <c r="AE9" s="13"/>
      <c r="AF9" s="13"/>
      <c r="AG9" s="18"/>
    </row>
    <row r="10" spans="1:33" ht="15" customHeight="1" x14ac:dyDescent="0.3">
      <c r="A10" s="28" t="s">
        <v>225</v>
      </c>
      <c r="B10" s="88" t="s">
        <v>226</v>
      </c>
      <c r="C10" s="23" t="b">
        <f>AND(A10=[1]TUTANAK!$D$6,P10="Tamamlandı")</f>
        <v>0</v>
      </c>
      <c r="D10" s="23"/>
      <c r="E10" s="23" t="str">
        <f t="shared" si="0"/>
        <v>KAZI-PÜS-H.ÇELİK</v>
      </c>
      <c r="F10" s="26" t="s">
        <v>179</v>
      </c>
      <c r="G10" s="26" t="s">
        <v>180</v>
      </c>
      <c r="H10" s="26" t="s">
        <v>24</v>
      </c>
      <c r="I10" s="26" t="s">
        <v>181</v>
      </c>
      <c r="J10" s="26" t="s">
        <v>182</v>
      </c>
      <c r="K10" s="18" t="s">
        <v>222</v>
      </c>
      <c r="L10" s="29">
        <v>46134</v>
      </c>
      <c r="M10" s="30">
        <v>1361.54</v>
      </c>
      <c r="N10" s="18" t="s">
        <v>28</v>
      </c>
      <c r="O10" s="43" t="s">
        <v>29</v>
      </c>
      <c r="P10" s="13" t="s">
        <v>30</v>
      </c>
      <c r="Q10" s="13" t="s">
        <v>82</v>
      </c>
      <c r="R10" s="13" t="s">
        <v>31</v>
      </c>
      <c r="S10" s="10"/>
      <c r="T10" s="10">
        <v>1</v>
      </c>
      <c r="U10" s="89"/>
      <c r="V10" s="11"/>
      <c r="W10" s="11"/>
      <c r="X10" s="89"/>
      <c r="Y10" s="12"/>
      <c r="Z10" s="12"/>
      <c r="AA10" s="12"/>
      <c r="AB10" s="12"/>
      <c r="AC10" s="12"/>
      <c r="AD10" s="89"/>
      <c r="AE10" s="13"/>
      <c r="AF10" s="13"/>
      <c r="AG10" s="18"/>
    </row>
    <row r="11" spans="1:33" ht="15" customHeight="1" x14ac:dyDescent="0.3">
      <c r="A11" s="28" t="s">
        <v>225</v>
      </c>
      <c r="B11" s="88" t="s">
        <v>226</v>
      </c>
      <c r="C11" s="23" t="b">
        <f>AND(A11=[1]TUTANAK!$D$6,P11="Tamamlandı")</f>
        <v>0</v>
      </c>
      <c r="D11" s="23"/>
      <c r="E11" s="23" t="str">
        <f t="shared" si="0"/>
        <v>KAZI-PÜS-H.ÇELİK</v>
      </c>
      <c r="F11" s="26" t="s">
        <v>179</v>
      </c>
      <c r="G11" s="26" t="s">
        <v>180</v>
      </c>
      <c r="H11" s="26" t="s">
        <v>24</v>
      </c>
      <c r="I11" s="26" t="s">
        <v>181</v>
      </c>
      <c r="J11" s="26" t="s">
        <v>182</v>
      </c>
      <c r="K11" s="18" t="s">
        <v>222</v>
      </c>
      <c r="L11" s="29">
        <v>46134</v>
      </c>
      <c r="M11" s="30">
        <v>1362.29</v>
      </c>
      <c r="N11" s="18" t="s">
        <v>28</v>
      </c>
      <c r="O11" s="43" t="s">
        <v>63</v>
      </c>
      <c r="P11" s="13" t="s">
        <v>30</v>
      </c>
      <c r="Q11" s="13" t="s">
        <v>82</v>
      </c>
      <c r="R11" s="13" t="s">
        <v>31</v>
      </c>
      <c r="S11" s="10"/>
      <c r="T11" s="10">
        <v>1</v>
      </c>
      <c r="U11" s="89"/>
      <c r="V11" s="11"/>
      <c r="W11" s="11"/>
      <c r="X11" s="89"/>
      <c r="Y11" s="12"/>
      <c r="Z11" s="12"/>
      <c r="AA11" s="12"/>
      <c r="AB11" s="12"/>
      <c r="AC11" s="12"/>
      <c r="AD11" s="89"/>
      <c r="AE11" s="13"/>
      <c r="AF11" s="13"/>
      <c r="AG11" s="18"/>
    </row>
    <row r="12" spans="1:33" ht="15" customHeight="1" x14ac:dyDescent="0.3">
      <c r="A12" s="28" t="s">
        <v>225</v>
      </c>
      <c r="B12" s="88" t="s">
        <v>226</v>
      </c>
      <c r="C12" s="23" t="b">
        <f>AND(A12=[1]TUTANAK!$D$6,P12="Tamamlandı")</f>
        <v>0</v>
      </c>
      <c r="D12" s="23"/>
      <c r="E12" s="23" t="str">
        <f t="shared" si="0"/>
        <v>KAZI-PÜS-H.ÇELİK</v>
      </c>
      <c r="F12" s="26" t="s">
        <v>179</v>
      </c>
      <c r="G12" s="26" t="s">
        <v>180</v>
      </c>
      <c r="H12" s="26" t="s">
        <v>24</v>
      </c>
      <c r="I12" s="26" t="s">
        <v>181</v>
      </c>
      <c r="J12" s="26" t="s">
        <v>182</v>
      </c>
      <c r="K12" s="18" t="s">
        <v>222</v>
      </c>
      <c r="L12" s="29">
        <v>46134</v>
      </c>
      <c r="M12" s="30">
        <v>1363.04</v>
      </c>
      <c r="N12" s="18" t="s">
        <v>28</v>
      </c>
      <c r="O12" s="43" t="s">
        <v>64</v>
      </c>
      <c r="P12" s="13" t="s">
        <v>30</v>
      </c>
      <c r="Q12" s="13" t="s">
        <v>82</v>
      </c>
      <c r="R12" s="13" t="s">
        <v>31</v>
      </c>
      <c r="S12" s="10"/>
      <c r="T12" s="10">
        <v>1</v>
      </c>
      <c r="U12" s="89"/>
      <c r="V12" s="11"/>
      <c r="W12" s="11"/>
      <c r="X12" s="89"/>
      <c r="Y12" s="12"/>
      <c r="Z12" s="12"/>
      <c r="AA12" s="12"/>
      <c r="AB12" s="12"/>
      <c r="AC12" s="12"/>
      <c r="AD12" s="89"/>
      <c r="AE12" s="13"/>
      <c r="AF12" s="13"/>
      <c r="AG12" s="18"/>
    </row>
    <row r="13" spans="1:33" ht="15" customHeight="1" x14ac:dyDescent="0.3">
      <c r="A13" s="28" t="s">
        <v>225</v>
      </c>
      <c r="B13" s="88" t="s">
        <v>226</v>
      </c>
      <c r="C13" s="23" t="b">
        <f>AND(A13=[1]TUTANAK!$D$6,P13="Tamamlandı")</f>
        <v>0</v>
      </c>
      <c r="D13" s="23"/>
      <c r="E13" s="23" t="str">
        <f t="shared" si="0"/>
        <v>KAZI-PÜS-H.ÇELİK</v>
      </c>
      <c r="F13" s="26" t="s">
        <v>179</v>
      </c>
      <c r="G13" s="26" t="s">
        <v>180</v>
      </c>
      <c r="H13" s="26" t="s">
        <v>24</v>
      </c>
      <c r="I13" s="26" t="s">
        <v>181</v>
      </c>
      <c r="J13" s="26" t="s">
        <v>182</v>
      </c>
      <c r="K13" s="18" t="s">
        <v>221</v>
      </c>
      <c r="L13" s="29">
        <v>46133</v>
      </c>
      <c r="M13" s="30">
        <v>1363.79</v>
      </c>
      <c r="N13" s="18" t="s">
        <v>28</v>
      </c>
      <c r="O13" s="43" t="s">
        <v>65</v>
      </c>
      <c r="P13" s="13" t="s">
        <v>30</v>
      </c>
      <c r="Q13" s="13" t="s">
        <v>82</v>
      </c>
      <c r="R13" s="13" t="s">
        <v>31</v>
      </c>
      <c r="S13" s="10"/>
      <c r="T13" s="10">
        <v>1</v>
      </c>
      <c r="U13" s="89"/>
      <c r="V13" s="11"/>
      <c r="W13" s="11"/>
      <c r="X13" s="89"/>
      <c r="Y13" s="12"/>
      <c r="Z13" s="12"/>
      <c r="AA13" s="12"/>
      <c r="AB13" s="12"/>
      <c r="AC13" s="12"/>
      <c r="AD13" s="89"/>
      <c r="AE13" s="13"/>
      <c r="AF13" s="13"/>
      <c r="AG13" s="18"/>
    </row>
    <row r="14" spans="1:33" ht="15" customHeight="1" x14ac:dyDescent="0.3">
      <c r="A14" s="28" t="s">
        <v>225</v>
      </c>
      <c r="B14" s="88" t="s">
        <v>226</v>
      </c>
      <c r="C14" s="23" t="b">
        <f>AND(A14=[1]TUTANAK!$D$6,P14="Tamamlandı")</f>
        <v>0</v>
      </c>
      <c r="D14" s="23"/>
      <c r="E14" s="23" t="str">
        <f t="shared" si="0"/>
        <v>KAZI-PÜS-H.ÇELİK</v>
      </c>
      <c r="F14" s="26" t="s">
        <v>179</v>
      </c>
      <c r="G14" s="26" t="s">
        <v>180</v>
      </c>
      <c r="H14" s="26" t="s">
        <v>24</v>
      </c>
      <c r="I14" s="26" t="s">
        <v>181</v>
      </c>
      <c r="J14" s="26" t="s">
        <v>182</v>
      </c>
      <c r="K14" s="18" t="s">
        <v>221</v>
      </c>
      <c r="L14" s="29">
        <v>46133</v>
      </c>
      <c r="M14" s="30">
        <v>1364.54</v>
      </c>
      <c r="N14" s="18" t="s">
        <v>28</v>
      </c>
      <c r="O14" s="43" t="s">
        <v>66</v>
      </c>
      <c r="P14" s="13" t="s">
        <v>30</v>
      </c>
      <c r="Q14" s="13" t="s">
        <v>82</v>
      </c>
      <c r="R14" s="13" t="s">
        <v>31</v>
      </c>
      <c r="S14" s="10"/>
      <c r="T14" s="10">
        <v>1</v>
      </c>
      <c r="U14" s="59"/>
      <c r="V14" s="11"/>
      <c r="W14" s="11"/>
      <c r="X14" s="59"/>
      <c r="Y14" s="12"/>
      <c r="Z14" s="12"/>
      <c r="AA14" s="12"/>
      <c r="AB14" s="12"/>
      <c r="AC14" s="12"/>
      <c r="AD14" s="59"/>
      <c r="AE14" s="13"/>
      <c r="AF14" s="13"/>
      <c r="AG14" s="18"/>
    </row>
    <row r="15" spans="1:33" ht="15" customHeight="1" x14ac:dyDescent="0.3">
      <c r="A15" s="28" t="s">
        <v>225</v>
      </c>
      <c r="B15" s="88" t="s">
        <v>226</v>
      </c>
      <c r="C15" s="23" t="b">
        <f>AND(A15=[1]TUTANAK!$D$6,P15="Tamamlandı")</f>
        <v>0</v>
      </c>
      <c r="D15" s="23"/>
      <c r="E15" s="23" t="str">
        <f t="shared" si="0"/>
        <v>KAZI-PÜS-H.ÇELİK</v>
      </c>
      <c r="F15" s="26" t="s">
        <v>179</v>
      </c>
      <c r="G15" s="26" t="s">
        <v>180</v>
      </c>
      <c r="H15" s="26" t="s">
        <v>24</v>
      </c>
      <c r="I15" s="26" t="s">
        <v>181</v>
      </c>
      <c r="J15" s="26" t="s">
        <v>182</v>
      </c>
      <c r="K15" s="18" t="s">
        <v>221</v>
      </c>
      <c r="L15" s="29">
        <v>46133</v>
      </c>
      <c r="M15" s="30">
        <v>1365.29</v>
      </c>
      <c r="N15" s="18" t="s">
        <v>28</v>
      </c>
      <c r="O15" s="43" t="s">
        <v>67</v>
      </c>
      <c r="P15" s="13" t="s">
        <v>30</v>
      </c>
      <c r="Q15" s="13" t="s">
        <v>82</v>
      </c>
      <c r="R15" s="13" t="s">
        <v>31</v>
      </c>
      <c r="S15" s="10"/>
      <c r="T15" s="10">
        <v>1</v>
      </c>
      <c r="U15" s="89"/>
      <c r="V15" s="11"/>
      <c r="W15" s="11"/>
      <c r="X15" s="89"/>
      <c r="Y15" s="12"/>
      <c r="Z15" s="12"/>
      <c r="AA15" s="12"/>
      <c r="AB15" s="12"/>
      <c r="AC15" s="12"/>
      <c r="AD15" s="89"/>
      <c r="AE15" s="13"/>
      <c r="AF15" s="13"/>
      <c r="AG15" s="18"/>
    </row>
    <row r="16" spans="1:33" ht="15" customHeight="1" x14ac:dyDescent="0.3">
      <c r="A16" s="28" t="s">
        <v>225</v>
      </c>
      <c r="B16" s="88" t="s">
        <v>226</v>
      </c>
      <c r="C16" s="23" t="b">
        <f>AND(A16=[1]TUTANAK!$D$6,P16="Tamamlandı")</f>
        <v>0</v>
      </c>
      <c r="D16" s="23"/>
      <c r="E16" s="23" t="str">
        <f t="shared" si="0"/>
        <v>KAZI-PÜS-H.ÇELİK</v>
      </c>
      <c r="F16" s="26" t="s">
        <v>179</v>
      </c>
      <c r="G16" s="26" t="s">
        <v>180</v>
      </c>
      <c r="H16" s="26" t="s">
        <v>24</v>
      </c>
      <c r="I16" s="26" t="s">
        <v>181</v>
      </c>
      <c r="J16" s="26" t="s">
        <v>182</v>
      </c>
      <c r="K16" s="18" t="s">
        <v>220</v>
      </c>
      <c r="L16" s="29">
        <v>46132</v>
      </c>
      <c r="M16" s="30">
        <v>1366.04</v>
      </c>
      <c r="N16" s="18" t="s">
        <v>28</v>
      </c>
      <c r="O16" s="43" t="s">
        <v>29</v>
      </c>
      <c r="P16" s="13" t="s">
        <v>30</v>
      </c>
      <c r="Q16" s="13" t="s">
        <v>82</v>
      </c>
      <c r="R16" s="13" t="s">
        <v>31</v>
      </c>
      <c r="S16" s="10"/>
      <c r="T16" s="10">
        <v>1</v>
      </c>
      <c r="U16" s="89"/>
      <c r="V16" s="11"/>
      <c r="W16" s="11"/>
      <c r="X16" s="89"/>
      <c r="Y16" s="12"/>
      <c r="Z16" s="12"/>
      <c r="AA16" s="12"/>
      <c r="AB16" s="12"/>
      <c r="AC16" s="12"/>
      <c r="AD16" s="89"/>
      <c r="AE16" s="13"/>
      <c r="AF16" s="13"/>
      <c r="AG16" s="18"/>
    </row>
    <row r="17" spans="1:33" ht="15" customHeight="1" x14ac:dyDescent="0.3">
      <c r="A17" s="28" t="s">
        <v>225</v>
      </c>
      <c r="B17" s="88" t="s">
        <v>226</v>
      </c>
      <c r="C17" s="23" t="b">
        <f>AND(A17=[1]TUTANAK!$D$6,P17="Tamamlandı")</f>
        <v>0</v>
      </c>
      <c r="D17" s="23"/>
      <c r="E17" s="23" t="str">
        <f t="shared" si="0"/>
        <v>KAZI-PÜS-H.ÇELİK</v>
      </c>
      <c r="F17" s="26" t="s">
        <v>179</v>
      </c>
      <c r="G17" s="26" t="s">
        <v>180</v>
      </c>
      <c r="H17" s="26" t="s">
        <v>24</v>
      </c>
      <c r="I17" s="26" t="s">
        <v>181</v>
      </c>
      <c r="J17" s="26" t="s">
        <v>182</v>
      </c>
      <c r="K17" s="18" t="s">
        <v>220</v>
      </c>
      <c r="L17" s="29">
        <v>46132</v>
      </c>
      <c r="M17" s="30">
        <v>1366.79</v>
      </c>
      <c r="N17" s="18" t="s">
        <v>28</v>
      </c>
      <c r="O17" s="43" t="s">
        <v>63</v>
      </c>
      <c r="P17" s="13" t="s">
        <v>30</v>
      </c>
      <c r="Q17" s="13" t="s">
        <v>82</v>
      </c>
      <c r="R17" s="13" t="s">
        <v>31</v>
      </c>
      <c r="S17" s="10"/>
      <c r="T17" s="10">
        <v>1</v>
      </c>
      <c r="U17" s="89"/>
      <c r="V17" s="11"/>
      <c r="W17" s="11"/>
      <c r="X17" s="89"/>
      <c r="Y17" s="12"/>
      <c r="Z17" s="12"/>
      <c r="AA17" s="12"/>
      <c r="AB17" s="12"/>
      <c r="AC17" s="12"/>
      <c r="AD17" s="89"/>
      <c r="AE17" s="13"/>
      <c r="AF17" s="13"/>
      <c r="AG17" s="18"/>
    </row>
    <row r="18" spans="1:33" ht="15" customHeight="1" x14ac:dyDescent="0.3">
      <c r="A18" s="28" t="s">
        <v>225</v>
      </c>
      <c r="B18" s="88" t="s">
        <v>226</v>
      </c>
      <c r="C18" s="23" t="b">
        <f>AND(A18=[1]TUTANAK!$D$6,P18="Tamamlandı")</f>
        <v>0</v>
      </c>
      <c r="D18" s="23"/>
      <c r="E18" s="23" t="str">
        <f t="shared" si="0"/>
        <v>KAZI-PÜS-H.ÇELİK</v>
      </c>
      <c r="F18" s="26" t="s">
        <v>179</v>
      </c>
      <c r="G18" s="26" t="s">
        <v>180</v>
      </c>
      <c r="H18" s="26" t="s">
        <v>24</v>
      </c>
      <c r="I18" s="26" t="s">
        <v>181</v>
      </c>
      <c r="J18" s="26" t="s">
        <v>182</v>
      </c>
      <c r="K18" s="18" t="s">
        <v>220</v>
      </c>
      <c r="L18" s="29">
        <v>46132</v>
      </c>
      <c r="M18" s="30">
        <v>1367.54</v>
      </c>
      <c r="N18" s="18" t="s">
        <v>28</v>
      </c>
      <c r="O18" s="43" t="s">
        <v>64</v>
      </c>
      <c r="P18" s="13" t="s">
        <v>30</v>
      </c>
      <c r="Q18" s="13" t="s">
        <v>82</v>
      </c>
      <c r="R18" s="13" t="s">
        <v>31</v>
      </c>
      <c r="S18" s="10"/>
      <c r="T18" s="10">
        <v>1</v>
      </c>
      <c r="U18" s="89"/>
      <c r="V18" s="11"/>
      <c r="W18" s="11"/>
      <c r="X18" s="89"/>
      <c r="Y18" s="12"/>
      <c r="Z18" s="12"/>
      <c r="AA18" s="12"/>
      <c r="AB18" s="12"/>
      <c r="AC18" s="12"/>
      <c r="AD18" s="89"/>
      <c r="AE18" s="13"/>
      <c r="AF18" s="13"/>
      <c r="AG18" s="18"/>
    </row>
    <row r="19" spans="1:33" ht="15" customHeight="1" x14ac:dyDescent="0.3">
      <c r="A19" s="28" t="s">
        <v>225</v>
      </c>
      <c r="B19" s="88" t="s">
        <v>226</v>
      </c>
      <c r="C19" s="23" t="b">
        <f>AND(A19=[1]TUTANAK!$D$6,P19="Tamamlandı")</f>
        <v>0</v>
      </c>
      <c r="D19" s="23"/>
      <c r="E19" s="23" t="str">
        <f t="shared" si="0"/>
        <v>KAZI-PÜS-H.ÇELİK</v>
      </c>
      <c r="F19" s="26" t="s">
        <v>179</v>
      </c>
      <c r="G19" s="26" t="s">
        <v>180</v>
      </c>
      <c r="H19" s="26" t="s">
        <v>24</v>
      </c>
      <c r="I19" s="26" t="s">
        <v>181</v>
      </c>
      <c r="J19" s="26" t="s">
        <v>182</v>
      </c>
      <c r="K19" s="18" t="s">
        <v>219</v>
      </c>
      <c r="L19" s="29">
        <v>46129</v>
      </c>
      <c r="M19" s="30">
        <v>1368.29</v>
      </c>
      <c r="N19" s="18" t="s">
        <v>28</v>
      </c>
      <c r="O19" s="43" t="s">
        <v>65</v>
      </c>
      <c r="P19" s="13" t="s">
        <v>30</v>
      </c>
      <c r="Q19" s="13" t="s">
        <v>82</v>
      </c>
      <c r="R19" s="13" t="s">
        <v>31</v>
      </c>
      <c r="S19" s="10"/>
      <c r="T19" s="10">
        <v>1</v>
      </c>
      <c r="U19" s="89"/>
      <c r="V19" s="11"/>
      <c r="W19" s="11"/>
      <c r="X19" s="89"/>
      <c r="Y19" s="12"/>
      <c r="Z19" s="12"/>
      <c r="AA19" s="12"/>
      <c r="AB19" s="12"/>
      <c r="AC19" s="12"/>
      <c r="AD19" s="89"/>
      <c r="AE19" s="13"/>
      <c r="AF19" s="13"/>
      <c r="AG19" s="18"/>
    </row>
    <row r="20" spans="1:33" ht="15" customHeight="1" x14ac:dyDescent="0.3">
      <c r="A20" s="28" t="s">
        <v>225</v>
      </c>
      <c r="B20" s="88" t="s">
        <v>226</v>
      </c>
      <c r="C20" s="23" t="b">
        <f>AND(A20=[1]TUTANAK!$D$6,P20="Tamamlandı")</f>
        <v>0</v>
      </c>
      <c r="D20" s="23"/>
      <c r="E20" s="23" t="str">
        <f t="shared" si="0"/>
        <v>KAZI-PÜS-H.ÇELİK</v>
      </c>
      <c r="F20" s="26" t="s">
        <v>179</v>
      </c>
      <c r="G20" s="26" t="s">
        <v>180</v>
      </c>
      <c r="H20" s="26" t="s">
        <v>24</v>
      </c>
      <c r="I20" s="26" t="s">
        <v>181</v>
      </c>
      <c r="J20" s="26" t="s">
        <v>182</v>
      </c>
      <c r="K20" s="18" t="s">
        <v>219</v>
      </c>
      <c r="L20" s="29">
        <v>46129</v>
      </c>
      <c r="M20" s="30">
        <v>1369.04</v>
      </c>
      <c r="N20" s="18" t="s">
        <v>28</v>
      </c>
      <c r="O20" s="43" t="s">
        <v>66</v>
      </c>
      <c r="P20" s="13" t="s">
        <v>30</v>
      </c>
      <c r="Q20" s="13" t="s">
        <v>82</v>
      </c>
      <c r="R20" s="13" t="s">
        <v>31</v>
      </c>
      <c r="S20" s="10"/>
      <c r="T20" s="10">
        <v>1</v>
      </c>
      <c r="U20" s="89"/>
      <c r="V20" s="11"/>
      <c r="W20" s="11"/>
      <c r="X20" s="89"/>
      <c r="Y20" s="12"/>
      <c r="Z20" s="12"/>
      <c r="AA20" s="12"/>
      <c r="AB20" s="12"/>
      <c r="AC20" s="12"/>
      <c r="AD20" s="89"/>
      <c r="AE20" s="13"/>
      <c r="AF20" s="13"/>
      <c r="AG20" s="18"/>
    </row>
    <row r="21" spans="1:33" ht="15" customHeight="1" x14ac:dyDescent="0.3">
      <c r="A21" s="28" t="s">
        <v>225</v>
      </c>
      <c r="B21" s="88" t="s">
        <v>226</v>
      </c>
      <c r="C21" s="23" t="b">
        <f>AND(A21=[1]TUTANAK!$D$6,P21="Tamamlandı")</f>
        <v>0</v>
      </c>
      <c r="D21" s="23"/>
      <c r="E21" s="23" t="str">
        <f t="shared" si="0"/>
        <v>KAZI-PÜS-H.ÇELİK</v>
      </c>
      <c r="F21" s="26" t="s">
        <v>179</v>
      </c>
      <c r="G21" s="26" t="s">
        <v>180</v>
      </c>
      <c r="H21" s="26" t="s">
        <v>24</v>
      </c>
      <c r="I21" s="26" t="s">
        <v>181</v>
      </c>
      <c r="J21" s="26" t="s">
        <v>182</v>
      </c>
      <c r="K21" s="18" t="s">
        <v>219</v>
      </c>
      <c r="L21" s="29">
        <v>46129</v>
      </c>
      <c r="M21" s="30">
        <v>1369.79</v>
      </c>
      <c r="N21" s="18" t="s">
        <v>28</v>
      </c>
      <c r="O21" s="43" t="s">
        <v>67</v>
      </c>
      <c r="P21" s="13" t="s">
        <v>30</v>
      </c>
      <c r="Q21" s="13" t="s">
        <v>82</v>
      </c>
      <c r="R21" s="13" t="s">
        <v>31</v>
      </c>
      <c r="S21" s="10"/>
      <c r="T21" s="10">
        <v>1</v>
      </c>
      <c r="U21" s="89"/>
      <c r="V21" s="11"/>
      <c r="W21" s="11"/>
      <c r="X21" s="89"/>
      <c r="Y21" s="12"/>
      <c r="Z21" s="12"/>
      <c r="AA21" s="12"/>
      <c r="AB21" s="12"/>
      <c r="AC21" s="12"/>
      <c r="AD21" s="89"/>
      <c r="AE21" s="13"/>
      <c r="AF21" s="13"/>
      <c r="AG21" s="18"/>
    </row>
    <row r="22" spans="1:33" ht="15" customHeight="1" x14ac:dyDescent="0.3">
      <c r="A22" s="28" t="s">
        <v>225</v>
      </c>
      <c r="B22" s="88" t="s">
        <v>226</v>
      </c>
      <c r="C22" s="23" t="b">
        <f>AND(A22=[1]TUTANAK!$D$6,P22="Tamamlandı")</f>
        <v>0</v>
      </c>
      <c r="D22" s="23"/>
      <c r="E22" s="23" t="str">
        <f t="shared" si="0"/>
        <v>KAZI-PÜS-H.ÇELİK</v>
      </c>
      <c r="F22" s="26" t="s">
        <v>179</v>
      </c>
      <c r="G22" s="26" t="s">
        <v>180</v>
      </c>
      <c r="H22" s="26" t="s">
        <v>24</v>
      </c>
      <c r="I22" s="26" t="s">
        <v>181</v>
      </c>
      <c r="J22" s="26" t="s">
        <v>182</v>
      </c>
      <c r="K22" s="18" t="s">
        <v>218</v>
      </c>
      <c r="L22" s="29">
        <v>46128</v>
      </c>
      <c r="M22" s="30">
        <v>1370.54</v>
      </c>
      <c r="N22" s="18" t="s">
        <v>28</v>
      </c>
      <c r="O22" s="43" t="s">
        <v>29</v>
      </c>
      <c r="P22" s="13" t="s">
        <v>30</v>
      </c>
      <c r="Q22" s="13" t="s">
        <v>82</v>
      </c>
      <c r="R22" s="13" t="s">
        <v>31</v>
      </c>
      <c r="S22" s="10"/>
      <c r="T22" s="10">
        <v>1</v>
      </c>
      <c r="U22" s="89"/>
      <c r="V22" s="11"/>
      <c r="W22" s="11"/>
      <c r="X22" s="89"/>
      <c r="Y22" s="12"/>
      <c r="Z22" s="12"/>
      <c r="AA22" s="12"/>
      <c r="AB22" s="12"/>
      <c r="AC22" s="12"/>
      <c r="AD22" s="89"/>
      <c r="AE22" s="13"/>
      <c r="AF22" s="13"/>
      <c r="AG22" s="18"/>
    </row>
    <row r="23" spans="1:33" ht="15" customHeight="1" x14ac:dyDescent="0.3">
      <c r="A23" s="28" t="s">
        <v>225</v>
      </c>
      <c r="B23" s="88" t="s">
        <v>226</v>
      </c>
      <c r="C23" s="23" t="b">
        <f>AND(A23=[1]TUTANAK!$D$6,P23="Tamamlandı")</f>
        <v>0</v>
      </c>
      <c r="D23" s="23"/>
      <c r="E23" s="23" t="str">
        <f t="shared" si="0"/>
        <v>KAZI-PÜS-H.ÇELİK</v>
      </c>
      <c r="F23" s="26" t="s">
        <v>179</v>
      </c>
      <c r="G23" s="26" t="s">
        <v>180</v>
      </c>
      <c r="H23" s="26" t="s">
        <v>24</v>
      </c>
      <c r="I23" s="26" t="s">
        <v>181</v>
      </c>
      <c r="J23" s="26" t="s">
        <v>182</v>
      </c>
      <c r="K23" s="18" t="s">
        <v>218</v>
      </c>
      <c r="L23" s="29">
        <v>46128</v>
      </c>
      <c r="M23" s="30">
        <v>1371.29</v>
      </c>
      <c r="N23" s="18" t="s">
        <v>28</v>
      </c>
      <c r="O23" s="43" t="s">
        <v>63</v>
      </c>
      <c r="P23" s="13" t="s">
        <v>30</v>
      </c>
      <c r="Q23" s="13" t="s">
        <v>82</v>
      </c>
      <c r="R23" s="13" t="s">
        <v>31</v>
      </c>
      <c r="S23" s="10"/>
      <c r="T23" s="10">
        <v>1</v>
      </c>
      <c r="U23" s="89"/>
      <c r="V23" s="11"/>
      <c r="W23" s="11"/>
      <c r="X23" s="89"/>
      <c r="Y23" s="12"/>
      <c r="Z23" s="12"/>
      <c r="AA23" s="12"/>
      <c r="AB23" s="12"/>
      <c r="AC23" s="12"/>
      <c r="AD23" s="89"/>
      <c r="AE23" s="13"/>
      <c r="AF23" s="13"/>
      <c r="AG23" s="18"/>
    </row>
    <row r="24" spans="1:33" ht="15" customHeight="1" x14ac:dyDescent="0.3">
      <c r="A24" s="28" t="s">
        <v>225</v>
      </c>
      <c r="B24" s="88" t="s">
        <v>226</v>
      </c>
      <c r="C24" s="23" t="b">
        <f>AND(A24=[1]TUTANAK!$D$6,P24="Tamamlandı")</f>
        <v>0</v>
      </c>
      <c r="D24" s="23"/>
      <c r="E24" s="23" t="str">
        <f t="shared" si="0"/>
        <v>KAZI-PÜS-H.ÇELİK</v>
      </c>
      <c r="F24" s="26" t="s">
        <v>179</v>
      </c>
      <c r="G24" s="26" t="s">
        <v>180</v>
      </c>
      <c r="H24" s="26" t="s">
        <v>24</v>
      </c>
      <c r="I24" s="26" t="s">
        <v>181</v>
      </c>
      <c r="J24" s="26" t="s">
        <v>182</v>
      </c>
      <c r="K24" s="18" t="s">
        <v>218</v>
      </c>
      <c r="L24" s="29">
        <v>46128</v>
      </c>
      <c r="M24" s="30">
        <v>1372.04</v>
      </c>
      <c r="N24" s="18" t="s">
        <v>28</v>
      </c>
      <c r="O24" s="43" t="s">
        <v>64</v>
      </c>
      <c r="P24" s="13" t="s">
        <v>30</v>
      </c>
      <c r="Q24" s="13" t="s">
        <v>82</v>
      </c>
      <c r="R24" s="13" t="s">
        <v>31</v>
      </c>
      <c r="S24" s="10"/>
      <c r="T24" s="10">
        <v>1</v>
      </c>
      <c r="U24" s="89"/>
      <c r="V24" s="11"/>
      <c r="W24" s="11"/>
      <c r="X24" s="89"/>
      <c r="Y24" s="12"/>
      <c r="Z24" s="12"/>
      <c r="AA24" s="12"/>
      <c r="AB24" s="12"/>
      <c r="AC24" s="12"/>
      <c r="AD24" s="89"/>
      <c r="AE24" s="13"/>
      <c r="AF24" s="13"/>
      <c r="AG24" s="18"/>
    </row>
    <row r="25" spans="1:33" ht="15" customHeight="1" x14ac:dyDescent="0.3">
      <c r="A25" s="28" t="s">
        <v>225</v>
      </c>
      <c r="B25" s="88" t="s">
        <v>226</v>
      </c>
      <c r="C25" s="23" t="b">
        <f>AND(A25=[1]TUTANAK!$D$6,P25="Tamamlandı")</f>
        <v>0</v>
      </c>
      <c r="D25" s="23"/>
      <c r="E25" s="23" t="str">
        <f t="shared" si="0"/>
        <v>KAZI-PÜS-H.ÇELİK</v>
      </c>
      <c r="F25" s="26" t="s">
        <v>179</v>
      </c>
      <c r="G25" s="26" t="s">
        <v>180</v>
      </c>
      <c r="H25" s="26" t="s">
        <v>24</v>
      </c>
      <c r="I25" s="26" t="s">
        <v>181</v>
      </c>
      <c r="J25" s="26" t="s">
        <v>182</v>
      </c>
      <c r="K25" s="18" t="s">
        <v>217</v>
      </c>
      <c r="L25" s="29">
        <v>46128</v>
      </c>
      <c r="M25" s="30">
        <v>1372.79</v>
      </c>
      <c r="N25" s="18" t="s">
        <v>28</v>
      </c>
      <c r="O25" s="43" t="s">
        <v>65</v>
      </c>
      <c r="P25" s="13" t="s">
        <v>30</v>
      </c>
      <c r="Q25" s="13" t="s">
        <v>82</v>
      </c>
      <c r="R25" s="13" t="s">
        <v>31</v>
      </c>
      <c r="S25" s="10"/>
      <c r="T25" s="10">
        <v>1</v>
      </c>
      <c r="U25" s="89"/>
      <c r="V25" s="11"/>
      <c r="W25" s="11"/>
      <c r="X25" s="89"/>
      <c r="Y25" s="12"/>
      <c r="Z25" s="12"/>
      <c r="AA25" s="12"/>
      <c r="AB25" s="12"/>
      <c r="AC25" s="12"/>
      <c r="AD25" s="89"/>
      <c r="AE25" s="13"/>
      <c r="AF25" s="13"/>
      <c r="AG25" s="18"/>
    </row>
    <row r="26" spans="1:33" ht="15" customHeight="1" x14ac:dyDescent="0.3">
      <c r="A26" s="28" t="s">
        <v>225</v>
      </c>
      <c r="B26" s="88" t="s">
        <v>226</v>
      </c>
      <c r="C26" s="23" t="b">
        <f>AND(A26=[1]TUTANAK!$D$6,P26="Tamamlandı")</f>
        <v>0</v>
      </c>
      <c r="D26" s="23"/>
      <c r="E26" s="23" t="str">
        <f t="shared" si="0"/>
        <v>KAZI-PÜS-H.ÇELİK</v>
      </c>
      <c r="F26" s="26" t="s">
        <v>179</v>
      </c>
      <c r="G26" s="26" t="s">
        <v>180</v>
      </c>
      <c r="H26" s="26" t="s">
        <v>24</v>
      </c>
      <c r="I26" s="26" t="s">
        <v>181</v>
      </c>
      <c r="J26" s="26" t="s">
        <v>182</v>
      </c>
      <c r="K26" s="18" t="s">
        <v>217</v>
      </c>
      <c r="L26" s="29">
        <v>46128</v>
      </c>
      <c r="M26" s="30">
        <v>1373.54</v>
      </c>
      <c r="N26" s="18" t="s">
        <v>28</v>
      </c>
      <c r="O26" s="43" t="s">
        <v>66</v>
      </c>
      <c r="P26" s="13" t="s">
        <v>30</v>
      </c>
      <c r="Q26" s="13" t="s">
        <v>82</v>
      </c>
      <c r="R26" s="13" t="s">
        <v>31</v>
      </c>
      <c r="S26" s="10"/>
      <c r="T26" s="10">
        <v>1</v>
      </c>
      <c r="U26" s="89"/>
      <c r="V26" s="11"/>
      <c r="W26" s="11"/>
      <c r="X26" s="89"/>
      <c r="Y26" s="12"/>
      <c r="Z26" s="12"/>
      <c r="AA26" s="12"/>
      <c r="AB26" s="12"/>
      <c r="AC26" s="12"/>
      <c r="AD26" s="89"/>
      <c r="AE26" s="13"/>
      <c r="AF26" s="13"/>
      <c r="AG26" s="18"/>
    </row>
    <row r="27" spans="1:33" ht="15" customHeight="1" x14ac:dyDescent="0.3">
      <c r="A27" s="28" t="s">
        <v>225</v>
      </c>
      <c r="B27" s="88" t="s">
        <v>226</v>
      </c>
      <c r="C27" s="23" t="b">
        <f>AND(A27=[1]TUTANAK!$D$6,P27="Tamamlandı")</f>
        <v>0</v>
      </c>
      <c r="D27" s="23"/>
      <c r="E27" s="23" t="str">
        <f t="shared" si="0"/>
        <v>KAZI-PÜS-H.ÇELİK</v>
      </c>
      <c r="F27" s="26" t="s">
        <v>179</v>
      </c>
      <c r="G27" s="26" t="s">
        <v>180</v>
      </c>
      <c r="H27" s="26" t="s">
        <v>24</v>
      </c>
      <c r="I27" s="26" t="s">
        <v>181</v>
      </c>
      <c r="J27" s="26" t="s">
        <v>182</v>
      </c>
      <c r="K27" s="18" t="s">
        <v>217</v>
      </c>
      <c r="L27" s="29">
        <v>46128</v>
      </c>
      <c r="M27" s="30">
        <v>1374.29</v>
      </c>
      <c r="N27" s="18" t="s">
        <v>28</v>
      </c>
      <c r="O27" s="43" t="s">
        <v>67</v>
      </c>
      <c r="P27" s="13" t="s">
        <v>30</v>
      </c>
      <c r="Q27" s="13" t="s">
        <v>82</v>
      </c>
      <c r="R27" s="13" t="s">
        <v>31</v>
      </c>
      <c r="S27" s="10"/>
      <c r="T27" s="10">
        <v>1</v>
      </c>
      <c r="U27" s="89"/>
      <c r="V27" s="11"/>
      <c r="W27" s="11"/>
      <c r="X27" s="89"/>
      <c r="Y27" s="12"/>
      <c r="Z27" s="12"/>
      <c r="AA27" s="12"/>
      <c r="AB27" s="12"/>
      <c r="AC27" s="12"/>
      <c r="AD27" s="89"/>
      <c r="AE27" s="13"/>
      <c r="AF27" s="13"/>
      <c r="AG27" s="18"/>
    </row>
    <row r="28" spans="1:33" ht="15" customHeight="1" x14ac:dyDescent="0.3">
      <c r="A28" s="28" t="s">
        <v>225</v>
      </c>
      <c r="B28" s="88" t="s">
        <v>226</v>
      </c>
      <c r="C28" s="23" t="b">
        <f>AND(A28=[1]TUTANAK!$D$6,P28="Tamamlandı")</f>
        <v>0</v>
      </c>
      <c r="D28" s="23"/>
      <c r="E28" s="23" t="str">
        <f t="shared" si="0"/>
        <v>KAZI-PÜS-H.ÇELİK</v>
      </c>
      <c r="F28" s="26" t="s">
        <v>179</v>
      </c>
      <c r="G28" s="26" t="s">
        <v>180</v>
      </c>
      <c r="H28" s="26" t="s">
        <v>24</v>
      </c>
      <c r="I28" s="26" t="s">
        <v>181</v>
      </c>
      <c r="J28" s="26" t="s">
        <v>182</v>
      </c>
      <c r="K28" s="18" t="s">
        <v>216</v>
      </c>
      <c r="L28" s="29">
        <v>46127</v>
      </c>
      <c r="M28" s="30">
        <v>1375.04</v>
      </c>
      <c r="N28" s="18" t="s">
        <v>28</v>
      </c>
      <c r="O28" s="43" t="s">
        <v>29</v>
      </c>
      <c r="P28" s="13" t="s">
        <v>30</v>
      </c>
      <c r="Q28" s="13" t="s">
        <v>82</v>
      </c>
      <c r="R28" s="13" t="s">
        <v>31</v>
      </c>
      <c r="S28" s="10"/>
      <c r="T28" s="10">
        <v>1</v>
      </c>
      <c r="U28" s="89"/>
      <c r="V28" s="11"/>
      <c r="W28" s="11"/>
      <c r="X28" s="89"/>
      <c r="Y28" s="12"/>
      <c r="Z28" s="12"/>
      <c r="AA28" s="12"/>
      <c r="AB28" s="12"/>
      <c r="AC28" s="12"/>
      <c r="AD28" s="89"/>
      <c r="AE28" s="13"/>
      <c r="AF28" s="13"/>
      <c r="AG28" s="18"/>
    </row>
    <row r="29" spans="1:33" ht="15" customHeight="1" x14ac:dyDescent="0.3">
      <c r="A29" s="28" t="s">
        <v>225</v>
      </c>
      <c r="B29" s="88" t="s">
        <v>226</v>
      </c>
      <c r="C29" s="23" t="b">
        <f>AND(A29=[1]TUTANAK!$D$6,P29="Tamamlandı")</f>
        <v>0</v>
      </c>
      <c r="D29" s="23"/>
      <c r="E29" s="23" t="str">
        <f t="shared" si="0"/>
        <v>KAZI-PÜS-H.ÇELİK</v>
      </c>
      <c r="F29" s="26" t="s">
        <v>179</v>
      </c>
      <c r="G29" s="26" t="s">
        <v>180</v>
      </c>
      <c r="H29" s="26" t="s">
        <v>24</v>
      </c>
      <c r="I29" s="26" t="s">
        <v>181</v>
      </c>
      <c r="J29" s="26" t="s">
        <v>182</v>
      </c>
      <c r="K29" s="18" t="s">
        <v>216</v>
      </c>
      <c r="L29" s="29">
        <v>46127</v>
      </c>
      <c r="M29" s="30">
        <v>1375.79</v>
      </c>
      <c r="N29" s="18" t="s">
        <v>28</v>
      </c>
      <c r="O29" s="43" t="s">
        <v>63</v>
      </c>
      <c r="P29" s="13" t="s">
        <v>30</v>
      </c>
      <c r="Q29" s="13" t="s">
        <v>82</v>
      </c>
      <c r="R29" s="13" t="s">
        <v>31</v>
      </c>
      <c r="S29" s="10"/>
      <c r="T29" s="10">
        <v>1</v>
      </c>
      <c r="U29" s="89"/>
      <c r="V29" s="11"/>
      <c r="W29" s="11"/>
      <c r="X29" s="89"/>
      <c r="Y29" s="12"/>
      <c r="Z29" s="12"/>
      <c r="AA29" s="12"/>
      <c r="AB29" s="12"/>
      <c r="AC29" s="12"/>
      <c r="AD29" s="89"/>
      <c r="AE29" s="13"/>
      <c r="AF29" s="13"/>
      <c r="AG29" s="18"/>
    </row>
    <row r="30" spans="1:33" ht="15" customHeight="1" x14ac:dyDescent="0.3">
      <c r="A30" s="28" t="s">
        <v>225</v>
      </c>
      <c r="B30" s="88" t="s">
        <v>226</v>
      </c>
      <c r="C30" s="23" t="b">
        <f>AND(A30=[1]TUTANAK!$D$6,P30="Tamamlandı")</f>
        <v>0</v>
      </c>
      <c r="D30" s="23"/>
      <c r="E30" s="23" t="str">
        <f t="shared" si="0"/>
        <v>KAZI-PÜS-H.ÇELİK</v>
      </c>
      <c r="F30" s="26" t="s">
        <v>179</v>
      </c>
      <c r="G30" s="26" t="s">
        <v>180</v>
      </c>
      <c r="H30" s="26" t="s">
        <v>24</v>
      </c>
      <c r="I30" s="26" t="s">
        <v>181</v>
      </c>
      <c r="J30" s="26" t="s">
        <v>182</v>
      </c>
      <c r="K30" s="18" t="s">
        <v>216</v>
      </c>
      <c r="L30" s="29">
        <v>46127</v>
      </c>
      <c r="M30" s="30">
        <v>1376.54</v>
      </c>
      <c r="N30" s="18" t="s">
        <v>28</v>
      </c>
      <c r="O30" s="43" t="s">
        <v>64</v>
      </c>
      <c r="P30" s="13" t="s">
        <v>30</v>
      </c>
      <c r="Q30" s="13" t="s">
        <v>82</v>
      </c>
      <c r="R30" s="13" t="s">
        <v>31</v>
      </c>
      <c r="S30" s="10"/>
      <c r="T30" s="10">
        <v>1</v>
      </c>
      <c r="U30" s="89"/>
      <c r="V30" s="11"/>
      <c r="W30" s="11"/>
      <c r="X30" s="89"/>
      <c r="Y30" s="12"/>
      <c r="Z30" s="12"/>
      <c r="AA30" s="12"/>
      <c r="AB30" s="12"/>
      <c r="AC30" s="12"/>
      <c r="AD30" s="89"/>
      <c r="AE30" s="13"/>
      <c r="AF30" s="13"/>
      <c r="AG30" s="18"/>
    </row>
    <row r="31" spans="1:33" ht="15" customHeight="1" x14ac:dyDescent="0.3">
      <c r="A31" s="28" t="s">
        <v>225</v>
      </c>
      <c r="B31" s="88" t="s">
        <v>226</v>
      </c>
      <c r="C31" s="23" t="b">
        <f>AND(A31=[1]TUTANAK!$D$6,P31="Tamamlandı")</f>
        <v>0</v>
      </c>
      <c r="D31" s="23"/>
      <c r="E31" s="23" t="str">
        <f t="shared" si="0"/>
        <v>KAZI-PÜS-H.ÇELİK</v>
      </c>
      <c r="F31" s="26" t="s">
        <v>179</v>
      </c>
      <c r="G31" s="26" t="s">
        <v>180</v>
      </c>
      <c r="H31" s="26" t="s">
        <v>24</v>
      </c>
      <c r="I31" s="26" t="s">
        <v>181</v>
      </c>
      <c r="J31" s="26" t="s">
        <v>182</v>
      </c>
      <c r="K31" s="18" t="s">
        <v>215</v>
      </c>
      <c r="L31" s="29">
        <v>46125</v>
      </c>
      <c r="M31" s="30">
        <v>1377.29</v>
      </c>
      <c r="N31" s="18" t="s">
        <v>28</v>
      </c>
      <c r="O31" s="43" t="s">
        <v>65</v>
      </c>
      <c r="P31" s="13" t="s">
        <v>30</v>
      </c>
      <c r="Q31" s="13" t="s">
        <v>82</v>
      </c>
      <c r="R31" s="13" t="s">
        <v>31</v>
      </c>
      <c r="S31" s="10"/>
      <c r="T31" s="10">
        <v>1</v>
      </c>
      <c r="U31" s="89"/>
      <c r="V31" s="11"/>
      <c r="W31" s="11"/>
      <c r="X31" s="89"/>
      <c r="Y31" s="12"/>
      <c r="Z31" s="12"/>
      <c r="AA31" s="12"/>
      <c r="AB31" s="12"/>
      <c r="AC31" s="12"/>
      <c r="AD31" s="89"/>
      <c r="AE31" s="13"/>
      <c r="AF31" s="13"/>
      <c r="AG31" s="18"/>
    </row>
    <row r="32" spans="1:33" ht="15" customHeight="1" x14ac:dyDescent="0.3">
      <c r="A32" s="28" t="s">
        <v>225</v>
      </c>
      <c r="B32" s="88" t="s">
        <v>226</v>
      </c>
      <c r="C32" s="23" t="b">
        <f>AND(A32=[1]TUTANAK!$D$6,P32="Tamamlandı")</f>
        <v>0</v>
      </c>
      <c r="D32" s="23"/>
      <c r="E32" s="23" t="str">
        <f t="shared" si="0"/>
        <v>KAZI-PÜS-H.ÇELİK</v>
      </c>
      <c r="F32" s="26" t="s">
        <v>179</v>
      </c>
      <c r="G32" s="26" t="s">
        <v>180</v>
      </c>
      <c r="H32" s="26" t="s">
        <v>24</v>
      </c>
      <c r="I32" s="26" t="s">
        <v>181</v>
      </c>
      <c r="J32" s="26" t="s">
        <v>182</v>
      </c>
      <c r="K32" s="18" t="s">
        <v>215</v>
      </c>
      <c r="L32" s="29">
        <v>46125</v>
      </c>
      <c r="M32" s="30">
        <v>1378.04</v>
      </c>
      <c r="N32" s="18" t="s">
        <v>28</v>
      </c>
      <c r="O32" s="43" t="s">
        <v>66</v>
      </c>
      <c r="P32" s="13" t="s">
        <v>30</v>
      </c>
      <c r="Q32" s="13" t="s">
        <v>82</v>
      </c>
      <c r="R32" s="13" t="s">
        <v>31</v>
      </c>
      <c r="S32" s="10"/>
      <c r="T32" s="10">
        <v>1</v>
      </c>
      <c r="U32" s="89"/>
      <c r="V32" s="11"/>
      <c r="W32" s="11"/>
      <c r="X32" s="89"/>
      <c r="Y32" s="12"/>
      <c r="Z32" s="12"/>
      <c r="AA32" s="12"/>
      <c r="AB32" s="12"/>
      <c r="AC32" s="12"/>
      <c r="AD32" s="89"/>
      <c r="AE32" s="13"/>
      <c r="AF32" s="13"/>
      <c r="AG32" s="18"/>
    </row>
    <row r="33" spans="1:33" ht="15" customHeight="1" x14ac:dyDescent="0.3">
      <c r="A33" s="28" t="s">
        <v>225</v>
      </c>
      <c r="B33" s="88" t="s">
        <v>226</v>
      </c>
      <c r="C33" s="23" t="b">
        <f>AND(A33=[1]TUTANAK!$D$6,P33="Tamamlandı")</f>
        <v>0</v>
      </c>
      <c r="D33" s="23"/>
      <c r="E33" s="23" t="str">
        <f t="shared" si="0"/>
        <v>KAZI-PÜS-H.ÇELİK</v>
      </c>
      <c r="F33" s="26" t="s">
        <v>179</v>
      </c>
      <c r="G33" s="26" t="s">
        <v>180</v>
      </c>
      <c r="H33" s="26" t="s">
        <v>24</v>
      </c>
      <c r="I33" s="26" t="s">
        <v>181</v>
      </c>
      <c r="J33" s="26" t="s">
        <v>182</v>
      </c>
      <c r="K33" s="18" t="s">
        <v>215</v>
      </c>
      <c r="L33" s="29">
        <v>46125</v>
      </c>
      <c r="M33" s="30">
        <v>1378.79</v>
      </c>
      <c r="N33" s="18" t="s">
        <v>28</v>
      </c>
      <c r="O33" s="43" t="s">
        <v>67</v>
      </c>
      <c r="P33" s="13" t="s">
        <v>30</v>
      </c>
      <c r="Q33" s="13" t="s">
        <v>82</v>
      </c>
      <c r="R33" s="13" t="s">
        <v>31</v>
      </c>
      <c r="S33" s="10"/>
      <c r="T33" s="10">
        <v>1</v>
      </c>
      <c r="U33" s="89"/>
      <c r="V33" s="11"/>
      <c r="W33" s="11"/>
      <c r="X33" s="89"/>
      <c r="Y33" s="12"/>
      <c r="Z33" s="12"/>
      <c r="AA33" s="12"/>
      <c r="AB33" s="12"/>
      <c r="AC33" s="12"/>
      <c r="AD33" s="89"/>
      <c r="AE33" s="13"/>
      <c r="AF33" s="13"/>
      <c r="AG33" s="18"/>
    </row>
    <row r="34" spans="1:33" ht="15" customHeight="1" x14ac:dyDescent="0.3">
      <c r="A34" s="28" t="s">
        <v>225</v>
      </c>
      <c r="B34" s="88" t="s">
        <v>226</v>
      </c>
      <c r="C34" s="23" t="b">
        <f>AND(A34=[1]TUTANAK!$D$6,P34="Tamamlandı")</f>
        <v>0</v>
      </c>
      <c r="D34" s="23"/>
      <c r="E34" s="23" t="str">
        <f t="shared" si="0"/>
        <v>KAZI-PÜS-H.ÇELİK</v>
      </c>
      <c r="F34" s="26" t="s">
        <v>179</v>
      </c>
      <c r="G34" s="26" t="s">
        <v>180</v>
      </c>
      <c r="H34" s="26" t="s">
        <v>24</v>
      </c>
      <c r="I34" s="26" t="s">
        <v>181</v>
      </c>
      <c r="J34" s="26" t="s">
        <v>182</v>
      </c>
      <c r="K34" s="18" t="s">
        <v>214</v>
      </c>
      <c r="L34" s="29">
        <v>46123</v>
      </c>
      <c r="M34" s="30">
        <v>1379.54</v>
      </c>
      <c r="N34" s="18" t="s">
        <v>28</v>
      </c>
      <c r="O34" s="43" t="s">
        <v>29</v>
      </c>
      <c r="P34" s="13" t="s">
        <v>30</v>
      </c>
      <c r="Q34" s="13" t="s">
        <v>82</v>
      </c>
      <c r="R34" s="13" t="s">
        <v>31</v>
      </c>
      <c r="S34" s="10"/>
      <c r="T34" s="10">
        <v>1</v>
      </c>
      <c r="U34" s="89"/>
      <c r="V34" s="11"/>
      <c r="W34" s="11"/>
      <c r="X34" s="89"/>
      <c r="Y34" s="12"/>
      <c r="Z34" s="12"/>
      <c r="AA34" s="12"/>
      <c r="AB34" s="12"/>
      <c r="AC34" s="12"/>
      <c r="AD34" s="89"/>
      <c r="AE34" s="13"/>
      <c r="AF34" s="13"/>
      <c r="AG34" s="18"/>
    </row>
    <row r="35" spans="1:33" ht="15" customHeight="1" x14ac:dyDescent="0.3">
      <c r="A35" s="28" t="s">
        <v>225</v>
      </c>
      <c r="B35" s="88" t="s">
        <v>226</v>
      </c>
      <c r="C35" s="23" t="b">
        <f>AND(A35=[1]TUTANAK!$D$6,P35="Tamamlandı")</f>
        <v>0</v>
      </c>
      <c r="D35" s="23"/>
      <c r="E35" s="23" t="str">
        <f t="shared" si="0"/>
        <v>KAZI-PÜS-H.ÇELİK</v>
      </c>
      <c r="F35" s="26" t="s">
        <v>179</v>
      </c>
      <c r="G35" s="26" t="s">
        <v>180</v>
      </c>
      <c r="H35" s="26" t="s">
        <v>24</v>
      </c>
      <c r="I35" s="26" t="s">
        <v>181</v>
      </c>
      <c r="J35" s="26" t="s">
        <v>182</v>
      </c>
      <c r="K35" s="18" t="s">
        <v>214</v>
      </c>
      <c r="L35" s="29">
        <v>46123</v>
      </c>
      <c r="M35" s="30">
        <v>1380.29</v>
      </c>
      <c r="N35" s="18" t="s">
        <v>28</v>
      </c>
      <c r="O35" s="43" t="s">
        <v>63</v>
      </c>
      <c r="P35" s="13" t="s">
        <v>30</v>
      </c>
      <c r="Q35" s="13" t="s">
        <v>82</v>
      </c>
      <c r="R35" s="13" t="s">
        <v>31</v>
      </c>
      <c r="S35" s="10"/>
      <c r="T35" s="10">
        <v>1</v>
      </c>
      <c r="U35" s="89"/>
      <c r="V35" s="11"/>
      <c r="W35" s="11"/>
      <c r="X35" s="89"/>
      <c r="Y35" s="12"/>
      <c r="Z35" s="12"/>
      <c r="AA35" s="12"/>
      <c r="AB35" s="12"/>
      <c r="AC35" s="12"/>
      <c r="AD35" s="89"/>
      <c r="AE35" s="13"/>
      <c r="AF35" s="13"/>
      <c r="AG35" s="18"/>
    </row>
    <row r="36" spans="1:33" ht="15" customHeight="1" x14ac:dyDescent="0.3">
      <c r="A36" s="28" t="s">
        <v>225</v>
      </c>
      <c r="B36" s="88" t="s">
        <v>226</v>
      </c>
      <c r="C36" s="23" t="b">
        <f>AND(A36=[1]TUTANAK!$D$6,P36="Tamamlandı")</f>
        <v>0</v>
      </c>
      <c r="D36" s="23"/>
      <c r="E36" s="23" t="str">
        <f t="shared" si="0"/>
        <v>KAZI-PÜS-H.ÇELİK</v>
      </c>
      <c r="F36" s="26" t="s">
        <v>179</v>
      </c>
      <c r="G36" s="26" t="s">
        <v>180</v>
      </c>
      <c r="H36" s="26" t="s">
        <v>24</v>
      </c>
      <c r="I36" s="26" t="s">
        <v>181</v>
      </c>
      <c r="J36" s="26" t="s">
        <v>182</v>
      </c>
      <c r="K36" s="18" t="s">
        <v>214</v>
      </c>
      <c r="L36" s="29">
        <v>46123</v>
      </c>
      <c r="M36" s="30">
        <v>1381.04</v>
      </c>
      <c r="N36" s="18" t="s">
        <v>28</v>
      </c>
      <c r="O36" s="43" t="s">
        <v>64</v>
      </c>
      <c r="P36" s="13" t="s">
        <v>30</v>
      </c>
      <c r="Q36" s="13" t="s">
        <v>82</v>
      </c>
      <c r="R36" s="13" t="s">
        <v>31</v>
      </c>
      <c r="S36" s="10"/>
      <c r="T36" s="10">
        <v>1</v>
      </c>
      <c r="U36" s="89"/>
      <c r="V36" s="11"/>
      <c r="W36" s="11"/>
      <c r="X36" s="89"/>
      <c r="Y36" s="12"/>
      <c r="Z36" s="12"/>
      <c r="AA36" s="12"/>
      <c r="AB36" s="12"/>
      <c r="AC36" s="12"/>
      <c r="AD36" s="89"/>
      <c r="AE36" s="13"/>
      <c r="AF36" s="13"/>
      <c r="AG36" s="18"/>
    </row>
    <row r="37" spans="1:33" ht="15" customHeight="1" x14ac:dyDescent="0.3">
      <c r="A37" s="28" t="s">
        <v>225</v>
      </c>
      <c r="B37" s="88" t="s">
        <v>226</v>
      </c>
      <c r="C37" s="23" t="b">
        <f>AND(A37=[1]TUTANAK!$D$6,P37="Tamamlandı")</f>
        <v>0</v>
      </c>
      <c r="D37" s="23"/>
      <c r="E37" s="23" t="str">
        <f t="shared" si="0"/>
        <v>KAZI-PÜS-H.ÇELİK</v>
      </c>
      <c r="F37" s="26" t="s">
        <v>179</v>
      </c>
      <c r="G37" s="26" t="s">
        <v>180</v>
      </c>
      <c r="H37" s="26" t="s">
        <v>24</v>
      </c>
      <c r="I37" s="26" t="s">
        <v>181</v>
      </c>
      <c r="J37" s="26" t="s">
        <v>182</v>
      </c>
      <c r="K37" s="18" t="s">
        <v>213</v>
      </c>
      <c r="L37" s="29">
        <v>46122</v>
      </c>
      <c r="M37" s="30">
        <v>1381.79</v>
      </c>
      <c r="N37" s="18" t="s">
        <v>28</v>
      </c>
      <c r="O37" s="43" t="s">
        <v>65</v>
      </c>
      <c r="P37" s="13" t="s">
        <v>30</v>
      </c>
      <c r="Q37" s="13" t="s">
        <v>82</v>
      </c>
      <c r="R37" s="13" t="s">
        <v>31</v>
      </c>
      <c r="S37" s="10"/>
      <c r="T37" s="10">
        <v>1</v>
      </c>
      <c r="U37" s="89"/>
      <c r="V37" s="11"/>
      <c r="W37" s="11"/>
      <c r="X37" s="89"/>
      <c r="Y37" s="12"/>
      <c r="Z37" s="12"/>
      <c r="AA37" s="12"/>
      <c r="AB37" s="12"/>
      <c r="AC37" s="12"/>
      <c r="AD37" s="89"/>
      <c r="AE37" s="13"/>
      <c r="AF37" s="13"/>
      <c r="AG37" s="18"/>
    </row>
    <row r="38" spans="1:33" ht="15" customHeight="1" x14ac:dyDescent="0.3">
      <c r="A38" s="28" t="s">
        <v>225</v>
      </c>
      <c r="B38" s="88" t="s">
        <v>226</v>
      </c>
      <c r="C38" s="23" t="b">
        <f>AND(A38=[1]TUTANAK!$D$6,P38="Tamamlandı")</f>
        <v>0</v>
      </c>
      <c r="D38" s="23"/>
      <c r="E38" s="23" t="str">
        <f t="shared" si="0"/>
        <v>KAZI-PÜS-H.ÇELİK</v>
      </c>
      <c r="F38" s="26" t="s">
        <v>179</v>
      </c>
      <c r="G38" s="26" t="s">
        <v>180</v>
      </c>
      <c r="H38" s="26" t="s">
        <v>24</v>
      </c>
      <c r="I38" s="26" t="s">
        <v>181</v>
      </c>
      <c r="J38" s="26" t="s">
        <v>182</v>
      </c>
      <c r="K38" s="18" t="s">
        <v>213</v>
      </c>
      <c r="L38" s="29">
        <v>46122</v>
      </c>
      <c r="M38" s="30">
        <v>1382.54</v>
      </c>
      <c r="N38" s="18" t="s">
        <v>28</v>
      </c>
      <c r="O38" s="43" t="s">
        <v>66</v>
      </c>
      <c r="P38" s="13" t="s">
        <v>30</v>
      </c>
      <c r="Q38" s="13" t="s">
        <v>82</v>
      </c>
      <c r="R38" s="13" t="s">
        <v>31</v>
      </c>
      <c r="S38" s="10"/>
      <c r="T38" s="10">
        <v>1</v>
      </c>
      <c r="U38" s="89"/>
      <c r="V38" s="11"/>
      <c r="W38" s="11"/>
      <c r="X38" s="89"/>
      <c r="Y38" s="12"/>
      <c r="Z38" s="12"/>
      <c r="AA38" s="12"/>
      <c r="AB38" s="12"/>
      <c r="AC38" s="12"/>
      <c r="AD38" s="89"/>
      <c r="AE38" s="13"/>
      <c r="AF38" s="13"/>
      <c r="AG38" s="18"/>
    </row>
    <row r="39" spans="1:33" ht="15" customHeight="1" x14ac:dyDescent="0.3">
      <c r="A39" s="28" t="s">
        <v>225</v>
      </c>
      <c r="B39" s="88" t="s">
        <v>226</v>
      </c>
      <c r="C39" s="23" t="b">
        <f>AND(A39=[1]TUTANAK!$D$6,P39="Tamamlandı")</f>
        <v>0</v>
      </c>
      <c r="D39" s="23"/>
      <c r="E39" s="23" t="str">
        <f t="shared" si="0"/>
        <v>KAZI-PÜS-H.ÇELİK</v>
      </c>
      <c r="F39" s="26" t="s">
        <v>179</v>
      </c>
      <c r="G39" s="26" t="s">
        <v>180</v>
      </c>
      <c r="H39" s="26" t="s">
        <v>24</v>
      </c>
      <c r="I39" s="26" t="s">
        <v>181</v>
      </c>
      <c r="J39" s="26" t="s">
        <v>182</v>
      </c>
      <c r="K39" s="18" t="s">
        <v>213</v>
      </c>
      <c r="L39" s="29">
        <v>46122</v>
      </c>
      <c r="M39" s="30">
        <v>1383.29</v>
      </c>
      <c r="N39" s="18" t="s">
        <v>28</v>
      </c>
      <c r="O39" s="43" t="s">
        <v>67</v>
      </c>
      <c r="P39" s="13" t="s">
        <v>30</v>
      </c>
      <c r="Q39" s="13" t="s">
        <v>82</v>
      </c>
      <c r="R39" s="13" t="s">
        <v>31</v>
      </c>
      <c r="S39" s="10"/>
      <c r="T39" s="10">
        <v>1</v>
      </c>
      <c r="U39" s="89"/>
      <c r="V39" s="11"/>
      <c r="W39" s="11"/>
      <c r="X39" s="89"/>
      <c r="Y39" s="12"/>
      <c r="Z39" s="12"/>
      <c r="AA39" s="12"/>
      <c r="AB39" s="12"/>
      <c r="AC39" s="12"/>
      <c r="AD39" s="89"/>
      <c r="AE39" s="13"/>
      <c r="AF39" s="13"/>
      <c r="AG39" s="18"/>
    </row>
    <row r="40" spans="1:33" ht="15" customHeight="1" x14ac:dyDescent="0.3">
      <c r="A40" s="28" t="s">
        <v>225</v>
      </c>
      <c r="B40" s="88" t="s">
        <v>226</v>
      </c>
      <c r="C40" s="23" t="b">
        <f>AND(A40=[1]TUTANAK!$D$6,P40="Tamamlandı")</f>
        <v>0</v>
      </c>
      <c r="D40" s="23"/>
      <c r="E40" s="23" t="str">
        <f t="shared" si="0"/>
        <v>KAZI-PÜS-H.ÇELİK</v>
      </c>
      <c r="F40" s="26" t="s">
        <v>179</v>
      </c>
      <c r="G40" s="26" t="s">
        <v>180</v>
      </c>
      <c r="H40" s="26" t="s">
        <v>24</v>
      </c>
      <c r="I40" s="26" t="s">
        <v>181</v>
      </c>
      <c r="J40" s="26" t="s">
        <v>182</v>
      </c>
      <c r="K40" s="18" t="s">
        <v>212</v>
      </c>
      <c r="L40" s="29">
        <v>46119</v>
      </c>
      <c r="M40" s="30">
        <v>1384.04</v>
      </c>
      <c r="N40" s="18" t="s">
        <v>28</v>
      </c>
      <c r="O40" s="43" t="s">
        <v>29</v>
      </c>
      <c r="P40" s="13" t="s">
        <v>30</v>
      </c>
      <c r="Q40" s="13" t="s">
        <v>82</v>
      </c>
      <c r="R40" s="13" t="s">
        <v>31</v>
      </c>
      <c r="S40" s="10"/>
      <c r="T40" s="10">
        <v>1</v>
      </c>
      <c r="U40" s="89"/>
      <c r="V40" s="11"/>
      <c r="W40" s="11"/>
      <c r="X40" s="89"/>
      <c r="Y40" s="12"/>
      <c r="Z40" s="12"/>
      <c r="AA40" s="12"/>
      <c r="AB40" s="12"/>
      <c r="AC40" s="12"/>
      <c r="AD40" s="89"/>
      <c r="AE40" s="13"/>
      <c r="AF40" s="13"/>
      <c r="AG40" s="18"/>
    </row>
    <row r="41" spans="1:33" ht="15" customHeight="1" x14ac:dyDescent="0.3">
      <c r="A41" s="28" t="s">
        <v>225</v>
      </c>
      <c r="B41" s="88" t="s">
        <v>226</v>
      </c>
      <c r="C41" s="23" t="b">
        <f>AND(A41=[1]TUTANAK!$D$6,P41="Tamamlandı")</f>
        <v>0</v>
      </c>
      <c r="D41" s="23"/>
      <c r="E41" s="23" t="str">
        <f t="shared" si="0"/>
        <v>KAZI-PÜS-H.ÇELİK</v>
      </c>
      <c r="F41" s="26" t="s">
        <v>179</v>
      </c>
      <c r="G41" s="26" t="s">
        <v>180</v>
      </c>
      <c r="H41" s="26" t="s">
        <v>24</v>
      </c>
      <c r="I41" s="26" t="s">
        <v>181</v>
      </c>
      <c r="J41" s="26" t="s">
        <v>182</v>
      </c>
      <c r="K41" s="18" t="s">
        <v>212</v>
      </c>
      <c r="L41" s="29">
        <v>46119</v>
      </c>
      <c r="M41" s="30">
        <v>1384.79</v>
      </c>
      <c r="N41" s="18" t="s">
        <v>28</v>
      </c>
      <c r="O41" s="43" t="s">
        <v>63</v>
      </c>
      <c r="P41" s="13" t="s">
        <v>30</v>
      </c>
      <c r="Q41" s="13" t="s">
        <v>82</v>
      </c>
      <c r="R41" s="13" t="s">
        <v>31</v>
      </c>
      <c r="S41" s="10"/>
      <c r="T41" s="10">
        <v>1</v>
      </c>
      <c r="U41" s="89"/>
      <c r="V41" s="11"/>
      <c r="W41" s="11"/>
      <c r="X41" s="89"/>
      <c r="Y41" s="12"/>
      <c r="Z41" s="12"/>
      <c r="AA41" s="12"/>
      <c r="AB41" s="12"/>
      <c r="AC41" s="12"/>
      <c r="AD41" s="89"/>
      <c r="AE41" s="13"/>
      <c r="AF41" s="13"/>
      <c r="AG41" s="18"/>
    </row>
    <row r="42" spans="1:33" ht="15" customHeight="1" x14ac:dyDescent="0.3">
      <c r="A42" s="28" t="s">
        <v>225</v>
      </c>
      <c r="B42" s="88" t="s">
        <v>226</v>
      </c>
      <c r="C42" s="23" t="b">
        <f>AND(A42=[1]TUTANAK!$D$6,P42="Tamamlandı")</f>
        <v>0</v>
      </c>
      <c r="D42" s="23"/>
      <c r="E42" s="23" t="str">
        <f t="shared" si="0"/>
        <v>KAZI-PÜS-H.ÇELİK</v>
      </c>
      <c r="F42" s="26" t="s">
        <v>179</v>
      </c>
      <c r="G42" s="26" t="s">
        <v>180</v>
      </c>
      <c r="H42" s="26" t="s">
        <v>24</v>
      </c>
      <c r="I42" s="26" t="s">
        <v>181</v>
      </c>
      <c r="J42" s="26" t="s">
        <v>182</v>
      </c>
      <c r="K42" s="18" t="s">
        <v>212</v>
      </c>
      <c r="L42" s="29">
        <v>46119</v>
      </c>
      <c r="M42" s="30">
        <v>1385.54</v>
      </c>
      <c r="N42" s="18" t="s">
        <v>28</v>
      </c>
      <c r="O42" s="43" t="s">
        <v>64</v>
      </c>
      <c r="P42" s="13" t="s">
        <v>30</v>
      </c>
      <c r="Q42" s="13" t="s">
        <v>82</v>
      </c>
      <c r="R42" s="13" t="s">
        <v>31</v>
      </c>
      <c r="S42" s="10"/>
      <c r="T42" s="10">
        <v>1</v>
      </c>
      <c r="U42" s="89"/>
      <c r="V42" s="11"/>
      <c r="W42" s="11"/>
      <c r="X42" s="89"/>
      <c r="Y42" s="12"/>
      <c r="Z42" s="12"/>
      <c r="AA42" s="12"/>
      <c r="AB42" s="12"/>
      <c r="AC42" s="12"/>
      <c r="AD42" s="89"/>
      <c r="AE42" s="13"/>
      <c r="AF42" s="13"/>
      <c r="AG42" s="18"/>
    </row>
    <row r="43" spans="1:33" ht="15" customHeight="1" x14ac:dyDescent="0.3">
      <c r="A43" s="28" t="s">
        <v>225</v>
      </c>
      <c r="B43" s="88" t="s">
        <v>226</v>
      </c>
      <c r="C43" s="23" t="b">
        <f>AND(A43=[1]TUTANAK!$D$6,P43="Tamamlandı")</f>
        <v>0</v>
      </c>
      <c r="D43" s="23"/>
      <c r="E43" s="23" t="str">
        <f t="shared" si="0"/>
        <v>KAZI-PÜS-H.ÇELİK</v>
      </c>
      <c r="F43" s="26" t="s">
        <v>179</v>
      </c>
      <c r="G43" s="26" t="s">
        <v>180</v>
      </c>
      <c r="H43" s="26" t="s">
        <v>24</v>
      </c>
      <c r="I43" s="26" t="s">
        <v>181</v>
      </c>
      <c r="J43" s="26" t="s">
        <v>182</v>
      </c>
      <c r="K43" s="18" t="s">
        <v>211</v>
      </c>
      <c r="L43" s="29">
        <v>46116</v>
      </c>
      <c r="M43" s="30">
        <v>1386.29</v>
      </c>
      <c r="N43" s="18" t="s">
        <v>28</v>
      </c>
      <c r="O43" s="43" t="s">
        <v>65</v>
      </c>
      <c r="P43" s="13" t="s">
        <v>30</v>
      </c>
      <c r="Q43" s="13" t="s">
        <v>82</v>
      </c>
      <c r="R43" s="13" t="s">
        <v>31</v>
      </c>
      <c r="S43" s="10"/>
      <c r="T43" s="10">
        <v>1</v>
      </c>
      <c r="U43" s="89"/>
      <c r="V43" s="11"/>
      <c r="W43" s="11"/>
      <c r="X43" s="89"/>
      <c r="Y43" s="12"/>
      <c r="Z43" s="12"/>
      <c r="AA43" s="12"/>
      <c r="AB43" s="12"/>
      <c r="AC43" s="12"/>
      <c r="AD43" s="89"/>
      <c r="AE43" s="13"/>
      <c r="AF43" s="13"/>
      <c r="AG43" s="18"/>
    </row>
    <row r="44" spans="1:33" ht="15" customHeight="1" x14ac:dyDescent="0.3">
      <c r="A44" s="28" t="s">
        <v>225</v>
      </c>
      <c r="B44" s="88" t="s">
        <v>226</v>
      </c>
      <c r="C44" s="23" t="b">
        <f>AND(A44=[1]TUTANAK!$D$6,P44="Tamamlandı")</f>
        <v>0</v>
      </c>
      <c r="D44" s="23"/>
      <c r="E44" s="23" t="str">
        <f t="shared" si="0"/>
        <v>KAZI-PÜS-H.ÇELİK</v>
      </c>
      <c r="F44" s="26" t="s">
        <v>179</v>
      </c>
      <c r="G44" s="26" t="s">
        <v>180</v>
      </c>
      <c r="H44" s="26" t="s">
        <v>24</v>
      </c>
      <c r="I44" s="26" t="s">
        <v>181</v>
      </c>
      <c r="J44" s="26" t="s">
        <v>182</v>
      </c>
      <c r="K44" s="18" t="s">
        <v>211</v>
      </c>
      <c r="L44" s="29">
        <v>46116</v>
      </c>
      <c r="M44" s="30">
        <v>1387.04</v>
      </c>
      <c r="N44" s="18" t="s">
        <v>28</v>
      </c>
      <c r="O44" s="43" t="s">
        <v>66</v>
      </c>
      <c r="P44" s="13" t="s">
        <v>30</v>
      </c>
      <c r="Q44" s="13" t="s">
        <v>82</v>
      </c>
      <c r="R44" s="13" t="s">
        <v>31</v>
      </c>
      <c r="S44" s="10"/>
      <c r="T44" s="10">
        <v>1</v>
      </c>
      <c r="U44" s="89"/>
      <c r="V44" s="11"/>
      <c r="W44" s="11"/>
      <c r="X44" s="89"/>
      <c r="Y44" s="12"/>
      <c r="Z44" s="12"/>
      <c r="AA44" s="12"/>
      <c r="AB44" s="12"/>
      <c r="AC44" s="12"/>
      <c r="AD44" s="89"/>
      <c r="AE44" s="13"/>
      <c r="AF44" s="13"/>
      <c r="AG44" s="18"/>
    </row>
    <row r="45" spans="1:33" ht="15" customHeight="1" x14ac:dyDescent="0.3">
      <c r="A45" s="28" t="s">
        <v>225</v>
      </c>
      <c r="B45" s="88" t="s">
        <v>226</v>
      </c>
      <c r="C45" s="23" t="b">
        <f>AND(A45=[1]TUTANAK!$D$6,P45="Tamamlandı")</f>
        <v>0</v>
      </c>
      <c r="D45" s="23"/>
      <c r="E45" s="23" t="str">
        <f t="shared" si="0"/>
        <v>KAZI-PÜS-H.ÇELİK</v>
      </c>
      <c r="F45" s="26" t="s">
        <v>179</v>
      </c>
      <c r="G45" s="26" t="s">
        <v>180</v>
      </c>
      <c r="H45" s="26" t="s">
        <v>24</v>
      </c>
      <c r="I45" s="26" t="s">
        <v>181</v>
      </c>
      <c r="J45" s="26" t="s">
        <v>182</v>
      </c>
      <c r="K45" s="18" t="s">
        <v>211</v>
      </c>
      <c r="L45" s="29">
        <v>46116</v>
      </c>
      <c r="M45" s="30">
        <v>1387.79</v>
      </c>
      <c r="N45" s="18" t="s">
        <v>28</v>
      </c>
      <c r="O45" s="43" t="s">
        <v>67</v>
      </c>
      <c r="P45" s="13" t="s">
        <v>30</v>
      </c>
      <c r="Q45" s="13" t="s">
        <v>82</v>
      </c>
      <c r="R45" s="13" t="s">
        <v>31</v>
      </c>
      <c r="S45" s="10"/>
      <c r="T45" s="10">
        <v>1</v>
      </c>
      <c r="U45" s="89"/>
      <c r="V45" s="11"/>
      <c r="W45" s="11"/>
      <c r="X45" s="89"/>
      <c r="Y45" s="12"/>
      <c r="Z45" s="12"/>
      <c r="AA45" s="12"/>
      <c r="AB45" s="12"/>
      <c r="AC45" s="12"/>
      <c r="AD45" s="89"/>
      <c r="AE45" s="13"/>
      <c r="AF45" s="13"/>
      <c r="AG45" s="18"/>
    </row>
    <row r="46" spans="1:33" ht="15" customHeight="1" x14ac:dyDescent="0.3">
      <c r="A46" s="28" t="s">
        <v>225</v>
      </c>
      <c r="B46" s="88" t="s">
        <v>226</v>
      </c>
      <c r="C46" s="23" t="b">
        <f>AND(A46=[1]TUTANAK!$D$6,P46="Tamamlandı")</f>
        <v>0</v>
      </c>
      <c r="D46" s="23"/>
      <c r="E46" s="23" t="str">
        <f t="shared" si="0"/>
        <v>KAZI-PÜS-H.ÇELİK</v>
      </c>
      <c r="F46" s="26" t="s">
        <v>179</v>
      </c>
      <c r="G46" s="26" t="s">
        <v>180</v>
      </c>
      <c r="H46" s="26" t="s">
        <v>24</v>
      </c>
      <c r="I46" s="26" t="s">
        <v>181</v>
      </c>
      <c r="J46" s="26" t="s">
        <v>182</v>
      </c>
      <c r="K46" s="18" t="s">
        <v>209</v>
      </c>
      <c r="L46" s="29">
        <v>46115</v>
      </c>
      <c r="M46" s="30">
        <v>1388.54</v>
      </c>
      <c r="N46" s="18" t="s">
        <v>28</v>
      </c>
      <c r="O46" s="43" t="s">
        <v>29</v>
      </c>
      <c r="P46" s="13" t="s">
        <v>30</v>
      </c>
      <c r="Q46" s="13" t="s">
        <v>82</v>
      </c>
      <c r="R46" s="13" t="s">
        <v>31</v>
      </c>
      <c r="S46" s="10"/>
      <c r="T46" s="10">
        <v>1</v>
      </c>
      <c r="U46" s="89"/>
      <c r="V46" s="11"/>
      <c r="W46" s="11"/>
      <c r="X46" s="89"/>
      <c r="Y46" s="12"/>
      <c r="Z46" s="12"/>
      <c r="AA46" s="12"/>
      <c r="AB46" s="12"/>
      <c r="AC46" s="12"/>
      <c r="AD46" s="89"/>
      <c r="AE46" s="13"/>
      <c r="AF46" s="13"/>
      <c r="AG46" s="18"/>
    </row>
    <row r="47" spans="1:33" ht="15" customHeight="1" x14ac:dyDescent="0.3">
      <c r="A47" s="28" t="s">
        <v>225</v>
      </c>
      <c r="B47" s="88" t="s">
        <v>226</v>
      </c>
      <c r="C47" s="23" t="b">
        <f>AND(A47=[1]TUTANAK!$D$6,P47="Tamamlandı")</f>
        <v>0</v>
      </c>
      <c r="D47" s="23"/>
      <c r="E47" s="23" t="str">
        <f t="shared" si="0"/>
        <v>KAZI-PÜS-H.ÇELİK</v>
      </c>
      <c r="F47" s="26" t="s">
        <v>179</v>
      </c>
      <c r="G47" s="26" t="s">
        <v>180</v>
      </c>
      <c r="H47" s="26" t="s">
        <v>24</v>
      </c>
      <c r="I47" s="26" t="s">
        <v>181</v>
      </c>
      <c r="J47" s="26" t="s">
        <v>182</v>
      </c>
      <c r="K47" s="18" t="s">
        <v>209</v>
      </c>
      <c r="L47" s="29">
        <v>46115</v>
      </c>
      <c r="M47" s="30">
        <v>1389.29</v>
      </c>
      <c r="N47" s="18" t="s">
        <v>28</v>
      </c>
      <c r="O47" s="43" t="s">
        <v>63</v>
      </c>
      <c r="P47" s="13" t="s">
        <v>30</v>
      </c>
      <c r="Q47" s="13" t="s">
        <v>82</v>
      </c>
      <c r="R47" s="13" t="s">
        <v>31</v>
      </c>
      <c r="S47" s="10"/>
      <c r="T47" s="10">
        <v>1</v>
      </c>
      <c r="U47" s="89"/>
      <c r="V47" s="11"/>
      <c r="W47" s="11"/>
      <c r="X47" s="89"/>
      <c r="Y47" s="12"/>
      <c r="Z47" s="12"/>
      <c r="AA47" s="12"/>
      <c r="AB47" s="12"/>
      <c r="AC47" s="12"/>
      <c r="AD47" s="89"/>
      <c r="AE47" s="13"/>
      <c r="AF47" s="13"/>
      <c r="AG47" s="18"/>
    </row>
    <row r="48" spans="1:33" ht="15" customHeight="1" x14ac:dyDescent="0.3">
      <c r="A48" s="28" t="s">
        <v>225</v>
      </c>
      <c r="B48" s="88" t="s">
        <v>226</v>
      </c>
      <c r="C48" s="23" t="b">
        <f>AND(A48=[1]TUTANAK!$D$6,P48="Tamamlandı")</f>
        <v>0</v>
      </c>
      <c r="D48" s="23"/>
      <c r="E48" s="23" t="str">
        <f t="shared" si="0"/>
        <v>KAZI-PÜS-H.ÇELİK</v>
      </c>
      <c r="F48" s="26" t="s">
        <v>179</v>
      </c>
      <c r="G48" s="26" t="s">
        <v>180</v>
      </c>
      <c r="H48" s="26" t="s">
        <v>24</v>
      </c>
      <c r="I48" s="26" t="s">
        <v>181</v>
      </c>
      <c r="J48" s="26" t="s">
        <v>182</v>
      </c>
      <c r="K48" s="18" t="s">
        <v>209</v>
      </c>
      <c r="L48" s="29">
        <v>46115</v>
      </c>
      <c r="M48" s="30">
        <v>1390.04</v>
      </c>
      <c r="N48" s="18" t="s">
        <v>28</v>
      </c>
      <c r="O48" s="43" t="s">
        <v>64</v>
      </c>
      <c r="P48" s="13" t="s">
        <v>30</v>
      </c>
      <c r="Q48" s="13" t="s">
        <v>82</v>
      </c>
      <c r="R48" s="13" t="s">
        <v>31</v>
      </c>
      <c r="S48" s="10"/>
      <c r="T48" s="10">
        <v>1</v>
      </c>
      <c r="U48" s="89"/>
      <c r="V48" s="11"/>
      <c r="W48" s="11"/>
      <c r="X48" s="89"/>
      <c r="Y48" s="12"/>
      <c r="Z48" s="12"/>
      <c r="AA48" s="12"/>
      <c r="AB48" s="12"/>
      <c r="AC48" s="12"/>
      <c r="AD48" s="89"/>
      <c r="AE48" s="13"/>
      <c r="AF48" s="13"/>
      <c r="AG48" s="18"/>
    </row>
    <row r="49" spans="1:33" ht="15" customHeight="1" x14ac:dyDescent="0.3">
      <c r="A49" s="28" t="s">
        <v>225</v>
      </c>
      <c r="B49" s="88" t="s">
        <v>226</v>
      </c>
      <c r="C49" s="23" t="b">
        <f>AND(A49=[1]TUTANAK!$D$6,P49="Tamamlandı")</f>
        <v>0</v>
      </c>
      <c r="D49" s="23"/>
      <c r="E49" s="23" t="str">
        <f t="shared" si="0"/>
        <v>KAZI-PÜS-H.ÇELİK</v>
      </c>
      <c r="F49" s="26" t="s">
        <v>179</v>
      </c>
      <c r="G49" s="26" t="s">
        <v>180</v>
      </c>
      <c r="H49" s="26" t="s">
        <v>24</v>
      </c>
      <c r="I49" s="26" t="s">
        <v>181</v>
      </c>
      <c r="J49" s="26" t="s">
        <v>182</v>
      </c>
      <c r="K49" s="18" t="s">
        <v>209</v>
      </c>
      <c r="L49" s="29">
        <v>46115</v>
      </c>
      <c r="M49" s="30">
        <v>1390.79</v>
      </c>
      <c r="N49" s="18" t="s">
        <v>28</v>
      </c>
      <c r="O49" s="43" t="s">
        <v>65</v>
      </c>
      <c r="P49" s="13" t="s">
        <v>30</v>
      </c>
      <c r="Q49" s="13" t="s">
        <v>82</v>
      </c>
      <c r="R49" s="13" t="s">
        <v>31</v>
      </c>
      <c r="S49" s="10"/>
      <c r="T49" s="10">
        <v>1</v>
      </c>
      <c r="U49" s="89"/>
      <c r="V49" s="11"/>
      <c r="W49" s="11"/>
      <c r="X49" s="89"/>
      <c r="Y49" s="12"/>
      <c r="Z49" s="12"/>
      <c r="AA49" s="12"/>
      <c r="AB49" s="12"/>
      <c r="AC49" s="12"/>
      <c r="AD49" s="89"/>
      <c r="AE49" s="13"/>
      <c r="AF49" s="13"/>
      <c r="AG49" s="18"/>
    </row>
    <row r="50" spans="1:33" ht="15" customHeight="1" x14ac:dyDescent="0.3">
      <c r="A50" s="28" t="s">
        <v>225</v>
      </c>
      <c r="B50" s="88" t="s">
        <v>226</v>
      </c>
      <c r="C50" s="23" t="b">
        <f>AND(A50=[1]TUTANAK!$D$6,P50="Tamamlandı")</f>
        <v>0</v>
      </c>
      <c r="D50" s="23"/>
      <c r="E50" s="23" t="str">
        <f t="shared" si="0"/>
        <v>KAZI-PÜS-H.ÇELİK</v>
      </c>
      <c r="F50" s="26" t="s">
        <v>179</v>
      </c>
      <c r="G50" s="26" t="s">
        <v>180</v>
      </c>
      <c r="H50" s="26" t="s">
        <v>24</v>
      </c>
      <c r="I50" s="26" t="s">
        <v>181</v>
      </c>
      <c r="J50" s="26" t="s">
        <v>182</v>
      </c>
      <c r="K50" s="18" t="s">
        <v>210</v>
      </c>
      <c r="L50" s="29">
        <v>46115</v>
      </c>
      <c r="M50" s="30">
        <v>1391.54</v>
      </c>
      <c r="N50" s="18" t="s">
        <v>28</v>
      </c>
      <c r="O50" s="43" t="s">
        <v>66</v>
      </c>
      <c r="P50" s="13" t="s">
        <v>30</v>
      </c>
      <c r="Q50" s="13" t="s">
        <v>82</v>
      </c>
      <c r="R50" s="13" t="s">
        <v>31</v>
      </c>
      <c r="S50" s="10"/>
      <c r="T50" s="10">
        <v>1</v>
      </c>
      <c r="U50" s="89"/>
      <c r="V50" s="11"/>
      <c r="W50" s="11"/>
      <c r="X50" s="89"/>
      <c r="Y50" s="12"/>
      <c r="Z50" s="12"/>
      <c r="AA50" s="12"/>
      <c r="AB50" s="12"/>
      <c r="AC50" s="12"/>
      <c r="AD50" s="89"/>
      <c r="AE50" s="13"/>
      <c r="AF50" s="13"/>
      <c r="AG50" s="18"/>
    </row>
    <row r="51" spans="1:33" ht="15" customHeight="1" x14ac:dyDescent="0.3">
      <c r="A51" s="28" t="s">
        <v>225</v>
      </c>
      <c r="B51" s="88" t="s">
        <v>226</v>
      </c>
      <c r="C51" s="23" t="b">
        <f>AND(A51=[1]TUTANAK!$D$6,P51="Tamamlandı")</f>
        <v>0</v>
      </c>
      <c r="D51" s="23"/>
      <c r="E51" s="23" t="str">
        <f t="shared" si="0"/>
        <v>KAZI-PÜS-H.ÇELİK</v>
      </c>
      <c r="F51" s="26" t="s">
        <v>179</v>
      </c>
      <c r="G51" s="26" t="s">
        <v>180</v>
      </c>
      <c r="H51" s="26" t="s">
        <v>24</v>
      </c>
      <c r="I51" s="26" t="s">
        <v>181</v>
      </c>
      <c r="J51" s="26" t="s">
        <v>182</v>
      </c>
      <c r="K51" s="18" t="s">
        <v>210</v>
      </c>
      <c r="L51" s="29">
        <v>46115</v>
      </c>
      <c r="M51" s="30">
        <v>1392.29</v>
      </c>
      <c r="N51" s="18" t="s">
        <v>28</v>
      </c>
      <c r="O51" s="43" t="s">
        <v>67</v>
      </c>
      <c r="P51" s="13" t="s">
        <v>30</v>
      </c>
      <c r="Q51" s="13" t="s">
        <v>82</v>
      </c>
      <c r="R51" s="13" t="s">
        <v>31</v>
      </c>
      <c r="S51" s="10"/>
      <c r="T51" s="10">
        <v>1</v>
      </c>
      <c r="U51" s="89"/>
      <c r="V51" s="11"/>
      <c r="W51" s="11"/>
      <c r="X51" s="89"/>
      <c r="Y51" s="12"/>
      <c r="Z51" s="12"/>
      <c r="AA51" s="12"/>
      <c r="AB51" s="12"/>
      <c r="AC51" s="12"/>
      <c r="AD51" s="89"/>
      <c r="AE51" s="13"/>
      <c r="AF51" s="13"/>
      <c r="AG51" s="18"/>
    </row>
    <row r="52" spans="1:33" ht="15" customHeight="1" x14ac:dyDescent="0.3">
      <c r="A52" s="28" t="s">
        <v>225</v>
      </c>
      <c r="B52" s="88" t="s">
        <v>226</v>
      </c>
      <c r="C52" s="23" t="b">
        <f>AND(A52=[1]TUTANAK!$D$6,P52="Tamamlandı")</f>
        <v>0</v>
      </c>
      <c r="D52" s="23"/>
      <c r="E52" s="23" t="str">
        <f t="shared" si="0"/>
        <v>KAZI-PÜS-H.ÇELİK</v>
      </c>
      <c r="F52" s="26" t="s">
        <v>179</v>
      </c>
      <c r="G52" s="26" t="s">
        <v>180</v>
      </c>
      <c r="H52" s="26" t="s">
        <v>24</v>
      </c>
      <c r="I52" s="26" t="s">
        <v>181</v>
      </c>
      <c r="J52" s="26" t="s">
        <v>182</v>
      </c>
      <c r="K52" s="18" t="s">
        <v>208</v>
      </c>
      <c r="L52" s="29">
        <v>46114</v>
      </c>
      <c r="M52" s="30">
        <v>1393.04</v>
      </c>
      <c r="N52" s="18" t="s">
        <v>28</v>
      </c>
      <c r="O52" s="43" t="s">
        <v>29</v>
      </c>
      <c r="P52" s="13" t="s">
        <v>30</v>
      </c>
      <c r="Q52" s="13" t="s">
        <v>82</v>
      </c>
      <c r="R52" s="13" t="s">
        <v>31</v>
      </c>
      <c r="S52" s="10"/>
      <c r="T52" s="10">
        <v>1</v>
      </c>
      <c r="U52" s="89"/>
      <c r="V52" s="11"/>
      <c r="W52" s="11"/>
      <c r="X52" s="89"/>
      <c r="Y52" s="12"/>
      <c r="Z52" s="12"/>
      <c r="AA52" s="12"/>
      <c r="AB52" s="12"/>
      <c r="AC52" s="12"/>
      <c r="AD52" s="89"/>
      <c r="AE52" s="13"/>
      <c r="AF52" s="13"/>
      <c r="AG52" s="18"/>
    </row>
    <row r="53" spans="1:33" ht="15" customHeight="1" x14ac:dyDescent="0.3">
      <c r="A53" s="28" t="s">
        <v>225</v>
      </c>
      <c r="B53" s="88" t="s">
        <v>226</v>
      </c>
      <c r="C53" s="23" t="b">
        <f>AND(A53=[1]TUTANAK!$D$6,P53="Tamamlandı")</f>
        <v>0</v>
      </c>
      <c r="D53" s="23"/>
      <c r="E53" s="23" t="str">
        <f t="shared" si="0"/>
        <v>KAZI-PÜS-H.ÇELİK</v>
      </c>
      <c r="F53" s="26" t="s">
        <v>179</v>
      </c>
      <c r="G53" s="26" t="s">
        <v>180</v>
      </c>
      <c r="H53" s="26" t="s">
        <v>24</v>
      </c>
      <c r="I53" s="26" t="s">
        <v>181</v>
      </c>
      <c r="J53" s="26" t="s">
        <v>182</v>
      </c>
      <c r="K53" s="18" t="s">
        <v>208</v>
      </c>
      <c r="L53" s="29">
        <v>46114</v>
      </c>
      <c r="M53" s="30">
        <v>1393.79</v>
      </c>
      <c r="N53" s="18" t="s">
        <v>28</v>
      </c>
      <c r="O53" s="43" t="s">
        <v>63</v>
      </c>
      <c r="P53" s="13" t="s">
        <v>30</v>
      </c>
      <c r="Q53" s="13" t="s">
        <v>82</v>
      </c>
      <c r="R53" s="13" t="s">
        <v>31</v>
      </c>
      <c r="S53" s="10"/>
      <c r="T53" s="10">
        <v>1</v>
      </c>
      <c r="U53" s="89"/>
      <c r="V53" s="11"/>
      <c r="W53" s="11"/>
      <c r="X53" s="89"/>
      <c r="Y53" s="12"/>
      <c r="Z53" s="12"/>
      <c r="AA53" s="12"/>
      <c r="AB53" s="12"/>
      <c r="AC53" s="12"/>
      <c r="AD53" s="89"/>
      <c r="AE53" s="13"/>
      <c r="AF53" s="13"/>
      <c r="AG53" s="18"/>
    </row>
    <row r="54" spans="1:33" ht="15" customHeight="1" x14ac:dyDescent="0.3">
      <c r="A54" s="28" t="s">
        <v>225</v>
      </c>
      <c r="B54" s="88" t="s">
        <v>226</v>
      </c>
      <c r="C54" s="23" t="b">
        <f>AND(A54=[1]TUTANAK!$D$6,P54="Tamamlandı")</f>
        <v>0</v>
      </c>
      <c r="D54" s="23"/>
      <c r="E54" s="23" t="str">
        <f t="shared" si="0"/>
        <v>KAZI-PÜS-H.ÇELİK</v>
      </c>
      <c r="F54" s="26" t="s">
        <v>179</v>
      </c>
      <c r="G54" s="26" t="s">
        <v>180</v>
      </c>
      <c r="H54" s="26" t="s">
        <v>24</v>
      </c>
      <c r="I54" s="26" t="s">
        <v>181</v>
      </c>
      <c r="J54" s="26" t="s">
        <v>182</v>
      </c>
      <c r="K54" s="18" t="s">
        <v>208</v>
      </c>
      <c r="L54" s="29">
        <v>46114</v>
      </c>
      <c r="M54" s="30">
        <v>1394.54</v>
      </c>
      <c r="N54" s="18" t="s">
        <v>28</v>
      </c>
      <c r="O54" s="43" t="s">
        <v>64</v>
      </c>
      <c r="P54" s="13" t="s">
        <v>30</v>
      </c>
      <c r="Q54" s="13" t="s">
        <v>82</v>
      </c>
      <c r="R54" s="13" t="s">
        <v>31</v>
      </c>
      <c r="S54" s="10"/>
      <c r="T54" s="10">
        <v>1</v>
      </c>
      <c r="U54" s="89"/>
      <c r="V54" s="11"/>
      <c r="W54" s="11"/>
      <c r="X54" s="89"/>
      <c r="Y54" s="12"/>
      <c r="Z54" s="12"/>
      <c r="AA54" s="12"/>
      <c r="AB54" s="12"/>
      <c r="AC54" s="12"/>
      <c r="AD54" s="89"/>
      <c r="AE54" s="13"/>
      <c r="AF54" s="13"/>
      <c r="AG54" s="18"/>
    </row>
    <row r="55" spans="1:33" ht="15" customHeight="1" x14ac:dyDescent="0.3">
      <c r="A55" s="28" t="s">
        <v>225</v>
      </c>
      <c r="B55" s="88" t="s">
        <v>226</v>
      </c>
      <c r="C55" s="23" t="b">
        <f>AND(A55=[1]TUTANAK!$D$6,P55="Tamamlandı")</f>
        <v>0</v>
      </c>
      <c r="D55" s="23"/>
      <c r="E55" s="23" t="str">
        <f t="shared" si="0"/>
        <v>KAZI-PÜS-H.ÇELİK</v>
      </c>
      <c r="F55" s="26" t="s">
        <v>179</v>
      </c>
      <c r="G55" s="26" t="s">
        <v>180</v>
      </c>
      <c r="H55" s="26" t="s">
        <v>24</v>
      </c>
      <c r="I55" s="26" t="s">
        <v>181</v>
      </c>
      <c r="J55" s="26" t="s">
        <v>182</v>
      </c>
      <c r="K55" s="18" t="s">
        <v>207</v>
      </c>
      <c r="L55" s="29">
        <v>46113</v>
      </c>
      <c r="M55" s="30">
        <v>1395.29</v>
      </c>
      <c r="N55" s="18" t="s">
        <v>28</v>
      </c>
      <c r="O55" s="43" t="s">
        <v>65</v>
      </c>
      <c r="P55" s="13" t="s">
        <v>30</v>
      </c>
      <c r="Q55" s="13" t="s">
        <v>82</v>
      </c>
      <c r="R55" s="13" t="s">
        <v>31</v>
      </c>
      <c r="S55" s="10"/>
      <c r="T55" s="10">
        <v>1</v>
      </c>
      <c r="U55" s="89"/>
      <c r="V55" s="11"/>
      <c r="W55" s="11"/>
      <c r="X55" s="89"/>
      <c r="Y55" s="12"/>
      <c r="Z55" s="12"/>
      <c r="AA55" s="12"/>
      <c r="AB55" s="12"/>
      <c r="AC55" s="12"/>
      <c r="AD55" s="89"/>
      <c r="AE55" s="13"/>
      <c r="AF55" s="13"/>
      <c r="AG55" s="18"/>
    </row>
    <row r="56" spans="1:33" ht="15" customHeight="1" x14ac:dyDescent="0.3">
      <c r="A56" s="28" t="s">
        <v>225</v>
      </c>
      <c r="B56" s="88" t="s">
        <v>226</v>
      </c>
      <c r="C56" s="23" t="b">
        <f>AND(A56=[1]TUTANAK!$D$6,P56="Tamamlandı")</f>
        <v>0</v>
      </c>
      <c r="D56" s="23"/>
      <c r="E56" s="23" t="str">
        <f t="shared" si="0"/>
        <v>KAZI-PÜS-H.ÇELİK</v>
      </c>
      <c r="F56" s="26" t="s">
        <v>179</v>
      </c>
      <c r="G56" s="26" t="s">
        <v>180</v>
      </c>
      <c r="H56" s="26" t="s">
        <v>24</v>
      </c>
      <c r="I56" s="26" t="s">
        <v>181</v>
      </c>
      <c r="J56" s="26" t="s">
        <v>182</v>
      </c>
      <c r="K56" s="18" t="s">
        <v>207</v>
      </c>
      <c r="L56" s="29">
        <v>46113</v>
      </c>
      <c r="M56" s="30">
        <v>1396.04</v>
      </c>
      <c r="N56" s="18" t="s">
        <v>28</v>
      </c>
      <c r="O56" s="43" t="s">
        <v>66</v>
      </c>
      <c r="P56" s="13" t="s">
        <v>30</v>
      </c>
      <c r="Q56" s="13" t="s">
        <v>82</v>
      </c>
      <c r="R56" s="13" t="s">
        <v>31</v>
      </c>
      <c r="S56" s="10"/>
      <c r="T56" s="10">
        <v>1</v>
      </c>
      <c r="U56" s="89"/>
      <c r="V56" s="11"/>
      <c r="W56" s="11"/>
      <c r="X56" s="89"/>
      <c r="Y56" s="12"/>
      <c r="Z56" s="12"/>
      <c r="AA56" s="12"/>
      <c r="AB56" s="12"/>
      <c r="AC56" s="12"/>
      <c r="AD56" s="89"/>
      <c r="AE56" s="13"/>
      <c r="AF56" s="13"/>
      <c r="AG56" s="18"/>
    </row>
    <row r="57" spans="1:33" ht="15" customHeight="1" x14ac:dyDescent="0.3">
      <c r="A57" s="28" t="s">
        <v>225</v>
      </c>
      <c r="B57" s="88" t="s">
        <v>226</v>
      </c>
      <c r="C57" s="23" t="b">
        <f>AND(A57=[1]TUTANAK!$D$6,P57="Tamamlandı")</f>
        <v>0</v>
      </c>
      <c r="D57" s="23"/>
      <c r="E57" s="23" t="str">
        <f t="shared" si="0"/>
        <v>KAZI-PÜS-H.ÇELİK</v>
      </c>
      <c r="F57" s="26" t="s">
        <v>179</v>
      </c>
      <c r="G57" s="26" t="s">
        <v>180</v>
      </c>
      <c r="H57" s="26" t="s">
        <v>24</v>
      </c>
      <c r="I57" s="26" t="s">
        <v>181</v>
      </c>
      <c r="J57" s="26" t="s">
        <v>182</v>
      </c>
      <c r="K57" s="18" t="s">
        <v>207</v>
      </c>
      <c r="L57" s="29">
        <v>46113</v>
      </c>
      <c r="M57" s="30">
        <v>1396.79</v>
      </c>
      <c r="N57" s="18" t="s">
        <v>28</v>
      </c>
      <c r="O57" s="43" t="s">
        <v>67</v>
      </c>
      <c r="P57" s="13" t="s">
        <v>30</v>
      </c>
      <c r="Q57" s="13" t="s">
        <v>82</v>
      </c>
      <c r="R57" s="13" t="s">
        <v>31</v>
      </c>
      <c r="S57" s="10"/>
      <c r="T57" s="10">
        <v>1</v>
      </c>
      <c r="U57" s="89"/>
      <c r="V57" s="11"/>
      <c r="W57" s="11"/>
      <c r="X57" s="89"/>
      <c r="Y57" s="12"/>
      <c r="Z57" s="12"/>
      <c r="AA57" s="12"/>
      <c r="AB57" s="12"/>
      <c r="AC57" s="12"/>
      <c r="AD57" s="89"/>
      <c r="AE57" s="13"/>
      <c r="AF57" s="13"/>
      <c r="AG57" s="18"/>
    </row>
    <row r="58" spans="1:33" ht="15" customHeight="1" x14ac:dyDescent="0.3">
      <c r="A58" s="28"/>
      <c r="B58" s="88"/>
      <c r="C58" s="23"/>
      <c r="D58" s="23"/>
      <c r="E58" s="23"/>
      <c r="F58" s="26"/>
      <c r="G58" s="26"/>
      <c r="H58" s="26"/>
      <c r="I58" s="26"/>
      <c r="J58" s="26"/>
      <c r="K58" s="18"/>
      <c r="L58" s="29"/>
      <c r="M58" s="30"/>
      <c r="N58" s="18"/>
      <c r="O58" s="43"/>
      <c r="P58" s="13"/>
      <c r="Q58" s="13"/>
      <c r="R58" s="13"/>
      <c r="S58" s="10"/>
      <c r="T58" s="10"/>
      <c r="U58" s="89"/>
      <c r="V58" s="11"/>
      <c r="W58" s="11"/>
      <c r="X58" s="89"/>
      <c r="Y58" s="12"/>
      <c r="Z58" s="12"/>
      <c r="AA58" s="12"/>
      <c r="AB58" s="12"/>
      <c r="AC58" s="12"/>
      <c r="AD58" s="89"/>
      <c r="AE58" s="13"/>
      <c r="AF58" s="13"/>
      <c r="AG58" s="18"/>
    </row>
    <row r="59" spans="1:33" ht="15" customHeight="1" x14ac:dyDescent="0.3">
      <c r="A59" s="28"/>
      <c r="B59" s="88"/>
      <c r="C59" s="23"/>
      <c r="D59" s="23"/>
      <c r="E59" s="23"/>
      <c r="F59" s="26"/>
      <c r="G59" s="26"/>
      <c r="H59" s="26"/>
      <c r="I59" s="26"/>
      <c r="J59" s="26"/>
      <c r="K59" s="18"/>
      <c r="L59" s="29"/>
      <c r="M59" s="30"/>
      <c r="N59" s="18"/>
      <c r="O59" s="43"/>
      <c r="P59" s="13"/>
      <c r="Q59" s="13"/>
      <c r="R59" s="13"/>
      <c r="S59" s="10"/>
      <c r="T59" s="10"/>
      <c r="U59" s="89"/>
      <c r="V59" s="11"/>
      <c r="W59" s="11"/>
      <c r="X59" s="89"/>
      <c r="Y59" s="12"/>
      <c r="Z59" s="12"/>
      <c r="AA59" s="12"/>
      <c r="AB59" s="12"/>
      <c r="AC59" s="12"/>
      <c r="AD59" s="89"/>
      <c r="AE59" s="13"/>
      <c r="AF59" s="13"/>
      <c r="AG59" s="18"/>
    </row>
    <row r="60" spans="1:33" ht="15" customHeight="1" x14ac:dyDescent="0.3">
      <c r="A60" s="28" t="s">
        <v>225</v>
      </c>
      <c r="B60" s="88" t="s">
        <v>226</v>
      </c>
      <c r="C60" s="23" t="b">
        <f>AND(A60=[1]TUTANAK!$D$6,P60="Tamamlandı")</f>
        <v>0</v>
      </c>
      <c r="D60" s="23"/>
      <c r="E60" s="23" t="str">
        <f t="shared" ref="E60:E78" si="1">+IF(OR(P60&lt;&gt;""),"KAZI-PÜS-H.ÇELİK",IF(AND(SUM(V60:W60)&gt;0,SUM(AE60:AF60)=0),"SÜREN",IF(SUM(Y60:AC60)&gt;0,"BULON",IF(SUM(AE60:AF60)&gt;0,"ZEMİN ÇİVİSİ"))))</f>
        <v>BULON</v>
      </c>
      <c r="F60" s="26" t="s">
        <v>179</v>
      </c>
      <c r="G60" s="26" t="s">
        <v>180</v>
      </c>
      <c r="H60" s="26" t="s">
        <v>24</v>
      </c>
      <c r="I60" s="26" t="s">
        <v>181</v>
      </c>
      <c r="J60" s="26" t="s">
        <v>182</v>
      </c>
      <c r="K60" s="18" t="s">
        <v>227</v>
      </c>
      <c r="L60" s="29">
        <v>46120</v>
      </c>
      <c r="M60" s="30">
        <v>1385.17</v>
      </c>
      <c r="N60" s="18">
        <v>0.75</v>
      </c>
      <c r="O60" s="43"/>
      <c r="P60" s="13"/>
      <c r="Q60" s="13"/>
      <c r="R60" s="13"/>
      <c r="S60" s="10"/>
      <c r="T60" s="10"/>
      <c r="U60" s="89"/>
      <c r="V60" s="11"/>
      <c r="W60" s="11"/>
      <c r="X60" s="89"/>
      <c r="Y60" s="12"/>
      <c r="Z60" s="12"/>
      <c r="AA60" s="12"/>
      <c r="AB60" s="12"/>
      <c r="AC60" s="12">
        <v>3</v>
      </c>
      <c r="AD60" s="89"/>
      <c r="AE60" s="13"/>
      <c r="AF60" s="13"/>
      <c r="AG60" s="18"/>
    </row>
    <row r="61" spans="1:33" ht="15" customHeight="1" x14ac:dyDescent="0.3">
      <c r="A61" s="28" t="s">
        <v>225</v>
      </c>
      <c r="B61" s="88" t="s">
        <v>226</v>
      </c>
      <c r="C61" s="23" t="b">
        <f>AND(A61=[1]TUTANAK!$D$6,P61="Tamamlandı")</f>
        <v>0</v>
      </c>
      <c r="D61" s="23"/>
      <c r="E61" s="23" t="str">
        <f t="shared" si="1"/>
        <v>BULON</v>
      </c>
      <c r="F61" s="26" t="s">
        <v>179</v>
      </c>
      <c r="G61" s="26" t="s">
        <v>180</v>
      </c>
      <c r="H61" s="26" t="s">
        <v>24</v>
      </c>
      <c r="I61" s="26" t="s">
        <v>181</v>
      </c>
      <c r="J61" s="26" t="s">
        <v>182</v>
      </c>
      <c r="K61" s="18" t="s">
        <v>227</v>
      </c>
      <c r="L61" s="29">
        <v>46120</v>
      </c>
      <c r="M61" s="30">
        <f t="shared" ref="M61:M78" si="2">+M60+N60</f>
        <v>1385.92</v>
      </c>
      <c r="N61" s="18">
        <v>0.75</v>
      </c>
      <c r="O61" s="43"/>
      <c r="P61" s="13"/>
      <c r="Q61" s="13"/>
      <c r="R61" s="13"/>
      <c r="S61" s="10"/>
      <c r="T61" s="10"/>
      <c r="U61" s="89"/>
      <c r="V61" s="11"/>
      <c r="W61" s="11"/>
      <c r="X61" s="89"/>
      <c r="Y61" s="12"/>
      <c r="Z61" s="12"/>
      <c r="AA61" s="12"/>
      <c r="AB61" s="12"/>
      <c r="AC61" s="12">
        <v>3</v>
      </c>
      <c r="AD61" s="89"/>
      <c r="AE61" s="13"/>
      <c r="AF61" s="13"/>
      <c r="AG61" s="18"/>
    </row>
    <row r="62" spans="1:33" ht="15" customHeight="1" x14ac:dyDescent="0.3">
      <c r="A62" s="28" t="s">
        <v>225</v>
      </c>
      <c r="B62" s="88" t="s">
        <v>226</v>
      </c>
      <c r="C62" s="23" t="b">
        <f>AND(A62=[1]TUTANAK!$D$6,P62="Tamamlandı")</f>
        <v>0</v>
      </c>
      <c r="D62" s="23"/>
      <c r="E62" s="23" t="str">
        <f t="shared" si="1"/>
        <v>BULON</v>
      </c>
      <c r="F62" s="26" t="s">
        <v>179</v>
      </c>
      <c r="G62" s="26" t="s">
        <v>180</v>
      </c>
      <c r="H62" s="26" t="s">
        <v>24</v>
      </c>
      <c r="I62" s="26" t="s">
        <v>181</v>
      </c>
      <c r="J62" s="26" t="s">
        <v>182</v>
      </c>
      <c r="K62" s="18" t="s">
        <v>227</v>
      </c>
      <c r="L62" s="29">
        <v>46120</v>
      </c>
      <c r="M62" s="30">
        <v>1394.92</v>
      </c>
      <c r="N62" s="18">
        <v>0.75</v>
      </c>
      <c r="O62" s="43"/>
      <c r="P62" s="13"/>
      <c r="Q62" s="13"/>
      <c r="R62" s="13"/>
      <c r="S62" s="10"/>
      <c r="T62" s="10"/>
      <c r="U62" s="89"/>
      <c r="V62" s="11"/>
      <c r="W62" s="11"/>
      <c r="X62" s="89"/>
      <c r="Y62" s="12"/>
      <c r="Z62" s="12"/>
      <c r="AA62" s="12"/>
      <c r="AB62" s="12"/>
      <c r="AC62" s="12">
        <v>3</v>
      </c>
      <c r="AD62" s="89"/>
      <c r="AE62" s="13"/>
      <c r="AF62" s="13"/>
      <c r="AG62" s="18"/>
    </row>
    <row r="63" spans="1:33" ht="15" customHeight="1" x14ac:dyDescent="0.3">
      <c r="A63" s="28" t="s">
        <v>225</v>
      </c>
      <c r="B63" s="88" t="s">
        <v>226</v>
      </c>
      <c r="C63" s="23" t="b">
        <f>AND(A63=[1]TUTANAK!$D$6,P63="Tamamlandı")</f>
        <v>0</v>
      </c>
      <c r="D63" s="23"/>
      <c r="E63" s="23" t="str">
        <f t="shared" si="1"/>
        <v>BULON</v>
      </c>
      <c r="F63" s="26" t="s">
        <v>179</v>
      </c>
      <c r="G63" s="26" t="s">
        <v>180</v>
      </c>
      <c r="H63" s="26" t="s">
        <v>24</v>
      </c>
      <c r="I63" s="26" t="s">
        <v>181</v>
      </c>
      <c r="J63" s="26" t="s">
        <v>182</v>
      </c>
      <c r="K63" s="18" t="s">
        <v>227</v>
      </c>
      <c r="L63" s="29">
        <v>46120</v>
      </c>
      <c r="M63" s="30">
        <f t="shared" si="2"/>
        <v>1395.67</v>
      </c>
      <c r="N63" s="18">
        <v>0.75</v>
      </c>
      <c r="O63" s="43"/>
      <c r="P63" s="13"/>
      <c r="Q63" s="13"/>
      <c r="R63" s="13"/>
      <c r="S63" s="10"/>
      <c r="T63" s="10"/>
      <c r="U63" s="89"/>
      <c r="V63" s="11"/>
      <c r="W63" s="11"/>
      <c r="X63" s="89"/>
      <c r="Y63" s="12"/>
      <c r="Z63" s="12"/>
      <c r="AA63" s="12"/>
      <c r="AB63" s="12"/>
      <c r="AC63" s="12">
        <v>3</v>
      </c>
      <c r="AD63" s="89"/>
      <c r="AE63" s="13"/>
      <c r="AF63" s="13"/>
      <c r="AG63" s="18"/>
    </row>
    <row r="64" spans="1:33" ht="15" customHeight="1" x14ac:dyDescent="0.3">
      <c r="A64" s="28" t="s">
        <v>225</v>
      </c>
      <c r="B64" s="88" t="s">
        <v>226</v>
      </c>
      <c r="C64" s="23" t="b">
        <f>AND(A64=[1]TUTANAK!$D$6,P64="Tamamlandı")</f>
        <v>0</v>
      </c>
      <c r="D64" s="23"/>
      <c r="E64" s="23" t="str">
        <f t="shared" si="1"/>
        <v>BULON</v>
      </c>
      <c r="F64" s="26" t="s">
        <v>179</v>
      </c>
      <c r="G64" s="26" t="s">
        <v>180</v>
      </c>
      <c r="H64" s="26" t="s">
        <v>24</v>
      </c>
      <c r="I64" s="26" t="s">
        <v>181</v>
      </c>
      <c r="J64" s="26" t="s">
        <v>182</v>
      </c>
      <c r="K64" s="18" t="s">
        <v>227</v>
      </c>
      <c r="L64" s="29">
        <v>46120</v>
      </c>
      <c r="M64" s="30">
        <f t="shared" si="2"/>
        <v>1396.42</v>
      </c>
      <c r="N64" s="18">
        <v>0.75</v>
      </c>
      <c r="O64" s="43"/>
      <c r="P64" s="13"/>
      <c r="Q64" s="13"/>
      <c r="R64" s="13"/>
      <c r="S64" s="10"/>
      <c r="T64" s="10"/>
      <c r="U64" s="89"/>
      <c r="V64" s="11"/>
      <c r="W64" s="11"/>
      <c r="X64" s="89"/>
      <c r="Y64" s="12"/>
      <c r="Z64" s="12"/>
      <c r="AA64" s="12"/>
      <c r="AB64" s="12"/>
      <c r="AC64" s="12">
        <v>3</v>
      </c>
      <c r="AD64" s="89"/>
      <c r="AE64" s="13"/>
      <c r="AF64" s="13"/>
      <c r="AG64" s="18"/>
    </row>
    <row r="65" spans="1:33" ht="15" customHeight="1" x14ac:dyDescent="0.3">
      <c r="A65" s="28" t="s">
        <v>225</v>
      </c>
      <c r="B65" s="88" t="s">
        <v>226</v>
      </c>
      <c r="C65" s="23" t="b">
        <f>AND(A65=[1]TUTANAK!$D$6,P65="Tamamlandı")</f>
        <v>0</v>
      </c>
      <c r="D65" s="23"/>
      <c r="E65" s="23" t="str">
        <f t="shared" si="1"/>
        <v>BULON</v>
      </c>
      <c r="F65" s="26" t="s">
        <v>179</v>
      </c>
      <c r="G65" s="26" t="s">
        <v>180</v>
      </c>
      <c r="H65" s="26" t="s">
        <v>24</v>
      </c>
      <c r="I65" s="26" t="s">
        <v>181</v>
      </c>
      <c r="J65" s="26" t="s">
        <v>182</v>
      </c>
      <c r="K65" s="18" t="s">
        <v>227</v>
      </c>
      <c r="L65" s="29">
        <v>46120</v>
      </c>
      <c r="M65" s="30">
        <f t="shared" si="2"/>
        <v>1397.17</v>
      </c>
      <c r="N65" s="18">
        <v>0.75</v>
      </c>
      <c r="O65" s="43"/>
      <c r="P65" s="13"/>
      <c r="Q65" s="13"/>
      <c r="R65" s="13"/>
      <c r="S65" s="10"/>
      <c r="T65" s="10"/>
      <c r="U65" s="89"/>
      <c r="V65" s="11"/>
      <c r="W65" s="11"/>
      <c r="X65" s="89"/>
      <c r="Y65" s="12"/>
      <c r="Z65" s="12"/>
      <c r="AA65" s="12"/>
      <c r="AB65" s="12"/>
      <c r="AC65" s="12">
        <v>3</v>
      </c>
      <c r="AD65" s="89"/>
      <c r="AE65" s="13"/>
      <c r="AF65" s="13"/>
      <c r="AG65" s="18"/>
    </row>
    <row r="66" spans="1:33" ht="15" customHeight="1" x14ac:dyDescent="0.3">
      <c r="A66" s="28" t="s">
        <v>225</v>
      </c>
      <c r="B66" s="88" t="s">
        <v>226</v>
      </c>
      <c r="C66" s="23" t="b">
        <f>AND(A66=[1]TUTANAK!$D$6,P66="Tamamlandı")</f>
        <v>0</v>
      </c>
      <c r="D66" s="23"/>
      <c r="E66" s="23" t="str">
        <f t="shared" si="1"/>
        <v>BULON</v>
      </c>
      <c r="F66" s="26" t="s">
        <v>179</v>
      </c>
      <c r="G66" s="26" t="s">
        <v>180</v>
      </c>
      <c r="H66" s="26" t="s">
        <v>24</v>
      </c>
      <c r="I66" s="26" t="s">
        <v>181</v>
      </c>
      <c r="J66" s="26" t="s">
        <v>182</v>
      </c>
      <c r="K66" s="18" t="s">
        <v>227</v>
      </c>
      <c r="L66" s="29">
        <v>46120</v>
      </c>
      <c r="M66" s="30">
        <f t="shared" si="2"/>
        <v>1397.92</v>
      </c>
      <c r="N66" s="18">
        <v>0.75</v>
      </c>
      <c r="O66" s="43"/>
      <c r="P66" s="13"/>
      <c r="Q66" s="13"/>
      <c r="R66" s="13"/>
      <c r="S66" s="10"/>
      <c r="T66" s="10"/>
      <c r="U66" s="89"/>
      <c r="V66" s="11"/>
      <c r="W66" s="11"/>
      <c r="X66" s="89"/>
      <c r="Y66" s="12"/>
      <c r="Z66" s="12"/>
      <c r="AA66" s="12"/>
      <c r="AB66" s="12"/>
      <c r="AC66" s="12">
        <v>3</v>
      </c>
      <c r="AD66" s="89"/>
      <c r="AE66" s="13"/>
      <c r="AF66" s="13"/>
      <c r="AG66" s="18"/>
    </row>
    <row r="67" spans="1:33" ht="15" customHeight="1" x14ac:dyDescent="0.3">
      <c r="A67" s="28" t="s">
        <v>225</v>
      </c>
      <c r="B67" s="88" t="s">
        <v>226</v>
      </c>
      <c r="C67" s="23" t="b">
        <f>AND(A67=[1]TUTANAK!$D$6,P67="Tamamlandı")</f>
        <v>0</v>
      </c>
      <c r="D67" s="23"/>
      <c r="E67" s="23" t="str">
        <f t="shared" si="1"/>
        <v>BULON</v>
      </c>
      <c r="F67" s="26" t="s">
        <v>179</v>
      </c>
      <c r="G67" s="26" t="s">
        <v>180</v>
      </c>
      <c r="H67" s="26" t="s">
        <v>24</v>
      </c>
      <c r="I67" s="26" t="s">
        <v>181</v>
      </c>
      <c r="J67" s="26" t="s">
        <v>182</v>
      </c>
      <c r="K67" s="18" t="s">
        <v>227</v>
      </c>
      <c r="L67" s="29">
        <v>46120</v>
      </c>
      <c r="M67" s="30">
        <f t="shared" si="2"/>
        <v>1398.67</v>
      </c>
      <c r="N67" s="18">
        <v>0.75</v>
      </c>
      <c r="O67" s="43"/>
      <c r="P67" s="13"/>
      <c r="Q67" s="13"/>
      <c r="R67" s="13"/>
      <c r="S67" s="10"/>
      <c r="T67" s="10"/>
      <c r="U67" s="89"/>
      <c r="V67" s="11"/>
      <c r="W67" s="11"/>
      <c r="X67" s="89"/>
      <c r="Y67" s="12"/>
      <c r="Z67" s="12"/>
      <c r="AA67" s="12"/>
      <c r="AB67" s="12"/>
      <c r="AC67" s="12">
        <v>3</v>
      </c>
      <c r="AD67" s="89"/>
      <c r="AE67" s="13"/>
      <c r="AF67" s="13"/>
      <c r="AG67" s="18"/>
    </row>
    <row r="68" spans="1:33" ht="15" customHeight="1" x14ac:dyDescent="0.3">
      <c r="A68" s="28" t="s">
        <v>225</v>
      </c>
      <c r="B68" s="88" t="s">
        <v>226</v>
      </c>
      <c r="C68" s="23" t="b">
        <f>AND(A68=[1]TUTANAK!$D$6,P68="Tamamlandı")</f>
        <v>0</v>
      </c>
      <c r="D68" s="23"/>
      <c r="E68" s="23" t="str">
        <f t="shared" si="1"/>
        <v>BULON</v>
      </c>
      <c r="F68" s="26" t="s">
        <v>179</v>
      </c>
      <c r="G68" s="26" t="s">
        <v>180</v>
      </c>
      <c r="H68" s="26" t="s">
        <v>24</v>
      </c>
      <c r="I68" s="26" t="s">
        <v>181</v>
      </c>
      <c r="J68" s="26" t="s">
        <v>182</v>
      </c>
      <c r="K68" s="18" t="s">
        <v>227</v>
      </c>
      <c r="L68" s="29">
        <v>46120</v>
      </c>
      <c r="M68" s="30">
        <f t="shared" si="2"/>
        <v>1399.42</v>
      </c>
      <c r="N68" s="18">
        <v>0.75</v>
      </c>
      <c r="O68" s="43"/>
      <c r="P68" s="13"/>
      <c r="Q68" s="13"/>
      <c r="R68" s="13"/>
      <c r="S68" s="10"/>
      <c r="T68" s="10"/>
      <c r="U68" s="89"/>
      <c r="V68" s="11"/>
      <c r="W68" s="11"/>
      <c r="X68" s="89"/>
      <c r="Y68" s="12"/>
      <c r="Z68" s="12"/>
      <c r="AA68" s="12"/>
      <c r="AB68" s="12"/>
      <c r="AC68" s="12">
        <v>3</v>
      </c>
      <c r="AD68" s="89"/>
      <c r="AE68" s="13"/>
      <c r="AF68" s="13"/>
      <c r="AG68" s="18"/>
    </row>
    <row r="69" spans="1:33" ht="15" customHeight="1" x14ac:dyDescent="0.3">
      <c r="A69" s="28" t="s">
        <v>225</v>
      </c>
      <c r="B69" s="88" t="s">
        <v>226</v>
      </c>
      <c r="C69" s="23" t="b">
        <f>AND(A69=[1]TUTANAK!$D$6,P69="Tamamlandı")</f>
        <v>0</v>
      </c>
      <c r="D69" s="23"/>
      <c r="E69" s="23" t="str">
        <f t="shared" si="1"/>
        <v>BULON</v>
      </c>
      <c r="F69" s="26" t="s">
        <v>179</v>
      </c>
      <c r="G69" s="26" t="s">
        <v>180</v>
      </c>
      <c r="H69" s="26" t="s">
        <v>24</v>
      </c>
      <c r="I69" s="26" t="s">
        <v>181</v>
      </c>
      <c r="J69" s="26" t="s">
        <v>182</v>
      </c>
      <c r="K69" s="18" t="s">
        <v>227</v>
      </c>
      <c r="L69" s="29">
        <v>46120</v>
      </c>
      <c r="M69" s="30">
        <f t="shared" si="2"/>
        <v>1400.17</v>
      </c>
      <c r="N69" s="18">
        <v>0.75</v>
      </c>
      <c r="O69" s="43"/>
      <c r="P69" s="13"/>
      <c r="Q69" s="13"/>
      <c r="R69" s="13"/>
      <c r="S69" s="10"/>
      <c r="T69" s="10"/>
      <c r="U69" s="89"/>
      <c r="V69" s="11"/>
      <c r="W69" s="11"/>
      <c r="X69" s="89"/>
      <c r="Y69" s="12"/>
      <c r="Z69" s="12"/>
      <c r="AA69" s="12"/>
      <c r="AB69" s="12"/>
      <c r="AC69" s="12">
        <v>3</v>
      </c>
      <c r="AD69" s="89"/>
      <c r="AE69" s="13"/>
      <c r="AF69" s="13"/>
      <c r="AG69" s="18"/>
    </row>
    <row r="70" spans="1:33" ht="15" customHeight="1" x14ac:dyDescent="0.3">
      <c r="A70" s="28" t="s">
        <v>225</v>
      </c>
      <c r="B70" s="88" t="s">
        <v>226</v>
      </c>
      <c r="C70" s="23" t="b">
        <f>AND(A70=[1]TUTANAK!$D$6,P70="Tamamlandı")</f>
        <v>0</v>
      </c>
      <c r="D70" s="23"/>
      <c r="E70" s="23" t="str">
        <f t="shared" si="1"/>
        <v>BULON</v>
      </c>
      <c r="F70" s="26" t="s">
        <v>179</v>
      </c>
      <c r="G70" s="26" t="s">
        <v>180</v>
      </c>
      <c r="H70" s="26" t="s">
        <v>24</v>
      </c>
      <c r="I70" s="26" t="s">
        <v>181</v>
      </c>
      <c r="J70" s="26" t="s">
        <v>182</v>
      </c>
      <c r="K70" s="18" t="s">
        <v>227</v>
      </c>
      <c r="L70" s="29">
        <v>46120</v>
      </c>
      <c r="M70" s="30">
        <f t="shared" si="2"/>
        <v>1400.92</v>
      </c>
      <c r="N70" s="18">
        <v>0.75</v>
      </c>
      <c r="O70" s="43"/>
      <c r="P70" s="13"/>
      <c r="Q70" s="13"/>
      <c r="R70" s="13"/>
      <c r="S70" s="10"/>
      <c r="T70" s="10"/>
      <c r="U70" s="89"/>
      <c r="V70" s="11"/>
      <c r="W70" s="11"/>
      <c r="X70" s="89"/>
      <c r="Y70" s="12"/>
      <c r="Z70" s="12"/>
      <c r="AA70" s="12"/>
      <c r="AB70" s="12"/>
      <c r="AC70" s="12">
        <v>3</v>
      </c>
      <c r="AD70" s="89"/>
      <c r="AE70" s="13"/>
      <c r="AF70" s="13"/>
      <c r="AG70" s="18"/>
    </row>
    <row r="71" spans="1:33" ht="15" customHeight="1" x14ac:dyDescent="0.3">
      <c r="A71" s="28" t="s">
        <v>225</v>
      </c>
      <c r="B71" s="88" t="s">
        <v>226</v>
      </c>
      <c r="C71" s="23" t="b">
        <f>AND(A71=[1]TUTANAK!$D$6,P71="Tamamlandı")</f>
        <v>0</v>
      </c>
      <c r="D71" s="23"/>
      <c r="E71" s="23" t="str">
        <f t="shared" si="1"/>
        <v>BULON</v>
      </c>
      <c r="F71" s="26" t="s">
        <v>179</v>
      </c>
      <c r="G71" s="26" t="s">
        <v>180</v>
      </c>
      <c r="H71" s="26" t="s">
        <v>24</v>
      </c>
      <c r="I71" s="26" t="s">
        <v>181</v>
      </c>
      <c r="J71" s="26" t="s">
        <v>182</v>
      </c>
      <c r="K71" s="18" t="s">
        <v>227</v>
      </c>
      <c r="L71" s="29">
        <v>46120</v>
      </c>
      <c r="M71" s="30">
        <f t="shared" si="2"/>
        <v>1401.67</v>
      </c>
      <c r="N71" s="18">
        <v>0.75</v>
      </c>
      <c r="O71" s="43"/>
      <c r="P71" s="13"/>
      <c r="Q71" s="13"/>
      <c r="R71" s="13"/>
      <c r="S71" s="10"/>
      <c r="T71" s="10"/>
      <c r="U71" s="89"/>
      <c r="V71" s="11"/>
      <c r="W71" s="11"/>
      <c r="X71" s="89"/>
      <c r="Y71" s="12"/>
      <c r="Z71" s="12"/>
      <c r="AA71" s="12"/>
      <c r="AB71" s="12"/>
      <c r="AC71" s="12">
        <v>3</v>
      </c>
      <c r="AD71" s="89"/>
      <c r="AE71" s="13"/>
      <c r="AF71" s="13"/>
      <c r="AG71" s="18"/>
    </row>
    <row r="72" spans="1:33" ht="15" customHeight="1" x14ac:dyDescent="0.3">
      <c r="A72" s="28" t="s">
        <v>225</v>
      </c>
      <c r="B72" s="88" t="s">
        <v>226</v>
      </c>
      <c r="C72" s="23" t="b">
        <f>AND(A72=[1]TUTANAK!$D$6,P72="Tamamlandı")</f>
        <v>0</v>
      </c>
      <c r="D72" s="23"/>
      <c r="E72" s="23" t="str">
        <f t="shared" si="1"/>
        <v>BULON</v>
      </c>
      <c r="F72" s="26" t="s">
        <v>179</v>
      </c>
      <c r="G72" s="26" t="s">
        <v>180</v>
      </c>
      <c r="H72" s="26" t="s">
        <v>24</v>
      </c>
      <c r="I72" s="26" t="s">
        <v>181</v>
      </c>
      <c r="J72" s="26" t="s">
        <v>182</v>
      </c>
      <c r="K72" s="18" t="s">
        <v>227</v>
      </c>
      <c r="L72" s="29">
        <v>46120</v>
      </c>
      <c r="M72" s="30">
        <f t="shared" si="2"/>
        <v>1402.42</v>
      </c>
      <c r="N72" s="18">
        <v>0.75</v>
      </c>
      <c r="O72" s="43"/>
      <c r="P72" s="13"/>
      <c r="Q72" s="13"/>
      <c r="R72" s="13"/>
      <c r="S72" s="10"/>
      <c r="T72" s="10"/>
      <c r="U72" s="89"/>
      <c r="V72" s="11"/>
      <c r="W72" s="11"/>
      <c r="X72" s="89"/>
      <c r="Y72" s="12"/>
      <c r="Z72" s="12"/>
      <c r="AA72" s="12"/>
      <c r="AB72" s="12"/>
      <c r="AC72" s="12">
        <v>3</v>
      </c>
      <c r="AD72" s="89"/>
      <c r="AE72" s="13"/>
      <c r="AF72" s="13"/>
      <c r="AG72" s="18"/>
    </row>
    <row r="73" spans="1:33" ht="15" customHeight="1" x14ac:dyDescent="0.3">
      <c r="A73" s="28" t="s">
        <v>225</v>
      </c>
      <c r="B73" s="88" t="s">
        <v>226</v>
      </c>
      <c r="C73" s="23" t="b">
        <f>AND(A73=[1]TUTANAK!$D$6,P73="Tamamlandı")</f>
        <v>0</v>
      </c>
      <c r="D73" s="23"/>
      <c r="E73" s="23" t="str">
        <f t="shared" si="1"/>
        <v>BULON</v>
      </c>
      <c r="F73" s="26" t="s">
        <v>179</v>
      </c>
      <c r="G73" s="26" t="s">
        <v>180</v>
      </c>
      <c r="H73" s="26" t="s">
        <v>24</v>
      </c>
      <c r="I73" s="26" t="s">
        <v>181</v>
      </c>
      <c r="J73" s="26" t="s">
        <v>182</v>
      </c>
      <c r="K73" s="18" t="s">
        <v>227</v>
      </c>
      <c r="L73" s="29">
        <v>46120</v>
      </c>
      <c r="M73" s="30">
        <f t="shared" si="2"/>
        <v>1403.17</v>
      </c>
      <c r="N73" s="18">
        <v>0.75</v>
      </c>
      <c r="O73" s="43"/>
      <c r="P73" s="13"/>
      <c r="Q73" s="13"/>
      <c r="R73" s="13"/>
      <c r="S73" s="10"/>
      <c r="T73" s="10"/>
      <c r="U73" s="89"/>
      <c r="V73" s="11"/>
      <c r="W73" s="11"/>
      <c r="X73" s="89"/>
      <c r="Y73" s="12"/>
      <c r="Z73" s="12"/>
      <c r="AA73" s="12"/>
      <c r="AB73" s="12"/>
      <c r="AC73" s="12">
        <v>3</v>
      </c>
      <c r="AD73" s="89"/>
      <c r="AE73" s="13"/>
      <c r="AF73" s="13"/>
      <c r="AG73" s="18"/>
    </row>
    <row r="74" spans="1:33" ht="15" customHeight="1" x14ac:dyDescent="0.3">
      <c r="A74" s="28" t="s">
        <v>225</v>
      </c>
      <c r="B74" s="88" t="s">
        <v>226</v>
      </c>
      <c r="C74" s="23" t="b">
        <f>AND(A74=[1]TUTANAK!$D$6,P74="Tamamlandı")</f>
        <v>0</v>
      </c>
      <c r="D74" s="23"/>
      <c r="E74" s="23" t="str">
        <f t="shared" si="1"/>
        <v>BULON</v>
      </c>
      <c r="F74" s="26" t="s">
        <v>179</v>
      </c>
      <c r="G74" s="26" t="s">
        <v>180</v>
      </c>
      <c r="H74" s="26" t="s">
        <v>24</v>
      </c>
      <c r="I74" s="26" t="s">
        <v>181</v>
      </c>
      <c r="J74" s="26" t="s">
        <v>182</v>
      </c>
      <c r="K74" s="18" t="s">
        <v>227</v>
      </c>
      <c r="L74" s="29">
        <v>46120</v>
      </c>
      <c r="M74" s="30">
        <f t="shared" si="2"/>
        <v>1403.92</v>
      </c>
      <c r="N74" s="18">
        <v>0.75</v>
      </c>
      <c r="O74" s="43"/>
      <c r="P74" s="13"/>
      <c r="Q74" s="13"/>
      <c r="R74" s="13"/>
      <c r="S74" s="10"/>
      <c r="T74" s="10"/>
      <c r="U74" s="89"/>
      <c r="V74" s="11"/>
      <c r="W74" s="11"/>
      <c r="X74" s="89"/>
      <c r="Y74" s="12"/>
      <c r="Z74" s="12"/>
      <c r="AA74" s="12"/>
      <c r="AB74" s="12"/>
      <c r="AC74" s="12">
        <v>3</v>
      </c>
      <c r="AD74" s="89"/>
      <c r="AE74" s="13"/>
      <c r="AF74" s="13"/>
      <c r="AG74" s="18"/>
    </row>
    <row r="75" spans="1:33" ht="15" customHeight="1" x14ac:dyDescent="0.3">
      <c r="A75" s="28" t="s">
        <v>225</v>
      </c>
      <c r="B75" s="88" t="s">
        <v>226</v>
      </c>
      <c r="C75" s="23" t="b">
        <f>AND(A75=[1]TUTANAK!$D$6,P75="Tamamlandı")</f>
        <v>0</v>
      </c>
      <c r="D75" s="23"/>
      <c r="E75" s="23" t="str">
        <f t="shared" si="1"/>
        <v>BULON</v>
      </c>
      <c r="F75" s="26" t="s">
        <v>179</v>
      </c>
      <c r="G75" s="26" t="s">
        <v>180</v>
      </c>
      <c r="H75" s="26" t="s">
        <v>24</v>
      </c>
      <c r="I75" s="26" t="s">
        <v>181</v>
      </c>
      <c r="J75" s="26" t="s">
        <v>182</v>
      </c>
      <c r="K75" s="18" t="s">
        <v>227</v>
      </c>
      <c r="L75" s="29">
        <v>46120</v>
      </c>
      <c r="M75" s="30">
        <f t="shared" si="2"/>
        <v>1404.67</v>
      </c>
      <c r="N75" s="18">
        <v>0.75</v>
      </c>
      <c r="O75" s="43"/>
      <c r="P75" s="13"/>
      <c r="Q75" s="13"/>
      <c r="R75" s="13"/>
      <c r="S75" s="10"/>
      <c r="T75" s="10"/>
      <c r="U75" s="89"/>
      <c r="V75" s="11"/>
      <c r="W75" s="11"/>
      <c r="X75" s="89"/>
      <c r="Y75" s="12"/>
      <c r="Z75" s="12"/>
      <c r="AA75" s="12"/>
      <c r="AB75" s="12"/>
      <c r="AC75" s="12">
        <v>3</v>
      </c>
      <c r="AD75" s="89"/>
      <c r="AE75" s="13"/>
      <c r="AF75" s="13"/>
      <c r="AG75" s="18"/>
    </row>
    <row r="76" spans="1:33" ht="15" customHeight="1" x14ac:dyDescent="0.3">
      <c r="A76" s="28" t="s">
        <v>225</v>
      </c>
      <c r="B76" s="88" t="s">
        <v>226</v>
      </c>
      <c r="C76" s="23" t="b">
        <f>AND(A76=[1]TUTANAK!$D$6,P76="Tamamlandı")</f>
        <v>0</v>
      </c>
      <c r="D76" s="23"/>
      <c r="E76" s="23" t="str">
        <f t="shared" si="1"/>
        <v>BULON</v>
      </c>
      <c r="F76" s="26" t="s">
        <v>179</v>
      </c>
      <c r="G76" s="26" t="s">
        <v>180</v>
      </c>
      <c r="H76" s="26" t="s">
        <v>24</v>
      </c>
      <c r="I76" s="26" t="s">
        <v>181</v>
      </c>
      <c r="J76" s="26" t="s">
        <v>182</v>
      </c>
      <c r="K76" s="18" t="s">
        <v>227</v>
      </c>
      <c r="L76" s="29">
        <v>46120</v>
      </c>
      <c r="M76" s="30">
        <f t="shared" si="2"/>
        <v>1405.42</v>
      </c>
      <c r="N76" s="18">
        <v>0.75</v>
      </c>
      <c r="O76" s="43"/>
      <c r="P76" s="13"/>
      <c r="Q76" s="13"/>
      <c r="R76" s="13"/>
      <c r="S76" s="10"/>
      <c r="T76" s="10"/>
      <c r="U76" s="89"/>
      <c r="V76" s="11"/>
      <c r="W76" s="11"/>
      <c r="X76" s="89"/>
      <c r="Y76" s="12"/>
      <c r="Z76" s="12"/>
      <c r="AA76" s="12"/>
      <c r="AB76" s="12"/>
      <c r="AC76" s="12">
        <v>3</v>
      </c>
      <c r="AD76" s="89"/>
      <c r="AE76" s="13"/>
      <c r="AF76" s="13"/>
      <c r="AG76" s="18"/>
    </row>
    <row r="77" spans="1:33" ht="15" customHeight="1" x14ac:dyDescent="0.3">
      <c r="A77" s="28" t="s">
        <v>225</v>
      </c>
      <c r="B77" s="88" t="s">
        <v>226</v>
      </c>
      <c r="C77" s="23" t="b">
        <f>AND(A77=[1]TUTANAK!$D$6,P77="Tamamlandı")</f>
        <v>0</v>
      </c>
      <c r="D77" s="23"/>
      <c r="E77" s="23" t="str">
        <f t="shared" si="1"/>
        <v>BULON</v>
      </c>
      <c r="F77" s="26" t="s">
        <v>179</v>
      </c>
      <c r="G77" s="26" t="s">
        <v>180</v>
      </c>
      <c r="H77" s="26" t="s">
        <v>24</v>
      </c>
      <c r="I77" s="26" t="s">
        <v>181</v>
      </c>
      <c r="J77" s="26" t="s">
        <v>182</v>
      </c>
      <c r="K77" s="18" t="s">
        <v>227</v>
      </c>
      <c r="L77" s="29">
        <v>46120</v>
      </c>
      <c r="M77" s="30">
        <f t="shared" si="2"/>
        <v>1406.17</v>
      </c>
      <c r="N77" s="18">
        <v>0.75</v>
      </c>
      <c r="O77" s="43"/>
      <c r="P77" s="13"/>
      <c r="Q77" s="13"/>
      <c r="R77" s="13"/>
      <c r="S77" s="10"/>
      <c r="T77" s="10"/>
      <c r="U77" s="89"/>
      <c r="V77" s="11"/>
      <c r="W77" s="11"/>
      <c r="X77" s="89"/>
      <c r="Y77" s="12"/>
      <c r="Z77" s="12"/>
      <c r="AA77" s="12"/>
      <c r="AB77" s="12"/>
      <c r="AC77" s="12">
        <v>3</v>
      </c>
      <c r="AD77" s="89"/>
      <c r="AE77" s="13"/>
      <c r="AF77" s="13"/>
      <c r="AG77" s="18"/>
    </row>
    <row r="78" spans="1:33" ht="15" customHeight="1" x14ac:dyDescent="0.3">
      <c r="A78" s="28" t="s">
        <v>225</v>
      </c>
      <c r="B78" s="88" t="s">
        <v>226</v>
      </c>
      <c r="C78" s="23" t="b">
        <f>AND(A78=[1]TUTANAK!$D$6,P78="Tamamlandı")</f>
        <v>0</v>
      </c>
      <c r="D78" s="23"/>
      <c r="E78" s="23" t="str">
        <f t="shared" si="1"/>
        <v>BULON</v>
      </c>
      <c r="F78" s="26" t="s">
        <v>179</v>
      </c>
      <c r="G78" s="26" t="s">
        <v>180</v>
      </c>
      <c r="H78" s="26" t="s">
        <v>24</v>
      </c>
      <c r="I78" s="26" t="s">
        <v>181</v>
      </c>
      <c r="J78" s="26" t="s">
        <v>182</v>
      </c>
      <c r="K78" s="18" t="s">
        <v>227</v>
      </c>
      <c r="L78" s="29">
        <v>46120</v>
      </c>
      <c r="M78" s="30">
        <f t="shared" si="2"/>
        <v>1406.92</v>
      </c>
      <c r="N78" s="18">
        <v>0.75</v>
      </c>
      <c r="O78" s="43"/>
      <c r="P78" s="13"/>
      <c r="Q78" s="13"/>
      <c r="R78" s="13"/>
      <c r="S78" s="10"/>
      <c r="T78" s="10"/>
      <c r="U78" s="89"/>
      <c r="V78" s="11"/>
      <c r="W78" s="11"/>
      <c r="X78" s="89"/>
      <c r="Y78" s="12"/>
      <c r="Z78" s="12"/>
      <c r="AA78" s="12"/>
      <c r="AB78" s="12"/>
      <c r="AC78" s="12">
        <v>3</v>
      </c>
      <c r="AD78" s="89"/>
      <c r="AE78" s="13"/>
      <c r="AF78" s="13"/>
      <c r="AG78" s="18"/>
    </row>
    <row r="79" spans="1:33" ht="15" customHeight="1" x14ac:dyDescent="0.3">
      <c r="A79" s="28" t="s">
        <v>225</v>
      </c>
      <c r="B79" s="88" t="s">
        <v>226</v>
      </c>
      <c r="C79" s="23" t="b">
        <f>AND(A79=[1]TUTANAK!$D$6,P79="Tamamlandı")</f>
        <v>0</v>
      </c>
      <c r="D79" s="23"/>
      <c r="E79" s="23" t="str">
        <f t="shared" ref="E79:E87" si="3">+IF(OR(P79&lt;&gt;""),"KAZI-PÜS-H.ÇELİK",IF(AND(SUM(V79:W79)&gt;0,SUM(AE79:AF79)=0),"SÜREN",IF(SUM(Y79:AC79)&gt;0,"BULON",IF(SUM(AE79:AF79)&gt;0,"ZEMİN ÇİVİSİ"))))</f>
        <v>BULON</v>
      </c>
      <c r="F79" s="26" t="s">
        <v>179</v>
      </c>
      <c r="G79" s="26" t="s">
        <v>180</v>
      </c>
      <c r="H79" s="26" t="s">
        <v>24</v>
      </c>
      <c r="I79" s="26" t="s">
        <v>181</v>
      </c>
      <c r="J79" s="26" t="s">
        <v>182</v>
      </c>
      <c r="K79" s="18" t="s">
        <v>228</v>
      </c>
      <c r="L79" s="29">
        <v>46120</v>
      </c>
      <c r="M79" s="30">
        <v>1407.67</v>
      </c>
      <c r="N79" s="18">
        <v>0.75</v>
      </c>
      <c r="O79" s="43"/>
      <c r="P79" s="13"/>
      <c r="Q79" s="13"/>
      <c r="R79" s="13"/>
      <c r="S79" s="10"/>
      <c r="T79" s="10"/>
      <c r="U79" s="89"/>
      <c r="V79" s="11"/>
      <c r="W79" s="11"/>
      <c r="X79" s="89"/>
      <c r="Y79" s="12"/>
      <c r="Z79" s="12"/>
      <c r="AA79" s="12"/>
      <c r="AB79" s="12"/>
      <c r="AC79" s="12">
        <v>3</v>
      </c>
      <c r="AD79" s="89"/>
      <c r="AE79" s="13"/>
      <c r="AF79" s="13"/>
      <c r="AG79" s="18"/>
    </row>
    <row r="80" spans="1:33" ht="15" customHeight="1" x14ac:dyDescent="0.3">
      <c r="A80" s="28" t="s">
        <v>225</v>
      </c>
      <c r="B80" s="88" t="s">
        <v>226</v>
      </c>
      <c r="C80" s="23" t="b">
        <f>AND(A80=[1]TUTANAK!$D$6,P80="Tamamlandı")</f>
        <v>0</v>
      </c>
      <c r="D80" s="23"/>
      <c r="E80" s="23" t="str">
        <f t="shared" si="3"/>
        <v>BULON</v>
      </c>
      <c r="F80" s="26" t="s">
        <v>179</v>
      </c>
      <c r="G80" s="26" t="s">
        <v>180</v>
      </c>
      <c r="H80" s="26" t="s">
        <v>24</v>
      </c>
      <c r="I80" s="26" t="s">
        <v>181</v>
      </c>
      <c r="J80" s="26" t="s">
        <v>182</v>
      </c>
      <c r="K80" s="18" t="s">
        <v>228</v>
      </c>
      <c r="L80" s="29">
        <v>46120</v>
      </c>
      <c r="M80" s="30">
        <f t="shared" ref="M80:M86" si="4">+M79+N79</f>
        <v>1408.42</v>
      </c>
      <c r="N80" s="18">
        <v>0.75</v>
      </c>
      <c r="O80" s="43"/>
      <c r="P80" s="13"/>
      <c r="Q80" s="13"/>
      <c r="R80" s="13"/>
      <c r="S80" s="10"/>
      <c r="T80" s="10"/>
      <c r="U80" s="89"/>
      <c r="V80" s="11"/>
      <c r="W80" s="11"/>
      <c r="X80" s="89"/>
      <c r="Y80" s="12"/>
      <c r="Z80" s="12"/>
      <c r="AA80" s="12"/>
      <c r="AB80" s="12"/>
      <c r="AC80" s="12">
        <v>3</v>
      </c>
      <c r="AD80" s="89"/>
      <c r="AE80" s="13"/>
      <c r="AF80" s="13"/>
      <c r="AG80" s="18"/>
    </row>
    <row r="81" spans="1:33" ht="15" customHeight="1" x14ac:dyDescent="0.3">
      <c r="A81" s="28" t="s">
        <v>225</v>
      </c>
      <c r="B81" s="88" t="s">
        <v>226</v>
      </c>
      <c r="C81" s="23" t="b">
        <f>AND(A81=[1]TUTANAK!$D$6,P81="Tamamlandı")</f>
        <v>0</v>
      </c>
      <c r="D81" s="23"/>
      <c r="E81" s="23" t="str">
        <f t="shared" si="3"/>
        <v>BULON</v>
      </c>
      <c r="F81" s="26" t="s">
        <v>179</v>
      </c>
      <c r="G81" s="26" t="s">
        <v>180</v>
      </c>
      <c r="H81" s="26" t="s">
        <v>24</v>
      </c>
      <c r="I81" s="26" t="s">
        <v>181</v>
      </c>
      <c r="J81" s="26" t="s">
        <v>182</v>
      </c>
      <c r="K81" s="18" t="s">
        <v>228</v>
      </c>
      <c r="L81" s="29">
        <v>46120</v>
      </c>
      <c r="M81" s="30">
        <v>1409.17</v>
      </c>
      <c r="N81" s="18">
        <v>0.75</v>
      </c>
      <c r="O81" s="43"/>
      <c r="P81" s="13"/>
      <c r="Q81" s="13"/>
      <c r="R81" s="13"/>
      <c r="S81" s="10"/>
      <c r="T81" s="10"/>
      <c r="U81" s="89"/>
      <c r="V81" s="11"/>
      <c r="W81" s="11"/>
      <c r="X81" s="89"/>
      <c r="Y81" s="12"/>
      <c r="Z81" s="12"/>
      <c r="AA81" s="12"/>
      <c r="AB81" s="12"/>
      <c r="AC81" s="12">
        <v>3</v>
      </c>
      <c r="AD81" s="89"/>
      <c r="AE81" s="13"/>
      <c r="AF81" s="13"/>
      <c r="AG81" s="18"/>
    </row>
    <row r="82" spans="1:33" ht="15" customHeight="1" x14ac:dyDescent="0.3">
      <c r="A82" s="28" t="s">
        <v>225</v>
      </c>
      <c r="B82" s="88" t="s">
        <v>226</v>
      </c>
      <c r="C82" s="23" t="b">
        <f>AND(A82=[1]TUTANAK!$D$6,P82="Tamamlandı")</f>
        <v>0</v>
      </c>
      <c r="D82" s="23"/>
      <c r="E82" s="23" t="str">
        <f t="shared" si="3"/>
        <v>BULON</v>
      </c>
      <c r="F82" s="26" t="s">
        <v>179</v>
      </c>
      <c r="G82" s="26" t="s">
        <v>180</v>
      </c>
      <c r="H82" s="26" t="s">
        <v>24</v>
      </c>
      <c r="I82" s="26" t="s">
        <v>181</v>
      </c>
      <c r="J82" s="26" t="s">
        <v>182</v>
      </c>
      <c r="K82" s="18" t="s">
        <v>228</v>
      </c>
      <c r="L82" s="29">
        <v>46120</v>
      </c>
      <c r="M82" s="30">
        <f t="shared" si="4"/>
        <v>1409.92</v>
      </c>
      <c r="N82" s="18">
        <v>0.75</v>
      </c>
      <c r="O82" s="43"/>
      <c r="P82" s="13"/>
      <c r="Q82" s="13"/>
      <c r="R82" s="13"/>
      <c r="S82" s="10"/>
      <c r="T82" s="10"/>
      <c r="U82" s="89"/>
      <c r="V82" s="11"/>
      <c r="W82" s="11"/>
      <c r="X82" s="89"/>
      <c r="Y82" s="12"/>
      <c r="Z82" s="12"/>
      <c r="AA82" s="12"/>
      <c r="AB82" s="12"/>
      <c r="AC82" s="12">
        <v>3</v>
      </c>
      <c r="AD82" s="89"/>
      <c r="AE82" s="13"/>
      <c r="AF82" s="13"/>
      <c r="AG82" s="18"/>
    </row>
    <row r="83" spans="1:33" ht="15" customHeight="1" x14ac:dyDescent="0.3">
      <c r="A83" s="28" t="s">
        <v>225</v>
      </c>
      <c r="B83" s="88" t="s">
        <v>226</v>
      </c>
      <c r="C83" s="23" t="b">
        <f>AND(A83=[1]TUTANAK!$D$6,P83="Tamamlandı")</f>
        <v>0</v>
      </c>
      <c r="D83" s="23"/>
      <c r="E83" s="23" t="str">
        <f t="shared" si="3"/>
        <v>BULON</v>
      </c>
      <c r="F83" s="26" t="s">
        <v>179</v>
      </c>
      <c r="G83" s="26" t="s">
        <v>180</v>
      </c>
      <c r="H83" s="26" t="s">
        <v>24</v>
      </c>
      <c r="I83" s="26" t="s">
        <v>181</v>
      </c>
      <c r="J83" s="26" t="s">
        <v>182</v>
      </c>
      <c r="K83" s="18" t="s">
        <v>228</v>
      </c>
      <c r="L83" s="29">
        <v>46120</v>
      </c>
      <c r="M83" s="30">
        <v>1410.67</v>
      </c>
      <c r="N83" s="18">
        <v>0.75</v>
      </c>
      <c r="O83" s="43"/>
      <c r="P83" s="13"/>
      <c r="Q83" s="13"/>
      <c r="R83" s="13"/>
      <c r="S83" s="10"/>
      <c r="T83" s="10"/>
      <c r="U83" s="89"/>
      <c r="V83" s="11"/>
      <c r="W83" s="11"/>
      <c r="X83" s="89"/>
      <c r="Y83" s="12"/>
      <c r="Z83" s="12"/>
      <c r="AA83" s="12"/>
      <c r="AB83" s="12"/>
      <c r="AC83" s="12">
        <v>3</v>
      </c>
      <c r="AD83" s="89"/>
      <c r="AE83" s="13"/>
      <c r="AF83" s="13"/>
      <c r="AG83" s="18"/>
    </row>
    <row r="84" spans="1:33" ht="15" customHeight="1" x14ac:dyDescent="0.3">
      <c r="A84" s="28" t="s">
        <v>225</v>
      </c>
      <c r="B84" s="88" t="s">
        <v>226</v>
      </c>
      <c r="C84" s="23" t="b">
        <f>AND(A84=[1]TUTANAK!$D$6,P84="Tamamlandı")</f>
        <v>0</v>
      </c>
      <c r="D84" s="23"/>
      <c r="E84" s="23" t="str">
        <f t="shared" si="3"/>
        <v>BULON</v>
      </c>
      <c r="F84" s="26" t="s">
        <v>179</v>
      </c>
      <c r="G84" s="26" t="s">
        <v>180</v>
      </c>
      <c r="H84" s="26" t="s">
        <v>24</v>
      </c>
      <c r="I84" s="26" t="s">
        <v>181</v>
      </c>
      <c r="J84" s="26" t="s">
        <v>182</v>
      </c>
      <c r="K84" s="18" t="s">
        <v>228</v>
      </c>
      <c r="L84" s="29">
        <v>46120</v>
      </c>
      <c r="M84" s="30">
        <f t="shared" si="4"/>
        <v>1411.42</v>
      </c>
      <c r="N84" s="18">
        <v>0.75</v>
      </c>
      <c r="O84" s="43"/>
      <c r="P84" s="13"/>
      <c r="Q84" s="13"/>
      <c r="R84" s="13"/>
      <c r="S84" s="10"/>
      <c r="T84" s="10"/>
      <c r="U84" s="89"/>
      <c r="V84" s="11"/>
      <c r="W84" s="11"/>
      <c r="X84" s="89"/>
      <c r="Y84" s="12"/>
      <c r="Z84" s="12"/>
      <c r="AA84" s="12"/>
      <c r="AB84" s="12"/>
      <c r="AC84" s="12">
        <v>3</v>
      </c>
      <c r="AD84" s="89"/>
      <c r="AE84" s="13"/>
      <c r="AF84" s="13"/>
      <c r="AG84" s="18"/>
    </row>
    <row r="85" spans="1:33" ht="15" customHeight="1" x14ac:dyDescent="0.3">
      <c r="A85" s="28" t="s">
        <v>225</v>
      </c>
      <c r="B85" s="88" t="s">
        <v>226</v>
      </c>
      <c r="C85" s="23" t="b">
        <f>AND(A85=[1]TUTANAK!$D$6,P85="Tamamlandı")</f>
        <v>0</v>
      </c>
      <c r="D85" s="23"/>
      <c r="E85" s="23" t="str">
        <f t="shared" si="3"/>
        <v>BULON</v>
      </c>
      <c r="F85" s="26" t="s">
        <v>179</v>
      </c>
      <c r="G85" s="26" t="s">
        <v>180</v>
      </c>
      <c r="H85" s="26" t="s">
        <v>24</v>
      </c>
      <c r="I85" s="26" t="s">
        <v>181</v>
      </c>
      <c r="J85" s="26" t="s">
        <v>182</v>
      </c>
      <c r="K85" s="18" t="s">
        <v>228</v>
      </c>
      <c r="L85" s="29">
        <v>46120</v>
      </c>
      <c r="M85" s="30">
        <v>1412.17</v>
      </c>
      <c r="N85" s="18">
        <v>0.75</v>
      </c>
      <c r="O85" s="43"/>
      <c r="P85" s="13"/>
      <c r="Q85" s="13"/>
      <c r="R85" s="13"/>
      <c r="S85" s="10"/>
      <c r="T85" s="10"/>
      <c r="U85" s="89"/>
      <c r="V85" s="11"/>
      <c r="W85" s="11"/>
      <c r="X85" s="89"/>
      <c r="Y85" s="12"/>
      <c r="Z85" s="12"/>
      <c r="AA85" s="12"/>
      <c r="AB85" s="12"/>
      <c r="AC85" s="12">
        <v>3</v>
      </c>
      <c r="AD85" s="89"/>
      <c r="AE85" s="13"/>
      <c r="AF85" s="13"/>
      <c r="AG85" s="18"/>
    </row>
    <row r="86" spans="1:33" ht="15" customHeight="1" x14ac:dyDescent="0.3">
      <c r="A86" s="28" t="s">
        <v>225</v>
      </c>
      <c r="B86" s="88" t="s">
        <v>226</v>
      </c>
      <c r="C86" s="23" t="b">
        <f>AND(A86=[1]TUTANAK!$D$6,P86="Tamamlandı")</f>
        <v>0</v>
      </c>
      <c r="D86" s="23"/>
      <c r="E86" s="23" t="str">
        <f t="shared" si="3"/>
        <v>BULON</v>
      </c>
      <c r="F86" s="26" t="s">
        <v>179</v>
      </c>
      <c r="G86" s="26" t="s">
        <v>180</v>
      </c>
      <c r="H86" s="26" t="s">
        <v>24</v>
      </c>
      <c r="I86" s="26" t="s">
        <v>181</v>
      </c>
      <c r="J86" s="26" t="s">
        <v>182</v>
      </c>
      <c r="K86" s="18" t="s">
        <v>228</v>
      </c>
      <c r="L86" s="29">
        <v>46120</v>
      </c>
      <c r="M86" s="30">
        <f t="shared" si="4"/>
        <v>1412.92</v>
      </c>
      <c r="N86" s="18">
        <v>0.75</v>
      </c>
      <c r="O86" s="43"/>
      <c r="P86" s="13"/>
      <c r="Q86" s="13"/>
      <c r="R86" s="13"/>
      <c r="S86" s="10"/>
      <c r="T86" s="10"/>
      <c r="U86" s="89"/>
      <c r="V86" s="11"/>
      <c r="W86" s="11"/>
      <c r="X86" s="89"/>
      <c r="Y86" s="12"/>
      <c r="Z86" s="12"/>
      <c r="AA86" s="12"/>
      <c r="AB86" s="12"/>
      <c r="AC86" s="12">
        <v>3</v>
      </c>
      <c r="AD86" s="89"/>
      <c r="AE86" s="13"/>
      <c r="AF86" s="13"/>
      <c r="AG86" s="18"/>
    </row>
    <row r="87" spans="1:33" ht="15" customHeight="1" x14ac:dyDescent="0.3">
      <c r="A87" s="28" t="s">
        <v>225</v>
      </c>
      <c r="B87" s="88" t="s">
        <v>226</v>
      </c>
      <c r="C87" s="23" t="b">
        <f>AND(A87=[1]TUTANAK!$D$6,P87="Tamamlandı")</f>
        <v>0</v>
      </c>
      <c r="D87" s="23"/>
      <c r="E87" s="23" t="str">
        <f t="shared" si="3"/>
        <v>BULON</v>
      </c>
      <c r="F87" s="26" t="s">
        <v>179</v>
      </c>
      <c r="G87" s="26" t="s">
        <v>180</v>
      </c>
      <c r="H87" s="26" t="s">
        <v>24</v>
      </c>
      <c r="I87" s="26" t="s">
        <v>181</v>
      </c>
      <c r="J87" s="26" t="s">
        <v>182</v>
      </c>
      <c r="K87" s="18" t="s">
        <v>228</v>
      </c>
      <c r="L87" s="29">
        <v>46120</v>
      </c>
      <c r="M87" s="30">
        <v>1413.67</v>
      </c>
      <c r="N87" s="18">
        <v>0.75</v>
      </c>
      <c r="O87" s="43"/>
      <c r="P87" s="13"/>
      <c r="Q87" s="13"/>
      <c r="R87" s="13"/>
      <c r="S87" s="10"/>
      <c r="T87" s="10"/>
      <c r="U87" s="89"/>
      <c r="V87" s="11"/>
      <c r="W87" s="11"/>
      <c r="X87" s="89"/>
      <c r="Y87" s="12"/>
      <c r="Z87" s="12"/>
      <c r="AA87" s="12"/>
      <c r="AB87" s="12"/>
      <c r="AC87" s="12">
        <v>3</v>
      </c>
      <c r="AD87" s="89"/>
      <c r="AE87" s="13"/>
      <c r="AF87" s="13"/>
      <c r="AG87" s="18"/>
    </row>
    <row r="88" spans="1:33" ht="15" customHeight="1" x14ac:dyDescent="0.3">
      <c r="A88" s="28" t="s">
        <v>225</v>
      </c>
      <c r="B88" s="88" t="s">
        <v>226</v>
      </c>
      <c r="C88" s="23" t="b">
        <f>AND(A88=[1]TUTANAK!$D$6,P88="Tamamlandı")</f>
        <v>0</v>
      </c>
      <c r="D88" s="23"/>
      <c r="E88" s="23" t="str">
        <f t="shared" ref="E88:E95" si="5">+IF(OR(P88&lt;&gt;""),"KAZI-PÜS-H.ÇELİK",IF(AND(SUM(V88:W88)&gt;0,SUM(AE88:AF88)=0),"SÜREN",IF(SUM(Y88:AC88)&gt;0,"BULON",IF(SUM(AE88:AF88)&gt;0,"ZEMİN ÇİVİSİ"))))</f>
        <v>BULON</v>
      </c>
      <c r="F88" s="26" t="s">
        <v>179</v>
      </c>
      <c r="G88" s="26" t="s">
        <v>180</v>
      </c>
      <c r="H88" s="26" t="s">
        <v>24</v>
      </c>
      <c r="I88" s="26" t="s">
        <v>181</v>
      </c>
      <c r="J88" s="26" t="s">
        <v>182</v>
      </c>
      <c r="K88" s="18" t="s">
        <v>229</v>
      </c>
      <c r="L88" s="29">
        <v>46142</v>
      </c>
      <c r="M88" s="30">
        <v>1379.17</v>
      </c>
      <c r="N88" s="18">
        <v>0.75</v>
      </c>
      <c r="O88" s="43"/>
      <c r="P88" s="13"/>
      <c r="Q88" s="13"/>
      <c r="R88" s="13"/>
      <c r="S88" s="10"/>
      <c r="T88" s="10"/>
      <c r="U88" s="89"/>
      <c r="V88" s="11"/>
      <c r="W88" s="11"/>
      <c r="X88" s="89"/>
      <c r="Y88" s="12"/>
      <c r="Z88" s="12"/>
      <c r="AA88" s="12"/>
      <c r="AB88" s="12"/>
      <c r="AC88" s="12">
        <v>3</v>
      </c>
      <c r="AD88" s="89"/>
      <c r="AE88" s="13"/>
      <c r="AF88" s="13"/>
      <c r="AG88" s="18"/>
    </row>
    <row r="89" spans="1:33" ht="15" customHeight="1" x14ac:dyDescent="0.3">
      <c r="A89" s="28" t="s">
        <v>225</v>
      </c>
      <c r="B89" s="88" t="s">
        <v>226</v>
      </c>
      <c r="C89" s="23" t="b">
        <f>AND(A89=[1]TUTANAK!$D$6,P89="Tamamlandı")</f>
        <v>0</v>
      </c>
      <c r="D89" s="23"/>
      <c r="E89" s="23" t="str">
        <f t="shared" si="5"/>
        <v>BULON</v>
      </c>
      <c r="F89" s="26" t="s">
        <v>179</v>
      </c>
      <c r="G89" s="26" t="s">
        <v>180</v>
      </c>
      <c r="H89" s="26" t="s">
        <v>24</v>
      </c>
      <c r="I89" s="26" t="s">
        <v>181</v>
      </c>
      <c r="J89" s="26" t="s">
        <v>182</v>
      </c>
      <c r="K89" s="18" t="s">
        <v>229</v>
      </c>
      <c r="L89" s="29">
        <v>46142</v>
      </c>
      <c r="M89" s="30">
        <f t="shared" ref="M89:M95" si="6">+M88+N88</f>
        <v>1379.92</v>
      </c>
      <c r="N89" s="18">
        <v>0.75</v>
      </c>
      <c r="O89" s="43"/>
      <c r="P89" s="13"/>
      <c r="Q89" s="13"/>
      <c r="R89" s="13"/>
      <c r="S89" s="10"/>
      <c r="T89" s="10"/>
      <c r="U89" s="89"/>
      <c r="V89" s="11"/>
      <c r="W89" s="11"/>
      <c r="X89" s="89"/>
      <c r="Y89" s="12"/>
      <c r="Z89" s="12"/>
      <c r="AA89" s="12"/>
      <c r="AB89" s="12"/>
      <c r="AC89" s="12">
        <v>3</v>
      </c>
      <c r="AD89" s="89"/>
      <c r="AE89" s="13"/>
      <c r="AF89" s="13"/>
      <c r="AG89" s="18"/>
    </row>
    <row r="90" spans="1:33" ht="15" customHeight="1" x14ac:dyDescent="0.3">
      <c r="A90" s="28" t="s">
        <v>225</v>
      </c>
      <c r="B90" s="88" t="s">
        <v>226</v>
      </c>
      <c r="C90" s="23" t="b">
        <f>AND(A90=[1]TUTANAK!$D$6,P90="Tamamlandı")</f>
        <v>0</v>
      </c>
      <c r="D90" s="23"/>
      <c r="E90" s="23" t="str">
        <f t="shared" si="5"/>
        <v>BULON</v>
      </c>
      <c r="F90" s="26" t="s">
        <v>179</v>
      </c>
      <c r="G90" s="26" t="s">
        <v>180</v>
      </c>
      <c r="H90" s="26" t="s">
        <v>24</v>
      </c>
      <c r="I90" s="26" t="s">
        <v>181</v>
      </c>
      <c r="J90" s="26" t="s">
        <v>182</v>
      </c>
      <c r="K90" s="18" t="s">
        <v>229</v>
      </c>
      <c r="L90" s="29">
        <v>46142</v>
      </c>
      <c r="M90" s="30">
        <f t="shared" si="6"/>
        <v>1380.67</v>
      </c>
      <c r="N90" s="18">
        <v>0.75</v>
      </c>
      <c r="O90" s="43"/>
      <c r="P90" s="13"/>
      <c r="Q90" s="13"/>
      <c r="R90" s="13"/>
      <c r="S90" s="10"/>
      <c r="T90" s="10"/>
      <c r="U90" s="89"/>
      <c r="V90" s="11"/>
      <c r="W90" s="11"/>
      <c r="X90" s="89"/>
      <c r="Y90" s="12"/>
      <c r="Z90" s="12"/>
      <c r="AA90" s="12"/>
      <c r="AB90" s="12"/>
      <c r="AC90" s="12">
        <v>3</v>
      </c>
      <c r="AD90" s="89"/>
      <c r="AE90" s="13"/>
      <c r="AF90" s="13"/>
      <c r="AG90" s="18"/>
    </row>
    <row r="91" spans="1:33" ht="15" customHeight="1" x14ac:dyDescent="0.3">
      <c r="A91" s="28" t="s">
        <v>225</v>
      </c>
      <c r="B91" s="88" t="s">
        <v>226</v>
      </c>
      <c r="C91" s="23" t="b">
        <f>AND(A91=[1]TUTANAK!$D$6,P91="Tamamlandı")</f>
        <v>0</v>
      </c>
      <c r="D91" s="23"/>
      <c r="E91" s="23" t="str">
        <f t="shared" si="5"/>
        <v>BULON</v>
      </c>
      <c r="F91" s="26" t="s">
        <v>179</v>
      </c>
      <c r="G91" s="26" t="s">
        <v>180</v>
      </c>
      <c r="H91" s="26" t="s">
        <v>24</v>
      </c>
      <c r="I91" s="26" t="s">
        <v>181</v>
      </c>
      <c r="J91" s="26" t="s">
        <v>182</v>
      </c>
      <c r="K91" s="18" t="s">
        <v>229</v>
      </c>
      <c r="L91" s="29">
        <v>46142</v>
      </c>
      <c r="M91" s="30">
        <f t="shared" si="6"/>
        <v>1381.42</v>
      </c>
      <c r="N91" s="18">
        <v>0.75</v>
      </c>
      <c r="O91" s="43"/>
      <c r="P91" s="13"/>
      <c r="Q91" s="13"/>
      <c r="R91" s="13"/>
      <c r="S91" s="10"/>
      <c r="T91" s="10"/>
      <c r="U91" s="89"/>
      <c r="V91" s="11"/>
      <c r="W91" s="11"/>
      <c r="X91" s="89"/>
      <c r="Y91" s="12"/>
      <c r="Z91" s="12"/>
      <c r="AA91" s="12"/>
      <c r="AB91" s="12"/>
      <c r="AC91" s="12">
        <v>3</v>
      </c>
      <c r="AD91" s="89"/>
      <c r="AE91" s="13"/>
      <c r="AF91" s="13"/>
      <c r="AG91" s="18"/>
    </row>
    <row r="92" spans="1:33" ht="15" customHeight="1" x14ac:dyDescent="0.3">
      <c r="A92" s="28" t="s">
        <v>225</v>
      </c>
      <c r="B92" s="88" t="s">
        <v>226</v>
      </c>
      <c r="C92" s="23" t="b">
        <f>AND(A92=[1]TUTANAK!$D$6,P92="Tamamlandı")</f>
        <v>0</v>
      </c>
      <c r="D92" s="23"/>
      <c r="E92" s="23" t="str">
        <f t="shared" si="5"/>
        <v>BULON</v>
      </c>
      <c r="F92" s="26" t="s">
        <v>179</v>
      </c>
      <c r="G92" s="26" t="s">
        <v>180</v>
      </c>
      <c r="H92" s="26" t="s">
        <v>24</v>
      </c>
      <c r="I92" s="26" t="s">
        <v>181</v>
      </c>
      <c r="J92" s="26" t="s">
        <v>182</v>
      </c>
      <c r="K92" s="18" t="s">
        <v>229</v>
      </c>
      <c r="L92" s="29">
        <v>46142</v>
      </c>
      <c r="M92" s="30">
        <f t="shared" si="6"/>
        <v>1382.17</v>
      </c>
      <c r="N92" s="18">
        <v>0.75</v>
      </c>
      <c r="O92" s="43"/>
      <c r="P92" s="13"/>
      <c r="Q92" s="13"/>
      <c r="R92" s="13"/>
      <c r="S92" s="10"/>
      <c r="T92" s="10"/>
      <c r="U92" s="89"/>
      <c r="V92" s="11"/>
      <c r="W92" s="11"/>
      <c r="X92" s="89"/>
      <c r="Y92" s="12"/>
      <c r="Z92" s="12"/>
      <c r="AA92" s="12"/>
      <c r="AB92" s="12"/>
      <c r="AC92" s="12">
        <v>3</v>
      </c>
      <c r="AD92" s="89"/>
      <c r="AE92" s="13"/>
      <c r="AF92" s="13"/>
      <c r="AG92" s="18"/>
    </row>
    <row r="93" spans="1:33" ht="15" customHeight="1" x14ac:dyDescent="0.3">
      <c r="A93" s="28" t="s">
        <v>225</v>
      </c>
      <c r="B93" s="88" t="s">
        <v>226</v>
      </c>
      <c r="C93" s="23" t="b">
        <f>AND(A93=[1]TUTANAK!$D$6,P93="Tamamlandı")</f>
        <v>0</v>
      </c>
      <c r="D93" s="23"/>
      <c r="E93" s="23" t="str">
        <f t="shared" si="5"/>
        <v>BULON</v>
      </c>
      <c r="F93" s="26" t="s">
        <v>179</v>
      </c>
      <c r="G93" s="26" t="s">
        <v>180</v>
      </c>
      <c r="H93" s="26" t="s">
        <v>24</v>
      </c>
      <c r="I93" s="26" t="s">
        <v>181</v>
      </c>
      <c r="J93" s="26" t="s">
        <v>182</v>
      </c>
      <c r="K93" s="18" t="s">
        <v>229</v>
      </c>
      <c r="L93" s="29">
        <v>46142</v>
      </c>
      <c r="M93" s="30">
        <f t="shared" si="6"/>
        <v>1382.92</v>
      </c>
      <c r="N93" s="18">
        <v>0.75</v>
      </c>
      <c r="O93" s="43"/>
      <c r="P93" s="13"/>
      <c r="Q93" s="13"/>
      <c r="R93" s="13"/>
      <c r="S93" s="10"/>
      <c r="T93" s="10"/>
      <c r="U93" s="89"/>
      <c r="V93" s="11"/>
      <c r="W93" s="11"/>
      <c r="X93" s="89"/>
      <c r="Y93" s="12"/>
      <c r="Z93" s="12"/>
      <c r="AA93" s="12"/>
      <c r="AB93" s="12"/>
      <c r="AC93" s="12">
        <v>3</v>
      </c>
      <c r="AD93" s="89"/>
      <c r="AE93" s="13"/>
      <c r="AF93" s="13"/>
      <c r="AG93" s="18"/>
    </row>
    <row r="94" spans="1:33" ht="15" customHeight="1" x14ac:dyDescent="0.3">
      <c r="A94" s="28" t="s">
        <v>225</v>
      </c>
      <c r="B94" s="88" t="s">
        <v>226</v>
      </c>
      <c r="C94" s="23" t="b">
        <f>AND(A94=[1]TUTANAK!$D$6,P94="Tamamlandı")</f>
        <v>0</v>
      </c>
      <c r="D94" s="23"/>
      <c r="E94" s="23" t="str">
        <f t="shared" si="5"/>
        <v>BULON</v>
      </c>
      <c r="F94" s="26" t="s">
        <v>179</v>
      </c>
      <c r="G94" s="26" t="s">
        <v>180</v>
      </c>
      <c r="H94" s="26" t="s">
        <v>24</v>
      </c>
      <c r="I94" s="26" t="s">
        <v>181</v>
      </c>
      <c r="J94" s="26" t="s">
        <v>182</v>
      </c>
      <c r="K94" s="18" t="s">
        <v>229</v>
      </c>
      <c r="L94" s="29">
        <v>46142</v>
      </c>
      <c r="M94" s="30">
        <f t="shared" si="6"/>
        <v>1383.67</v>
      </c>
      <c r="N94" s="18">
        <v>0.75</v>
      </c>
      <c r="O94" s="43"/>
      <c r="P94" s="13"/>
      <c r="Q94" s="13"/>
      <c r="R94" s="13"/>
      <c r="S94" s="10"/>
      <c r="T94" s="10"/>
      <c r="U94" s="89"/>
      <c r="V94" s="11"/>
      <c r="W94" s="11"/>
      <c r="X94" s="89"/>
      <c r="Y94" s="12"/>
      <c r="Z94" s="12"/>
      <c r="AA94" s="12"/>
      <c r="AB94" s="12"/>
      <c r="AC94" s="12">
        <v>3</v>
      </c>
      <c r="AD94" s="89"/>
      <c r="AE94" s="13"/>
      <c r="AF94" s="13"/>
      <c r="AG94" s="18"/>
    </row>
    <row r="95" spans="1:33" ht="15" customHeight="1" x14ac:dyDescent="0.3">
      <c r="A95" s="28" t="s">
        <v>225</v>
      </c>
      <c r="B95" s="88" t="s">
        <v>226</v>
      </c>
      <c r="C95" s="23" t="b">
        <f>AND(A95=[1]TUTANAK!$D$6,P95="Tamamlandı")</f>
        <v>0</v>
      </c>
      <c r="D95" s="23"/>
      <c r="E95" s="23" t="str">
        <f t="shared" si="5"/>
        <v>BULON</v>
      </c>
      <c r="F95" s="26" t="s">
        <v>179</v>
      </c>
      <c r="G95" s="26" t="s">
        <v>180</v>
      </c>
      <c r="H95" s="26" t="s">
        <v>24</v>
      </c>
      <c r="I95" s="26" t="s">
        <v>181</v>
      </c>
      <c r="J95" s="26" t="s">
        <v>182</v>
      </c>
      <c r="K95" s="18" t="s">
        <v>229</v>
      </c>
      <c r="L95" s="29">
        <v>46142</v>
      </c>
      <c r="M95" s="30">
        <f t="shared" si="6"/>
        <v>1384.42</v>
      </c>
      <c r="N95" s="18">
        <v>0.75</v>
      </c>
      <c r="O95" s="43"/>
      <c r="P95" s="13"/>
      <c r="Q95" s="13"/>
      <c r="R95" s="13"/>
      <c r="S95" s="10"/>
      <c r="T95" s="10"/>
      <c r="U95" s="89"/>
      <c r="V95" s="11"/>
      <c r="W95" s="11"/>
      <c r="X95" s="89"/>
      <c r="Y95" s="12"/>
      <c r="Z95" s="12"/>
      <c r="AA95" s="12"/>
      <c r="AB95" s="12"/>
      <c r="AC95" s="12">
        <v>3</v>
      </c>
      <c r="AD95" s="89"/>
      <c r="AE95" s="13"/>
      <c r="AF95" s="13"/>
      <c r="AG95" s="18"/>
    </row>
    <row r="96" spans="1:33" ht="15" customHeight="1" x14ac:dyDescent="0.3">
      <c r="A96" s="28"/>
      <c r="B96" s="88"/>
      <c r="C96" s="23"/>
      <c r="D96" s="23"/>
      <c r="E96" s="23"/>
      <c r="F96" s="26"/>
      <c r="G96" s="26"/>
      <c r="H96" s="26"/>
      <c r="I96" s="26"/>
      <c r="J96" s="26"/>
      <c r="K96" s="18"/>
      <c r="L96" s="29"/>
      <c r="M96" s="30"/>
      <c r="N96" s="18"/>
      <c r="O96" s="43"/>
      <c r="P96" s="13"/>
      <c r="Q96" s="13"/>
      <c r="R96" s="13"/>
      <c r="S96" s="10"/>
      <c r="T96" s="10"/>
      <c r="U96" s="89"/>
      <c r="V96" s="11"/>
      <c r="W96" s="11"/>
      <c r="X96" s="89"/>
      <c r="Y96" s="12"/>
      <c r="Z96" s="12"/>
      <c r="AA96" s="12"/>
      <c r="AB96" s="12"/>
      <c r="AC96" s="12"/>
      <c r="AD96" s="89"/>
      <c r="AE96" s="13"/>
      <c r="AF96" s="13"/>
      <c r="AG96" s="18"/>
    </row>
    <row r="97" spans="1:33" ht="15" customHeight="1" x14ac:dyDescent="0.3">
      <c r="A97" s="28"/>
      <c r="B97" s="88"/>
      <c r="C97" s="23"/>
      <c r="D97" s="23"/>
      <c r="E97" s="23"/>
      <c r="F97" s="26"/>
      <c r="G97" s="26"/>
      <c r="H97" s="26"/>
      <c r="I97" s="26"/>
      <c r="J97" s="26"/>
      <c r="K97" s="18"/>
      <c r="L97" s="29"/>
      <c r="M97" s="30"/>
      <c r="N97" s="18"/>
      <c r="O97" s="43"/>
      <c r="P97" s="13"/>
      <c r="Q97" s="13"/>
      <c r="R97" s="13"/>
      <c r="S97" s="10"/>
      <c r="T97" s="10"/>
      <c r="U97" s="89"/>
      <c r="V97" s="11"/>
      <c r="W97" s="11"/>
      <c r="X97" s="89"/>
      <c r="Y97" s="12"/>
      <c r="Z97" s="12"/>
      <c r="AA97" s="12"/>
      <c r="AB97" s="12"/>
      <c r="AC97" s="12"/>
      <c r="AD97" s="89"/>
      <c r="AE97" s="13"/>
      <c r="AF97" s="13"/>
      <c r="AG97" s="18"/>
    </row>
    <row r="98" spans="1:33" ht="15" customHeight="1" x14ac:dyDescent="0.3">
      <c r="A98" s="28"/>
      <c r="B98" s="88"/>
      <c r="C98" s="23"/>
      <c r="D98" s="23"/>
      <c r="E98" s="23"/>
      <c r="F98" s="26"/>
      <c r="G98" s="26"/>
      <c r="H98" s="26"/>
      <c r="I98" s="26"/>
      <c r="J98" s="26"/>
      <c r="K98" s="18"/>
      <c r="L98" s="29"/>
      <c r="M98" s="30"/>
      <c r="N98" s="18"/>
      <c r="O98" s="43"/>
      <c r="P98" s="13"/>
      <c r="Q98" s="13"/>
      <c r="R98" s="13"/>
      <c r="S98" s="10"/>
      <c r="T98" s="10"/>
      <c r="U98" s="89"/>
      <c r="V98" s="11"/>
      <c r="W98" s="11"/>
      <c r="X98" s="89"/>
      <c r="Y98" s="12"/>
      <c r="Z98" s="12"/>
      <c r="AA98" s="12"/>
      <c r="AB98" s="12"/>
      <c r="AC98" s="12"/>
      <c r="AD98" s="89"/>
      <c r="AE98" s="13"/>
      <c r="AF98" s="13"/>
      <c r="AG98" s="18"/>
    </row>
    <row r="99" spans="1:33" ht="15" customHeight="1" x14ac:dyDescent="0.3">
      <c r="A99" s="28"/>
      <c r="B99" s="88"/>
      <c r="C99" s="23"/>
      <c r="D99" s="23"/>
      <c r="E99" s="23"/>
      <c r="F99" s="26"/>
      <c r="G99" s="26"/>
      <c r="H99" s="26"/>
      <c r="I99" s="26"/>
      <c r="J99" s="26"/>
      <c r="K99" s="18"/>
      <c r="L99" s="29"/>
      <c r="M99" s="30"/>
      <c r="N99" s="18"/>
      <c r="O99" s="43"/>
      <c r="P99" s="13"/>
      <c r="Q99" s="13"/>
      <c r="R99" s="13"/>
      <c r="S99" s="10"/>
      <c r="T99" s="10"/>
      <c r="U99" s="89"/>
      <c r="V99" s="11"/>
      <c r="W99" s="11"/>
      <c r="X99" s="89"/>
      <c r="Y99" s="12"/>
      <c r="Z99" s="12"/>
      <c r="AA99" s="12"/>
      <c r="AB99" s="12"/>
      <c r="AC99" s="12"/>
      <c r="AD99" s="89"/>
      <c r="AE99" s="13"/>
      <c r="AF99" s="13"/>
      <c r="AG99" s="18"/>
    </row>
    <row r="100" spans="1:33" ht="15" customHeight="1" x14ac:dyDescent="0.3">
      <c r="A100" s="28"/>
      <c r="B100" s="88"/>
      <c r="C100" s="23"/>
      <c r="D100" s="23"/>
      <c r="E100" s="23"/>
      <c r="F100" s="26"/>
      <c r="G100" s="26"/>
      <c r="H100" s="26"/>
      <c r="I100" s="26"/>
      <c r="J100" s="26"/>
      <c r="K100" s="18"/>
      <c r="L100" s="29"/>
      <c r="M100" s="30"/>
      <c r="N100" s="18"/>
      <c r="O100" s="43"/>
      <c r="P100" s="13"/>
      <c r="Q100" s="13"/>
      <c r="R100" s="13"/>
      <c r="S100" s="10"/>
      <c r="T100" s="10"/>
      <c r="U100" s="89"/>
      <c r="V100" s="11"/>
      <c r="W100" s="11"/>
      <c r="X100" s="89"/>
      <c r="Y100" s="12"/>
      <c r="Z100" s="12"/>
      <c r="AA100" s="12"/>
      <c r="AB100" s="12"/>
      <c r="AC100" s="12"/>
      <c r="AD100" s="89"/>
      <c r="AE100" s="13"/>
      <c r="AF100" s="13"/>
      <c r="AG100" s="18"/>
    </row>
    <row r="101" spans="1:33" ht="15" customHeight="1" x14ac:dyDescent="0.3">
      <c r="A101" s="28"/>
      <c r="B101" s="88"/>
      <c r="C101" s="23"/>
      <c r="D101" s="23"/>
      <c r="E101" s="23"/>
      <c r="F101" s="26"/>
      <c r="G101" s="26"/>
      <c r="H101" s="26"/>
      <c r="I101" s="26"/>
      <c r="J101" s="26"/>
      <c r="K101" s="18"/>
      <c r="L101" s="29"/>
      <c r="M101" s="30"/>
      <c r="N101" s="18"/>
      <c r="O101" s="43"/>
      <c r="P101" s="13"/>
      <c r="Q101" s="13"/>
      <c r="R101" s="13"/>
      <c r="S101" s="10"/>
      <c r="T101" s="10"/>
      <c r="U101" s="89"/>
      <c r="V101" s="11"/>
      <c r="W101" s="11"/>
      <c r="X101" s="89"/>
      <c r="Y101" s="12"/>
      <c r="Z101" s="12"/>
      <c r="AA101" s="12"/>
      <c r="AB101" s="12"/>
      <c r="AC101" s="12"/>
      <c r="AD101" s="89"/>
      <c r="AE101" s="13"/>
      <c r="AF101" s="13"/>
      <c r="AG101" s="18"/>
    </row>
    <row r="102" spans="1:33" ht="15" customHeight="1" x14ac:dyDescent="0.3">
      <c r="A102" s="28"/>
      <c r="B102" s="88"/>
      <c r="C102" s="23"/>
      <c r="D102" s="23"/>
      <c r="E102" s="23"/>
      <c r="F102" s="26"/>
      <c r="G102" s="26"/>
      <c r="H102" s="26"/>
      <c r="I102" s="26"/>
      <c r="J102" s="26"/>
      <c r="K102" s="18"/>
      <c r="L102" s="29"/>
      <c r="M102" s="30"/>
      <c r="N102" s="18"/>
      <c r="O102" s="43"/>
      <c r="P102" s="13"/>
      <c r="Q102" s="13"/>
      <c r="R102" s="13"/>
      <c r="S102" s="10"/>
      <c r="T102" s="10"/>
      <c r="U102" s="89"/>
      <c r="V102" s="11"/>
      <c r="W102" s="11"/>
      <c r="X102" s="89"/>
      <c r="Y102" s="12"/>
      <c r="Z102" s="12"/>
      <c r="AA102" s="12"/>
      <c r="AB102" s="12"/>
      <c r="AC102" s="12"/>
      <c r="AD102" s="89"/>
      <c r="AE102" s="13"/>
      <c r="AF102" s="13"/>
      <c r="AG102" s="18"/>
    </row>
    <row r="103" spans="1:33" ht="15" customHeight="1" x14ac:dyDescent="0.3">
      <c r="A103" s="28"/>
      <c r="B103" s="88"/>
      <c r="C103" s="23"/>
      <c r="D103" s="23"/>
      <c r="E103" s="23"/>
      <c r="F103" s="26"/>
      <c r="G103" s="26"/>
      <c r="H103" s="26"/>
      <c r="I103" s="26"/>
      <c r="J103" s="26"/>
      <c r="K103" s="18"/>
      <c r="L103" s="29"/>
      <c r="M103" s="30"/>
      <c r="N103" s="18"/>
      <c r="O103" s="43"/>
      <c r="P103" s="13"/>
      <c r="Q103" s="13"/>
      <c r="R103" s="13"/>
      <c r="S103" s="10"/>
      <c r="T103" s="10"/>
      <c r="U103" s="89"/>
      <c r="V103" s="11"/>
      <c r="W103" s="11"/>
      <c r="X103" s="89"/>
      <c r="Y103" s="12"/>
      <c r="Z103" s="12"/>
      <c r="AA103" s="12"/>
      <c r="AB103" s="12"/>
      <c r="AC103" s="12"/>
      <c r="AD103" s="89"/>
      <c r="AE103" s="13"/>
      <c r="AF103" s="13"/>
      <c r="AG103" s="18"/>
    </row>
    <row r="104" spans="1:33" ht="15" customHeight="1" x14ac:dyDescent="0.3">
      <c r="A104" s="28"/>
      <c r="B104" s="88"/>
      <c r="C104" s="23"/>
      <c r="D104" s="23"/>
      <c r="E104" s="23"/>
      <c r="F104" s="26"/>
      <c r="G104" s="26"/>
      <c r="H104" s="26"/>
      <c r="I104" s="26"/>
      <c r="J104" s="26"/>
      <c r="K104" s="18"/>
      <c r="L104" s="29"/>
      <c r="M104" s="30"/>
      <c r="N104" s="18"/>
      <c r="O104" s="43"/>
      <c r="P104" s="13"/>
      <c r="Q104" s="13"/>
      <c r="R104" s="13"/>
      <c r="S104" s="10"/>
      <c r="T104" s="10"/>
      <c r="U104" s="89"/>
      <c r="V104" s="11"/>
      <c r="W104" s="11"/>
      <c r="X104" s="89"/>
      <c r="Y104" s="12"/>
      <c r="Z104" s="12"/>
      <c r="AA104" s="12"/>
      <c r="AB104" s="12"/>
      <c r="AC104" s="12"/>
      <c r="AD104" s="89"/>
      <c r="AE104" s="13"/>
      <c r="AF104" s="13"/>
      <c r="AG104" s="18"/>
    </row>
    <row r="105" spans="1:33" ht="15" customHeight="1" x14ac:dyDescent="0.3">
      <c r="A105" s="28"/>
      <c r="B105" s="88"/>
      <c r="C105" s="23"/>
      <c r="D105" s="23"/>
      <c r="E105" s="23"/>
      <c r="F105" s="26"/>
      <c r="G105" s="26"/>
      <c r="H105" s="26"/>
      <c r="I105" s="26"/>
      <c r="J105" s="26"/>
      <c r="K105" s="18"/>
      <c r="L105" s="29"/>
      <c r="M105" s="30"/>
      <c r="N105" s="18"/>
      <c r="O105" s="43"/>
      <c r="P105" s="13"/>
      <c r="Q105" s="13"/>
      <c r="R105" s="13"/>
      <c r="S105" s="10"/>
      <c r="T105" s="10"/>
      <c r="U105" s="89"/>
      <c r="V105" s="11"/>
      <c r="W105" s="11"/>
      <c r="X105" s="89"/>
      <c r="Y105" s="12"/>
      <c r="Z105" s="12"/>
      <c r="AA105" s="12"/>
      <c r="AB105" s="12"/>
      <c r="AC105" s="12"/>
      <c r="AD105" s="89"/>
      <c r="AE105" s="13"/>
      <c r="AF105" s="13"/>
      <c r="AG105" s="18"/>
    </row>
    <row r="106" spans="1:33" ht="15" customHeight="1" x14ac:dyDescent="0.3">
      <c r="A106" s="28" t="s">
        <v>184</v>
      </c>
      <c r="B106" s="88" t="s">
        <v>185</v>
      </c>
      <c r="C106" s="23" t="b">
        <f>AND(A106=[1]TUTANAK!$D$6,P106="Tamamlandı")</f>
        <v>1</v>
      </c>
      <c r="D106" s="23"/>
      <c r="E106" s="23" t="str">
        <f t="shared" si="0"/>
        <v>KAZI-PÜS-H.ÇELİK</v>
      </c>
      <c r="F106" s="26" t="s">
        <v>179</v>
      </c>
      <c r="G106" s="26" t="s">
        <v>180</v>
      </c>
      <c r="H106" s="26" t="s">
        <v>24</v>
      </c>
      <c r="I106" s="26" t="s">
        <v>181</v>
      </c>
      <c r="J106" s="26" t="s">
        <v>182</v>
      </c>
      <c r="K106" s="18" t="s">
        <v>186</v>
      </c>
      <c r="L106" s="29">
        <v>46112</v>
      </c>
      <c r="M106" s="30">
        <v>1396.79</v>
      </c>
      <c r="N106" s="18" t="s">
        <v>28</v>
      </c>
      <c r="O106" s="43" t="s">
        <v>67</v>
      </c>
      <c r="P106" s="13" t="s">
        <v>30</v>
      </c>
      <c r="Q106" s="13" t="s">
        <v>82</v>
      </c>
      <c r="R106" s="13" t="s">
        <v>31</v>
      </c>
      <c r="S106" s="10"/>
      <c r="T106" s="10"/>
      <c r="U106" s="89"/>
      <c r="V106" s="11"/>
      <c r="W106" s="11"/>
      <c r="X106" s="89"/>
      <c r="Y106" s="12"/>
      <c r="Z106" s="12"/>
      <c r="AA106" s="12"/>
      <c r="AB106" s="12"/>
      <c r="AC106" s="12"/>
      <c r="AD106" s="89"/>
      <c r="AE106" s="13"/>
      <c r="AF106" s="13"/>
      <c r="AG106" s="18"/>
    </row>
    <row r="107" spans="1:33" ht="15" customHeight="1" x14ac:dyDescent="0.3">
      <c r="A107" s="28" t="s">
        <v>184</v>
      </c>
      <c r="B107" s="88" t="s">
        <v>185</v>
      </c>
      <c r="C107" s="23" t="b">
        <f>AND(A107=[1]TUTANAK!$D$6,P107="Tamamlandı")</f>
        <v>1</v>
      </c>
      <c r="D107" s="23"/>
      <c r="E107" s="23" t="str">
        <f t="shared" si="0"/>
        <v>KAZI-PÜS-H.ÇELİK</v>
      </c>
      <c r="F107" s="26" t="s">
        <v>179</v>
      </c>
      <c r="G107" s="26" t="s">
        <v>180</v>
      </c>
      <c r="H107" s="26" t="s">
        <v>24</v>
      </c>
      <c r="I107" s="26" t="s">
        <v>181</v>
      </c>
      <c r="J107" s="26" t="s">
        <v>182</v>
      </c>
      <c r="K107" s="18" t="s">
        <v>186</v>
      </c>
      <c r="L107" s="29">
        <v>46112</v>
      </c>
      <c r="M107" s="30">
        <v>1397.54</v>
      </c>
      <c r="N107" s="18" t="s">
        <v>28</v>
      </c>
      <c r="O107" s="43" t="s">
        <v>29</v>
      </c>
      <c r="P107" s="13" t="s">
        <v>30</v>
      </c>
      <c r="Q107" s="13" t="s">
        <v>82</v>
      </c>
      <c r="R107" s="13" t="s">
        <v>31</v>
      </c>
      <c r="S107" s="10"/>
      <c r="T107" s="10">
        <v>1</v>
      </c>
      <c r="U107" s="89"/>
      <c r="V107" s="11"/>
      <c r="W107" s="11"/>
      <c r="X107" s="89"/>
      <c r="Y107" s="12"/>
      <c r="Z107" s="12"/>
      <c r="AA107" s="12"/>
      <c r="AB107" s="12"/>
      <c r="AC107" s="12"/>
      <c r="AD107" s="89"/>
      <c r="AE107" s="13"/>
      <c r="AF107" s="13"/>
      <c r="AG107" s="18"/>
    </row>
    <row r="108" spans="1:33" ht="15" customHeight="1" x14ac:dyDescent="0.3">
      <c r="A108" s="28" t="s">
        <v>184</v>
      </c>
      <c r="B108" s="88" t="s">
        <v>185</v>
      </c>
      <c r="C108" s="23" t="b">
        <f>AND(A108=[1]TUTANAK!$D$6,P108="Tamamlandı")</f>
        <v>1</v>
      </c>
      <c r="D108" s="23"/>
      <c r="E108" s="23" t="str">
        <f t="shared" si="0"/>
        <v>KAZI-PÜS-H.ÇELİK</v>
      </c>
      <c r="F108" s="26" t="s">
        <v>179</v>
      </c>
      <c r="G108" s="26" t="s">
        <v>180</v>
      </c>
      <c r="H108" s="26" t="s">
        <v>24</v>
      </c>
      <c r="I108" s="26" t="s">
        <v>181</v>
      </c>
      <c r="J108" s="26" t="s">
        <v>182</v>
      </c>
      <c r="K108" s="18" t="s">
        <v>186</v>
      </c>
      <c r="L108" s="29">
        <v>46112</v>
      </c>
      <c r="M108" s="30">
        <v>1398.25</v>
      </c>
      <c r="N108" s="18" t="s">
        <v>28</v>
      </c>
      <c r="O108" s="43" t="s">
        <v>63</v>
      </c>
      <c r="P108" s="13" t="s">
        <v>30</v>
      </c>
      <c r="Q108" s="13" t="s">
        <v>82</v>
      </c>
      <c r="R108" s="13" t="s">
        <v>31</v>
      </c>
      <c r="S108" s="10"/>
      <c r="T108" s="10">
        <v>1</v>
      </c>
      <c r="U108" s="89"/>
      <c r="V108" s="11"/>
      <c r="W108" s="11"/>
      <c r="X108" s="89"/>
      <c r="Y108" s="12"/>
      <c r="Z108" s="12"/>
      <c r="AA108" s="12"/>
      <c r="AB108" s="12"/>
      <c r="AC108" s="12"/>
      <c r="AD108" s="89"/>
      <c r="AE108" s="13"/>
      <c r="AF108" s="13"/>
      <c r="AG108" s="18"/>
    </row>
    <row r="109" spans="1:33" ht="15" customHeight="1" x14ac:dyDescent="0.3">
      <c r="A109" s="28" t="s">
        <v>184</v>
      </c>
      <c r="B109" s="88" t="s">
        <v>185</v>
      </c>
      <c r="C109" s="23" t="b">
        <f>AND(A109=[1]TUTANAK!$D$6,P109="Tamamlandı")</f>
        <v>1</v>
      </c>
      <c r="D109" s="23"/>
      <c r="E109" s="23" t="str">
        <f t="shared" si="0"/>
        <v>KAZI-PÜS-H.ÇELİK</v>
      </c>
      <c r="F109" s="26" t="s">
        <v>179</v>
      </c>
      <c r="G109" s="26" t="s">
        <v>180</v>
      </c>
      <c r="H109" s="26" t="s">
        <v>24</v>
      </c>
      <c r="I109" s="26" t="s">
        <v>181</v>
      </c>
      <c r="J109" s="26" t="s">
        <v>182</v>
      </c>
      <c r="K109" s="18" t="s">
        <v>186</v>
      </c>
      <c r="L109" s="29">
        <v>46112</v>
      </c>
      <c r="M109" s="30">
        <v>1399.04</v>
      </c>
      <c r="N109" s="18" t="s">
        <v>28</v>
      </c>
      <c r="O109" s="43" t="s">
        <v>64</v>
      </c>
      <c r="P109" s="13" t="s">
        <v>30</v>
      </c>
      <c r="Q109" s="13" t="s">
        <v>82</v>
      </c>
      <c r="R109" s="13" t="s">
        <v>31</v>
      </c>
      <c r="S109" s="10"/>
      <c r="T109" s="10">
        <v>1</v>
      </c>
      <c r="U109" s="89"/>
      <c r="V109" s="11"/>
      <c r="W109" s="11"/>
      <c r="X109" s="89"/>
      <c r="Y109" s="12"/>
      <c r="Z109" s="12"/>
      <c r="AA109" s="12"/>
      <c r="AB109" s="12"/>
      <c r="AC109" s="12"/>
      <c r="AD109" s="89"/>
      <c r="AE109" s="13"/>
      <c r="AF109" s="13"/>
      <c r="AG109" s="18"/>
    </row>
    <row r="110" spans="1:33" ht="15" customHeight="1" x14ac:dyDescent="0.3">
      <c r="A110" s="28" t="s">
        <v>184</v>
      </c>
      <c r="B110" s="88" t="s">
        <v>185</v>
      </c>
      <c r="C110" s="23" t="b">
        <f>AND(A110=[1]TUTANAK!$D$6,P110="Tamamlandı")</f>
        <v>1</v>
      </c>
      <c r="D110" s="23"/>
      <c r="E110" s="23" t="str">
        <f t="shared" si="0"/>
        <v>KAZI-PÜS-H.ÇELİK</v>
      </c>
      <c r="F110" s="26" t="s">
        <v>179</v>
      </c>
      <c r="G110" s="26" t="s">
        <v>180</v>
      </c>
      <c r="H110" s="26" t="s">
        <v>24</v>
      </c>
      <c r="I110" s="26" t="s">
        <v>181</v>
      </c>
      <c r="J110" s="26" t="s">
        <v>182</v>
      </c>
      <c r="K110" s="18" t="s">
        <v>187</v>
      </c>
      <c r="L110" s="29">
        <v>46111</v>
      </c>
      <c r="M110" s="30">
        <v>1399.79</v>
      </c>
      <c r="N110" s="18" t="s">
        <v>28</v>
      </c>
      <c r="O110" s="43" t="s">
        <v>65</v>
      </c>
      <c r="P110" s="13" t="s">
        <v>30</v>
      </c>
      <c r="Q110" s="13" t="s">
        <v>82</v>
      </c>
      <c r="R110" s="13" t="s">
        <v>31</v>
      </c>
      <c r="S110" s="10"/>
      <c r="T110" s="10">
        <v>1</v>
      </c>
      <c r="U110" s="89"/>
      <c r="V110" s="11"/>
      <c r="W110" s="11"/>
      <c r="X110" s="89"/>
      <c r="Y110" s="12"/>
      <c r="Z110" s="12"/>
      <c r="AA110" s="12"/>
      <c r="AB110" s="12"/>
      <c r="AC110" s="12"/>
      <c r="AD110" s="89"/>
      <c r="AE110" s="13"/>
      <c r="AF110" s="13"/>
      <c r="AG110" s="18"/>
    </row>
    <row r="111" spans="1:33" ht="15" customHeight="1" x14ac:dyDescent="0.3">
      <c r="A111" s="28" t="s">
        <v>184</v>
      </c>
      <c r="B111" s="88" t="s">
        <v>185</v>
      </c>
      <c r="C111" s="23" t="b">
        <f>AND(A111=[1]TUTANAK!$D$6,P111="Tamamlandı")</f>
        <v>1</v>
      </c>
      <c r="D111" s="23"/>
      <c r="E111" s="23" t="str">
        <f t="shared" si="0"/>
        <v>KAZI-PÜS-H.ÇELİK</v>
      </c>
      <c r="F111" s="26" t="s">
        <v>179</v>
      </c>
      <c r="G111" s="26" t="s">
        <v>180</v>
      </c>
      <c r="H111" s="26" t="s">
        <v>24</v>
      </c>
      <c r="I111" s="26" t="s">
        <v>181</v>
      </c>
      <c r="J111" s="26" t="s">
        <v>182</v>
      </c>
      <c r="K111" s="18" t="s">
        <v>187</v>
      </c>
      <c r="L111" s="29">
        <v>46111</v>
      </c>
      <c r="M111" s="30">
        <v>1400.54</v>
      </c>
      <c r="N111" s="18" t="s">
        <v>28</v>
      </c>
      <c r="O111" s="43" t="s">
        <v>66</v>
      </c>
      <c r="P111" s="13" t="s">
        <v>30</v>
      </c>
      <c r="Q111" s="13" t="s">
        <v>82</v>
      </c>
      <c r="R111" s="13" t="s">
        <v>31</v>
      </c>
      <c r="S111" s="10"/>
      <c r="T111" s="10">
        <v>1</v>
      </c>
      <c r="U111" s="89"/>
      <c r="V111" s="11"/>
      <c r="W111" s="11"/>
      <c r="X111" s="89"/>
      <c r="Y111" s="12"/>
      <c r="Z111" s="12"/>
      <c r="AA111" s="12"/>
      <c r="AB111" s="12"/>
      <c r="AC111" s="12"/>
      <c r="AD111" s="89"/>
      <c r="AE111" s="13"/>
      <c r="AF111" s="13"/>
      <c r="AG111" s="18"/>
    </row>
    <row r="112" spans="1:33" ht="15" customHeight="1" x14ac:dyDescent="0.3">
      <c r="A112" s="28" t="s">
        <v>184</v>
      </c>
      <c r="B112" s="88" t="s">
        <v>185</v>
      </c>
      <c r="C112" s="23" t="b">
        <f>AND(A112=[1]TUTANAK!$D$6,P112="Tamamlandı")</f>
        <v>1</v>
      </c>
      <c r="D112" s="23"/>
      <c r="E112" s="23" t="str">
        <f t="shared" si="0"/>
        <v>KAZI-PÜS-H.ÇELİK</v>
      </c>
      <c r="F112" s="26" t="s">
        <v>179</v>
      </c>
      <c r="G112" s="26" t="s">
        <v>180</v>
      </c>
      <c r="H112" s="26" t="s">
        <v>24</v>
      </c>
      <c r="I112" s="26" t="s">
        <v>181</v>
      </c>
      <c r="J112" s="26" t="s">
        <v>182</v>
      </c>
      <c r="K112" s="18" t="s">
        <v>187</v>
      </c>
      <c r="L112" s="29">
        <v>46111</v>
      </c>
      <c r="M112" s="30">
        <v>1401.29</v>
      </c>
      <c r="N112" s="18" t="s">
        <v>28</v>
      </c>
      <c r="O112" s="43" t="s">
        <v>67</v>
      </c>
      <c r="P112" s="13" t="s">
        <v>30</v>
      </c>
      <c r="Q112" s="13" t="s">
        <v>82</v>
      </c>
      <c r="R112" s="13" t="s">
        <v>31</v>
      </c>
      <c r="S112" s="10"/>
      <c r="T112" s="10">
        <v>1</v>
      </c>
      <c r="U112" s="89"/>
      <c r="V112" s="11"/>
      <c r="W112" s="11"/>
      <c r="X112" s="89"/>
      <c r="Y112" s="12"/>
      <c r="Z112" s="12"/>
      <c r="AA112" s="12"/>
      <c r="AB112" s="12"/>
      <c r="AC112" s="12"/>
      <c r="AD112" s="89"/>
      <c r="AE112" s="13"/>
      <c r="AF112" s="13"/>
      <c r="AG112" s="18"/>
    </row>
    <row r="113" spans="1:33" ht="15" customHeight="1" x14ac:dyDescent="0.3">
      <c r="A113" s="28" t="s">
        <v>184</v>
      </c>
      <c r="B113" s="88" t="s">
        <v>185</v>
      </c>
      <c r="C113" s="23" t="b">
        <f>AND(A113=[1]TUTANAK!$D$6,P113="Tamamlandı")</f>
        <v>1</v>
      </c>
      <c r="D113" s="23"/>
      <c r="E113" s="23" t="str">
        <f t="shared" si="0"/>
        <v>KAZI-PÜS-H.ÇELİK</v>
      </c>
      <c r="F113" s="26" t="s">
        <v>179</v>
      </c>
      <c r="G113" s="26" t="s">
        <v>180</v>
      </c>
      <c r="H113" s="26" t="s">
        <v>24</v>
      </c>
      <c r="I113" s="26" t="s">
        <v>181</v>
      </c>
      <c r="J113" s="26" t="s">
        <v>182</v>
      </c>
      <c r="K113" s="18" t="s">
        <v>188</v>
      </c>
      <c r="L113" s="29">
        <v>46110</v>
      </c>
      <c r="M113" s="30">
        <v>1402.04</v>
      </c>
      <c r="N113" s="18" t="s">
        <v>28</v>
      </c>
      <c r="O113" s="43" t="s">
        <v>29</v>
      </c>
      <c r="P113" s="13" t="s">
        <v>30</v>
      </c>
      <c r="Q113" s="13" t="s">
        <v>82</v>
      </c>
      <c r="R113" s="13" t="s">
        <v>31</v>
      </c>
      <c r="S113" s="10"/>
      <c r="T113" s="10">
        <v>1</v>
      </c>
      <c r="U113" s="89"/>
      <c r="V113" s="11"/>
      <c r="W113" s="11"/>
      <c r="X113" s="89"/>
      <c r="Y113" s="12"/>
      <c r="Z113" s="12"/>
      <c r="AA113" s="12"/>
      <c r="AB113" s="12"/>
      <c r="AC113" s="12"/>
      <c r="AD113" s="89"/>
      <c r="AE113" s="13"/>
      <c r="AF113" s="13"/>
      <c r="AG113" s="18"/>
    </row>
    <row r="114" spans="1:33" ht="15" customHeight="1" x14ac:dyDescent="0.3">
      <c r="A114" s="28" t="s">
        <v>184</v>
      </c>
      <c r="B114" s="88" t="s">
        <v>185</v>
      </c>
      <c r="C114" s="23" t="b">
        <f>AND(A114=[1]TUTANAK!$D$6,P114="Tamamlandı")</f>
        <v>1</v>
      </c>
      <c r="D114" s="23"/>
      <c r="E114" s="23" t="str">
        <f t="shared" si="0"/>
        <v>KAZI-PÜS-H.ÇELİK</v>
      </c>
      <c r="F114" s="26" t="s">
        <v>179</v>
      </c>
      <c r="G114" s="26" t="s">
        <v>180</v>
      </c>
      <c r="H114" s="26" t="s">
        <v>24</v>
      </c>
      <c r="I114" s="26" t="s">
        <v>181</v>
      </c>
      <c r="J114" s="26" t="s">
        <v>182</v>
      </c>
      <c r="K114" s="18" t="s">
        <v>188</v>
      </c>
      <c r="L114" s="29">
        <v>46110</v>
      </c>
      <c r="M114" s="30">
        <v>1402.79</v>
      </c>
      <c r="N114" s="18" t="s">
        <v>28</v>
      </c>
      <c r="O114" s="43" t="s">
        <v>63</v>
      </c>
      <c r="P114" s="13" t="s">
        <v>30</v>
      </c>
      <c r="Q114" s="13" t="s">
        <v>82</v>
      </c>
      <c r="R114" s="13" t="s">
        <v>31</v>
      </c>
      <c r="S114" s="10"/>
      <c r="T114" s="10">
        <v>1</v>
      </c>
      <c r="U114" s="89"/>
      <c r="V114" s="11"/>
      <c r="W114" s="11"/>
      <c r="X114" s="89"/>
      <c r="Y114" s="12"/>
      <c r="Z114" s="12"/>
      <c r="AA114" s="12"/>
      <c r="AB114" s="12"/>
      <c r="AC114" s="12"/>
      <c r="AD114" s="89"/>
      <c r="AE114" s="13"/>
      <c r="AF114" s="13"/>
      <c r="AG114" s="18"/>
    </row>
    <row r="115" spans="1:33" ht="15" customHeight="1" x14ac:dyDescent="0.3">
      <c r="A115" s="28" t="s">
        <v>184</v>
      </c>
      <c r="B115" s="88" t="s">
        <v>185</v>
      </c>
      <c r="C115" s="23" t="b">
        <f>AND(A115=[1]TUTANAK!$D$6,P115="Tamamlandı")</f>
        <v>1</v>
      </c>
      <c r="D115" s="23"/>
      <c r="E115" s="23" t="str">
        <f t="shared" si="0"/>
        <v>KAZI-PÜS-H.ÇELİK</v>
      </c>
      <c r="F115" s="26" t="s">
        <v>179</v>
      </c>
      <c r="G115" s="26" t="s">
        <v>180</v>
      </c>
      <c r="H115" s="26" t="s">
        <v>24</v>
      </c>
      <c r="I115" s="26" t="s">
        <v>181</v>
      </c>
      <c r="J115" s="26" t="s">
        <v>182</v>
      </c>
      <c r="K115" s="18" t="s">
        <v>188</v>
      </c>
      <c r="L115" s="29">
        <v>46110</v>
      </c>
      <c r="M115" s="30">
        <v>1403.54</v>
      </c>
      <c r="N115" s="18" t="s">
        <v>28</v>
      </c>
      <c r="O115" s="43" t="s">
        <v>64</v>
      </c>
      <c r="P115" s="13" t="s">
        <v>30</v>
      </c>
      <c r="Q115" s="13" t="s">
        <v>82</v>
      </c>
      <c r="R115" s="13" t="s">
        <v>31</v>
      </c>
      <c r="S115" s="10"/>
      <c r="T115" s="10">
        <v>1</v>
      </c>
      <c r="U115" s="89"/>
      <c r="V115" s="11"/>
      <c r="W115" s="11"/>
      <c r="X115" s="89"/>
      <c r="Y115" s="12"/>
      <c r="Z115" s="12"/>
      <c r="AA115" s="12"/>
      <c r="AB115" s="12"/>
      <c r="AC115" s="12"/>
      <c r="AD115" s="89"/>
      <c r="AE115" s="13"/>
      <c r="AF115" s="13"/>
      <c r="AG115" s="18"/>
    </row>
    <row r="116" spans="1:33" ht="15" customHeight="1" x14ac:dyDescent="0.3">
      <c r="A116" s="28" t="s">
        <v>184</v>
      </c>
      <c r="B116" s="88" t="s">
        <v>185</v>
      </c>
      <c r="C116" s="23" t="b">
        <f>AND(A116=[1]TUTANAK!$D$6,P116="Tamamlandı")</f>
        <v>1</v>
      </c>
      <c r="D116" s="23"/>
      <c r="E116" s="23" t="str">
        <f t="shared" ref="E116:E151" si="7">+IF(OR(P116&lt;&gt;""),"KAZI-PÜS-H.ÇELİK",IF(AND(SUM(V116:W116)&gt;0,SUM(AE116:AF116)=0),"SÜREN",IF(SUM(Y116:AC116)&gt;0,"BULON",IF(SUM(AE116:AF116)&gt;0,"ZEMİN ÇİVİSİ"))))</f>
        <v>KAZI-PÜS-H.ÇELİK</v>
      </c>
      <c r="F116" s="26" t="s">
        <v>179</v>
      </c>
      <c r="G116" s="26" t="s">
        <v>180</v>
      </c>
      <c r="H116" s="26" t="s">
        <v>24</v>
      </c>
      <c r="I116" s="26" t="s">
        <v>181</v>
      </c>
      <c r="J116" s="26" t="s">
        <v>182</v>
      </c>
      <c r="K116" s="18" t="s">
        <v>189</v>
      </c>
      <c r="L116" s="29">
        <v>46109</v>
      </c>
      <c r="M116" s="30">
        <v>1404.29</v>
      </c>
      <c r="N116" s="18" t="s">
        <v>28</v>
      </c>
      <c r="O116" s="43" t="s">
        <v>65</v>
      </c>
      <c r="P116" s="13" t="s">
        <v>30</v>
      </c>
      <c r="Q116" s="13" t="s">
        <v>82</v>
      </c>
      <c r="R116" s="13" t="s">
        <v>31</v>
      </c>
      <c r="S116" s="10"/>
      <c r="T116" s="10">
        <v>1</v>
      </c>
      <c r="U116" s="89"/>
      <c r="V116" s="11"/>
      <c r="W116" s="11"/>
      <c r="X116" s="89"/>
      <c r="Y116" s="12"/>
      <c r="Z116" s="12"/>
      <c r="AA116" s="12"/>
      <c r="AB116" s="12"/>
      <c r="AC116" s="12"/>
      <c r="AD116" s="89"/>
      <c r="AE116" s="13"/>
      <c r="AF116" s="13"/>
      <c r="AG116" s="18"/>
    </row>
    <row r="117" spans="1:33" ht="15" customHeight="1" x14ac:dyDescent="0.3">
      <c r="A117" s="28" t="s">
        <v>184</v>
      </c>
      <c r="B117" s="88" t="s">
        <v>185</v>
      </c>
      <c r="C117" s="23" t="b">
        <f>AND(A117=[1]TUTANAK!$D$6,P117="Tamamlandı")</f>
        <v>1</v>
      </c>
      <c r="D117" s="23"/>
      <c r="E117" s="23" t="str">
        <f t="shared" si="7"/>
        <v>KAZI-PÜS-H.ÇELİK</v>
      </c>
      <c r="F117" s="26" t="s">
        <v>179</v>
      </c>
      <c r="G117" s="26" t="s">
        <v>180</v>
      </c>
      <c r="H117" s="26" t="s">
        <v>24</v>
      </c>
      <c r="I117" s="26" t="s">
        <v>181</v>
      </c>
      <c r="J117" s="26" t="s">
        <v>182</v>
      </c>
      <c r="K117" s="18" t="s">
        <v>189</v>
      </c>
      <c r="L117" s="29">
        <v>46109</v>
      </c>
      <c r="M117" s="30">
        <v>1405.04</v>
      </c>
      <c r="N117" s="18" t="s">
        <v>28</v>
      </c>
      <c r="O117" s="43" t="s">
        <v>66</v>
      </c>
      <c r="P117" s="13" t="s">
        <v>30</v>
      </c>
      <c r="Q117" s="13" t="s">
        <v>82</v>
      </c>
      <c r="R117" s="13" t="s">
        <v>31</v>
      </c>
      <c r="S117" s="10"/>
      <c r="T117" s="10">
        <v>1</v>
      </c>
      <c r="U117" s="89"/>
      <c r="V117" s="11"/>
      <c r="W117" s="11"/>
      <c r="X117" s="89"/>
      <c r="Y117" s="12"/>
      <c r="Z117" s="12"/>
      <c r="AA117" s="12"/>
      <c r="AB117" s="12"/>
      <c r="AC117" s="12"/>
      <c r="AD117" s="89"/>
      <c r="AE117" s="13"/>
      <c r="AF117" s="13"/>
      <c r="AG117" s="18"/>
    </row>
    <row r="118" spans="1:33" ht="15" customHeight="1" x14ac:dyDescent="0.3">
      <c r="A118" s="28" t="s">
        <v>184</v>
      </c>
      <c r="B118" s="88" t="s">
        <v>185</v>
      </c>
      <c r="C118" s="23" t="b">
        <f>AND(A118=[1]TUTANAK!$D$6,P118="Tamamlandı")</f>
        <v>1</v>
      </c>
      <c r="D118" s="23"/>
      <c r="E118" s="23" t="str">
        <f t="shared" si="7"/>
        <v>KAZI-PÜS-H.ÇELİK</v>
      </c>
      <c r="F118" s="26" t="s">
        <v>179</v>
      </c>
      <c r="G118" s="26" t="s">
        <v>180</v>
      </c>
      <c r="H118" s="26" t="s">
        <v>24</v>
      </c>
      <c r="I118" s="26" t="s">
        <v>181</v>
      </c>
      <c r="J118" s="26" t="s">
        <v>182</v>
      </c>
      <c r="K118" s="18" t="s">
        <v>189</v>
      </c>
      <c r="L118" s="29">
        <v>46109</v>
      </c>
      <c r="M118" s="30">
        <v>1405.79</v>
      </c>
      <c r="N118" s="18" t="s">
        <v>28</v>
      </c>
      <c r="O118" s="43" t="s">
        <v>67</v>
      </c>
      <c r="P118" s="13" t="s">
        <v>30</v>
      </c>
      <c r="Q118" s="13" t="s">
        <v>82</v>
      </c>
      <c r="R118" s="13" t="s">
        <v>31</v>
      </c>
      <c r="S118" s="10"/>
      <c r="T118" s="10">
        <v>1</v>
      </c>
      <c r="U118" s="89"/>
      <c r="V118" s="11"/>
      <c r="W118" s="11"/>
      <c r="X118" s="89"/>
      <c r="Y118" s="12"/>
      <c r="Z118" s="12"/>
      <c r="AA118" s="12"/>
      <c r="AB118" s="12"/>
      <c r="AC118" s="12"/>
      <c r="AD118" s="89"/>
      <c r="AE118" s="13"/>
      <c r="AF118" s="13"/>
      <c r="AG118" s="18"/>
    </row>
    <row r="119" spans="1:33" ht="15" customHeight="1" x14ac:dyDescent="0.3">
      <c r="A119" s="28" t="s">
        <v>184</v>
      </c>
      <c r="B119" s="88" t="s">
        <v>185</v>
      </c>
      <c r="C119" s="23" t="b">
        <f>AND(A119=[1]TUTANAK!$D$6,P119="Tamamlandı")</f>
        <v>1</v>
      </c>
      <c r="D119" s="23"/>
      <c r="E119" s="23" t="str">
        <f t="shared" si="7"/>
        <v>KAZI-PÜS-H.ÇELİK</v>
      </c>
      <c r="F119" s="26" t="s">
        <v>179</v>
      </c>
      <c r="G119" s="26" t="s">
        <v>180</v>
      </c>
      <c r="H119" s="26" t="s">
        <v>24</v>
      </c>
      <c r="I119" s="26" t="s">
        <v>181</v>
      </c>
      <c r="J119" s="26" t="s">
        <v>182</v>
      </c>
      <c r="K119" s="18" t="s">
        <v>190</v>
      </c>
      <c r="L119" s="29">
        <v>46108</v>
      </c>
      <c r="M119" s="30">
        <v>1406.54</v>
      </c>
      <c r="N119" s="18" t="s">
        <v>28</v>
      </c>
      <c r="O119" s="43" t="s">
        <v>29</v>
      </c>
      <c r="P119" s="13" t="s">
        <v>30</v>
      </c>
      <c r="Q119" s="13" t="s">
        <v>82</v>
      </c>
      <c r="R119" s="13" t="s">
        <v>31</v>
      </c>
      <c r="S119" s="10"/>
      <c r="T119" s="10">
        <v>1</v>
      </c>
      <c r="U119" s="89"/>
      <c r="V119" s="11"/>
      <c r="W119" s="11"/>
      <c r="X119" s="89"/>
      <c r="Y119" s="12"/>
      <c r="Z119" s="12"/>
      <c r="AA119" s="12"/>
      <c r="AB119" s="12"/>
      <c r="AC119" s="12"/>
      <c r="AD119" s="89"/>
      <c r="AE119" s="13"/>
      <c r="AF119" s="13"/>
      <c r="AG119" s="18"/>
    </row>
    <row r="120" spans="1:33" ht="15" customHeight="1" x14ac:dyDescent="0.3">
      <c r="A120" s="28" t="s">
        <v>184</v>
      </c>
      <c r="B120" s="88" t="s">
        <v>185</v>
      </c>
      <c r="C120" s="23" t="b">
        <f>AND(A120=[1]TUTANAK!$D$6,P120="Tamamlandı")</f>
        <v>1</v>
      </c>
      <c r="D120" s="23"/>
      <c r="E120" s="23" t="str">
        <f t="shared" si="7"/>
        <v>KAZI-PÜS-H.ÇELİK</v>
      </c>
      <c r="F120" s="26" t="s">
        <v>179</v>
      </c>
      <c r="G120" s="26" t="s">
        <v>180</v>
      </c>
      <c r="H120" s="26" t="s">
        <v>24</v>
      </c>
      <c r="I120" s="26" t="s">
        <v>181</v>
      </c>
      <c r="J120" s="26" t="s">
        <v>182</v>
      </c>
      <c r="K120" s="18" t="s">
        <v>190</v>
      </c>
      <c r="L120" s="29">
        <v>46108</v>
      </c>
      <c r="M120" s="30">
        <v>1407.29</v>
      </c>
      <c r="N120" s="18" t="s">
        <v>28</v>
      </c>
      <c r="O120" s="43" t="s">
        <v>63</v>
      </c>
      <c r="P120" s="13" t="s">
        <v>30</v>
      </c>
      <c r="Q120" s="13" t="s">
        <v>82</v>
      </c>
      <c r="R120" s="13" t="s">
        <v>31</v>
      </c>
      <c r="S120" s="10"/>
      <c r="T120" s="10">
        <v>1</v>
      </c>
      <c r="U120" s="89"/>
      <c r="V120" s="11"/>
      <c r="W120" s="11"/>
      <c r="X120" s="89"/>
      <c r="Y120" s="12"/>
      <c r="Z120" s="12"/>
      <c r="AA120" s="12"/>
      <c r="AB120" s="12"/>
      <c r="AC120" s="12"/>
      <c r="AD120" s="89"/>
      <c r="AE120" s="13"/>
      <c r="AF120" s="13"/>
      <c r="AG120" s="18"/>
    </row>
    <row r="121" spans="1:33" ht="15" customHeight="1" x14ac:dyDescent="0.3">
      <c r="A121" s="28" t="s">
        <v>184</v>
      </c>
      <c r="B121" s="88" t="s">
        <v>185</v>
      </c>
      <c r="C121" s="23" t="b">
        <f>AND(A121=[1]TUTANAK!$D$6,P121="Tamamlandı")</f>
        <v>1</v>
      </c>
      <c r="D121" s="23"/>
      <c r="E121" s="23" t="str">
        <f t="shared" si="7"/>
        <v>KAZI-PÜS-H.ÇELİK</v>
      </c>
      <c r="F121" s="26" t="s">
        <v>179</v>
      </c>
      <c r="G121" s="26" t="s">
        <v>180</v>
      </c>
      <c r="H121" s="26" t="s">
        <v>24</v>
      </c>
      <c r="I121" s="26" t="s">
        <v>181</v>
      </c>
      <c r="J121" s="26" t="s">
        <v>182</v>
      </c>
      <c r="K121" s="18" t="s">
        <v>190</v>
      </c>
      <c r="L121" s="29">
        <v>46108</v>
      </c>
      <c r="M121" s="30">
        <v>1408.04</v>
      </c>
      <c r="N121" s="18" t="s">
        <v>28</v>
      </c>
      <c r="O121" s="43" t="s">
        <v>64</v>
      </c>
      <c r="P121" s="13" t="s">
        <v>30</v>
      </c>
      <c r="Q121" s="13" t="s">
        <v>82</v>
      </c>
      <c r="R121" s="13" t="s">
        <v>31</v>
      </c>
      <c r="S121" s="10"/>
      <c r="T121" s="10">
        <v>1</v>
      </c>
      <c r="U121" s="89"/>
      <c r="V121" s="11"/>
      <c r="W121" s="11"/>
      <c r="X121" s="89"/>
      <c r="Y121" s="12"/>
      <c r="Z121" s="12"/>
      <c r="AA121" s="12"/>
      <c r="AB121" s="12"/>
      <c r="AC121" s="12"/>
      <c r="AD121" s="89"/>
      <c r="AE121" s="13"/>
      <c r="AF121" s="13"/>
      <c r="AG121" s="18"/>
    </row>
    <row r="122" spans="1:33" ht="15" customHeight="1" x14ac:dyDescent="0.3">
      <c r="A122" s="28" t="s">
        <v>184</v>
      </c>
      <c r="B122" s="88" t="s">
        <v>185</v>
      </c>
      <c r="C122" s="23" t="b">
        <f>AND(A122=[1]TUTANAK!$D$6,P122="Tamamlandı")</f>
        <v>1</v>
      </c>
      <c r="D122" s="23"/>
      <c r="E122" s="23" t="str">
        <f t="shared" si="7"/>
        <v>KAZI-PÜS-H.ÇELİK</v>
      </c>
      <c r="F122" s="26" t="s">
        <v>179</v>
      </c>
      <c r="G122" s="26" t="s">
        <v>180</v>
      </c>
      <c r="H122" s="26" t="s">
        <v>24</v>
      </c>
      <c r="I122" s="26" t="s">
        <v>181</v>
      </c>
      <c r="J122" s="26" t="s">
        <v>182</v>
      </c>
      <c r="K122" s="18" t="s">
        <v>191</v>
      </c>
      <c r="L122" s="29">
        <v>46108</v>
      </c>
      <c r="M122" s="30">
        <v>1408.79</v>
      </c>
      <c r="N122" s="18" t="s">
        <v>28</v>
      </c>
      <c r="O122" s="43" t="s">
        <v>65</v>
      </c>
      <c r="P122" s="13" t="s">
        <v>30</v>
      </c>
      <c r="Q122" s="13" t="s">
        <v>82</v>
      </c>
      <c r="R122" s="13" t="s">
        <v>31</v>
      </c>
      <c r="S122" s="10"/>
      <c r="T122" s="10">
        <v>1</v>
      </c>
      <c r="U122" s="89"/>
      <c r="V122" s="11"/>
      <c r="W122" s="11"/>
      <c r="X122" s="89"/>
      <c r="Y122" s="12"/>
      <c r="Z122" s="12"/>
      <c r="AA122" s="12"/>
      <c r="AB122" s="12"/>
      <c r="AC122" s="12"/>
      <c r="AD122" s="89"/>
      <c r="AE122" s="13"/>
      <c r="AF122" s="13"/>
      <c r="AG122" s="18"/>
    </row>
    <row r="123" spans="1:33" ht="15" customHeight="1" x14ac:dyDescent="0.3">
      <c r="A123" s="28" t="s">
        <v>184</v>
      </c>
      <c r="B123" s="88" t="s">
        <v>185</v>
      </c>
      <c r="C123" s="23" t="b">
        <f>AND(A123=[1]TUTANAK!$D$6,P123="Tamamlandı")</f>
        <v>1</v>
      </c>
      <c r="D123" s="23"/>
      <c r="E123" s="23" t="str">
        <f t="shared" si="7"/>
        <v>KAZI-PÜS-H.ÇELİK</v>
      </c>
      <c r="F123" s="26" t="s">
        <v>179</v>
      </c>
      <c r="G123" s="26" t="s">
        <v>180</v>
      </c>
      <c r="H123" s="26" t="s">
        <v>24</v>
      </c>
      <c r="I123" s="26" t="s">
        <v>181</v>
      </c>
      <c r="J123" s="26" t="s">
        <v>182</v>
      </c>
      <c r="K123" s="18" t="s">
        <v>191</v>
      </c>
      <c r="L123" s="29">
        <v>46108</v>
      </c>
      <c r="M123" s="30">
        <v>1409.54</v>
      </c>
      <c r="N123" s="18" t="s">
        <v>28</v>
      </c>
      <c r="O123" s="43" t="s">
        <v>66</v>
      </c>
      <c r="P123" s="13" t="s">
        <v>30</v>
      </c>
      <c r="Q123" s="13" t="s">
        <v>82</v>
      </c>
      <c r="R123" s="13" t="s">
        <v>31</v>
      </c>
      <c r="S123" s="10"/>
      <c r="T123" s="10">
        <v>1</v>
      </c>
      <c r="U123" s="89"/>
      <c r="V123" s="11"/>
      <c r="W123" s="11"/>
      <c r="X123" s="89"/>
      <c r="Y123" s="12"/>
      <c r="Z123" s="12"/>
      <c r="AA123" s="12"/>
      <c r="AB123" s="12"/>
      <c r="AC123" s="12"/>
      <c r="AD123" s="89"/>
      <c r="AE123" s="13"/>
      <c r="AF123" s="13"/>
      <c r="AG123" s="18"/>
    </row>
    <row r="124" spans="1:33" ht="15" customHeight="1" x14ac:dyDescent="0.3">
      <c r="A124" s="28" t="s">
        <v>184</v>
      </c>
      <c r="B124" s="88" t="s">
        <v>185</v>
      </c>
      <c r="C124" s="23" t="b">
        <f>AND(A124=[1]TUTANAK!$D$6,P124="Tamamlandı")</f>
        <v>1</v>
      </c>
      <c r="D124" s="23"/>
      <c r="E124" s="23" t="str">
        <f t="shared" si="7"/>
        <v>KAZI-PÜS-H.ÇELİK</v>
      </c>
      <c r="F124" s="26" t="s">
        <v>179</v>
      </c>
      <c r="G124" s="26" t="s">
        <v>180</v>
      </c>
      <c r="H124" s="26" t="s">
        <v>24</v>
      </c>
      <c r="I124" s="26" t="s">
        <v>181</v>
      </c>
      <c r="J124" s="26" t="s">
        <v>182</v>
      </c>
      <c r="K124" s="18" t="s">
        <v>191</v>
      </c>
      <c r="L124" s="29">
        <v>46108</v>
      </c>
      <c r="M124" s="30">
        <v>1410.29</v>
      </c>
      <c r="N124" s="18" t="s">
        <v>28</v>
      </c>
      <c r="O124" s="43" t="s">
        <v>67</v>
      </c>
      <c r="P124" s="13" t="s">
        <v>30</v>
      </c>
      <c r="Q124" s="13" t="s">
        <v>82</v>
      </c>
      <c r="R124" s="13" t="s">
        <v>31</v>
      </c>
      <c r="S124" s="10"/>
      <c r="T124" s="10">
        <v>1</v>
      </c>
      <c r="U124" s="89"/>
      <c r="V124" s="11"/>
      <c r="W124" s="11"/>
      <c r="X124" s="89"/>
      <c r="Y124" s="12"/>
      <c r="Z124" s="12"/>
      <c r="AA124" s="12"/>
      <c r="AB124" s="12"/>
      <c r="AC124" s="12"/>
      <c r="AD124" s="89"/>
      <c r="AE124" s="13"/>
      <c r="AF124" s="13"/>
      <c r="AG124" s="18"/>
    </row>
    <row r="125" spans="1:33" ht="15" customHeight="1" x14ac:dyDescent="0.3">
      <c r="A125" s="28" t="s">
        <v>184</v>
      </c>
      <c r="B125" s="88" t="s">
        <v>185</v>
      </c>
      <c r="C125" s="23" t="b">
        <f>AND(A125=[1]TUTANAK!$D$6,P125="Tamamlandı")</f>
        <v>1</v>
      </c>
      <c r="D125" s="23"/>
      <c r="E125" s="23" t="str">
        <f t="shared" si="7"/>
        <v>KAZI-PÜS-H.ÇELİK</v>
      </c>
      <c r="F125" s="26" t="s">
        <v>179</v>
      </c>
      <c r="G125" s="26" t="s">
        <v>180</v>
      </c>
      <c r="H125" s="26" t="s">
        <v>24</v>
      </c>
      <c r="I125" s="26" t="s">
        <v>181</v>
      </c>
      <c r="J125" s="26" t="s">
        <v>182</v>
      </c>
      <c r="K125" s="18" t="s">
        <v>192</v>
      </c>
      <c r="L125" s="29">
        <v>46106</v>
      </c>
      <c r="M125" s="30">
        <v>1411.04</v>
      </c>
      <c r="N125" s="18" t="s">
        <v>28</v>
      </c>
      <c r="O125" s="43" t="s">
        <v>29</v>
      </c>
      <c r="P125" s="13" t="s">
        <v>30</v>
      </c>
      <c r="Q125" s="13" t="s">
        <v>82</v>
      </c>
      <c r="R125" s="13" t="s">
        <v>31</v>
      </c>
      <c r="S125" s="10"/>
      <c r="T125" s="10">
        <v>1</v>
      </c>
      <c r="U125" s="89"/>
      <c r="V125" s="11"/>
      <c r="W125" s="11"/>
      <c r="X125" s="89"/>
      <c r="Y125" s="12"/>
      <c r="Z125" s="12"/>
      <c r="AA125" s="12"/>
      <c r="AB125" s="12"/>
      <c r="AC125" s="12"/>
      <c r="AD125" s="89"/>
      <c r="AE125" s="13"/>
      <c r="AF125" s="13"/>
      <c r="AG125" s="18"/>
    </row>
    <row r="126" spans="1:33" ht="15" customHeight="1" x14ac:dyDescent="0.3">
      <c r="A126" s="28" t="s">
        <v>184</v>
      </c>
      <c r="B126" s="88" t="s">
        <v>185</v>
      </c>
      <c r="C126" s="23" t="b">
        <f>AND(A126=[1]TUTANAK!$D$6,P126="Tamamlandı")</f>
        <v>1</v>
      </c>
      <c r="D126" s="23"/>
      <c r="E126" s="23" t="str">
        <f t="shared" si="7"/>
        <v>KAZI-PÜS-H.ÇELİK</v>
      </c>
      <c r="F126" s="26" t="s">
        <v>179</v>
      </c>
      <c r="G126" s="26" t="s">
        <v>180</v>
      </c>
      <c r="H126" s="26" t="s">
        <v>24</v>
      </c>
      <c r="I126" s="26" t="s">
        <v>181</v>
      </c>
      <c r="J126" s="26" t="s">
        <v>182</v>
      </c>
      <c r="K126" s="18" t="s">
        <v>192</v>
      </c>
      <c r="L126" s="29">
        <v>46106</v>
      </c>
      <c r="M126" s="30">
        <v>1411.79</v>
      </c>
      <c r="N126" s="18" t="s">
        <v>28</v>
      </c>
      <c r="O126" s="43" t="s">
        <v>63</v>
      </c>
      <c r="P126" s="13" t="s">
        <v>30</v>
      </c>
      <c r="Q126" s="13" t="s">
        <v>82</v>
      </c>
      <c r="R126" s="13" t="s">
        <v>31</v>
      </c>
      <c r="S126" s="10"/>
      <c r="T126" s="10">
        <v>1</v>
      </c>
      <c r="U126" s="89"/>
      <c r="V126" s="11"/>
      <c r="W126" s="11"/>
      <c r="X126" s="89"/>
      <c r="Y126" s="12"/>
      <c r="Z126" s="12"/>
      <c r="AA126" s="12"/>
      <c r="AB126" s="12"/>
      <c r="AC126" s="12"/>
      <c r="AD126" s="89"/>
      <c r="AE126" s="13"/>
      <c r="AF126" s="13"/>
      <c r="AG126" s="18"/>
    </row>
    <row r="127" spans="1:33" ht="15" customHeight="1" x14ac:dyDescent="0.3">
      <c r="A127" s="28" t="s">
        <v>184</v>
      </c>
      <c r="B127" s="88" t="s">
        <v>185</v>
      </c>
      <c r="C127" s="23" t="b">
        <f>AND(A127=[1]TUTANAK!$D$6,P127="Tamamlandı")</f>
        <v>1</v>
      </c>
      <c r="D127" s="23"/>
      <c r="E127" s="23" t="str">
        <f t="shared" si="7"/>
        <v>KAZI-PÜS-H.ÇELİK</v>
      </c>
      <c r="F127" s="26" t="s">
        <v>179</v>
      </c>
      <c r="G127" s="26" t="s">
        <v>180</v>
      </c>
      <c r="H127" s="26" t="s">
        <v>24</v>
      </c>
      <c r="I127" s="26" t="s">
        <v>181</v>
      </c>
      <c r="J127" s="26" t="s">
        <v>182</v>
      </c>
      <c r="K127" s="18" t="s">
        <v>192</v>
      </c>
      <c r="L127" s="29">
        <v>46106</v>
      </c>
      <c r="M127" s="30">
        <v>1412.54</v>
      </c>
      <c r="N127" s="18" t="s">
        <v>28</v>
      </c>
      <c r="O127" s="43" t="s">
        <v>64</v>
      </c>
      <c r="P127" s="13" t="s">
        <v>30</v>
      </c>
      <c r="Q127" s="13" t="s">
        <v>82</v>
      </c>
      <c r="R127" s="13" t="s">
        <v>31</v>
      </c>
      <c r="S127" s="10"/>
      <c r="T127" s="10">
        <v>1</v>
      </c>
      <c r="U127" s="89"/>
      <c r="V127" s="11"/>
      <c r="W127" s="11"/>
      <c r="X127" s="89"/>
      <c r="Y127" s="12"/>
      <c r="Z127" s="12"/>
      <c r="AA127" s="12"/>
      <c r="AB127" s="12"/>
      <c r="AC127" s="12"/>
      <c r="AD127" s="89"/>
      <c r="AE127" s="13"/>
      <c r="AF127" s="13"/>
      <c r="AG127" s="18"/>
    </row>
    <row r="128" spans="1:33" ht="15" customHeight="1" x14ac:dyDescent="0.3">
      <c r="A128" s="28" t="s">
        <v>184</v>
      </c>
      <c r="B128" s="88" t="s">
        <v>185</v>
      </c>
      <c r="C128" s="23" t="b">
        <f>AND(A128=[1]TUTANAK!$D$6,P128="Tamamlandı")</f>
        <v>1</v>
      </c>
      <c r="D128" s="23"/>
      <c r="E128" s="23" t="str">
        <f t="shared" si="7"/>
        <v>KAZI-PÜS-H.ÇELİK</v>
      </c>
      <c r="F128" s="26" t="s">
        <v>179</v>
      </c>
      <c r="G128" s="26" t="s">
        <v>180</v>
      </c>
      <c r="H128" s="26" t="s">
        <v>24</v>
      </c>
      <c r="I128" s="26" t="s">
        <v>181</v>
      </c>
      <c r="J128" s="26" t="s">
        <v>182</v>
      </c>
      <c r="K128" s="18" t="s">
        <v>193</v>
      </c>
      <c r="L128" s="29">
        <v>46105</v>
      </c>
      <c r="M128" s="30">
        <v>1413.29</v>
      </c>
      <c r="N128" s="18" t="s">
        <v>28</v>
      </c>
      <c r="O128" s="43" t="s">
        <v>65</v>
      </c>
      <c r="P128" s="13" t="s">
        <v>30</v>
      </c>
      <c r="Q128" s="13" t="s">
        <v>82</v>
      </c>
      <c r="R128" s="13" t="s">
        <v>31</v>
      </c>
      <c r="S128" s="10"/>
      <c r="T128" s="10">
        <v>1</v>
      </c>
      <c r="U128" s="89"/>
      <c r="V128" s="11"/>
      <c r="W128" s="11"/>
      <c r="X128" s="89"/>
      <c r="Y128" s="12"/>
      <c r="Z128" s="12"/>
      <c r="AA128" s="12"/>
      <c r="AB128" s="12"/>
      <c r="AC128" s="12"/>
      <c r="AD128" s="89"/>
      <c r="AE128" s="13"/>
      <c r="AF128" s="13"/>
      <c r="AG128" s="18"/>
    </row>
    <row r="129" spans="1:33" ht="15" customHeight="1" x14ac:dyDescent="0.3">
      <c r="A129" s="28" t="s">
        <v>184</v>
      </c>
      <c r="B129" s="88" t="s">
        <v>185</v>
      </c>
      <c r="C129" s="23" t="b">
        <f>AND(A129=[1]TUTANAK!$D$6,P129="Tamamlandı")</f>
        <v>1</v>
      </c>
      <c r="D129" s="23"/>
      <c r="E129" s="23" t="str">
        <f t="shared" si="7"/>
        <v>KAZI-PÜS-H.ÇELİK</v>
      </c>
      <c r="F129" s="26" t="s">
        <v>179</v>
      </c>
      <c r="G129" s="26" t="s">
        <v>180</v>
      </c>
      <c r="H129" s="26" t="s">
        <v>24</v>
      </c>
      <c r="I129" s="26" t="s">
        <v>181</v>
      </c>
      <c r="J129" s="26" t="s">
        <v>182</v>
      </c>
      <c r="K129" s="18" t="s">
        <v>193</v>
      </c>
      <c r="L129" s="29">
        <v>46105</v>
      </c>
      <c r="M129" s="30">
        <v>1414.04</v>
      </c>
      <c r="N129" s="18" t="s">
        <v>28</v>
      </c>
      <c r="O129" s="43" t="s">
        <v>66</v>
      </c>
      <c r="P129" s="13" t="s">
        <v>30</v>
      </c>
      <c r="Q129" s="13" t="s">
        <v>82</v>
      </c>
      <c r="R129" s="13" t="s">
        <v>31</v>
      </c>
      <c r="S129" s="10"/>
      <c r="T129" s="10">
        <v>1</v>
      </c>
      <c r="U129" s="89"/>
      <c r="V129" s="11"/>
      <c r="W129" s="11"/>
      <c r="X129" s="89"/>
      <c r="Y129" s="12"/>
      <c r="Z129" s="12"/>
      <c r="AA129" s="12"/>
      <c r="AB129" s="12"/>
      <c r="AC129" s="12"/>
      <c r="AD129" s="89"/>
      <c r="AE129" s="13"/>
      <c r="AF129" s="13"/>
      <c r="AG129" s="18"/>
    </row>
    <row r="130" spans="1:33" ht="15" customHeight="1" x14ac:dyDescent="0.3">
      <c r="A130" s="28" t="s">
        <v>184</v>
      </c>
      <c r="B130" s="88" t="s">
        <v>185</v>
      </c>
      <c r="C130" s="23" t="b">
        <f>AND(A130=[1]TUTANAK!$D$6,P130="Tamamlandı")</f>
        <v>1</v>
      </c>
      <c r="D130" s="23"/>
      <c r="E130" s="23" t="str">
        <f t="shared" si="7"/>
        <v>KAZI-PÜS-H.ÇELİK</v>
      </c>
      <c r="F130" s="26" t="s">
        <v>179</v>
      </c>
      <c r="G130" s="26" t="s">
        <v>180</v>
      </c>
      <c r="H130" s="26" t="s">
        <v>24</v>
      </c>
      <c r="I130" s="26" t="s">
        <v>181</v>
      </c>
      <c r="J130" s="26" t="s">
        <v>182</v>
      </c>
      <c r="K130" s="18" t="s">
        <v>193</v>
      </c>
      <c r="L130" s="29">
        <v>46105</v>
      </c>
      <c r="M130" s="30">
        <v>1414.79</v>
      </c>
      <c r="N130" s="18" t="s">
        <v>28</v>
      </c>
      <c r="O130" s="43" t="s">
        <v>67</v>
      </c>
      <c r="P130" s="13" t="s">
        <v>30</v>
      </c>
      <c r="Q130" s="13" t="s">
        <v>82</v>
      </c>
      <c r="R130" s="13" t="s">
        <v>31</v>
      </c>
      <c r="S130" s="10"/>
      <c r="T130" s="10">
        <v>1</v>
      </c>
      <c r="U130" s="89"/>
      <c r="V130" s="11"/>
      <c r="W130" s="11"/>
      <c r="X130" s="89"/>
      <c r="Y130" s="12"/>
      <c r="Z130" s="12"/>
      <c r="AA130" s="12"/>
      <c r="AB130" s="12"/>
      <c r="AC130" s="12"/>
      <c r="AD130" s="89"/>
      <c r="AE130" s="13"/>
      <c r="AF130" s="13"/>
      <c r="AG130" s="18"/>
    </row>
    <row r="131" spans="1:33" ht="15" customHeight="1" x14ac:dyDescent="0.3">
      <c r="A131" s="28" t="s">
        <v>184</v>
      </c>
      <c r="B131" s="88" t="s">
        <v>185</v>
      </c>
      <c r="C131" s="23" t="b">
        <f>AND(A131=[1]TUTANAK!$D$6,P131="Tamamlandı")</f>
        <v>1</v>
      </c>
      <c r="D131" s="23"/>
      <c r="E131" s="23" t="str">
        <f t="shared" si="7"/>
        <v>KAZI-PÜS-H.ÇELİK</v>
      </c>
      <c r="F131" s="26" t="s">
        <v>179</v>
      </c>
      <c r="G131" s="26" t="s">
        <v>180</v>
      </c>
      <c r="H131" s="26" t="s">
        <v>24</v>
      </c>
      <c r="I131" s="26" t="s">
        <v>181</v>
      </c>
      <c r="J131" s="26" t="s">
        <v>182</v>
      </c>
      <c r="K131" s="18" t="s">
        <v>194</v>
      </c>
      <c r="L131" s="29">
        <v>46104</v>
      </c>
      <c r="M131" s="30">
        <v>1415.54</v>
      </c>
      <c r="N131" s="18" t="s">
        <v>28</v>
      </c>
      <c r="O131" s="43" t="s">
        <v>29</v>
      </c>
      <c r="P131" s="13" t="s">
        <v>30</v>
      </c>
      <c r="Q131" s="13" t="s">
        <v>82</v>
      </c>
      <c r="R131" s="13" t="s">
        <v>31</v>
      </c>
      <c r="S131" s="10"/>
      <c r="T131" s="10">
        <v>1</v>
      </c>
      <c r="U131" s="89"/>
      <c r="V131" s="11"/>
      <c r="W131" s="11"/>
      <c r="X131" s="89"/>
      <c r="Y131" s="12"/>
      <c r="Z131" s="12"/>
      <c r="AA131" s="12"/>
      <c r="AB131" s="12"/>
      <c r="AC131" s="12"/>
      <c r="AD131" s="89"/>
      <c r="AE131" s="13"/>
      <c r="AF131" s="13"/>
      <c r="AG131" s="18"/>
    </row>
    <row r="132" spans="1:33" ht="15" customHeight="1" x14ac:dyDescent="0.3">
      <c r="A132" s="28" t="s">
        <v>184</v>
      </c>
      <c r="B132" s="88" t="s">
        <v>185</v>
      </c>
      <c r="C132" s="23" t="b">
        <f>AND(A132=[1]TUTANAK!$D$6,P132="Tamamlandı")</f>
        <v>1</v>
      </c>
      <c r="D132" s="23"/>
      <c r="E132" s="23" t="str">
        <f t="shared" si="7"/>
        <v>KAZI-PÜS-H.ÇELİK</v>
      </c>
      <c r="F132" s="26" t="s">
        <v>179</v>
      </c>
      <c r="G132" s="26" t="s">
        <v>180</v>
      </c>
      <c r="H132" s="26" t="s">
        <v>24</v>
      </c>
      <c r="I132" s="26" t="s">
        <v>181</v>
      </c>
      <c r="J132" s="26" t="s">
        <v>182</v>
      </c>
      <c r="K132" s="18" t="s">
        <v>194</v>
      </c>
      <c r="L132" s="29">
        <v>46104</v>
      </c>
      <c r="M132" s="30">
        <v>1416.29</v>
      </c>
      <c r="N132" s="18" t="s">
        <v>28</v>
      </c>
      <c r="O132" s="43" t="s">
        <v>63</v>
      </c>
      <c r="P132" s="13" t="s">
        <v>30</v>
      </c>
      <c r="Q132" s="13" t="s">
        <v>82</v>
      </c>
      <c r="R132" s="13" t="s">
        <v>31</v>
      </c>
      <c r="S132" s="10"/>
      <c r="T132" s="10">
        <v>1</v>
      </c>
      <c r="U132" s="89"/>
      <c r="V132" s="11"/>
      <c r="W132" s="11"/>
      <c r="X132" s="89"/>
      <c r="Y132" s="12"/>
      <c r="Z132" s="12"/>
      <c r="AA132" s="12"/>
      <c r="AB132" s="12"/>
      <c r="AC132" s="12"/>
      <c r="AD132" s="89"/>
      <c r="AE132" s="13"/>
      <c r="AF132" s="13"/>
      <c r="AG132" s="18"/>
    </row>
    <row r="133" spans="1:33" ht="15" customHeight="1" x14ac:dyDescent="0.3">
      <c r="A133" s="28" t="s">
        <v>184</v>
      </c>
      <c r="B133" s="88" t="s">
        <v>185</v>
      </c>
      <c r="C133" s="23" t="b">
        <f>AND(A133=[1]TUTANAK!$D$6,P133="Tamamlandı")</f>
        <v>1</v>
      </c>
      <c r="D133" s="23"/>
      <c r="E133" s="23" t="str">
        <f t="shared" si="7"/>
        <v>KAZI-PÜS-H.ÇELİK</v>
      </c>
      <c r="F133" s="26" t="s">
        <v>179</v>
      </c>
      <c r="G133" s="26" t="s">
        <v>180</v>
      </c>
      <c r="H133" s="26" t="s">
        <v>24</v>
      </c>
      <c r="I133" s="26" t="s">
        <v>181</v>
      </c>
      <c r="J133" s="26" t="s">
        <v>182</v>
      </c>
      <c r="K133" s="18" t="s">
        <v>194</v>
      </c>
      <c r="L133" s="29">
        <v>46104</v>
      </c>
      <c r="M133" s="30">
        <v>1417.04</v>
      </c>
      <c r="N133" s="18" t="s">
        <v>28</v>
      </c>
      <c r="O133" s="43" t="s">
        <v>64</v>
      </c>
      <c r="P133" s="13" t="s">
        <v>30</v>
      </c>
      <c r="Q133" s="13" t="s">
        <v>82</v>
      </c>
      <c r="R133" s="13" t="s">
        <v>31</v>
      </c>
      <c r="S133" s="10"/>
      <c r="T133" s="10">
        <v>1</v>
      </c>
      <c r="U133" s="89"/>
      <c r="V133" s="11"/>
      <c r="W133" s="11"/>
      <c r="X133" s="89"/>
      <c r="Y133" s="12"/>
      <c r="Z133" s="12"/>
      <c r="AA133" s="12"/>
      <c r="AB133" s="12"/>
      <c r="AC133" s="12"/>
      <c r="AD133" s="89"/>
      <c r="AE133" s="13"/>
      <c r="AF133" s="13"/>
      <c r="AG133" s="18"/>
    </row>
    <row r="134" spans="1:33" ht="15" customHeight="1" x14ac:dyDescent="0.3">
      <c r="A134" s="28" t="s">
        <v>184</v>
      </c>
      <c r="B134" s="88" t="s">
        <v>185</v>
      </c>
      <c r="C134" s="23" t="b">
        <f>AND(A134=[1]TUTANAK!$D$6,P134="Tamamlandı")</f>
        <v>1</v>
      </c>
      <c r="D134" s="23"/>
      <c r="E134" s="23" t="str">
        <f t="shared" si="7"/>
        <v>KAZI-PÜS-H.ÇELİK</v>
      </c>
      <c r="F134" s="26" t="s">
        <v>179</v>
      </c>
      <c r="G134" s="26" t="s">
        <v>180</v>
      </c>
      <c r="H134" s="26" t="s">
        <v>24</v>
      </c>
      <c r="I134" s="26" t="s">
        <v>181</v>
      </c>
      <c r="J134" s="26" t="s">
        <v>182</v>
      </c>
      <c r="K134" s="18" t="s">
        <v>195</v>
      </c>
      <c r="L134" s="29">
        <v>46098</v>
      </c>
      <c r="M134" s="30">
        <v>1417.79</v>
      </c>
      <c r="N134" s="18" t="s">
        <v>28</v>
      </c>
      <c r="O134" s="43" t="s">
        <v>65</v>
      </c>
      <c r="P134" s="13" t="s">
        <v>30</v>
      </c>
      <c r="Q134" s="13" t="s">
        <v>82</v>
      </c>
      <c r="R134" s="13" t="s">
        <v>31</v>
      </c>
      <c r="S134" s="10"/>
      <c r="T134" s="10">
        <v>1</v>
      </c>
      <c r="U134" s="89"/>
      <c r="V134" s="11"/>
      <c r="W134" s="11"/>
      <c r="X134" s="89"/>
      <c r="Y134" s="12"/>
      <c r="Z134" s="12"/>
      <c r="AA134" s="12"/>
      <c r="AB134" s="12"/>
      <c r="AC134" s="12"/>
      <c r="AD134" s="89"/>
      <c r="AE134" s="13"/>
      <c r="AF134" s="13"/>
      <c r="AG134" s="18"/>
    </row>
    <row r="135" spans="1:33" ht="15" customHeight="1" x14ac:dyDescent="0.3">
      <c r="A135" s="28" t="s">
        <v>184</v>
      </c>
      <c r="B135" s="88" t="s">
        <v>185</v>
      </c>
      <c r="C135" s="23" t="b">
        <f>AND(A135=[1]TUTANAK!$D$6,P135="Tamamlandı")</f>
        <v>1</v>
      </c>
      <c r="D135" s="23"/>
      <c r="E135" s="23" t="str">
        <f t="shared" si="7"/>
        <v>KAZI-PÜS-H.ÇELİK</v>
      </c>
      <c r="F135" s="26" t="s">
        <v>179</v>
      </c>
      <c r="G135" s="26" t="s">
        <v>180</v>
      </c>
      <c r="H135" s="26" t="s">
        <v>24</v>
      </c>
      <c r="I135" s="26" t="s">
        <v>181</v>
      </c>
      <c r="J135" s="26" t="s">
        <v>182</v>
      </c>
      <c r="K135" s="18" t="s">
        <v>195</v>
      </c>
      <c r="L135" s="29">
        <v>46098</v>
      </c>
      <c r="M135" s="30">
        <v>1418.54</v>
      </c>
      <c r="N135" s="18" t="s">
        <v>28</v>
      </c>
      <c r="O135" s="43" t="s">
        <v>66</v>
      </c>
      <c r="P135" s="13" t="s">
        <v>30</v>
      </c>
      <c r="Q135" s="13" t="s">
        <v>82</v>
      </c>
      <c r="R135" s="13" t="s">
        <v>31</v>
      </c>
      <c r="S135" s="10"/>
      <c r="T135" s="10">
        <v>1</v>
      </c>
      <c r="U135" s="89"/>
      <c r="V135" s="11"/>
      <c r="W135" s="11"/>
      <c r="X135" s="89"/>
      <c r="Y135" s="12"/>
      <c r="Z135" s="12"/>
      <c r="AA135" s="12"/>
      <c r="AB135" s="12"/>
      <c r="AC135" s="12"/>
      <c r="AD135" s="89"/>
      <c r="AE135" s="13"/>
      <c r="AF135" s="13"/>
      <c r="AG135" s="18"/>
    </row>
    <row r="136" spans="1:33" ht="15" customHeight="1" x14ac:dyDescent="0.3">
      <c r="A136" s="28" t="s">
        <v>184</v>
      </c>
      <c r="B136" s="88" t="s">
        <v>185</v>
      </c>
      <c r="C136" s="23" t="b">
        <f>AND(A136=[1]TUTANAK!$D$6,P136="Tamamlandı")</f>
        <v>1</v>
      </c>
      <c r="D136" s="23"/>
      <c r="E136" s="23" t="str">
        <f t="shared" si="7"/>
        <v>KAZI-PÜS-H.ÇELİK</v>
      </c>
      <c r="F136" s="26" t="s">
        <v>179</v>
      </c>
      <c r="G136" s="26" t="s">
        <v>180</v>
      </c>
      <c r="H136" s="26" t="s">
        <v>24</v>
      </c>
      <c r="I136" s="26" t="s">
        <v>181</v>
      </c>
      <c r="J136" s="26" t="s">
        <v>182</v>
      </c>
      <c r="K136" s="18" t="s">
        <v>195</v>
      </c>
      <c r="L136" s="29">
        <v>46098</v>
      </c>
      <c r="M136" s="30">
        <v>1419.29</v>
      </c>
      <c r="N136" s="18" t="s">
        <v>28</v>
      </c>
      <c r="O136" s="43" t="s">
        <v>67</v>
      </c>
      <c r="P136" s="13" t="s">
        <v>30</v>
      </c>
      <c r="Q136" s="13" t="s">
        <v>82</v>
      </c>
      <c r="R136" s="13" t="s">
        <v>31</v>
      </c>
      <c r="S136" s="10"/>
      <c r="T136" s="10">
        <v>1</v>
      </c>
      <c r="U136" s="89"/>
      <c r="V136" s="11"/>
      <c r="W136" s="11"/>
      <c r="X136" s="89"/>
      <c r="Y136" s="12"/>
      <c r="Z136" s="12"/>
      <c r="AA136" s="12"/>
      <c r="AB136" s="12"/>
      <c r="AC136" s="12"/>
      <c r="AD136" s="89"/>
      <c r="AE136" s="13"/>
      <c r="AF136" s="13"/>
      <c r="AG136" s="18"/>
    </row>
    <row r="137" spans="1:33" ht="15" customHeight="1" x14ac:dyDescent="0.3">
      <c r="A137" s="28" t="s">
        <v>184</v>
      </c>
      <c r="B137" s="88" t="s">
        <v>185</v>
      </c>
      <c r="C137" s="23" t="b">
        <f>AND(A137=[1]TUTANAK!$D$6,P137="Tamamlandı")</f>
        <v>1</v>
      </c>
      <c r="D137" s="23"/>
      <c r="E137" s="23" t="str">
        <f t="shared" si="7"/>
        <v>KAZI-PÜS-H.ÇELİK</v>
      </c>
      <c r="F137" s="26" t="s">
        <v>179</v>
      </c>
      <c r="G137" s="26" t="s">
        <v>180</v>
      </c>
      <c r="H137" s="26" t="s">
        <v>24</v>
      </c>
      <c r="I137" s="26" t="s">
        <v>181</v>
      </c>
      <c r="J137" s="26" t="s">
        <v>182</v>
      </c>
      <c r="K137" s="18" t="s">
        <v>196</v>
      </c>
      <c r="L137" s="29">
        <v>46097</v>
      </c>
      <c r="M137" s="30">
        <v>1420.04</v>
      </c>
      <c r="N137" s="18" t="s">
        <v>28</v>
      </c>
      <c r="O137" s="43" t="s">
        <v>29</v>
      </c>
      <c r="P137" s="13" t="s">
        <v>30</v>
      </c>
      <c r="Q137" s="13" t="s">
        <v>82</v>
      </c>
      <c r="R137" s="13" t="s">
        <v>31</v>
      </c>
      <c r="S137" s="10"/>
      <c r="T137" s="10">
        <v>1</v>
      </c>
      <c r="U137" s="89"/>
      <c r="V137" s="11"/>
      <c r="W137" s="11"/>
      <c r="X137" s="89"/>
      <c r="Y137" s="12"/>
      <c r="Z137" s="12"/>
      <c r="AA137" s="12"/>
      <c r="AB137" s="12"/>
      <c r="AC137" s="12"/>
      <c r="AD137" s="89"/>
      <c r="AE137" s="13"/>
      <c r="AF137" s="13"/>
      <c r="AG137" s="18"/>
    </row>
    <row r="138" spans="1:33" ht="15" customHeight="1" x14ac:dyDescent="0.3">
      <c r="A138" s="28" t="s">
        <v>184</v>
      </c>
      <c r="B138" s="88" t="s">
        <v>185</v>
      </c>
      <c r="C138" s="23" t="b">
        <f>AND(A138=[1]TUTANAK!$D$6,P138="Tamamlandı")</f>
        <v>1</v>
      </c>
      <c r="D138" s="23"/>
      <c r="E138" s="23" t="str">
        <f t="shared" si="7"/>
        <v>KAZI-PÜS-H.ÇELİK</v>
      </c>
      <c r="F138" s="26" t="s">
        <v>179</v>
      </c>
      <c r="G138" s="26" t="s">
        <v>180</v>
      </c>
      <c r="H138" s="26" t="s">
        <v>24</v>
      </c>
      <c r="I138" s="26" t="s">
        <v>181</v>
      </c>
      <c r="J138" s="26" t="s">
        <v>182</v>
      </c>
      <c r="K138" s="18" t="s">
        <v>196</v>
      </c>
      <c r="L138" s="29">
        <v>46097</v>
      </c>
      <c r="M138" s="30">
        <v>1420.79</v>
      </c>
      <c r="N138" s="18" t="s">
        <v>28</v>
      </c>
      <c r="O138" s="43" t="s">
        <v>63</v>
      </c>
      <c r="P138" s="13" t="s">
        <v>30</v>
      </c>
      <c r="Q138" s="13" t="s">
        <v>82</v>
      </c>
      <c r="R138" s="13" t="s">
        <v>31</v>
      </c>
      <c r="S138" s="10"/>
      <c r="T138" s="10">
        <v>1</v>
      </c>
      <c r="U138" s="89"/>
      <c r="V138" s="11"/>
      <c r="W138" s="11"/>
      <c r="X138" s="89"/>
      <c r="Y138" s="12"/>
      <c r="Z138" s="12"/>
      <c r="AA138" s="12"/>
      <c r="AB138" s="12"/>
      <c r="AC138" s="12"/>
      <c r="AD138" s="89"/>
      <c r="AE138" s="13"/>
      <c r="AF138" s="13"/>
      <c r="AG138" s="18"/>
    </row>
    <row r="139" spans="1:33" ht="15" customHeight="1" x14ac:dyDescent="0.3">
      <c r="A139" s="28" t="s">
        <v>184</v>
      </c>
      <c r="B139" s="88" t="s">
        <v>185</v>
      </c>
      <c r="C139" s="23" t="b">
        <f>AND(A139=[1]TUTANAK!$D$6,P139="Tamamlandı")</f>
        <v>1</v>
      </c>
      <c r="D139" s="23"/>
      <c r="E139" s="23" t="str">
        <f t="shared" si="7"/>
        <v>KAZI-PÜS-H.ÇELİK</v>
      </c>
      <c r="F139" s="26" t="s">
        <v>179</v>
      </c>
      <c r="G139" s="26" t="s">
        <v>180</v>
      </c>
      <c r="H139" s="26" t="s">
        <v>24</v>
      </c>
      <c r="I139" s="26" t="s">
        <v>181</v>
      </c>
      <c r="J139" s="26" t="s">
        <v>182</v>
      </c>
      <c r="K139" s="18" t="s">
        <v>196</v>
      </c>
      <c r="L139" s="29">
        <v>46097</v>
      </c>
      <c r="M139" s="30">
        <v>1421.54</v>
      </c>
      <c r="N139" s="18" t="s">
        <v>28</v>
      </c>
      <c r="O139" s="43" t="s">
        <v>64</v>
      </c>
      <c r="P139" s="13" t="s">
        <v>30</v>
      </c>
      <c r="Q139" s="13" t="s">
        <v>82</v>
      </c>
      <c r="R139" s="13" t="s">
        <v>31</v>
      </c>
      <c r="S139" s="10"/>
      <c r="T139" s="10">
        <v>1</v>
      </c>
      <c r="U139" s="89"/>
      <c r="V139" s="11"/>
      <c r="W139" s="11"/>
      <c r="X139" s="89"/>
      <c r="Y139" s="12"/>
      <c r="Z139" s="12"/>
      <c r="AA139" s="12"/>
      <c r="AB139" s="12"/>
      <c r="AC139" s="12"/>
      <c r="AD139" s="89"/>
      <c r="AE139" s="13"/>
      <c r="AF139" s="13"/>
      <c r="AG139" s="18"/>
    </row>
    <row r="140" spans="1:33" ht="15" customHeight="1" x14ac:dyDescent="0.3">
      <c r="A140" s="28" t="s">
        <v>184</v>
      </c>
      <c r="B140" s="88" t="s">
        <v>185</v>
      </c>
      <c r="C140" s="23" t="b">
        <f>AND(A140=[1]TUTANAK!$D$6,P140="Tamamlandı")</f>
        <v>1</v>
      </c>
      <c r="D140" s="23"/>
      <c r="E140" s="23" t="str">
        <f t="shared" si="7"/>
        <v>KAZI-PÜS-H.ÇELİK</v>
      </c>
      <c r="F140" s="26" t="s">
        <v>179</v>
      </c>
      <c r="G140" s="26" t="s">
        <v>180</v>
      </c>
      <c r="H140" s="26" t="s">
        <v>24</v>
      </c>
      <c r="I140" s="26" t="s">
        <v>181</v>
      </c>
      <c r="J140" s="26" t="s">
        <v>182</v>
      </c>
      <c r="K140" s="18" t="s">
        <v>197</v>
      </c>
      <c r="L140" s="29">
        <v>46096</v>
      </c>
      <c r="M140" s="30">
        <v>1422.29</v>
      </c>
      <c r="N140" s="18" t="s">
        <v>28</v>
      </c>
      <c r="O140" s="43" t="s">
        <v>65</v>
      </c>
      <c r="P140" s="13" t="s">
        <v>30</v>
      </c>
      <c r="Q140" s="13" t="s">
        <v>82</v>
      </c>
      <c r="R140" s="13" t="s">
        <v>31</v>
      </c>
      <c r="S140" s="10"/>
      <c r="T140" s="10">
        <v>1</v>
      </c>
      <c r="U140" s="89"/>
      <c r="V140" s="11"/>
      <c r="W140" s="11"/>
      <c r="X140" s="89"/>
      <c r="Y140" s="12"/>
      <c r="Z140" s="12"/>
      <c r="AA140" s="12"/>
      <c r="AB140" s="12"/>
      <c r="AC140" s="12"/>
      <c r="AD140" s="89"/>
      <c r="AE140" s="13"/>
      <c r="AF140" s="13"/>
      <c r="AG140" s="18"/>
    </row>
    <row r="141" spans="1:33" ht="15" customHeight="1" x14ac:dyDescent="0.3">
      <c r="A141" s="28" t="s">
        <v>184</v>
      </c>
      <c r="B141" s="88" t="s">
        <v>185</v>
      </c>
      <c r="C141" s="23" t="b">
        <f>AND(A141=[1]TUTANAK!$D$6,P141="Tamamlandı")</f>
        <v>1</v>
      </c>
      <c r="D141" s="23"/>
      <c r="E141" s="23" t="str">
        <f t="shared" si="7"/>
        <v>KAZI-PÜS-H.ÇELİK</v>
      </c>
      <c r="F141" s="26" t="s">
        <v>179</v>
      </c>
      <c r="G141" s="26" t="s">
        <v>180</v>
      </c>
      <c r="H141" s="26" t="s">
        <v>24</v>
      </c>
      <c r="I141" s="26" t="s">
        <v>181</v>
      </c>
      <c r="J141" s="26" t="s">
        <v>182</v>
      </c>
      <c r="K141" s="18" t="s">
        <v>197</v>
      </c>
      <c r="L141" s="29">
        <v>46096</v>
      </c>
      <c r="M141" s="30">
        <v>1423.04</v>
      </c>
      <c r="N141" s="18" t="s">
        <v>28</v>
      </c>
      <c r="O141" s="43" t="s">
        <v>66</v>
      </c>
      <c r="P141" s="13" t="s">
        <v>30</v>
      </c>
      <c r="Q141" s="13" t="s">
        <v>82</v>
      </c>
      <c r="R141" s="13" t="s">
        <v>31</v>
      </c>
      <c r="S141" s="10"/>
      <c r="T141" s="10">
        <v>1</v>
      </c>
      <c r="U141" s="89"/>
      <c r="V141" s="11"/>
      <c r="W141" s="11"/>
      <c r="X141" s="89"/>
      <c r="Y141" s="12"/>
      <c r="Z141" s="12"/>
      <c r="AA141" s="12"/>
      <c r="AB141" s="12"/>
      <c r="AC141" s="12"/>
      <c r="AD141" s="89"/>
      <c r="AE141" s="13"/>
      <c r="AF141" s="13"/>
      <c r="AG141" s="18"/>
    </row>
    <row r="142" spans="1:33" ht="15" customHeight="1" x14ac:dyDescent="0.3">
      <c r="A142" s="28" t="s">
        <v>184</v>
      </c>
      <c r="B142" s="88" t="s">
        <v>185</v>
      </c>
      <c r="C142" s="23" t="b">
        <f>AND(A142=[1]TUTANAK!$D$6,P142="Tamamlandı")</f>
        <v>1</v>
      </c>
      <c r="D142" s="23"/>
      <c r="E142" s="23" t="str">
        <f t="shared" si="7"/>
        <v>KAZI-PÜS-H.ÇELİK</v>
      </c>
      <c r="F142" s="26" t="s">
        <v>179</v>
      </c>
      <c r="G142" s="26" t="s">
        <v>180</v>
      </c>
      <c r="H142" s="26" t="s">
        <v>24</v>
      </c>
      <c r="I142" s="26" t="s">
        <v>181</v>
      </c>
      <c r="J142" s="26" t="s">
        <v>182</v>
      </c>
      <c r="K142" s="18" t="s">
        <v>197</v>
      </c>
      <c r="L142" s="29">
        <v>46096</v>
      </c>
      <c r="M142" s="30">
        <v>1423.79</v>
      </c>
      <c r="N142" s="18" t="s">
        <v>28</v>
      </c>
      <c r="O142" s="43" t="s">
        <v>67</v>
      </c>
      <c r="P142" s="13" t="s">
        <v>30</v>
      </c>
      <c r="Q142" s="13" t="s">
        <v>82</v>
      </c>
      <c r="R142" s="13" t="s">
        <v>31</v>
      </c>
      <c r="S142" s="10"/>
      <c r="T142" s="10">
        <v>1</v>
      </c>
      <c r="U142" s="89"/>
      <c r="V142" s="11"/>
      <c r="W142" s="11"/>
      <c r="X142" s="89"/>
      <c r="Y142" s="12"/>
      <c r="Z142" s="12"/>
      <c r="AA142" s="12"/>
      <c r="AB142" s="12"/>
      <c r="AC142" s="12"/>
      <c r="AD142" s="89"/>
      <c r="AE142" s="13"/>
      <c r="AF142" s="13"/>
      <c r="AG142" s="18"/>
    </row>
    <row r="143" spans="1:33" ht="15" customHeight="1" x14ac:dyDescent="0.3">
      <c r="A143" s="28" t="s">
        <v>184</v>
      </c>
      <c r="B143" s="88" t="s">
        <v>185</v>
      </c>
      <c r="C143" s="23" t="b">
        <f>AND(A143=[1]TUTANAK!$D$6,P143="Tamamlandı")</f>
        <v>1</v>
      </c>
      <c r="D143" s="23"/>
      <c r="E143" s="23" t="str">
        <f t="shared" si="7"/>
        <v>KAZI-PÜS-H.ÇELİK</v>
      </c>
      <c r="F143" s="26" t="s">
        <v>179</v>
      </c>
      <c r="G143" s="26" t="s">
        <v>180</v>
      </c>
      <c r="H143" s="26" t="s">
        <v>24</v>
      </c>
      <c r="I143" s="26" t="s">
        <v>181</v>
      </c>
      <c r="J143" s="26" t="s">
        <v>182</v>
      </c>
      <c r="K143" s="18" t="s">
        <v>198</v>
      </c>
      <c r="L143" s="29">
        <v>46095</v>
      </c>
      <c r="M143" s="30">
        <v>1424.54</v>
      </c>
      <c r="N143" s="18" t="s">
        <v>28</v>
      </c>
      <c r="O143" s="43" t="s">
        <v>29</v>
      </c>
      <c r="P143" s="13" t="s">
        <v>30</v>
      </c>
      <c r="Q143" s="13" t="s">
        <v>82</v>
      </c>
      <c r="R143" s="13" t="s">
        <v>31</v>
      </c>
      <c r="S143" s="10"/>
      <c r="T143" s="10">
        <v>1</v>
      </c>
      <c r="U143" s="89"/>
      <c r="V143" s="11"/>
      <c r="W143" s="11"/>
      <c r="X143" s="89"/>
      <c r="Y143" s="12"/>
      <c r="Z143" s="12"/>
      <c r="AA143" s="12"/>
      <c r="AB143" s="12"/>
      <c r="AC143" s="12"/>
      <c r="AD143" s="89"/>
      <c r="AE143" s="13"/>
      <c r="AF143" s="13"/>
      <c r="AG143" s="18"/>
    </row>
    <row r="144" spans="1:33" ht="15" customHeight="1" x14ac:dyDescent="0.3">
      <c r="A144" s="28" t="s">
        <v>184</v>
      </c>
      <c r="B144" s="88" t="s">
        <v>185</v>
      </c>
      <c r="C144" s="23" t="b">
        <f>AND(A144=[1]TUTANAK!$D$6,P144="Tamamlandı")</f>
        <v>1</v>
      </c>
      <c r="D144" s="23"/>
      <c r="E144" s="23" t="str">
        <f t="shared" si="7"/>
        <v>KAZI-PÜS-H.ÇELİK</v>
      </c>
      <c r="F144" s="26" t="s">
        <v>179</v>
      </c>
      <c r="G144" s="26" t="s">
        <v>180</v>
      </c>
      <c r="H144" s="26" t="s">
        <v>24</v>
      </c>
      <c r="I144" s="26" t="s">
        <v>181</v>
      </c>
      <c r="J144" s="26" t="s">
        <v>182</v>
      </c>
      <c r="K144" s="18" t="s">
        <v>198</v>
      </c>
      <c r="L144" s="29">
        <v>46095</v>
      </c>
      <c r="M144" s="30">
        <v>1425.29</v>
      </c>
      <c r="N144" s="18" t="s">
        <v>28</v>
      </c>
      <c r="O144" s="43" t="s">
        <v>63</v>
      </c>
      <c r="P144" s="13" t="s">
        <v>30</v>
      </c>
      <c r="Q144" s="13" t="s">
        <v>82</v>
      </c>
      <c r="R144" s="13" t="s">
        <v>31</v>
      </c>
      <c r="S144" s="10"/>
      <c r="T144" s="10">
        <v>1</v>
      </c>
      <c r="U144" s="89"/>
      <c r="V144" s="11"/>
      <c r="W144" s="11"/>
      <c r="X144" s="89"/>
      <c r="Y144" s="12"/>
      <c r="Z144" s="12"/>
      <c r="AA144" s="12"/>
      <c r="AB144" s="12"/>
      <c r="AC144" s="12"/>
      <c r="AD144" s="89"/>
      <c r="AE144" s="13"/>
      <c r="AF144" s="13"/>
      <c r="AG144" s="18"/>
    </row>
    <row r="145" spans="1:33" ht="15" customHeight="1" x14ac:dyDescent="0.3">
      <c r="A145" s="28" t="s">
        <v>184</v>
      </c>
      <c r="B145" s="88" t="s">
        <v>185</v>
      </c>
      <c r="C145" s="23" t="b">
        <f>AND(A145=[1]TUTANAK!$D$6,P145="Tamamlandı")</f>
        <v>1</v>
      </c>
      <c r="D145" s="23"/>
      <c r="E145" s="23" t="str">
        <f t="shared" si="7"/>
        <v>KAZI-PÜS-H.ÇELİK</v>
      </c>
      <c r="F145" s="26" t="s">
        <v>179</v>
      </c>
      <c r="G145" s="26" t="s">
        <v>180</v>
      </c>
      <c r="H145" s="26" t="s">
        <v>24</v>
      </c>
      <c r="I145" s="26" t="s">
        <v>181</v>
      </c>
      <c r="J145" s="26" t="s">
        <v>182</v>
      </c>
      <c r="K145" s="18" t="s">
        <v>198</v>
      </c>
      <c r="L145" s="29">
        <v>46095</v>
      </c>
      <c r="M145" s="30">
        <v>1426.04</v>
      </c>
      <c r="N145" s="18" t="s">
        <v>28</v>
      </c>
      <c r="O145" s="43" t="s">
        <v>64</v>
      </c>
      <c r="P145" s="13" t="s">
        <v>30</v>
      </c>
      <c r="Q145" s="13" t="s">
        <v>82</v>
      </c>
      <c r="R145" s="13" t="s">
        <v>31</v>
      </c>
      <c r="S145" s="10"/>
      <c r="T145" s="10">
        <v>1</v>
      </c>
      <c r="U145" s="89"/>
      <c r="V145" s="11"/>
      <c r="W145" s="11"/>
      <c r="X145" s="89"/>
      <c r="Y145" s="12"/>
      <c r="Z145" s="12"/>
      <c r="AA145" s="12"/>
      <c r="AB145" s="12"/>
      <c r="AC145" s="12"/>
      <c r="AD145" s="89"/>
      <c r="AE145" s="13"/>
      <c r="AF145" s="13"/>
      <c r="AG145" s="18"/>
    </row>
    <row r="146" spans="1:33" ht="15" customHeight="1" x14ac:dyDescent="0.3">
      <c r="A146" s="28" t="s">
        <v>184</v>
      </c>
      <c r="B146" s="88" t="s">
        <v>185</v>
      </c>
      <c r="C146" s="23" t="b">
        <f>AND(A146=[1]TUTANAK!$D$6,P146="Tamamlandı")</f>
        <v>1</v>
      </c>
      <c r="D146" s="23"/>
      <c r="E146" s="23" t="str">
        <f t="shared" si="7"/>
        <v>KAZI-PÜS-H.ÇELİK</v>
      </c>
      <c r="F146" s="26" t="s">
        <v>179</v>
      </c>
      <c r="G146" s="26" t="s">
        <v>180</v>
      </c>
      <c r="H146" s="26" t="s">
        <v>24</v>
      </c>
      <c r="I146" s="26" t="s">
        <v>181</v>
      </c>
      <c r="J146" s="26" t="s">
        <v>182</v>
      </c>
      <c r="K146" s="18" t="s">
        <v>183</v>
      </c>
      <c r="L146" s="29">
        <v>46094</v>
      </c>
      <c r="M146" s="30">
        <v>1426.79</v>
      </c>
      <c r="N146" s="18" t="s">
        <v>28</v>
      </c>
      <c r="O146" s="43" t="s">
        <v>65</v>
      </c>
      <c r="P146" s="13" t="s">
        <v>30</v>
      </c>
      <c r="Q146" s="13" t="s">
        <v>82</v>
      </c>
      <c r="R146" s="13" t="s">
        <v>31</v>
      </c>
      <c r="S146" s="10"/>
      <c r="T146" s="10">
        <v>1</v>
      </c>
      <c r="U146" s="89"/>
      <c r="V146" s="11"/>
      <c r="W146" s="11"/>
      <c r="X146" s="89"/>
      <c r="Y146" s="12"/>
      <c r="Z146" s="12"/>
      <c r="AA146" s="12"/>
      <c r="AB146" s="12"/>
      <c r="AC146" s="12"/>
      <c r="AD146" s="89"/>
      <c r="AE146" s="13"/>
      <c r="AF146" s="13"/>
      <c r="AG146" s="18"/>
    </row>
    <row r="147" spans="1:33" ht="15" customHeight="1" x14ac:dyDescent="0.3">
      <c r="A147" s="28" t="s">
        <v>184</v>
      </c>
      <c r="B147" s="88" t="s">
        <v>185</v>
      </c>
      <c r="C147" s="23" t="b">
        <f>AND(A147=[1]TUTANAK!$D$6,P147="Tamamlandı")</f>
        <v>1</v>
      </c>
      <c r="D147" s="23"/>
      <c r="E147" s="23" t="str">
        <f t="shared" si="7"/>
        <v>KAZI-PÜS-H.ÇELİK</v>
      </c>
      <c r="F147" s="26" t="s">
        <v>179</v>
      </c>
      <c r="G147" s="26" t="s">
        <v>180</v>
      </c>
      <c r="H147" s="26" t="s">
        <v>24</v>
      </c>
      <c r="I147" s="26" t="s">
        <v>181</v>
      </c>
      <c r="J147" s="26" t="s">
        <v>182</v>
      </c>
      <c r="K147" s="18" t="s">
        <v>183</v>
      </c>
      <c r="L147" s="29">
        <v>46094</v>
      </c>
      <c r="M147" s="30">
        <v>1427.54</v>
      </c>
      <c r="N147" s="18" t="s">
        <v>28</v>
      </c>
      <c r="O147" s="43" t="s">
        <v>66</v>
      </c>
      <c r="P147" s="13" t="s">
        <v>30</v>
      </c>
      <c r="Q147" s="13" t="s">
        <v>82</v>
      </c>
      <c r="R147" s="13" t="s">
        <v>31</v>
      </c>
      <c r="S147" s="10"/>
      <c r="T147" s="10">
        <v>1</v>
      </c>
      <c r="U147" s="89"/>
      <c r="V147" s="11"/>
      <c r="W147" s="11"/>
      <c r="X147" s="89"/>
      <c r="Y147" s="12"/>
      <c r="Z147" s="12"/>
      <c r="AA147" s="12"/>
      <c r="AB147" s="12"/>
      <c r="AC147" s="12"/>
      <c r="AD147" s="89"/>
      <c r="AE147" s="13"/>
      <c r="AF147" s="13"/>
      <c r="AG147" s="18"/>
    </row>
    <row r="148" spans="1:33" ht="15" customHeight="1" x14ac:dyDescent="0.3">
      <c r="A148" s="28" t="s">
        <v>184</v>
      </c>
      <c r="B148" s="88" t="s">
        <v>185</v>
      </c>
      <c r="C148" s="23" t="b">
        <f>AND(A148=[1]TUTANAK!$D$6,P148="Tamamlandı")</f>
        <v>1</v>
      </c>
      <c r="D148" s="23"/>
      <c r="E148" s="23" t="str">
        <f t="shared" si="7"/>
        <v>KAZI-PÜS-H.ÇELİK</v>
      </c>
      <c r="F148" s="26" t="s">
        <v>179</v>
      </c>
      <c r="G148" s="26" t="s">
        <v>180</v>
      </c>
      <c r="H148" s="26" t="s">
        <v>24</v>
      </c>
      <c r="I148" s="26" t="s">
        <v>181</v>
      </c>
      <c r="J148" s="26" t="s">
        <v>182</v>
      </c>
      <c r="K148" s="18" t="s">
        <v>183</v>
      </c>
      <c r="L148" s="29">
        <v>46094</v>
      </c>
      <c r="M148" s="30">
        <v>1428.29</v>
      </c>
      <c r="N148" s="18" t="s">
        <v>28</v>
      </c>
      <c r="O148" s="43" t="s">
        <v>67</v>
      </c>
      <c r="P148" s="13" t="s">
        <v>30</v>
      </c>
      <c r="Q148" s="13" t="s">
        <v>82</v>
      </c>
      <c r="R148" s="13" t="s">
        <v>31</v>
      </c>
      <c r="S148" s="10"/>
      <c r="T148" s="10">
        <v>1</v>
      </c>
      <c r="U148" s="89"/>
      <c r="V148" s="11"/>
      <c r="W148" s="11"/>
      <c r="X148" s="89"/>
      <c r="Y148" s="12"/>
      <c r="Z148" s="12"/>
      <c r="AA148" s="12"/>
      <c r="AB148" s="12"/>
      <c r="AC148" s="12"/>
      <c r="AD148" s="89"/>
      <c r="AE148" s="13"/>
      <c r="AF148" s="13"/>
      <c r="AG148" s="18"/>
    </row>
    <row r="149" spans="1:33" ht="15" customHeight="1" x14ac:dyDescent="0.3">
      <c r="A149" s="28" t="s">
        <v>184</v>
      </c>
      <c r="B149" s="88" t="s">
        <v>185</v>
      </c>
      <c r="C149" s="23" t="b">
        <f>AND(A149=[1]TUTANAK!$D$6,P149="Tamamlandı")</f>
        <v>1</v>
      </c>
      <c r="D149" s="23"/>
      <c r="E149" s="23" t="str">
        <f t="shared" si="7"/>
        <v>KAZI-PÜS-H.ÇELİK</v>
      </c>
      <c r="F149" s="26" t="s">
        <v>179</v>
      </c>
      <c r="G149" s="26" t="s">
        <v>180</v>
      </c>
      <c r="H149" s="26" t="s">
        <v>24</v>
      </c>
      <c r="I149" s="26" t="s">
        <v>181</v>
      </c>
      <c r="J149" s="26" t="s">
        <v>182</v>
      </c>
      <c r="K149" s="18" t="s">
        <v>199</v>
      </c>
      <c r="L149" s="29">
        <v>46093</v>
      </c>
      <c r="M149" s="30">
        <v>1429.04</v>
      </c>
      <c r="N149" s="18" t="s">
        <v>28</v>
      </c>
      <c r="O149" s="43" t="s">
        <v>29</v>
      </c>
      <c r="P149" s="13" t="s">
        <v>30</v>
      </c>
      <c r="Q149" s="13" t="s">
        <v>82</v>
      </c>
      <c r="R149" s="13" t="s">
        <v>31</v>
      </c>
      <c r="S149" s="10"/>
      <c r="T149" s="10">
        <v>1</v>
      </c>
      <c r="U149" s="89"/>
      <c r="V149" s="11"/>
      <c r="W149" s="11"/>
      <c r="X149" s="89"/>
      <c r="Y149" s="12"/>
      <c r="Z149" s="12"/>
      <c r="AA149" s="12"/>
      <c r="AB149" s="12"/>
      <c r="AC149" s="12"/>
      <c r="AD149" s="89"/>
      <c r="AE149" s="13"/>
      <c r="AF149" s="13"/>
      <c r="AG149" s="18"/>
    </row>
    <row r="150" spans="1:33" ht="15" customHeight="1" x14ac:dyDescent="0.3">
      <c r="A150" s="28" t="s">
        <v>184</v>
      </c>
      <c r="B150" s="88" t="s">
        <v>185</v>
      </c>
      <c r="C150" s="23" t="b">
        <f>AND(A150=[1]TUTANAK!$D$6,P150="Tamamlandı")</f>
        <v>1</v>
      </c>
      <c r="D150" s="23"/>
      <c r="E150" s="23" t="str">
        <f t="shared" si="7"/>
        <v>KAZI-PÜS-H.ÇELİK</v>
      </c>
      <c r="F150" s="26" t="s">
        <v>179</v>
      </c>
      <c r="G150" s="26" t="s">
        <v>180</v>
      </c>
      <c r="H150" s="26" t="s">
        <v>24</v>
      </c>
      <c r="I150" s="26" t="s">
        <v>181</v>
      </c>
      <c r="J150" s="26" t="s">
        <v>182</v>
      </c>
      <c r="K150" s="18" t="s">
        <v>199</v>
      </c>
      <c r="L150" s="29">
        <v>46093</v>
      </c>
      <c r="M150" s="30">
        <v>1429.79</v>
      </c>
      <c r="N150" s="18" t="s">
        <v>28</v>
      </c>
      <c r="O150" s="43" t="s">
        <v>63</v>
      </c>
      <c r="P150" s="13" t="s">
        <v>30</v>
      </c>
      <c r="Q150" s="13" t="s">
        <v>82</v>
      </c>
      <c r="R150" s="13" t="s">
        <v>31</v>
      </c>
      <c r="S150" s="10"/>
      <c r="T150" s="10">
        <v>1</v>
      </c>
      <c r="U150" s="89"/>
      <c r="V150" s="11"/>
      <c r="W150" s="11"/>
      <c r="X150" s="89"/>
      <c r="Y150" s="12"/>
      <c r="Z150" s="12"/>
      <c r="AA150" s="12"/>
      <c r="AB150" s="12"/>
      <c r="AC150" s="12"/>
      <c r="AD150" s="89"/>
      <c r="AE150" s="13"/>
      <c r="AF150" s="13"/>
      <c r="AG150" s="18"/>
    </row>
    <row r="151" spans="1:33" ht="15" customHeight="1" x14ac:dyDescent="0.3">
      <c r="A151" s="28" t="s">
        <v>184</v>
      </c>
      <c r="B151" s="88" t="s">
        <v>185</v>
      </c>
      <c r="C151" s="23" t="b">
        <f>AND(A151=[1]TUTANAK!$D$6,P151="Tamamlandı")</f>
        <v>1</v>
      </c>
      <c r="D151" s="23"/>
      <c r="E151" s="23" t="str">
        <f t="shared" si="7"/>
        <v>KAZI-PÜS-H.ÇELİK</v>
      </c>
      <c r="F151" s="26" t="s">
        <v>179</v>
      </c>
      <c r="G151" s="26" t="s">
        <v>180</v>
      </c>
      <c r="H151" s="26" t="s">
        <v>24</v>
      </c>
      <c r="I151" s="26" t="s">
        <v>181</v>
      </c>
      <c r="J151" s="26" t="s">
        <v>182</v>
      </c>
      <c r="K151" s="18" t="s">
        <v>199</v>
      </c>
      <c r="L151" s="29">
        <v>46093</v>
      </c>
      <c r="M151" s="30">
        <v>1430.54</v>
      </c>
      <c r="N151" s="18" t="s">
        <v>28</v>
      </c>
      <c r="O151" s="43" t="s">
        <v>64</v>
      </c>
      <c r="P151" s="13" t="s">
        <v>30</v>
      </c>
      <c r="Q151" s="13" t="s">
        <v>82</v>
      </c>
      <c r="R151" s="13" t="s">
        <v>31</v>
      </c>
      <c r="S151" s="10"/>
      <c r="T151" s="10">
        <v>1</v>
      </c>
      <c r="U151" s="89"/>
      <c r="V151" s="11"/>
      <c r="W151" s="11"/>
      <c r="X151" s="89"/>
      <c r="Y151" s="12"/>
      <c r="Z151" s="12"/>
      <c r="AA151" s="12"/>
      <c r="AB151" s="12"/>
      <c r="AC151" s="12"/>
      <c r="AD151" s="89"/>
      <c r="AE151" s="13"/>
      <c r="AF151" s="13"/>
      <c r="AG151" s="18"/>
    </row>
    <row r="153" spans="1:33" ht="15" customHeight="1" x14ac:dyDescent="0.3">
      <c r="A153" s="28" t="s">
        <v>184</v>
      </c>
      <c r="B153" s="88" t="s">
        <v>185</v>
      </c>
      <c r="C153" s="23" t="b">
        <f>AND(A153=[1]TUTANAK!$D$6,P153="Tamamlandı")</f>
        <v>1</v>
      </c>
      <c r="D153" s="23"/>
      <c r="E153" s="23" t="str">
        <f t="shared" ref="E153:E163" si="8">+IF(OR(P153&lt;&gt;""),"KAZI-PÜS-H.ÇELİK",IF(AND(SUM(V153:W153)&gt;0,SUM(AE153:AF153)=0),"SÜREN",IF(SUM(Y153:AC153)&gt;0,"BULON",IF(SUM(AE153:AF153)&gt;0,"ZEMİN ÇİVİSİ"))))</f>
        <v>KAZI-PÜS-H.ÇELİK</v>
      </c>
      <c r="F153" s="26" t="s">
        <v>179</v>
      </c>
      <c r="G153" s="26" t="s">
        <v>180</v>
      </c>
      <c r="H153" s="26" t="s">
        <v>24</v>
      </c>
      <c r="I153" s="26" t="s">
        <v>181</v>
      </c>
      <c r="J153" s="26" t="s">
        <v>182</v>
      </c>
      <c r="K153" s="18" t="s">
        <v>200</v>
      </c>
      <c r="L153" s="29">
        <v>46092</v>
      </c>
      <c r="M153" s="30">
        <v>1431.29</v>
      </c>
      <c r="N153" s="18" t="s">
        <v>28</v>
      </c>
      <c r="O153" s="43" t="s">
        <v>65</v>
      </c>
      <c r="P153" s="13" t="s">
        <v>30</v>
      </c>
      <c r="Q153" s="13" t="s">
        <v>82</v>
      </c>
      <c r="R153" s="13" t="s">
        <v>31</v>
      </c>
      <c r="S153" s="10"/>
      <c r="T153" s="10">
        <v>1</v>
      </c>
      <c r="U153" s="89"/>
      <c r="V153" s="11"/>
      <c r="W153" s="11"/>
      <c r="X153" s="89"/>
      <c r="Y153" s="12"/>
      <c r="Z153" s="12"/>
      <c r="AA153" s="12"/>
      <c r="AB153" s="12"/>
      <c r="AC153" s="12"/>
      <c r="AD153" s="89"/>
      <c r="AE153" s="13"/>
      <c r="AF153" s="13"/>
      <c r="AG153" s="18"/>
    </row>
    <row r="154" spans="1:33" ht="15" customHeight="1" x14ac:dyDescent="0.3">
      <c r="A154" s="28" t="s">
        <v>184</v>
      </c>
      <c r="B154" s="88" t="s">
        <v>185</v>
      </c>
      <c r="C154" s="23" t="b">
        <f>AND(A154=[1]TUTANAK!$D$6,P154="Tamamlandı")</f>
        <v>1</v>
      </c>
      <c r="D154" s="23"/>
      <c r="E154" s="23" t="str">
        <f t="shared" si="8"/>
        <v>KAZI-PÜS-H.ÇELİK</v>
      </c>
      <c r="F154" s="26" t="s">
        <v>179</v>
      </c>
      <c r="G154" s="26" t="s">
        <v>180</v>
      </c>
      <c r="H154" s="26" t="s">
        <v>24</v>
      </c>
      <c r="I154" s="26" t="s">
        <v>181</v>
      </c>
      <c r="J154" s="26" t="s">
        <v>182</v>
      </c>
      <c r="K154" s="18" t="s">
        <v>200</v>
      </c>
      <c r="L154" s="29">
        <v>46092</v>
      </c>
      <c r="M154" s="30">
        <v>1432.04</v>
      </c>
      <c r="N154" s="18" t="s">
        <v>28</v>
      </c>
      <c r="O154" s="43" t="s">
        <v>66</v>
      </c>
      <c r="P154" s="13" t="s">
        <v>30</v>
      </c>
      <c r="Q154" s="13" t="s">
        <v>82</v>
      </c>
      <c r="R154" s="13" t="s">
        <v>31</v>
      </c>
      <c r="S154" s="10"/>
      <c r="T154" s="10">
        <v>1</v>
      </c>
      <c r="U154" s="89"/>
      <c r="V154" s="11"/>
      <c r="W154" s="11"/>
      <c r="X154" s="89"/>
      <c r="Y154" s="12"/>
      <c r="Z154" s="12"/>
      <c r="AA154" s="12"/>
      <c r="AB154" s="12"/>
      <c r="AC154" s="12"/>
      <c r="AD154" s="89"/>
      <c r="AE154" s="13"/>
      <c r="AF154" s="13"/>
      <c r="AG154" s="18"/>
    </row>
    <row r="155" spans="1:33" ht="15" customHeight="1" x14ac:dyDescent="0.3">
      <c r="A155" s="28" t="s">
        <v>184</v>
      </c>
      <c r="B155" s="88" t="s">
        <v>185</v>
      </c>
      <c r="C155" s="23" t="b">
        <f>AND(A155=[1]TUTANAK!$D$6,P155="Tamamlandı")</f>
        <v>1</v>
      </c>
      <c r="D155" s="23"/>
      <c r="E155" s="23" t="str">
        <f t="shared" si="8"/>
        <v>KAZI-PÜS-H.ÇELİK</v>
      </c>
      <c r="F155" s="26" t="s">
        <v>179</v>
      </c>
      <c r="G155" s="26" t="s">
        <v>180</v>
      </c>
      <c r="H155" s="26" t="s">
        <v>24</v>
      </c>
      <c r="I155" s="26" t="s">
        <v>181</v>
      </c>
      <c r="J155" s="26" t="s">
        <v>182</v>
      </c>
      <c r="K155" s="18" t="s">
        <v>200</v>
      </c>
      <c r="L155" s="29">
        <v>46092</v>
      </c>
      <c r="M155" s="30">
        <v>1432.79</v>
      </c>
      <c r="N155" s="18" t="s">
        <v>28</v>
      </c>
      <c r="O155" s="43" t="s">
        <v>67</v>
      </c>
      <c r="P155" s="13" t="s">
        <v>30</v>
      </c>
      <c r="Q155" s="13" t="s">
        <v>82</v>
      </c>
      <c r="R155" s="13" t="s">
        <v>31</v>
      </c>
      <c r="S155" s="10"/>
      <c r="T155" s="10">
        <v>1</v>
      </c>
      <c r="U155" s="89"/>
      <c r="V155" s="11"/>
      <c r="W155" s="11"/>
      <c r="X155" s="89"/>
      <c r="Y155" s="12"/>
      <c r="Z155" s="12"/>
      <c r="AA155" s="12"/>
      <c r="AB155" s="12"/>
      <c r="AC155" s="12"/>
      <c r="AD155" s="89"/>
      <c r="AE155" s="13"/>
      <c r="AF155" s="13"/>
      <c r="AG155" s="18"/>
    </row>
    <row r="156" spans="1:33" ht="15" customHeight="1" x14ac:dyDescent="0.3">
      <c r="A156" s="28" t="s">
        <v>184</v>
      </c>
      <c r="B156" s="88" t="s">
        <v>185</v>
      </c>
      <c r="C156" s="23" t="b">
        <f>AND(A156=[1]TUTANAK!$D$6,P156="Tamamlandı")</f>
        <v>1</v>
      </c>
      <c r="D156" s="23"/>
      <c r="E156" s="23" t="str">
        <f t="shared" si="8"/>
        <v>KAZI-PÜS-H.ÇELİK</v>
      </c>
      <c r="F156" s="26" t="s">
        <v>179</v>
      </c>
      <c r="G156" s="26" t="s">
        <v>180</v>
      </c>
      <c r="H156" s="26" t="s">
        <v>24</v>
      </c>
      <c r="I156" s="26" t="s">
        <v>181</v>
      </c>
      <c r="J156" s="26" t="s">
        <v>182</v>
      </c>
      <c r="K156" s="18" t="s">
        <v>201</v>
      </c>
      <c r="L156" s="29">
        <v>46091</v>
      </c>
      <c r="M156" s="30">
        <v>1433.54</v>
      </c>
      <c r="N156" s="18" t="s">
        <v>28</v>
      </c>
      <c r="O156" s="43" t="s">
        <v>29</v>
      </c>
      <c r="P156" s="13" t="s">
        <v>30</v>
      </c>
      <c r="Q156" s="13" t="s">
        <v>82</v>
      </c>
      <c r="R156" s="13" t="s">
        <v>31</v>
      </c>
      <c r="S156" s="10"/>
      <c r="T156" s="10">
        <v>1</v>
      </c>
      <c r="U156" s="89"/>
      <c r="V156" s="11"/>
      <c r="W156" s="11"/>
      <c r="X156" s="89"/>
      <c r="Y156" s="12"/>
      <c r="Z156" s="12"/>
      <c r="AA156" s="12"/>
      <c r="AB156" s="12"/>
      <c r="AC156" s="12"/>
      <c r="AD156" s="89"/>
      <c r="AE156" s="13"/>
      <c r="AF156" s="13"/>
      <c r="AG156" s="18"/>
    </row>
    <row r="157" spans="1:33" ht="15" customHeight="1" x14ac:dyDescent="0.3">
      <c r="A157" s="28" t="s">
        <v>184</v>
      </c>
      <c r="B157" s="88" t="s">
        <v>185</v>
      </c>
      <c r="C157" s="23" t="b">
        <f>AND(A157=[1]TUTANAK!$D$6,P157="Tamamlandı")</f>
        <v>1</v>
      </c>
      <c r="D157" s="23"/>
      <c r="E157" s="23" t="str">
        <f t="shared" si="8"/>
        <v>KAZI-PÜS-H.ÇELİK</v>
      </c>
      <c r="F157" s="26" t="s">
        <v>179</v>
      </c>
      <c r="G157" s="26" t="s">
        <v>180</v>
      </c>
      <c r="H157" s="26" t="s">
        <v>24</v>
      </c>
      <c r="I157" s="26" t="s">
        <v>181</v>
      </c>
      <c r="J157" s="26" t="s">
        <v>182</v>
      </c>
      <c r="K157" s="18" t="s">
        <v>201</v>
      </c>
      <c r="L157" s="29">
        <v>46091</v>
      </c>
      <c r="M157" s="30">
        <v>1434.29</v>
      </c>
      <c r="N157" s="18" t="s">
        <v>28</v>
      </c>
      <c r="O157" s="43" t="s">
        <v>63</v>
      </c>
      <c r="P157" s="13" t="s">
        <v>30</v>
      </c>
      <c r="Q157" s="13" t="s">
        <v>82</v>
      </c>
      <c r="R157" s="13" t="s">
        <v>31</v>
      </c>
      <c r="S157" s="10"/>
      <c r="T157" s="10">
        <v>1</v>
      </c>
      <c r="U157" s="89"/>
      <c r="V157" s="11"/>
      <c r="W157" s="11"/>
      <c r="X157" s="89"/>
      <c r="Y157" s="12"/>
      <c r="Z157" s="12"/>
      <c r="AA157" s="12"/>
      <c r="AB157" s="12"/>
      <c r="AC157" s="12"/>
      <c r="AD157" s="89"/>
      <c r="AE157" s="13"/>
      <c r="AF157" s="13"/>
      <c r="AG157" s="18"/>
    </row>
    <row r="158" spans="1:33" ht="15" customHeight="1" x14ac:dyDescent="0.3">
      <c r="A158" s="28" t="s">
        <v>184</v>
      </c>
      <c r="B158" s="88" t="s">
        <v>185</v>
      </c>
      <c r="C158" s="23" t="b">
        <f>AND(A158=[1]TUTANAK!$D$6,P158="Tamamlandı")</f>
        <v>1</v>
      </c>
      <c r="D158" s="23"/>
      <c r="E158" s="23" t="str">
        <f t="shared" si="8"/>
        <v>KAZI-PÜS-H.ÇELİK</v>
      </c>
      <c r="F158" s="26" t="s">
        <v>179</v>
      </c>
      <c r="G158" s="26" t="s">
        <v>180</v>
      </c>
      <c r="H158" s="26" t="s">
        <v>24</v>
      </c>
      <c r="I158" s="26" t="s">
        <v>181</v>
      </c>
      <c r="J158" s="26" t="s">
        <v>182</v>
      </c>
      <c r="K158" s="18" t="s">
        <v>201</v>
      </c>
      <c r="L158" s="29">
        <v>46091</v>
      </c>
      <c r="M158" s="30">
        <v>1435.04</v>
      </c>
      <c r="N158" s="18" t="s">
        <v>28</v>
      </c>
      <c r="O158" s="43" t="s">
        <v>64</v>
      </c>
      <c r="P158" s="13" t="s">
        <v>30</v>
      </c>
      <c r="Q158" s="13" t="s">
        <v>82</v>
      </c>
      <c r="R158" s="13" t="s">
        <v>31</v>
      </c>
      <c r="S158" s="10"/>
      <c r="T158" s="10">
        <v>1</v>
      </c>
      <c r="U158" s="89"/>
      <c r="V158" s="11"/>
      <c r="W158" s="11"/>
      <c r="X158" s="89"/>
      <c r="Y158" s="12"/>
      <c r="Z158" s="12"/>
      <c r="AA158" s="12"/>
      <c r="AB158" s="12"/>
      <c r="AC158" s="12"/>
      <c r="AD158" s="89"/>
      <c r="AE158" s="13"/>
      <c r="AF158" s="13"/>
      <c r="AG158" s="18"/>
    </row>
    <row r="159" spans="1:33" ht="15" customHeight="1" x14ac:dyDescent="0.3">
      <c r="A159" s="28" t="s">
        <v>184</v>
      </c>
      <c r="B159" s="88" t="s">
        <v>185</v>
      </c>
      <c r="C159" s="23" t="b">
        <f>AND(A159=[1]TUTANAK!$D$6,P159="Tamamlandı")</f>
        <v>1</v>
      </c>
      <c r="D159" s="23"/>
      <c r="E159" s="23" t="str">
        <f t="shared" si="8"/>
        <v>KAZI-PÜS-H.ÇELİK</v>
      </c>
      <c r="F159" s="26" t="s">
        <v>179</v>
      </c>
      <c r="G159" s="26" t="s">
        <v>180</v>
      </c>
      <c r="H159" s="26" t="s">
        <v>24</v>
      </c>
      <c r="I159" s="26" t="s">
        <v>181</v>
      </c>
      <c r="J159" s="26" t="s">
        <v>182</v>
      </c>
      <c r="K159" s="18" t="s">
        <v>202</v>
      </c>
      <c r="L159" s="29">
        <v>46090</v>
      </c>
      <c r="M159" s="30">
        <v>1435.79</v>
      </c>
      <c r="N159" s="18" t="s">
        <v>28</v>
      </c>
      <c r="O159" s="43" t="s">
        <v>65</v>
      </c>
      <c r="P159" s="13" t="s">
        <v>30</v>
      </c>
      <c r="Q159" s="13" t="s">
        <v>82</v>
      </c>
      <c r="R159" s="13" t="s">
        <v>31</v>
      </c>
      <c r="S159" s="10"/>
      <c r="T159" s="10">
        <v>1</v>
      </c>
      <c r="U159" s="89"/>
      <c r="V159" s="11"/>
      <c r="W159" s="11"/>
      <c r="X159" s="89"/>
      <c r="Y159" s="12"/>
      <c r="Z159" s="12"/>
      <c r="AA159" s="12"/>
      <c r="AB159" s="12"/>
      <c r="AC159" s="12"/>
      <c r="AD159" s="89"/>
      <c r="AE159" s="13"/>
      <c r="AF159" s="13"/>
      <c r="AG159" s="18"/>
    </row>
    <row r="160" spans="1:33" ht="15" customHeight="1" x14ac:dyDescent="0.3">
      <c r="A160" s="28" t="s">
        <v>184</v>
      </c>
      <c r="B160" s="88" t="s">
        <v>185</v>
      </c>
      <c r="C160" s="23" t="b">
        <f>AND(A160=[1]TUTANAK!$D$6,P160="Tamamlandı")</f>
        <v>1</v>
      </c>
      <c r="D160" s="23"/>
      <c r="E160" s="23" t="str">
        <f t="shared" si="8"/>
        <v>KAZI-PÜS-H.ÇELİK</v>
      </c>
      <c r="F160" s="26" t="s">
        <v>179</v>
      </c>
      <c r="G160" s="26" t="s">
        <v>180</v>
      </c>
      <c r="H160" s="26" t="s">
        <v>24</v>
      </c>
      <c r="I160" s="26" t="s">
        <v>181</v>
      </c>
      <c r="J160" s="26" t="s">
        <v>182</v>
      </c>
      <c r="K160" s="18" t="s">
        <v>202</v>
      </c>
      <c r="L160" s="29">
        <v>46090</v>
      </c>
      <c r="M160" s="30">
        <v>1436.54</v>
      </c>
      <c r="N160" s="18" t="s">
        <v>28</v>
      </c>
      <c r="O160" s="43" t="s">
        <v>66</v>
      </c>
      <c r="P160" s="13" t="s">
        <v>30</v>
      </c>
      <c r="Q160" s="13" t="s">
        <v>82</v>
      </c>
      <c r="R160" s="13" t="s">
        <v>31</v>
      </c>
      <c r="S160" s="10"/>
      <c r="T160" s="10">
        <v>1</v>
      </c>
      <c r="U160" s="89"/>
      <c r="V160" s="11"/>
      <c r="W160" s="11"/>
      <c r="X160" s="89"/>
      <c r="Y160" s="12"/>
      <c r="Z160" s="12"/>
      <c r="AA160" s="12"/>
      <c r="AB160" s="12"/>
      <c r="AC160" s="12"/>
      <c r="AD160" s="89"/>
      <c r="AE160" s="13"/>
      <c r="AF160" s="13"/>
      <c r="AG160" s="18"/>
    </row>
    <row r="161" spans="1:33" ht="15" customHeight="1" x14ac:dyDescent="0.3">
      <c r="A161" s="28" t="s">
        <v>184</v>
      </c>
      <c r="B161" s="88" t="s">
        <v>185</v>
      </c>
      <c r="C161" s="23" t="b">
        <f>AND(A161=[1]TUTANAK!$D$6,P161="Tamamlandı")</f>
        <v>1</v>
      </c>
      <c r="D161" s="23"/>
      <c r="E161" s="23" t="str">
        <f t="shared" si="8"/>
        <v>KAZI-PÜS-H.ÇELİK</v>
      </c>
      <c r="F161" s="26" t="s">
        <v>179</v>
      </c>
      <c r="G161" s="26" t="s">
        <v>180</v>
      </c>
      <c r="H161" s="26" t="s">
        <v>24</v>
      </c>
      <c r="I161" s="26" t="s">
        <v>181</v>
      </c>
      <c r="J161" s="26" t="s">
        <v>182</v>
      </c>
      <c r="K161" s="18" t="s">
        <v>202</v>
      </c>
      <c r="L161" s="29">
        <v>46090</v>
      </c>
      <c r="M161" s="30">
        <v>1437.29</v>
      </c>
      <c r="N161" s="18" t="s">
        <v>28</v>
      </c>
      <c r="O161" s="43" t="s">
        <v>67</v>
      </c>
      <c r="P161" s="13" t="s">
        <v>30</v>
      </c>
      <c r="Q161" s="13" t="s">
        <v>82</v>
      </c>
      <c r="R161" s="13" t="s">
        <v>31</v>
      </c>
      <c r="S161" s="10"/>
      <c r="T161" s="10">
        <v>1</v>
      </c>
      <c r="U161" s="89"/>
      <c r="V161" s="11"/>
      <c r="W161" s="11"/>
      <c r="X161" s="89"/>
      <c r="Y161" s="12"/>
      <c r="Z161" s="12"/>
      <c r="AA161" s="12"/>
      <c r="AB161" s="12"/>
      <c r="AC161" s="12"/>
      <c r="AD161" s="89"/>
      <c r="AE161" s="13"/>
      <c r="AF161" s="13"/>
      <c r="AG161" s="18"/>
    </row>
    <row r="162" spans="1:33" ht="15" customHeight="1" x14ac:dyDescent="0.3">
      <c r="A162" s="28" t="s">
        <v>184</v>
      </c>
      <c r="B162" s="88" t="s">
        <v>185</v>
      </c>
      <c r="C162" s="23" t="b">
        <f>AND(A162=[1]TUTANAK!$D$6,P162="Tamamlandı")</f>
        <v>1</v>
      </c>
      <c r="D162" s="23"/>
      <c r="E162" s="23" t="str">
        <f t="shared" si="8"/>
        <v>KAZI-PÜS-H.ÇELİK</v>
      </c>
      <c r="F162" s="26" t="s">
        <v>179</v>
      </c>
      <c r="G162" s="26" t="s">
        <v>180</v>
      </c>
      <c r="H162" s="26" t="s">
        <v>24</v>
      </c>
      <c r="I162" s="26" t="s">
        <v>181</v>
      </c>
      <c r="J162" s="26" t="s">
        <v>182</v>
      </c>
      <c r="K162" s="18" t="s">
        <v>202</v>
      </c>
      <c r="L162" s="29">
        <v>46090</v>
      </c>
      <c r="M162" s="30">
        <v>1437.94</v>
      </c>
      <c r="N162" s="18" t="s">
        <v>28</v>
      </c>
      <c r="O162" s="43" t="s">
        <v>67</v>
      </c>
      <c r="P162" s="13" t="s">
        <v>30</v>
      </c>
      <c r="Q162" s="13" t="s">
        <v>82</v>
      </c>
      <c r="R162" s="13" t="s">
        <v>31</v>
      </c>
      <c r="S162" s="10"/>
      <c r="T162" s="10">
        <v>1</v>
      </c>
      <c r="U162" s="89"/>
      <c r="V162" s="11"/>
      <c r="W162" s="11"/>
      <c r="X162" s="89"/>
      <c r="Y162" s="12"/>
      <c r="Z162" s="12"/>
      <c r="AA162" s="12"/>
      <c r="AB162" s="12"/>
      <c r="AC162" s="12"/>
      <c r="AD162" s="89"/>
      <c r="AE162" s="13"/>
      <c r="AF162" s="13"/>
      <c r="AG162" s="18"/>
    </row>
    <row r="163" spans="1:33" ht="15" customHeight="1" x14ac:dyDescent="0.3">
      <c r="A163" s="28" t="s">
        <v>184</v>
      </c>
      <c r="B163" s="88" t="s">
        <v>185</v>
      </c>
      <c r="C163" s="23" t="b">
        <f>AND(A163=[1]TUTANAK!$D$6,P163="Tamamlandı")</f>
        <v>1</v>
      </c>
      <c r="D163" s="23"/>
      <c r="E163" s="23" t="str">
        <f t="shared" si="8"/>
        <v>KAZI-PÜS-H.ÇELİK</v>
      </c>
      <c r="F163" s="26" t="s">
        <v>179</v>
      </c>
      <c r="G163" s="26" t="s">
        <v>180</v>
      </c>
      <c r="H163" s="26" t="s">
        <v>24</v>
      </c>
      <c r="I163" s="26" t="s">
        <v>181</v>
      </c>
      <c r="J163" s="26" t="s">
        <v>182</v>
      </c>
      <c r="K163" s="18" t="s">
        <v>203</v>
      </c>
      <c r="L163" s="29">
        <v>46090</v>
      </c>
      <c r="M163" s="30">
        <v>1438.24</v>
      </c>
      <c r="N163" s="18" t="s">
        <v>28</v>
      </c>
      <c r="O163" s="43"/>
      <c r="P163" s="13" t="s">
        <v>30</v>
      </c>
      <c r="Q163" s="13" t="s">
        <v>82</v>
      </c>
      <c r="R163" s="13" t="s">
        <v>31</v>
      </c>
      <c r="S163" s="10"/>
      <c r="T163" s="10"/>
      <c r="U163" s="89"/>
      <c r="V163" s="11"/>
      <c r="W163" s="11"/>
      <c r="X163" s="89"/>
      <c r="Y163" s="12"/>
      <c r="Z163" s="12"/>
      <c r="AA163" s="12"/>
      <c r="AB163" s="12"/>
      <c r="AC163" s="12"/>
      <c r="AD163" s="89"/>
      <c r="AE163" s="13"/>
      <c r="AF163" s="13"/>
      <c r="AG163" s="18"/>
    </row>
    <row r="165" spans="1:33" ht="15" customHeight="1" x14ac:dyDescent="0.3">
      <c r="A165" s="28" t="s">
        <v>184</v>
      </c>
      <c r="B165" s="88" t="s">
        <v>185</v>
      </c>
      <c r="C165" s="23" t="b">
        <f>AND(A165=[1]TUTANAK!$D$6,P165="Tamamlandı")</f>
        <v>0</v>
      </c>
      <c r="D165" s="23"/>
      <c r="E165" s="23" t="str">
        <f t="shared" ref="E165:E173" si="9">+IF(OR(P165&lt;&gt;""),"KAZI-PÜS-H.ÇELİK",IF(AND(SUM(V165:W165)&gt;0,SUM(AE165:AF165)=0),"SÜREN",IF(SUM(Y165:AC165)&gt;0,"BULON",IF(SUM(AE165:AF165)&gt;0,"ZEMİN ÇİVİSİ"))))</f>
        <v>BULON</v>
      </c>
      <c r="F165" s="26" t="s">
        <v>179</v>
      </c>
      <c r="G165" s="26" t="s">
        <v>180</v>
      </c>
      <c r="H165" s="26" t="s">
        <v>24</v>
      </c>
      <c r="I165" s="26" t="s">
        <v>181</v>
      </c>
      <c r="J165" s="26" t="s">
        <v>182</v>
      </c>
      <c r="K165" s="18" t="s">
        <v>204</v>
      </c>
      <c r="L165" s="29">
        <v>46095</v>
      </c>
      <c r="M165" s="30">
        <v>1431.67</v>
      </c>
      <c r="N165" s="18">
        <v>0.75</v>
      </c>
      <c r="O165" s="43"/>
      <c r="P165" s="13"/>
      <c r="Q165" s="13"/>
      <c r="R165" s="13"/>
      <c r="S165" s="10"/>
      <c r="T165" s="10"/>
      <c r="U165" s="89"/>
      <c r="V165" s="11"/>
      <c r="W165" s="11"/>
      <c r="X165" s="89"/>
      <c r="Y165" s="12"/>
      <c r="Z165" s="12"/>
      <c r="AA165" s="12"/>
      <c r="AB165" s="12"/>
      <c r="AC165" s="12">
        <v>3</v>
      </c>
      <c r="AD165" s="89"/>
      <c r="AE165" s="13"/>
      <c r="AF165" s="13"/>
      <c r="AG165" s="18"/>
    </row>
    <row r="166" spans="1:33" ht="15" customHeight="1" x14ac:dyDescent="0.3">
      <c r="A166" s="28" t="s">
        <v>184</v>
      </c>
      <c r="B166" s="88" t="s">
        <v>185</v>
      </c>
      <c r="C166" s="23" t="b">
        <f>AND(A166=[1]TUTANAK!$D$6,P166="Tamamlandı")</f>
        <v>0</v>
      </c>
      <c r="D166" s="23"/>
      <c r="E166" s="23" t="str">
        <f t="shared" si="9"/>
        <v>BULON</v>
      </c>
      <c r="F166" s="26" t="s">
        <v>179</v>
      </c>
      <c r="G166" s="26" t="s">
        <v>180</v>
      </c>
      <c r="H166" s="26" t="s">
        <v>24</v>
      </c>
      <c r="I166" s="26" t="s">
        <v>181</v>
      </c>
      <c r="J166" s="26" t="s">
        <v>182</v>
      </c>
      <c r="K166" s="18" t="s">
        <v>204</v>
      </c>
      <c r="L166" s="29">
        <v>46095</v>
      </c>
      <c r="M166" s="30">
        <f>+M165+N165</f>
        <v>1432.42</v>
      </c>
      <c r="N166" s="18">
        <v>0.75</v>
      </c>
      <c r="O166" s="43"/>
      <c r="P166" s="13"/>
      <c r="Q166" s="13"/>
      <c r="R166" s="13"/>
      <c r="S166" s="10"/>
      <c r="T166" s="10"/>
      <c r="U166" s="89"/>
      <c r="V166" s="11"/>
      <c r="W166" s="11"/>
      <c r="X166" s="89"/>
      <c r="Y166" s="12"/>
      <c r="Z166" s="12"/>
      <c r="AA166" s="12"/>
      <c r="AB166" s="12"/>
      <c r="AC166" s="12">
        <v>3</v>
      </c>
      <c r="AD166" s="89"/>
      <c r="AE166" s="13"/>
      <c r="AF166" s="13"/>
      <c r="AG166" s="18"/>
    </row>
    <row r="167" spans="1:33" ht="15" customHeight="1" x14ac:dyDescent="0.3">
      <c r="A167" s="28" t="s">
        <v>184</v>
      </c>
      <c r="B167" s="88" t="s">
        <v>185</v>
      </c>
      <c r="C167" s="23" t="b">
        <f>AND(A167=[1]TUTANAK!$D$6,P167="Tamamlandı")</f>
        <v>0</v>
      </c>
      <c r="D167" s="23"/>
      <c r="E167" s="23" t="str">
        <f t="shared" si="9"/>
        <v>BULON</v>
      </c>
      <c r="F167" s="26" t="s">
        <v>179</v>
      </c>
      <c r="G167" s="26" t="s">
        <v>180</v>
      </c>
      <c r="H167" s="26" t="s">
        <v>24</v>
      </c>
      <c r="I167" s="26" t="s">
        <v>181</v>
      </c>
      <c r="J167" s="26" t="s">
        <v>182</v>
      </c>
      <c r="K167" s="18" t="s">
        <v>204</v>
      </c>
      <c r="L167" s="29">
        <v>46095</v>
      </c>
      <c r="M167" s="30">
        <f t="shared" ref="M167:M172" si="10">+M166+N166</f>
        <v>1433.17</v>
      </c>
      <c r="N167" s="18">
        <v>0.75</v>
      </c>
      <c r="O167" s="43"/>
      <c r="P167" s="13"/>
      <c r="Q167" s="13"/>
      <c r="R167" s="13"/>
      <c r="S167" s="10"/>
      <c r="T167" s="10"/>
      <c r="U167" s="89"/>
      <c r="V167" s="11"/>
      <c r="W167" s="11"/>
      <c r="X167" s="89"/>
      <c r="Y167" s="12"/>
      <c r="Z167" s="12"/>
      <c r="AA167" s="12"/>
      <c r="AB167" s="12"/>
      <c r="AC167" s="12">
        <v>3</v>
      </c>
      <c r="AD167" s="89"/>
      <c r="AE167" s="13"/>
      <c r="AF167" s="13"/>
      <c r="AG167" s="18"/>
    </row>
    <row r="168" spans="1:33" ht="15" customHeight="1" x14ac:dyDescent="0.3">
      <c r="A168" s="28" t="s">
        <v>184</v>
      </c>
      <c r="B168" s="88" t="s">
        <v>185</v>
      </c>
      <c r="C168" s="23" t="b">
        <f>AND(A168=[1]TUTANAK!$D$6,P168="Tamamlandı")</f>
        <v>0</v>
      </c>
      <c r="D168" s="23"/>
      <c r="E168" s="23" t="str">
        <f t="shared" si="9"/>
        <v>BULON</v>
      </c>
      <c r="F168" s="26" t="s">
        <v>179</v>
      </c>
      <c r="G168" s="26" t="s">
        <v>180</v>
      </c>
      <c r="H168" s="26" t="s">
        <v>24</v>
      </c>
      <c r="I168" s="26" t="s">
        <v>181</v>
      </c>
      <c r="J168" s="26" t="s">
        <v>182</v>
      </c>
      <c r="K168" s="18" t="s">
        <v>204</v>
      </c>
      <c r="L168" s="29">
        <v>46095</v>
      </c>
      <c r="M168" s="30">
        <f t="shared" si="10"/>
        <v>1433.92</v>
      </c>
      <c r="N168" s="18">
        <v>0.75</v>
      </c>
      <c r="O168" s="43"/>
      <c r="P168" s="13"/>
      <c r="Q168" s="13"/>
      <c r="R168" s="13"/>
      <c r="S168" s="10"/>
      <c r="T168" s="10"/>
      <c r="U168" s="89"/>
      <c r="V168" s="11"/>
      <c r="W168" s="11"/>
      <c r="X168" s="89"/>
      <c r="Y168" s="12"/>
      <c r="Z168" s="12"/>
      <c r="AA168" s="12"/>
      <c r="AB168" s="12"/>
      <c r="AC168" s="12">
        <v>3</v>
      </c>
      <c r="AD168" s="89"/>
      <c r="AE168" s="13"/>
      <c r="AF168" s="13"/>
      <c r="AG168" s="18"/>
    </row>
    <row r="169" spans="1:33" ht="15" customHeight="1" x14ac:dyDescent="0.3">
      <c r="A169" s="28" t="s">
        <v>184</v>
      </c>
      <c r="B169" s="88" t="s">
        <v>185</v>
      </c>
      <c r="C169" s="23" t="b">
        <f>AND(A169=[1]TUTANAK!$D$6,P169="Tamamlandı")</f>
        <v>0</v>
      </c>
      <c r="D169" s="23"/>
      <c r="E169" s="23" t="str">
        <f t="shared" si="9"/>
        <v>BULON</v>
      </c>
      <c r="F169" s="26" t="s">
        <v>179</v>
      </c>
      <c r="G169" s="26" t="s">
        <v>180</v>
      </c>
      <c r="H169" s="26" t="s">
        <v>24</v>
      </c>
      <c r="I169" s="26" t="s">
        <v>181</v>
      </c>
      <c r="J169" s="26" t="s">
        <v>182</v>
      </c>
      <c r="K169" s="18" t="s">
        <v>204</v>
      </c>
      <c r="L169" s="29">
        <v>46095</v>
      </c>
      <c r="M169" s="30">
        <f t="shared" si="10"/>
        <v>1434.67</v>
      </c>
      <c r="N169" s="18">
        <v>0.75</v>
      </c>
      <c r="O169" s="43"/>
      <c r="P169" s="13"/>
      <c r="Q169" s="13"/>
      <c r="R169" s="13"/>
      <c r="S169" s="10"/>
      <c r="T169" s="10"/>
      <c r="U169" s="89"/>
      <c r="V169" s="11"/>
      <c r="W169" s="11"/>
      <c r="X169" s="89"/>
      <c r="Y169" s="12"/>
      <c r="Z169" s="12"/>
      <c r="AA169" s="12"/>
      <c r="AB169" s="12"/>
      <c r="AC169" s="12">
        <v>3</v>
      </c>
      <c r="AD169" s="89"/>
      <c r="AE169" s="13"/>
      <c r="AF169" s="13"/>
      <c r="AG169" s="18"/>
    </row>
    <row r="170" spans="1:33" ht="15" customHeight="1" x14ac:dyDescent="0.3">
      <c r="A170" s="28" t="s">
        <v>184</v>
      </c>
      <c r="B170" s="88" t="s">
        <v>185</v>
      </c>
      <c r="C170" s="23" t="b">
        <f>AND(A170=[1]TUTANAK!$D$6,P170="Tamamlandı")</f>
        <v>0</v>
      </c>
      <c r="D170" s="23"/>
      <c r="E170" s="23" t="str">
        <f t="shared" si="9"/>
        <v>BULON</v>
      </c>
      <c r="F170" s="26" t="s">
        <v>179</v>
      </c>
      <c r="G170" s="26" t="s">
        <v>180</v>
      </c>
      <c r="H170" s="26" t="s">
        <v>24</v>
      </c>
      <c r="I170" s="26" t="s">
        <v>181</v>
      </c>
      <c r="J170" s="26" t="s">
        <v>182</v>
      </c>
      <c r="K170" s="18" t="s">
        <v>204</v>
      </c>
      <c r="L170" s="29">
        <v>46095</v>
      </c>
      <c r="M170" s="30">
        <f t="shared" si="10"/>
        <v>1435.42</v>
      </c>
      <c r="N170" s="18">
        <v>0.75</v>
      </c>
      <c r="O170" s="43"/>
      <c r="P170" s="13"/>
      <c r="Q170" s="13"/>
      <c r="R170" s="13"/>
      <c r="S170" s="10"/>
      <c r="T170" s="10"/>
      <c r="U170" s="89"/>
      <c r="V170" s="11"/>
      <c r="W170" s="11"/>
      <c r="X170" s="89"/>
      <c r="Y170" s="12"/>
      <c r="Z170" s="12"/>
      <c r="AA170" s="12"/>
      <c r="AB170" s="12"/>
      <c r="AC170" s="12">
        <v>3</v>
      </c>
      <c r="AD170" s="89"/>
      <c r="AE170" s="13"/>
      <c r="AF170" s="13"/>
      <c r="AG170" s="18"/>
    </row>
    <row r="171" spans="1:33" ht="15" customHeight="1" x14ac:dyDescent="0.3">
      <c r="A171" s="28" t="s">
        <v>184</v>
      </c>
      <c r="B171" s="88" t="s">
        <v>185</v>
      </c>
      <c r="C171" s="23" t="b">
        <f>AND(A171=[1]TUTANAK!$D$6,P171="Tamamlandı")</f>
        <v>0</v>
      </c>
      <c r="D171" s="23"/>
      <c r="E171" s="23" t="str">
        <f t="shared" si="9"/>
        <v>BULON</v>
      </c>
      <c r="F171" s="26" t="s">
        <v>179</v>
      </c>
      <c r="G171" s="26" t="s">
        <v>180</v>
      </c>
      <c r="H171" s="26" t="s">
        <v>24</v>
      </c>
      <c r="I171" s="26" t="s">
        <v>181</v>
      </c>
      <c r="J171" s="26" t="s">
        <v>182</v>
      </c>
      <c r="K171" s="18" t="s">
        <v>204</v>
      </c>
      <c r="L171" s="29">
        <v>46095</v>
      </c>
      <c r="M171" s="30">
        <f t="shared" si="10"/>
        <v>1436.17</v>
      </c>
      <c r="N171" s="18">
        <v>0.75</v>
      </c>
      <c r="O171" s="43"/>
      <c r="P171" s="13"/>
      <c r="Q171" s="13"/>
      <c r="R171" s="13"/>
      <c r="S171" s="10"/>
      <c r="T171" s="10"/>
      <c r="U171" s="89"/>
      <c r="V171" s="11"/>
      <c r="W171" s="11"/>
      <c r="X171" s="89"/>
      <c r="Y171" s="12"/>
      <c r="Z171" s="12"/>
      <c r="AA171" s="12"/>
      <c r="AB171" s="12"/>
      <c r="AC171" s="12">
        <v>3</v>
      </c>
      <c r="AD171" s="89"/>
      <c r="AE171" s="13"/>
      <c r="AF171" s="13"/>
      <c r="AG171" s="18"/>
    </row>
    <row r="172" spans="1:33" ht="15" customHeight="1" x14ac:dyDescent="0.3">
      <c r="A172" s="28" t="s">
        <v>184</v>
      </c>
      <c r="B172" s="88" t="s">
        <v>185</v>
      </c>
      <c r="C172" s="23" t="b">
        <f>AND(A172=[1]TUTANAK!$D$6,P172="Tamamlandı")</f>
        <v>0</v>
      </c>
      <c r="D172" s="23"/>
      <c r="E172" s="23" t="str">
        <f t="shared" si="9"/>
        <v>BULON</v>
      </c>
      <c r="F172" s="26" t="s">
        <v>179</v>
      </c>
      <c r="G172" s="26" t="s">
        <v>180</v>
      </c>
      <c r="H172" s="26" t="s">
        <v>24</v>
      </c>
      <c r="I172" s="26" t="s">
        <v>181</v>
      </c>
      <c r="J172" s="26" t="s">
        <v>182</v>
      </c>
      <c r="K172" s="18" t="s">
        <v>204</v>
      </c>
      <c r="L172" s="29">
        <v>46095</v>
      </c>
      <c r="M172" s="30">
        <f t="shared" si="10"/>
        <v>1436.92</v>
      </c>
      <c r="N172" s="18">
        <v>0.75</v>
      </c>
      <c r="O172" s="43"/>
      <c r="P172" s="13"/>
      <c r="Q172" s="13"/>
      <c r="R172" s="13"/>
      <c r="S172" s="10"/>
      <c r="T172" s="10"/>
      <c r="U172" s="89"/>
      <c r="V172" s="11"/>
      <c r="W172" s="11"/>
      <c r="X172" s="89"/>
      <c r="Y172" s="12"/>
      <c r="Z172" s="12"/>
      <c r="AA172" s="12"/>
      <c r="AB172" s="12"/>
      <c r="AC172" s="12">
        <v>3</v>
      </c>
      <c r="AD172" s="89"/>
      <c r="AE172" s="13"/>
      <c r="AF172" s="13"/>
      <c r="AG172" s="18"/>
    </row>
    <row r="173" spans="1:33" ht="15" customHeight="1" x14ac:dyDescent="0.3">
      <c r="A173" s="28" t="s">
        <v>184</v>
      </c>
      <c r="B173" s="88" t="s">
        <v>185</v>
      </c>
      <c r="C173" s="23" t="b">
        <f>AND(A173=[1]TUTANAK!$D$6,P173="Tamamlandı")</f>
        <v>0</v>
      </c>
      <c r="D173" s="23"/>
      <c r="E173" s="23" t="str">
        <f t="shared" si="9"/>
        <v>BULON</v>
      </c>
      <c r="F173" s="26" t="s">
        <v>179</v>
      </c>
      <c r="G173" s="26" t="s">
        <v>180</v>
      </c>
      <c r="H173" s="26" t="s">
        <v>24</v>
      </c>
      <c r="I173" s="26" t="s">
        <v>181</v>
      </c>
      <c r="J173" s="26" t="s">
        <v>182</v>
      </c>
      <c r="K173" s="18" t="s">
        <v>204</v>
      </c>
      <c r="L173" s="29">
        <v>46095</v>
      </c>
      <c r="M173" s="30">
        <v>1437.62</v>
      </c>
      <c r="N173" s="18">
        <v>0.75</v>
      </c>
      <c r="O173" s="43"/>
      <c r="P173" s="13"/>
      <c r="Q173" s="13"/>
      <c r="R173" s="13"/>
      <c r="S173" s="10"/>
      <c r="T173" s="10"/>
      <c r="U173" s="89"/>
      <c r="V173" s="11"/>
      <c r="W173" s="11"/>
      <c r="X173" s="89"/>
      <c r="Y173" s="12"/>
      <c r="Z173" s="12"/>
      <c r="AA173" s="12"/>
      <c r="AB173" s="12"/>
      <c r="AC173" s="12">
        <v>3</v>
      </c>
      <c r="AD173" s="89"/>
      <c r="AE173" s="13"/>
      <c r="AF173" s="13"/>
      <c r="AG173" s="18"/>
    </row>
    <row r="174" spans="1:33" ht="15" customHeight="1" x14ac:dyDescent="0.3">
      <c r="A174" s="28" t="s">
        <v>184</v>
      </c>
      <c r="B174" s="88" t="s">
        <v>185</v>
      </c>
      <c r="C174" s="23" t="b">
        <f>AND(A174=[1]TUTANAK!$D$6,P174="Tamamlandı")</f>
        <v>0</v>
      </c>
      <c r="D174" s="23"/>
      <c r="E174" s="23" t="str">
        <f t="shared" ref="E174:E186" si="11">+IF(OR(P174&lt;&gt;""),"KAZI-PÜS-H.ÇELİK",IF(AND(SUM(V174:W174)&gt;0,SUM(AE174:AF174)=0),"SÜREN",IF(SUM(Y174:AC174)&gt;0,"BULON",IF(SUM(AE174:AF174)&gt;0,"ZEMİN ÇİVİSİ"))))</f>
        <v>BULON</v>
      </c>
      <c r="F174" s="26" t="s">
        <v>179</v>
      </c>
      <c r="G174" s="26" t="s">
        <v>180</v>
      </c>
      <c r="H174" s="26" t="s">
        <v>24</v>
      </c>
      <c r="I174" s="26" t="s">
        <v>181</v>
      </c>
      <c r="J174" s="26" t="s">
        <v>182</v>
      </c>
      <c r="K174" s="18" t="s">
        <v>205</v>
      </c>
      <c r="L174" s="29">
        <v>46111</v>
      </c>
      <c r="M174" s="30">
        <v>1414.42</v>
      </c>
      <c r="N174" s="18">
        <v>0.75</v>
      </c>
      <c r="O174" s="43"/>
      <c r="P174" s="13"/>
      <c r="Q174" s="13"/>
      <c r="R174" s="13"/>
      <c r="S174" s="10"/>
      <c r="T174" s="10"/>
      <c r="U174" s="89"/>
      <c r="V174" s="11"/>
      <c r="W174" s="11"/>
      <c r="X174" s="89"/>
      <c r="Y174" s="12"/>
      <c r="Z174" s="12"/>
      <c r="AA174" s="12"/>
      <c r="AB174" s="12"/>
      <c r="AC174" s="12">
        <v>3</v>
      </c>
      <c r="AD174" s="89"/>
      <c r="AE174" s="13"/>
      <c r="AF174" s="13"/>
      <c r="AG174" s="18"/>
    </row>
    <row r="175" spans="1:33" ht="15" customHeight="1" x14ac:dyDescent="0.3">
      <c r="A175" s="28" t="s">
        <v>184</v>
      </c>
      <c r="B175" s="88" t="s">
        <v>185</v>
      </c>
      <c r="C175" s="23" t="b">
        <f>AND(A175=[1]TUTANAK!$D$6,P175="Tamamlandı")</f>
        <v>0</v>
      </c>
      <c r="D175" s="23"/>
      <c r="E175" s="23" t="str">
        <f t="shared" si="11"/>
        <v>BULON</v>
      </c>
      <c r="F175" s="26" t="s">
        <v>179</v>
      </c>
      <c r="G175" s="26" t="s">
        <v>180</v>
      </c>
      <c r="H175" s="26" t="s">
        <v>24</v>
      </c>
      <c r="I175" s="26" t="s">
        <v>181</v>
      </c>
      <c r="J175" s="26" t="s">
        <v>182</v>
      </c>
      <c r="K175" s="18" t="s">
        <v>205</v>
      </c>
      <c r="L175" s="29">
        <v>46111</v>
      </c>
      <c r="M175" s="30">
        <f>+M174+N174</f>
        <v>1415.17</v>
      </c>
      <c r="N175" s="18">
        <v>0.75</v>
      </c>
      <c r="O175" s="43"/>
      <c r="P175" s="13"/>
      <c r="Q175" s="13"/>
      <c r="R175" s="13"/>
      <c r="S175" s="10"/>
      <c r="T175" s="10"/>
      <c r="U175" s="89"/>
      <c r="V175" s="11"/>
      <c r="W175" s="11"/>
      <c r="X175" s="89"/>
      <c r="Y175" s="12"/>
      <c r="Z175" s="12"/>
      <c r="AA175" s="12"/>
      <c r="AB175" s="12"/>
      <c r="AC175" s="12">
        <v>3</v>
      </c>
      <c r="AD175" s="89"/>
      <c r="AE175" s="13"/>
      <c r="AF175" s="13"/>
      <c r="AG175" s="18"/>
    </row>
    <row r="176" spans="1:33" ht="15" customHeight="1" x14ac:dyDescent="0.3">
      <c r="A176" s="28" t="s">
        <v>184</v>
      </c>
      <c r="B176" s="88" t="s">
        <v>185</v>
      </c>
      <c r="C176" s="23" t="b">
        <f>AND(A176=[1]TUTANAK!$D$6,P176="Tamamlandı")</f>
        <v>0</v>
      </c>
      <c r="D176" s="23"/>
      <c r="E176" s="23" t="str">
        <f t="shared" si="11"/>
        <v>BULON</v>
      </c>
      <c r="F176" s="26" t="s">
        <v>179</v>
      </c>
      <c r="G176" s="26" t="s">
        <v>180</v>
      </c>
      <c r="H176" s="26" t="s">
        <v>24</v>
      </c>
      <c r="I176" s="26" t="s">
        <v>181</v>
      </c>
      <c r="J176" s="26" t="s">
        <v>182</v>
      </c>
      <c r="K176" s="18" t="s">
        <v>205</v>
      </c>
      <c r="L176" s="29">
        <v>46111</v>
      </c>
      <c r="M176" s="30">
        <f t="shared" ref="M176:M182" si="12">+M175+N175</f>
        <v>1415.92</v>
      </c>
      <c r="N176" s="18">
        <v>0.75</v>
      </c>
      <c r="O176" s="43"/>
      <c r="P176" s="13"/>
      <c r="Q176" s="13"/>
      <c r="R176" s="13"/>
      <c r="S176" s="10"/>
      <c r="T176" s="10"/>
      <c r="U176" s="89"/>
      <c r="V176" s="11"/>
      <c r="W176" s="11"/>
      <c r="X176" s="89"/>
      <c r="Y176" s="12"/>
      <c r="Z176" s="12"/>
      <c r="AA176" s="12"/>
      <c r="AB176" s="12"/>
      <c r="AC176" s="12">
        <v>3</v>
      </c>
      <c r="AD176" s="89"/>
      <c r="AE176" s="13"/>
      <c r="AF176" s="13"/>
      <c r="AG176" s="18"/>
    </row>
    <row r="177" spans="1:33" ht="15" customHeight="1" x14ac:dyDescent="0.3">
      <c r="A177" s="28" t="s">
        <v>184</v>
      </c>
      <c r="B177" s="88" t="s">
        <v>185</v>
      </c>
      <c r="C177" s="23" t="b">
        <f>AND(A177=[1]TUTANAK!$D$6,P177="Tamamlandı")</f>
        <v>0</v>
      </c>
      <c r="D177" s="23"/>
      <c r="E177" s="23" t="str">
        <f t="shared" si="11"/>
        <v>BULON</v>
      </c>
      <c r="F177" s="26" t="s">
        <v>179</v>
      </c>
      <c r="G177" s="26" t="s">
        <v>180</v>
      </c>
      <c r="H177" s="26" t="s">
        <v>24</v>
      </c>
      <c r="I177" s="26" t="s">
        <v>181</v>
      </c>
      <c r="J177" s="26" t="s">
        <v>182</v>
      </c>
      <c r="K177" s="18" t="s">
        <v>205</v>
      </c>
      <c r="L177" s="29">
        <v>46111</v>
      </c>
      <c r="M177" s="30">
        <f t="shared" si="12"/>
        <v>1416.67</v>
      </c>
      <c r="N177" s="18">
        <v>0.75</v>
      </c>
      <c r="O177" s="43"/>
      <c r="P177" s="13"/>
      <c r="Q177" s="13"/>
      <c r="R177" s="13"/>
      <c r="S177" s="10"/>
      <c r="T177" s="10"/>
      <c r="U177" s="89"/>
      <c r="V177" s="11"/>
      <c r="W177" s="11"/>
      <c r="X177" s="89"/>
      <c r="Y177" s="12"/>
      <c r="Z177" s="12"/>
      <c r="AA177" s="12"/>
      <c r="AB177" s="12"/>
      <c r="AC177" s="12">
        <v>3</v>
      </c>
      <c r="AD177" s="89"/>
      <c r="AE177" s="13"/>
      <c r="AF177" s="13"/>
      <c r="AG177" s="18"/>
    </row>
    <row r="178" spans="1:33" ht="15" customHeight="1" x14ac:dyDescent="0.3">
      <c r="A178" s="28" t="s">
        <v>184</v>
      </c>
      <c r="B178" s="88" t="s">
        <v>185</v>
      </c>
      <c r="C178" s="23" t="b">
        <f>AND(A178=[1]TUTANAK!$D$6,P178="Tamamlandı")</f>
        <v>0</v>
      </c>
      <c r="D178" s="23"/>
      <c r="E178" s="23" t="str">
        <f t="shared" si="11"/>
        <v>BULON</v>
      </c>
      <c r="F178" s="26" t="s">
        <v>179</v>
      </c>
      <c r="G178" s="26" t="s">
        <v>180</v>
      </c>
      <c r="H178" s="26" t="s">
        <v>24</v>
      </c>
      <c r="I178" s="26" t="s">
        <v>181</v>
      </c>
      <c r="J178" s="26" t="s">
        <v>182</v>
      </c>
      <c r="K178" s="18" t="s">
        <v>205</v>
      </c>
      <c r="L178" s="29">
        <v>46111</v>
      </c>
      <c r="M178" s="30">
        <f t="shared" si="12"/>
        <v>1417.42</v>
      </c>
      <c r="N178" s="18">
        <v>0.75</v>
      </c>
      <c r="O178" s="43"/>
      <c r="P178" s="13"/>
      <c r="Q178" s="13"/>
      <c r="R178" s="13"/>
      <c r="S178" s="10"/>
      <c r="T178" s="10"/>
      <c r="U178" s="89"/>
      <c r="V178" s="11"/>
      <c r="W178" s="11"/>
      <c r="X178" s="89"/>
      <c r="Y178" s="12"/>
      <c r="Z178" s="12"/>
      <c r="AA178" s="12"/>
      <c r="AB178" s="12"/>
      <c r="AC178" s="12">
        <v>3</v>
      </c>
      <c r="AD178" s="89"/>
      <c r="AE178" s="13"/>
      <c r="AF178" s="13"/>
      <c r="AG178" s="18"/>
    </row>
    <row r="179" spans="1:33" ht="15" customHeight="1" x14ac:dyDescent="0.3">
      <c r="A179" s="28" t="s">
        <v>184</v>
      </c>
      <c r="B179" s="88" t="s">
        <v>185</v>
      </c>
      <c r="C179" s="23" t="b">
        <f>AND(A179=[1]TUTANAK!$D$6,P179="Tamamlandı")</f>
        <v>0</v>
      </c>
      <c r="D179" s="23"/>
      <c r="E179" s="23" t="str">
        <f t="shared" si="11"/>
        <v>BULON</v>
      </c>
      <c r="F179" s="26" t="s">
        <v>179</v>
      </c>
      <c r="G179" s="26" t="s">
        <v>180</v>
      </c>
      <c r="H179" s="26" t="s">
        <v>24</v>
      </c>
      <c r="I179" s="26" t="s">
        <v>181</v>
      </c>
      <c r="J179" s="26" t="s">
        <v>182</v>
      </c>
      <c r="K179" s="18" t="s">
        <v>205</v>
      </c>
      <c r="L179" s="29">
        <v>46111</v>
      </c>
      <c r="M179" s="30">
        <f t="shared" si="12"/>
        <v>1418.17</v>
      </c>
      <c r="N179" s="18">
        <v>0.75</v>
      </c>
      <c r="O179" s="43"/>
      <c r="P179" s="13"/>
      <c r="Q179" s="13"/>
      <c r="R179" s="13"/>
      <c r="S179" s="10"/>
      <c r="T179" s="10"/>
      <c r="U179" s="89"/>
      <c r="V179" s="11"/>
      <c r="W179" s="11"/>
      <c r="X179" s="89"/>
      <c r="Y179" s="12"/>
      <c r="Z179" s="12"/>
      <c r="AA179" s="12"/>
      <c r="AB179" s="12"/>
      <c r="AC179" s="12">
        <v>3</v>
      </c>
      <c r="AD179" s="89"/>
      <c r="AE179" s="13"/>
      <c r="AF179" s="13"/>
      <c r="AG179" s="18"/>
    </row>
    <row r="180" spans="1:33" ht="15" customHeight="1" x14ac:dyDescent="0.3">
      <c r="A180" s="28" t="s">
        <v>184</v>
      </c>
      <c r="B180" s="88" t="s">
        <v>185</v>
      </c>
      <c r="C180" s="23" t="b">
        <f>AND(A180=[1]TUTANAK!$D$6,P180="Tamamlandı")</f>
        <v>0</v>
      </c>
      <c r="D180" s="23"/>
      <c r="E180" s="23" t="str">
        <f t="shared" si="11"/>
        <v>BULON</v>
      </c>
      <c r="F180" s="26" t="s">
        <v>179</v>
      </c>
      <c r="G180" s="26" t="s">
        <v>180</v>
      </c>
      <c r="H180" s="26" t="s">
        <v>24</v>
      </c>
      <c r="I180" s="26" t="s">
        <v>181</v>
      </c>
      <c r="J180" s="26" t="s">
        <v>182</v>
      </c>
      <c r="K180" s="18" t="s">
        <v>205</v>
      </c>
      <c r="L180" s="29">
        <v>46111</v>
      </c>
      <c r="M180" s="30">
        <f t="shared" si="12"/>
        <v>1418.92</v>
      </c>
      <c r="N180" s="18">
        <v>0.75</v>
      </c>
      <c r="O180" s="43"/>
      <c r="P180" s="13"/>
      <c r="Q180" s="13"/>
      <c r="R180" s="13"/>
      <c r="S180" s="10"/>
      <c r="T180" s="10"/>
      <c r="U180" s="89"/>
      <c r="V180" s="11"/>
      <c r="W180" s="11"/>
      <c r="X180" s="89"/>
      <c r="Y180" s="12"/>
      <c r="Z180" s="12"/>
      <c r="AA180" s="12"/>
      <c r="AB180" s="12"/>
      <c r="AC180" s="12">
        <v>3</v>
      </c>
      <c r="AD180" s="89"/>
      <c r="AE180" s="13"/>
      <c r="AF180" s="13"/>
      <c r="AG180" s="18"/>
    </row>
    <row r="181" spans="1:33" ht="15" customHeight="1" x14ac:dyDescent="0.3">
      <c r="A181" s="28" t="s">
        <v>184</v>
      </c>
      <c r="B181" s="88" t="s">
        <v>185</v>
      </c>
      <c r="C181" s="23" t="b">
        <f>AND(A181=[1]TUTANAK!$D$6,P181="Tamamlandı")</f>
        <v>0</v>
      </c>
      <c r="D181" s="23"/>
      <c r="E181" s="23" t="str">
        <f t="shared" si="11"/>
        <v>BULON</v>
      </c>
      <c r="F181" s="26" t="s">
        <v>179</v>
      </c>
      <c r="G181" s="26" t="s">
        <v>180</v>
      </c>
      <c r="H181" s="26" t="s">
        <v>24</v>
      </c>
      <c r="I181" s="26" t="s">
        <v>181</v>
      </c>
      <c r="J181" s="26" t="s">
        <v>182</v>
      </c>
      <c r="K181" s="18" t="s">
        <v>205</v>
      </c>
      <c r="L181" s="29">
        <v>46111</v>
      </c>
      <c r="M181" s="30">
        <f t="shared" si="12"/>
        <v>1419.67</v>
      </c>
      <c r="N181" s="18">
        <v>0.75</v>
      </c>
      <c r="O181" s="43"/>
      <c r="P181" s="13"/>
      <c r="Q181" s="13"/>
      <c r="R181" s="13"/>
      <c r="S181" s="10"/>
      <c r="T181" s="10"/>
      <c r="U181" s="89"/>
      <c r="V181" s="11"/>
      <c r="W181" s="11"/>
      <c r="X181" s="89"/>
      <c r="Y181" s="12"/>
      <c r="Z181" s="12"/>
      <c r="AA181" s="12"/>
      <c r="AB181" s="12"/>
      <c r="AC181" s="12">
        <v>3</v>
      </c>
      <c r="AD181" s="89"/>
      <c r="AE181" s="13"/>
      <c r="AF181" s="13"/>
      <c r="AG181" s="18"/>
    </row>
    <row r="182" spans="1:33" ht="15" customHeight="1" x14ac:dyDescent="0.3">
      <c r="A182" s="28" t="s">
        <v>184</v>
      </c>
      <c r="B182" s="88" t="s">
        <v>185</v>
      </c>
      <c r="C182" s="23" t="b">
        <f>AND(A182=[1]TUTANAK!$D$6,P182="Tamamlandı")</f>
        <v>0</v>
      </c>
      <c r="D182" s="23"/>
      <c r="E182" s="23" t="str">
        <f t="shared" si="11"/>
        <v>BULON</v>
      </c>
      <c r="F182" s="26" t="s">
        <v>179</v>
      </c>
      <c r="G182" s="26" t="s">
        <v>180</v>
      </c>
      <c r="H182" s="26" t="s">
        <v>24</v>
      </c>
      <c r="I182" s="26" t="s">
        <v>181</v>
      </c>
      <c r="J182" s="26" t="s">
        <v>182</v>
      </c>
      <c r="K182" s="18" t="s">
        <v>205</v>
      </c>
      <c r="L182" s="29">
        <v>46111</v>
      </c>
      <c r="M182" s="30">
        <f t="shared" si="12"/>
        <v>1420.42</v>
      </c>
      <c r="N182" s="18">
        <v>0.75</v>
      </c>
      <c r="O182" s="43"/>
      <c r="P182" s="13"/>
      <c r="Q182" s="13"/>
      <c r="R182" s="13"/>
      <c r="S182" s="10"/>
      <c r="T182" s="10"/>
      <c r="U182" s="89"/>
      <c r="V182" s="11"/>
      <c r="W182" s="11"/>
      <c r="X182" s="89"/>
      <c r="Y182" s="12"/>
      <c r="Z182" s="12"/>
      <c r="AA182" s="12"/>
      <c r="AB182" s="12"/>
      <c r="AC182" s="12">
        <v>3</v>
      </c>
      <c r="AD182" s="89"/>
      <c r="AE182" s="13"/>
      <c r="AF182" s="13"/>
      <c r="AG182" s="18"/>
    </row>
    <row r="183" spans="1:33" ht="15" customHeight="1" x14ac:dyDescent="0.3">
      <c r="A183" s="28" t="s">
        <v>184</v>
      </c>
      <c r="B183" s="88" t="s">
        <v>185</v>
      </c>
      <c r="C183" s="23" t="b">
        <f>AND(A183=[1]TUTANAK!$D$6,P183="Tamamlandı")</f>
        <v>0</v>
      </c>
      <c r="D183" s="23"/>
      <c r="E183" s="23" t="str">
        <f t="shared" si="11"/>
        <v>BULON</v>
      </c>
      <c r="F183" s="26" t="s">
        <v>179</v>
      </c>
      <c r="G183" s="26" t="s">
        <v>180</v>
      </c>
      <c r="H183" s="26" t="s">
        <v>24</v>
      </c>
      <c r="I183" s="26" t="s">
        <v>181</v>
      </c>
      <c r="J183" s="26" t="s">
        <v>182</v>
      </c>
      <c r="K183" s="18" t="s">
        <v>205</v>
      </c>
      <c r="L183" s="29">
        <v>46111</v>
      </c>
      <c r="M183" s="30">
        <f>+M182+N182</f>
        <v>1421.17</v>
      </c>
      <c r="N183" s="18">
        <v>0.75</v>
      </c>
      <c r="O183" s="43"/>
      <c r="P183" s="13"/>
      <c r="Q183" s="13"/>
      <c r="R183" s="13"/>
      <c r="S183" s="10"/>
      <c r="T183" s="10"/>
      <c r="U183" s="89"/>
      <c r="V183" s="11"/>
      <c r="W183" s="11"/>
      <c r="X183" s="89"/>
      <c r="Y183" s="12"/>
      <c r="Z183" s="12"/>
      <c r="AA183" s="12"/>
      <c r="AB183" s="12"/>
      <c r="AC183" s="12">
        <v>3</v>
      </c>
      <c r="AD183" s="89"/>
      <c r="AE183" s="13"/>
      <c r="AF183" s="13"/>
      <c r="AG183" s="18"/>
    </row>
    <row r="184" spans="1:33" ht="15" customHeight="1" x14ac:dyDescent="0.3">
      <c r="A184" s="28" t="s">
        <v>184</v>
      </c>
      <c r="B184" s="88" t="s">
        <v>185</v>
      </c>
      <c r="C184" s="23" t="b">
        <f>AND(A184=[1]TUTANAK!$D$6,P184="Tamamlandı")</f>
        <v>0</v>
      </c>
      <c r="D184" s="23"/>
      <c r="E184" s="23" t="str">
        <f t="shared" si="11"/>
        <v>BULON</v>
      </c>
      <c r="F184" s="26" t="s">
        <v>179</v>
      </c>
      <c r="G184" s="26" t="s">
        <v>180</v>
      </c>
      <c r="H184" s="26" t="s">
        <v>24</v>
      </c>
      <c r="I184" s="26" t="s">
        <v>181</v>
      </c>
      <c r="J184" s="26" t="s">
        <v>182</v>
      </c>
      <c r="K184" s="18" t="s">
        <v>205</v>
      </c>
      <c r="L184" s="29">
        <v>46111</v>
      </c>
      <c r="M184" s="30">
        <f t="shared" ref="M184:M186" si="13">+M183+N183</f>
        <v>1421.92</v>
      </c>
      <c r="N184" s="18">
        <v>0.75</v>
      </c>
      <c r="O184" s="43"/>
      <c r="P184" s="13"/>
      <c r="Q184" s="13"/>
      <c r="R184" s="13"/>
      <c r="S184" s="10"/>
      <c r="T184" s="10"/>
      <c r="U184" s="89"/>
      <c r="V184" s="11"/>
      <c r="W184" s="11"/>
      <c r="X184" s="89"/>
      <c r="Y184" s="12"/>
      <c r="Z184" s="12"/>
      <c r="AA184" s="12"/>
      <c r="AB184" s="12"/>
      <c r="AC184" s="12">
        <v>3</v>
      </c>
      <c r="AD184" s="89"/>
      <c r="AE184" s="13"/>
      <c r="AF184" s="13"/>
      <c r="AG184" s="18"/>
    </row>
    <row r="185" spans="1:33" ht="15" customHeight="1" x14ac:dyDescent="0.3">
      <c r="A185" s="28" t="s">
        <v>184</v>
      </c>
      <c r="B185" s="88" t="s">
        <v>185</v>
      </c>
      <c r="C185" s="23" t="b">
        <f>AND(A185=[1]TUTANAK!$D$6,P185="Tamamlandı")</f>
        <v>0</v>
      </c>
      <c r="D185" s="23"/>
      <c r="E185" s="23" t="str">
        <f t="shared" si="11"/>
        <v>BULON</v>
      </c>
      <c r="F185" s="26" t="s">
        <v>179</v>
      </c>
      <c r="G185" s="26" t="s">
        <v>180</v>
      </c>
      <c r="H185" s="26" t="s">
        <v>24</v>
      </c>
      <c r="I185" s="26" t="s">
        <v>181</v>
      </c>
      <c r="J185" s="26" t="s">
        <v>182</v>
      </c>
      <c r="K185" s="18" t="s">
        <v>205</v>
      </c>
      <c r="L185" s="29">
        <v>46111</v>
      </c>
      <c r="M185" s="30">
        <f t="shared" si="13"/>
        <v>1422.67</v>
      </c>
      <c r="N185" s="18">
        <v>0.75</v>
      </c>
      <c r="O185" s="43"/>
      <c r="P185" s="13"/>
      <c r="Q185" s="13"/>
      <c r="R185" s="13"/>
      <c r="S185" s="10"/>
      <c r="T185" s="10"/>
      <c r="U185" s="89"/>
      <c r="V185" s="11"/>
      <c r="W185" s="11"/>
      <c r="X185" s="89"/>
      <c r="Y185" s="12"/>
      <c r="Z185" s="12"/>
      <c r="AA185" s="12"/>
      <c r="AB185" s="12"/>
      <c r="AC185" s="12">
        <v>3</v>
      </c>
      <c r="AD185" s="89"/>
      <c r="AE185" s="13"/>
      <c r="AF185" s="13"/>
      <c r="AG185" s="18"/>
    </row>
    <row r="186" spans="1:33" ht="15" customHeight="1" x14ac:dyDescent="0.3">
      <c r="A186" s="28" t="s">
        <v>184</v>
      </c>
      <c r="B186" s="88" t="s">
        <v>185</v>
      </c>
      <c r="C186" s="23" t="b">
        <f>AND(A186=[1]TUTANAK!$D$6,P186="Tamamlandı")</f>
        <v>0</v>
      </c>
      <c r="D186" s="23"/>
      <c r="E186" s="23" t="str">
        <f t="shared" si="11"/>
        <v>BULON</v>
      </c>
      <c r="F186" s="26" t="s">
        <v>179</v>
      </c>
      <c r="G186" s="26" t="s">
        <v>180</v>
      </c>
      <c r="H186" s="26" t="s">
        <v>24</v>
      </c>
      <c r="I186" s="26" t="s">
        <v>181</v>
      </c>
      <c r="J186" s="26" t="s">
        <v>182</v>
      </c>
      <c r="K186" s="18" t="s">
        <v>205</v>
      </c>
      <c r="L186" s="29">
        <v>46111</v>
      </c>
      <c r="M186" s="30">
        <f t="shared" si="13"/>
        <v>1423.42</v>
      </c>
      <c r="N186" s="18">
        <v>0.75</v>
      </c>
      <c r="O186" s="43"/>
      <c r="P186" s="13"/>
      <c r="Q186" s="13"/>
      <c r="R186" s="13"/>
      <c r="S186" s="10"/>
      <c r="T186" s="10"/>
      <c r="U186" s="89"/>
      <c r="V186" s="11"/>
      <c r="W186" s="11"/>
      <c r="X186" s="89"/>
      <c r="Y186" s="12"/>
      <c r="Z186" s="12"/>
      <c r="AA186" s="12"/>
      <c r="AB186" s="12"/>
      <c r="AC186" s="12">
        <v>3</v>
      </c>
      <c r="AD186" s="89"/>
      <c r="AE186" s="13"/>
      <c r="AF186" s="13"/>
      <c r="AG186" s="18"/>
    </row>
  </sheetData>
  <phoneticPr fontId="7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20" t="s">
        <v>83</v>
      </c>
      <c r="B1" s="20" t="s">
        <v>84</v>
      </c>
      <c r="C1" s="20" t="s">
        <v>33</v>
      </c>
      <c r="D1" s="15" t="s">
        <v>38</v>
      </c>
      <c r="E1" s="125" t="s">
        <v>6</v>
      </c>
      <c r="F1" s="125"/>
      <c r="G1" s="15" t="s">
        <v>11</v>
      </c>
      <c r="H1" s="20" t="s">
        <v>34</v>
      </c>
      <c r="J1" s="20" t="s">
        <v>88</v>
      </c>
      <c r="K1" s="20" t="s">
        <v>89</v>
      </c>
      <c r="L1" s="20" t="s">
        <v>90</v>
      </c>
    </row>
    <row r="2" spans="1:12" x14ac:dyDescent="0.3">
      <c r="A2" s="67">
        <v>45839</v>
      </c>
      <c r="B2" s="68">
        <v>3</v>
      </c>
      <c r="C2" s="19">
        <v>1</v>
      </c>
      <c r="D2" s="32">
        <v>2101.61</v>
      </c>
      <c r="E2" s="33" t="s">
        <v>26</v>
      </c>
      <c r="F2" s="34">
        <v>1</v>
      </c>
      <c r="G2" s="19"/>
      <c r="H2" s="19" t="s">
        <v>35</v>
      </c>
      <c r="J2">
        <v>0.05</v>
      </c>
      <c r="K2">
        <v>27.35</v>
      </c>
    </row>
    <row r="3" spans="1:12" x14ac:dyDescent="0.3">
      <c r="A3" s="67">
        <v>45839</v>
      </c>
      <c r="B3" s="68">
        <v>3</v>
      </c>
      <c r="C3" s="19">
        <f t="shared" ref="C3:C39" si="0">+C2+1</f>
        <v>2</v>
      </c>
      <c r="D3" s="32">
        <v>2102.36</v>
      </c>
      <c r="E3" s="33" t="s">
        <v>26</v>
      </c>
      <c r="F3" s="34">
        <v>2</v>
      </c>
      <c r="G3" s="19"/>
      <c r="H3" s="19" t="s">
        <v>35</v>
      </c>
      <c r="J3">
        <v>0.05</v>
      </c>
      <c r="K3">
        <v>28.106000000000002</v>
      </c>
    </row>
    <row r="4" spans="1:12" x14ac:dyDescent="0.3">
      <c r="A4" s="67">
        <v>45839</v>
      </c>
      <c r="B4" s="68">
        <v>3</v>
      </c>
      <c r="C4" s="19">
        <f t="shared" si="0"/>
        <v>3</v>
      </c>
      <c r="D4" s="32">
        <v>2103.11</v>
      </c>
      <c r="E4" s="33" t="s">
        <v>26</v>
      </c>
      <c r="F4" s="34">
        <v>3</v>
      </c>
      <c r="G4" s="19"/>
      <c r="H4" s="19" t="s">
        <v>35</v>
      </c>
      <c r="J4">
        <v>0.05</v>
      </c>
      <c r="K4">
        <v>28.879000000000001</v>
      </c>
    </row>
    <row r="5" spans="1:12" x14ac:dyDescent="0.3">
      <c r="A5" s="67">
        <v>45839</v>
      </c>
      <c r="B5" s="68">
        <v>3</v>
      </c>
      <c r="C5" s="19">
        <f t="shared" si="0"/>
        <v>4</v>
      </c>
      <c r="D5" s="32">
        <v>2103.11</v>
      </c>
      <c r="E5" s="33" t="s">
        <v>26</v>
      </c>
      <c r="F5" s="34">
        <v>3</v>
      </c>
      <c r="G5" s="19" t="s">
        <v>37</v>
      </c>
      <c r="H5" s="19" t="s">
        <v>81</v>
      </c>
      <c r="J5">
        <v>0.15</v>
      </c>
      <c r="K5" s="70">
        <v>8</v>
      </c>
      <c r="L5">
        <f>+K5*3.47/1000</f>
        <v>2.776E-2</v>
      </c>
    </row>
    <row r="6" spans="1:12" x14ac:dyDescent="0.3">
      <c r="A6" s="67">
        <v>45839</v>
      </c>
      <c r="B6" s="68">
        <v>3</v>
      </c>
      <c r="C6" s="19">
        <f t="shared" si="0"/>
        <v>5</v>
      </c>
      <c r="D6" s="32">
        <v>2103.86</v>
      </c>
      <c r="E6" s="33" t="s">
        <v>26</v>
      </c>
      <c r="F6" s="34">
        <v>4</v>
      </c>
      <c r="G6" s="19"/>
      <c r="H6" s="19" t="s">
        <v>35</v>
      </c>
      <c r="J6">
        <v>0.05</v>
      </c>
      <c r="K6">
        <v>29.536000000000001</v>
      </c>
    </row>
    <row r="7" spans="1:12" x14ac:dyDescent="0.3">
      <c r="A7" s="67">
        <v>45839</v>
      </c>
      <c r="B7" s="68">
        <v>3</v>
      </c>
      <c r="C7" s="19">
        <f t="shared" si="0"/>
        <v>6</v>
      </c>
      <c r="D7" s="32">
        <v>2104.61</v>
      </c>
      <c r="E7" s="33" t="s">
        <v>26</v>
      </c>
      <c r="F7" s="34">
        <v>5</v>
      </c>
      <c r="G7" s="19"/>
      <c r="H7" s="19" t="s">
        <v>35</v>
      </c>
      <c r="J7">
        <v>0.05</v>
      </c>
      <c r="K7">
        <v>30.158000000000001</v>
      </c>
    </row>
    <row r="8" spans="1:12" x14ac:dyDescent="0.3">
      <c r="A8" s="67">
        <v>45839</v>
      </c>
      <c r="B8" s="68">
        <v>3</v>
      </c>
      <c r="C8" s="19">
        <f t="shared" si="0"/>
        <v>7</v>
      </c>
      <c r="D8" s="32">
        <v>2105.36</v>
      </c>
      <c r="E8" s="33" t="s">
        <v>26</v>
      </c>
      <c r="F8" s="34">
        <v>6</v>
      </c>
      <c r="G8" s="19" t="s">
        <v>37</v>
      </c>
      <c r="H8" s="19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7">
        <v>45839</v>
      </c>
      <c r="B9" s="68">
        <v>3</v>
      </c>
      <c r="C9" s="19">
        <f t="shared" si="0"/>
        <v>8</v>
      </c>
      <c r="D9" s="32">
        <v>2106.11</v>
      </c>
      <c r="E9" s="33" t="s">
        <v>26</v>
      </c>
      <c r="F9" s="34">
        <v>1</v>
      </c>
      <c r="G9" s="19"/>
      <c r="H9" s="19" t="s">
        <v>35</v>
      </c>
      <c r="J9">
        <v>0.05</v>
      </c>
      <c r="K9">
        <v>27.35</v>
      </c>
    </row>
    <row r="10" spans="1:12" x14ac:dyDescent="0.3">
      <c r="A10" s="67">
        <v>45839</v>
      </c>
      <c r="B10" s="68">
        <v>3</v>
      </c>
      <c r="C10" s="19">
        <f t="shared" si="0"/>
        <v>9</v>
      </c>
      <c r="D10" s="32">
        <v>2106.86</v>
      </c>
      <c r="E10" s="33" t="s">
        <v>26</v>
      </c>
      <c r="F10" s="34">
        <v>2</v>
      </c>
      <c r="G10" s="19"/>
      <c r="H10" s="19" t="s">
        <v>35</v>
      </c>
      <c r="J10">
        <v>0.05</v>
      </c>
      <c r="K10">
        <v>28.106000000000002</v>
      </c>
    </row>
    <row r="11" spans="1:12" x14ac:dyDescent="0.3">
      <c r="A11" s="67">
        <v>45839</v>
      </c>
      <c r="B11" s="68">
        <v>3</v>
      </c>
      <c r="C11" s="19">
        <f t="shared" si="0"/>
        <v>10</v>
      </c>
      <c r="D11" s="32">
        <v>2107.61</v>
      </c>
      <c r="E11" s="33" t="s">
        <v>26</v>
      </c>
      <c r="F11" s="34">
        <v>3</v>
      </c>
      <c r="G11" s="19"/>
      <c r="H11" s="19" t="s">
        <v>35</v>
      </c>
      <c r="J11">
        <v>0.05</v>
      </c>
      <c r="K11">
        <v>28.879000000000001</v>
      </c>
    </row>
    <row r="12" spans="1:12" x14ac:dyDescent="0.3">
      <c r="A12" s="67">
        <v>45839</v>
      </c>
      <c r="B12" s="68">
        <v>3</v>
      </c>
      <c r="C12" s="19">
        <f t="shared" si="0"/>
        <v>11</v>
      </c>
      <c r="D12" s="32">
        <v>2107.61</v>
      </c>
      <c r="E12" s="33" t="s">
        <v>26</v>
      </c>
      <c r="F12" s="34">
        <v>3</v>
      </c>
      <c r="G12" s="19" t="s">
        <v>37</v>
      </c>
      <c r="H12" s="19" t="s">
        <v>81</v>
      </c>
      <c r="J12">
        <v>0.15</v>
      </c>
      <c r="K12" s="70">
        <v>8</v>
      </c>
      <c r="L12">
        <f>+K12*3.47/1000</f>
        <v>2.776E-2</v>
      </c>
    </row>
    <row r="13" spans="1:12" x14ac:dyDescent="0.3">
      <c r="A13" s="67">
        <v>45839</v>
      </c>
      <c r="B13" s="68">
        <v>3</v>
      </c>
      <c r="C13" s="19">
        <f t="shared" si="0"/>
        <v>12</v>
      </c>
      <c r="D13" s="32">
        <v>2108.36</v>
      </c>
      <c r="E13" s="33" t="s">
        <v>26</v>
      </c>
      <c r="F13" s="34">
        <v>4</v>
      </c>
      <c r="G13" s="19"/>
      <c r="H13" s="19" t="s">
        <v>35</v>
      </c>
      <c r="J13">
        <v>0.05</v>
      </c>
      <c r="K13">
        <v>29.536000000000001</v>
      </c>
    </row>
    <row r="14" spans="1:12" x14ac:dyDescent="0.3">
      <c r="A14" s="67">
        <v>45839</v>
      </c>
      <c r="B14" s="68">
        <v>3</v>
      </c>
      <c r="C14" s="19">
        <f t="shared" si="0"/>
        <v>13</v>
      </c>
      <c r="D14" s="32">
        <v>2109.11</v>
      </c>
      <c r="E14" s="33" t="s">
        <v>26</v>
      </c>
      <c r="F14" s="34">
        <v>5</v>
      </c>
      <c r="G14" s="19"/>
      <c r="H14" s="19" t="s">
        <v>35</v>
      </c>
      <c r="J14">
        <v>0.05</v>
      </c>
      <c r="K14">
        <v>30.158000000000001</v>
      </c>
    </row>
    <row r="15" spans="1:12" x14ac:dyDescent="0.3">
      <c r="A15" s="67">
        <v>45839</v>
      </c>
      <c r="B15" s="68">
        <v>3</v>
      </c>
      <c r="C15" s="19">
        <f t="shared" si="0"/>
        <v>14</v>
      </c>
      <c r="D15" s="32">
        <v>2109.86</v>
      </c>
      <c r="E15" s="33" t="s">
        <v>26</v>
      </c>
      <c r="F15" s="34">
        <v>6</v>
      </c>
      <c r="G15" s="19" t="s">
        <v>37</v>
      </c>
      <c r="H15" s="19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7">
        <v>45839</v>
      </c>
      <c r="B16" s="68">
        <v>3</v>
      </c>
      <c r="C16" s="19">
        <f t="shared" si="0"/>
        <v>15</v>
      </c>
      <c r="D16" s="32">
        <v>2110.61</v>
      </c>
      <c r="E16" s="33" t="s">
        <v>26</v>
      </c>
      <c r="F16" s="34">
        <v>1</v>
      </c>
      <c r="G16" s="19"/>
      <c r="H16" s="19" t="s">
        <v>35</v>
      </c>
      <c r="J16">
        <v>0.05</v>
      </c>
      <c r="K16">
        <v>27.35</v>
      </c>
    </row>
    <row r="17" spans="1:12" x14ac:dyDescent="0.3">
      <c r="A17" s="67">
        <v>45839</v>
      </c>
      <c r="B17" s="68">
        <v>3</v>
      </c>
      <c r="C17" s="19">
        <f t="shared" si="0"/>
        <v>16</v>
      </c>
      <c r="D17" s="32">
        <v>2111.36</v>
      </c>
      <c r="E17" s="33" t="s">
        <v>26</v>
      </c>
      <c r="F17" s="34">
        <v>2</v>
      </c>
      <c r="G17" s="19"/>
      <c r="H17" s="19" t="s">
        <v>35</v>
      </c>
      <c r="J17">
        <v>0.05</v>
      </c>
      <c r="K17">
        <v>28.106000000000002</v>
      </c>
    </row>
    <row r="18" spans="1:12" x14ac:dyDescent="0.3">
      <c r="A18" s="67">
        <v>45839</v>
      </c>
      <c r="B18" s="68">
        <v>3</v>
      </c>
      <c r="C18" s="19">
        <f t="shared" si="0"/>
        <v>17</v>
      </c>
      <c r="D18" s="32">
        <v>2112.11</v>
      </c>
      <c r="E18" s="33" t="s">
        <v>26</v>
      </c>
      <c r="F18" s="34">
        <v>3</v>
      </c>
      <c r="G18" s="19"/>
      <c r="H18" s="19" t="s">
        <v>35</v>
      </c>
      <c r="J18">
        <v>0.05</v>
      </c>
      <c r="K18">
        <v>28.879000000000001</v>
      </c>
    </row>
    <row r="19" spans="1:12" x14ac:dyDescent="0.3">
      <c r="A19" s="67">
        <v>45839</v>
      </c>
      <c r="B19" s="68">
        <v>3</v>
      </c>
      <c r="C19" s="19">
        <f t="shared" si="0"/>
        <v>18</v>
      </c>
      <c r="D19" s="32">
        <v>2112.11</v>
      </c>
      <c r="E19" s="33" t="s">
        <v>26</v>
      </c>
      <c r="F19" s="34">
        <v>3</v>
      </c>
      <c r="G19" s="19" t="s">
        <v>37</v>
      </c>
      <c r="H19" s="19" t="s">
        <v>81</v>
      </c>
      <c r="J19">
        <v>0.15</v>
      </c>
      <c r="K19" s="70">
        <v>8</v>
      </c>
      <c r="L19">
        <f>+K19*3.47/1000</f>
        <v>2.776E-2</v>
      </c>
    </row>
    <row r="20" spans="1:12" x14ac:dyDescent="0.3">
      <c r="A20" s="67">
        <v>45839</v>
      </c>
      <c r="B20" s="68">
        <v>3</v>
      </c>
      <c r="C20" s="19">
        <f t="shared" si="0"/>
        <v>19</v>
      </c>
      <c r="D20" s="32">
        <v>2112.86</v>
      </c>
      <c r="E20" s="33" t="s">
        <v>26</v>
      </c>
      <c r="F20" s="34">
        <v>4</v>
      </c>
      <c r="G20" s="19"/>
      <c r="H20" s="19" t="s">
        <v>35</v>
      </c>
      <c r="J20">
        <v>0.05</v>
      </c>
      <c r="K20">
        <v>29.536000000000001</v>
      </c>
    </row>
    <row r="21" spans="1:12" x14ac:dyDescent="0.3">
      <c r="A21" s="67">
        <v>45839</v>
      </c>
      <c r="B21" s="68">
        <v>3</v>
      </c>
      <c r="C21" s="19">
        <f t="shared" si="0"/>
        <v>20</v>
      </c>
      <c r="D21" s="32">
        <v>2113.61</v>
      </c>
      <c r="E21" s="33" t="s">
        <v>26</v>
      </c>
      <c r="F21" s="34">
        <v>5</v>
      </c>
      <c r="G21" s="19"/>
      <c r="H21" s="19" t="s">
        <v>35</v>
      </c>
      <c r="J21">
        <v>0.05</v>
      </c>
      <c r="K21">
        <v>30.158000000000001</v>
      </c>
    </row>
    <row r="22" spans="1:12" x14ac:dyDescent="0.3">
      <c r="A22" s="67">
        <v>45839</v>
      </c>
      <c r="B22" s="68">
        <v>3</v>
      </c>
      <c r="C22" s="19">
        <f t="shared" si="0"/>
        <v>21</v>
      </c>
      <c r="D22" s="32">
        <v>2114.36</v>
      </c>
      <c r="E22" s="33" t="s">
        <v>26</v>
      </c>
      <c r="F22" s="34">
        <v>6</v>
      </c>
      <c r="G22" s="19" t="s">
        <v>37</v>
      </c>
      <c r="H22" s="19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7">
        <v>45839</v>
      </c>
      <c r="B23" s="68">
        <v>3</v>
      </c>
      <c r="C23" s="19">
        <f t="shared" si="0"/>
        <v>22</v>
      </c>
      <c r="D23" s="32">
        <v>2115.1799999999998</v>
      </c>
      <c r="E23" s="33" t="s">
        <v>26</v>
      </c>
      <c r="F23" s="34">
        <v>6</v>
      </c>
      <c r="G23" s="19"/>
      <c r="H23" s="19" t="s">
        <v>35</v>
      </c>
      <c r="J23">
        <v>0.05</v>
      </c>
      <c r="K23">
        <v>30.867999999999999</v>
      </c>
    </row>
    <row r="24" spans="1:12" x14ac:dyDescent="0.3">
      <c r="A24" s="67">
        <v>45839</v>
      </c>
      <c r="B24" s="68">
        <v>3</v>
      </c>
      <c r="C24" s="19">
        <f t="shared" si="0"/>
        <v>23</v>
      </c>
      <c r="D24" s="32">
        <v>2115.85</v>
      </c>
      <c r="E24" s="33" t="s">
        <v>26</v>
      </c>
      <c r="F24" s="34">
        <v>1</v>
      </c>
      <c r="G24" s="19"/>
      <c r="H24" s="19" t="s">
        <v>35</v>
      </c>
      <c r="J24">
        <v>0.05</v>
      </c>
      <c r="K24">
        <v>27.35</v>
      </c>
    </row>
    <row r="25" spans="1:12" x14ac:dyDescent="0.3">
      <c r="A25" s="67">
        <v>45839</v>
      </c>
      <c r="B25" s="68">
        <v>3</v>
      </c>
      <c r="C25" s="19">
        <f t="shared" si="0"/>
        <v>24</v>
      </c>
      <c r="D25" s="32">
        <v>2116.6</v>
      </c>
      <c r="E25" s="33" t="s">
        <v>26</v>
      </c>
      <c r="F25" s="34">
        <v>2</v>
      </c>
      <c r="G25" s="19"/>
      <c r="H25" s="19" t="s">
        <v>35</v>
      </c>
      <c r="J25">
        <v>0.05</v>
      </c>
      <c r="K25">
        <v>28.106000000000002</v>
      </c>
    </row>
    <row r="26" spans="1:12" x14ac:dyDescent="0.3">
      <c r="A26" s="67">
        <v>45839</v>
      </c>
      <c r="B26" s="68">
        <v>3</v>
      </c>
      <c r="C26" s="19">
        <f t="shared" si="0"/>
        <v>25</v>
      </c>
      <c r="D26" s="32">
        <v>2117.35</v>
      </c>
      <c r="E26" s="33" t="s">
        <v>26</v>
      </c>
      <c r="F26" s="34">
        <v>3</v>
      </c>
      <c r="G26" s="19"/>
      <c r="H26" s="19" t="s">
        <v>35</v>
      </c>
      <c r="J26">
        <v>0.05</v>
      </c>
      <c r="K26">
        <v>28.879000000000001</v>
      </c>
    </row>
    <row r="27" spans="1:12" x14ac:dyDescent="0.3">
      <c r="A27" s="67">
        <v>45839</v>
      </c>
      <c r="B27" s="68">
        <v>3</v>
      </c>
      <c r="C27" s="19">
        <f t="shared" si="0"/>
        <v>26</v>
      </c>
      <c r="D27" s="32">
        <v>2117.35</v>
      </c>
      <c r="E27" s="33" t="s">
        <v>26</v>
      </c>
      <c r="F27" s="34">
        <v>3</v>
      </c>
      <c r="G27" s="19" t="s">
        <v>37</v>
      </c>
      <c r="H27" s="19" t="s">
        <v>81</v>
      </c>
      <c r="J27">
        <v>0.15</v>
      </c>
      <c r="K27" s="70">
        <v>8</v>
      </c>
      <c r="L27">
        <f>+K27*3.47/1000</f>
        <v>2.776E-2</v>
      </c>
    </row>
    <row r="28" spans="1:12" x14ac:dyDescent="0.3">
      <c r="A28" s="67">
        <v>45870</v>
      </c>
      <c r="B28" s="68">
        <v>3</v>
      </c>
      <c r="C28" s="19">
        <f t="shared" si="0"/>
        <v>27</v>
      </c>
      <c r="D28" s="32">
        <v>2118.1</v>
      </c>
      <c r="E28" s="33" t="s">
        <v>26</v>
      </c>
      <c r="F28" s="34">
        <v>4</v>
      </c>
      <c r="G28" s="19"/>
      <c r="H28" s="19" t="s">
        <v>35</v>
      </c>
      <c r="J28">
        <v>0.05</v>
      </c>
      <c r="K28">
        <v>29.536000000000001</v>
      </c>
    </row>
    <row r="29" spans="1:12" x14ac:dyDescent="0.3">
      <c r="A29" s="67">
        <v>45870</v>
      </c>
      <c r="B29" s="68">
        <v>3</v>
      </c>
      <c r="C29" s="19">
        <f t="shared" si="0"/>
        <v>28</v>
      </c>
      <c r="D29" s="32">
        <v>2118.1</v>
      </c>
      <c r="E29" s="33" t="s">
        <v>26</v>
      </c>
      <c r="F29" s="34">
        <v>4</v>
      </c>
      <c r="G29" s="19" t="s">
        <v>37</v>
      </c>
      <c r="H29" s="19" t="s">
        <v>81</v>
      </c>
      <c r="J29">
        <v>0.15</v>
      </c>
      <c r="K29" s="70">
        <v>8</v>
      </c>
      <c r="L29">
        <f>+K29*3.47/1000</f>
        <v>2.776E-2</v>
      </c>
    </row>
    <row r="30" spans="1:12" x14ac:dyDescent="0.3">
      <c r="A30" s="67">
        <v>45870</v>
      </c>
      <c r="B30" s="68">
        <v>3</v>
      </c>
      <c r="C30" s="19">
        <f t="shared" si="0"/>
        <v>29</v>
      </c>
      <c r="D30" s="32">
        <v>2118.85</v>
      </c>
      <c r="E30" s="33" t="s">
        <v>26</v>
      </c>
      <c r="F30" s="34">
        <v>5</v>
      </c>
      <c r="G30" s="19"/>
      <c r="H30" s="19" t="s">
        <v>35</v>
      </c>
      <c r="J30">
        <v>0.05</v>
      </c>
      <c r="K30">
        <v>30.158000000000001</v>
      </c>
    </row>
    <row r="31" spans="1:12" x14ac:dyDescent="0.3">
      <c r="A31" s="67">
        <v>45870</v>
      </c>
      <c r="B31" s="68">
        <v>3</v>
      </c>
      <c r="C31" s="19">
        <f t="shared" si="0"/>
        <v>30</v>
      </c>
      <c r="D31" s="32">
        <v>2119.6</v>
      </c>
      <c r="E31" s="33" t="s">
        <v>26</v>
      </c>
      <c r="F31" s="34">
        <v>6</v>
      </c>
      <c r="G31" s="19" t="s">
        <v>37</v>
      </c>
      <c r="H31" s="19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7">
        <v>45870</v>
      </c>
      <c r="B32" s="68">
        <v>3</v>
      </c>
      <c r="C32" s="19">
        <f t="shared" si="0"/>
        <v>31</v>
      </c>
      <c r="D32" s="32">
        <v>2120.35</v>
      </c>
      <c r="E32" s="33" t="s">
        <v>26</v>
      </c>
      <c r="F32" s="34">
        <v>1</v>
      </c>
      <c r="G32" s="19"/>
      <c r="H32" s="19" t="s">
        <v>35</v>
      </c>
      <c r="J32">
        <v>0.05</v>
      </c>
      <c r="K32">
        <v>27.35</v>
      </c>
    </row>
    <row r="33" spans="1:12" x14ac:dyDescent="0.3">
      <c r="A33" s="67">
        <v>45870</v>
      </c>
      <c r="B33" s="68">
        <v>3</v>
      </c>
      <c r="C33" s="19">
        <f t="shared" si="0"/>
        <v>32</v>
      </c>
      <c r="D33" s="32">
        <v>2121.1</v>
      </c>
      <c r="E33" s="33" t="s">
        <v>26</v>
      </c>
      <c r="F33" s="34">
        <v>2</v>
      </c>
      <c r="G33" s="19"/>
      <c r="H33" s="19" t="s">
        <v>35</v>
      </c>
      <c r="J33">
        <v>0.05</v>
      </c>
      <c r="K33">
        <v>28.106000000000002</v>
      </c>
    </row>
    <row r="34" spans="1:12" x14ac:dyDescent="0.3">
      <c r="A34" s="67">
        <v>45870</v>
      </c>
      <c r="B34" s="68">
        <v>3</v>
      </c>
      <c r="C34" s="19">
        <f t="shared" si="0"/>
        <v>33</v>
      </c>
      <c r="D34" s="32">
        <v>2121.1</v>
      </c>
      <c r="E34" s="33" t="s">
        <v>26</v>
      </c>
      <c r="F34" s="34">
        <v>2</v>
      </c>
      <c r="G34" s="19" t="s">
        <v>37</v>
      </c>
      <c r="H34" s="19" t="s">
        <v>81</v>
      </c>
      <c r="J34">
        <v>0.15</v>
      </c>
      <c r="K34" s="70">
        <v>8</v>
      </c>
      <c r="L34">
        <f>+K34*3.47/1000</f>
        <v>2.776E-2</v>
      </c>
    </row>
    <row r="35" spans="1:12" x14ac:dyDescent="0.3">
      <c r="A35" s="67">
        <v>45870</v>
      </c>
      <c r="B35" s="68">
        <v>3</v>
      </c>
      <c r="C35" s="19">
        <f t="shared" si="0"/>
        <v>34</v>
      </c>
      <c r="D35" s="32">
        <v>2121.85</v>
      </c>
      <c r="E35" s="33" t="s">
        <v>26</v>
      </c>
      <c r="F35" s="34">
        <v>3</v>
      </c>
      <c r="G35" s="19"/>
      <c r="H35" s="19" t="s">
        <v>35</v>
      </c>
      <c r="J35">
        <v>0.05</v>
      </c>
      <c r="K35">
        <v>28.879000000000001</v>
      </c>
    </row>
    <row r="36" spans="1:12" x14ac:dyDescent="0.3">
      <c r="A36" s="67">
        <v>45870</v>
      </c>
      <c r="B36" s="68">
        <v>3</v>
      </c>
      <c r="C36" s="19">
        <f t="shared" si="0"/>
        <v>35</v>
      </c>
      <c r="D36" s="32">
        <v>2122.6</v>
      </c>
      <c r="E36" s="33" t="s">
        <v>26</v>
      </c>
      <c r="F36" s="34">
        <v>4</v>
      </c>
      <c r="G36" s="19"/>
      <c r="H36" s="19" t="s">
        <v>35</v>
      </c>
      <c r="J36">
        <v>0.05</v>
      </c>
      <c r="K36">
        <v>29.536000000000001</v>
      </c>
    </row>
    <row r="37" spans="1:12" x14ac:dyDescent="0.3">
      <c r="A37" s="67">
        <v>45870</v>
      </c>
      <c r="B37" s="68">
        <v>3</v>
      </c>
      <c r="C37" s="19">
        <f t="shared" si="0"/>
        <v>36</v>
      </c>
      <c r="D37" s="32">
        <v>2122.6</v>
      </c>
      <c r="E37" s="33" t="s">
        <v>26</v>
      </c>
      <c r="F37" s="34">
        <v>4</v>
      </c>
      <c r="G37" s="19" t="s">
        <v>37</v>
      </c>
      <c r="H37" s="19" t="s">
        <v>86</v>
      </c>
      <c r="J37">
        <v>0.15</v>
      </c>
      <c r="K37" s="70">
        <v>6</v>
      </c>
      <c r="L37">
        <f>+K37*3.47/1000</f>
        <v>2.0820000000000002E-2</v>
      </c>
    </row>
    <row r="38" spans="1:12" x14ac:dyDescent="0.3">
      <c r="A38" s="67">
        <v>45870</v>
      </c>
      <c r="B38" s="68">
        <v>3</v>
      </c>
      <c r="C38" s="19">
        <f t="shared" si="0"/>
        <v>37</v>
      </c>
      <c r="D38" s="30">
        <v>2123.35</v>
      </c>
      <c r="E38" s="33" t="s">
        <v>26</v>
      </c>
      <c r="F38" s="34">
        <v>5</v>
      </c>
      <c r="G38" s="19"/>
      <c r="H38" s="19" t="s">
        <v>35</v>
      </c>
      <c r="J38">
        <v>0.05</v>
      </c>
      <c r="K38">
        <v>30.158000000000001</v>
      </c>
    </row>
    <row r="39" spans="1:12" x14ac:dyDescent="0.3">
      <c r="A39" s="67">
        <v>45870</v>
      </c>
      <c r="B39" s="68">
        <v>3</v>
      </c>
      <c r="C39" s="19">
        <f t="shared" si="0"/>
        <v>38</v>
      </c>
      <c r="D39" s="32">
        <v>2124.48</v>
      </c>
      <c r="E39" s="33" t="s">
        <v>26</v>
      </c>
      <c r="F39" s="34">
        <v>6</v>
      </c>
      <c r="G39" s="19" t="s">
        <v>87</v>
      </c>
      <c r="H39" s="19" t="s">
        <v>31</v>
      </c>
      <c r="J39" s="71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5" t="s">
        <v>91</v>
      </c>
      <c r="F2" s="69">
        <f>+_xlfn.MINIFS(DATA!M:M,DATA!Q:Q,"Q589/589-Çift Kat")</f>
        <v>1356.6599999999999</v>
      </c>
      <c r="G2" s="69">
        <f>+_xlfn.MINIFS(DATA!M:M,DATA!Q:Q,"3xQ221/221-Çift Kat")</f>
        <v>0</v>
      </c>
      <c r="H2" s="37"/>
    </row>
    <row r="3" spans="1:9" x14ac:dyDescent="0.3">
      <c r="E3" s="65" t="s">
        <v>92</v>
      </c>
      <c r="F3" s="82">
        <f>+_xlfn.MAXIFS(DATA!M:M,DATA!Q:Q,"Q589/589-Çift Kat")+0.3</f>
        <v>1438.54</v>
      </c>
      <c r="G3" s="69">
        <f>+_xlfn.MAXIFS(DATA!M:M,DATA!Q:Q,"3xQ221/221-Çift Kat")</f>
        <v>0</v>
      </c>
      <c r="H3" s="37"/>
      <c r="I3" s="83" t="s">
        <v>166</v>
      </c>
    </row>
    <row r="4" spans="1:9" x14ac:dyDescent="0.3">
      <c r="A4" s="72" t="s">
        <v>93</v>
      </c>
      <c r="B4" s="72" t="s">
        <v>9</v>
      </c>
      <c r="C4" s="15" t="s">
        <v>94</v>
      </c>
      <c r="D4" s="73" t="s">
        <v>95</v>
      </c>
      <c r="E4" s="15" t="s">
        <v>96</v>
      </c>
      <c r="F4" s="15" t="s">
        <v>97</v>
      </c>
      <c r="G4" s="15" t="s">
        <v>98</v>
      </c>
      <c r="H4" s="15" t="s">
        <v>99</v>
      </c>
    </row>
    <row r="5" spans="1:9" x14ac:dyDescent="0.3">
      <c r="A5" s="74" t="s">
        <v>100</v>
      </c>
      <c r="B5" s="75" t="s">
        <v>101</v>
      </c>
      <c r="C5" s="19" t="s">
        <v>102</v>
      </c>
      <c r="D5" s="76">
        <v>5075</v>
      </c>
      <c r="E5" s="77">
        <f>ROUND(SUM(F5:H5),3)</f>
        <v>2450.973</v>
      </c>
      <c r="F5" s="37">
        <f>+ROUND(ABS(F2-F3)*29.15,3)</f>
        <v>2386.8020000000001</v>
      </c>
      <c r="G5" s="37">
        <f>+ROUND(ABS(G2-G3)*1.149,3)</f>
        <v>0</v>
      </c>
      <c r="H5" s="37">
        <f>+SUMPRODUCT('AYNA TAKİP'!J1:J38,'AYNA TAKİP'!K1:K38)</f>
        <v>64.171449999999993</v>
      </c>
    </row>
    <row r="6" spans="1:9" x14ac:dyDescent="0.3">
      <c r="A6" s="75" t="s">
        <v>103</v>
      </c>
      <c r="B6" s="75" t="s">
        <v>104</v>
      </c>
      <c r="C6" s="19" t="s">
        <v>102</v>
      </c>
      <c r="D6" s="76">
        <v>600</v>
      </c>
      <c r="E6" s="77">
        <f t="shared" ref="E6:E7" si="0">ROUND(SUM(F6:H6),3)</f>
        <v>0</v>
      </c>
      <c r="F6" s="37"/>
      <c r="G6" s="37"/>
      <c r="H6" s="37"/>
    </row>
    <row r="7" spans="1:9" x14ac:dyDescent="0.3">
      <c r="A7" s="75" t="s">
        <v>105</v>
      </c>
      <c r="B7" s="75" t="s">
        <v>106</v>
      </c>
      <c r="C7" s="19" t="s">
        <v>102</v>
      </c>
      <c r="D7" s="76">
        <v>1500</v>
      </c>
      <c r="E7" s="77">
        <f t="shared" si="0"/>
        <v>0</v>
      </c>
      <c r="F7" s="37"/>
      <c r="G7" s="37"/>
      <c r="H7" s="37"/>
    </row>
    <row r="8" spans="1:9" x14ac:dyDescent="0.3">
      <c r="A8" s="74" t="s">
        <v>107</v>
      </c>
      <c r="B8" s="75" t="s">
        <v>108</v>
      </c>
      <c r="C8" s="19" t="s">
        <v>102</v>
      </c>
      <c r="D8" s="76">
        <v>15334</v>
      </c>
      <c r="E8" s="77">
        <f>ROUND(SUM(F8:H8),3)</f>
        <v>296.12900000000002</v>
      </c>
      <c r="F8" s="78">
        <f>+ROUND(ABS(F2-F3)*3.022,3)*0.9</f>
        <v>222.6969</v>
      </c>
      <c r="G8" s="37">
        <f>+ROUND(ABS(G2-G3)*1.149,3)</f>
        <v>0</v>
      </c>
      <c r="H8" s="37">
        <f>+SUMPRODUCT('AYNA TAKİP'!J:J,'AYNA TAKİP'!K:K)</f>
        <v>73.431849999999997</v>
      </c>
    </row>
    <row r="9" spans="1:9" x14ac:dyDescent="0.3">
      <c r="A9" s="75" t="s">
        <v>109</v>
      </c>
      <c r="B9" s="75" t="s">
        <v>110</v>
      </c>
      <c r="C9" s="19" t="s">
        <v>111</v>
      </c>
      <c r="D9" s="76">
        <v>248</v>
      </c>
      <c r="E9" s="79"/>
      <c r="F9" s="37"/>
      <c r="G9" s="37"/>
      <c r="H9" s="37"/>
    </row>
    <row r="10" spans="1:9" x14ac:dyDescent="0.3">
      <c r="A10" s="75" t="s">
        <v>112</v>
      </c>
      <c r="B10" s="75" t="s">
        <v>113</v>
      </c>
      <c r="C10" s="19" t="s">
        <v>111</v>
      </c>
      <c r="D10" s="76">
        <v>371</v>
      </c>
      <c r="E10" s="79"/>
      <c r="F10" s="37"/>
      <c r="G10" s="37"/>
      <c r="H10" s="37"/>
    </row>
    <row r="11" spans="1:9" x14ac:dyDescent="0.3">
      <c r="A11" s="75" t="s">
        <v>114</v>
      </c>
      <c r="B11" s="75" t="s">
        <v>115</v>
      </c>
      <c r="C11" s="19" t="s">
        <v>116</v>
      </c>
      <c r="D11" s="76">
        <v>2250</v>
      </c>
      <c r="E11" s="79">
        <f>+SUM(DATA!Y:Y)</f>
        <v>0</v>
      </c>
      <c r="F11" s="37"/>
      <c r="G11" s="37"/>
      <c r="H11" s="37"/>
    </row>
    <row r="12" spans="1:9" x14ac:dyDescent="0.3">
      <c r="A12" s="75" t="s">
        <v>117</v>
      </c>
      <c r="B12" s="75" t="s">
        <v>118</v>
      </c>
      <c r="C12" s="19" t="s">
        <v>116</v>
      </c>
      <c r="D12" s="76">
        <v>8000</v>
      </c>
      <c r="E12" s="79">
        <f>+SUM(DATA!Z:Z)</f>
        <v>0</v>
      </c>
      <c r="F12" s="37"/>
      <c r="G12" s="37"/>
      <c r="H12" s="37"/>
    </row>
    <row r="13" spans="1:9" x14ac:dyDescent="0.3">
      <c r="A13" s="75" t="s">
        <v>119</v>
      </c>
      <c r="B13" s="75" t="s">
        <v>120</v>
      </c>
      <c r="C13" s="19" t="s">
        <v>116</v>
      </c>
      <c r="D13" s="76">
        <v>8288</v>
      </c>
      <c r="E13" s="79">
        <f>+SUM(DATA!AA:AA)</f>
        <v>0</v>
      </c>
      <c r="F13" s="37"/>
      <c r="G13" s="37"/>
      <c r="H13" s="37"/>
    </row>
    <row r="14" spans="1:9" x14ac:dyDescent="0.3">
      <c r="A14" s="75" t="s">
        <v>121</v>
      </c>
      <c r="B14" s="75" t="s">
        <v>122</v>
      </c>
      <c r="C14" s="19" t="s">
        <v>116</v>
      </c>
      <c r="D14" s="76">
        <v>12000</v>
      </c>
      <c r="E14" s="79">
        <f>+SUM(DATA!AB:AB)</f>
        <v>0</v>
      </c>
      <c r="F14" s="37"/>
      <c r="G14" s="37"/>
      <c r="H14" s="37"/>
    </row>
    <row r="15" spans="1:9" x14ac:dyDescent="0.3">
      <c r="A15" s="75" t="s">
        <v>123</v>
      </c>
      <c r="B15" s="75" t="s">
        <v>124</v>
      </c>
      <c r="C15" s="19" t="s">
        <v>116</v>
      </c>
      <c r="D15" s="76">
        <v>28000</v>
      </c>
      <c r="E15" s="79">
        <f>+SUM(DATA!AC:AC)</f>
        <v>174</v>
      </c>
      <c r="F15" s="37"/>
      <c r="G15" s="37"/>
      <c r="H15" s="37"/>
    </row>
    <row r="16" spans="1:9" x14ac:dyDescent="0.3">
      <c r="A16" s="75" t="s">
        <v>125</v>
      </c>
      <c r="B16" s="75" t="s">
        <v>126</v>
      </c>
      <c r="C16" s="19" t="s">
        <v>111</v>
      </c>
      <c r="D16" s="76">
        <v>375</v>
      </c>
      <c r="E16" s="79">
        <f>+SUM(DATA!AE:AE)</f>
        <v>0</v>
      </c>
      <c r="F16" s="37"/>
      <c r="G16" s="37"/>
      <c r="H16" s="37"/>
    </row>
    <row r="17" spans="1:8" x14ac:dyDescent="0.3">
      <c r="A17" s="75" t="s">
        <v>127</v>
      </c>
      <c r="B17" s="75" t="s">
        <v>128</v>
      </c>
      <c r="C17" s="19" t="s">
        <v>111</v>
      </c>
      <c r="D17" s="76">
        <v>388</v>
      </c>
      <c r="E17" s="79">
        <f>+SUM(DATA!AF:AF)</f>
        <v>0</v>
      </c>
      <c r="F17" s="37"/>
      <c r="G17" s="37"/>
      <c r="H17" s="37"/>
    </row>
    <row r="18" spans="1:8" x14ac:dyDescent="0.3">
      <c r="A18" s="74" t="s">
        <v>129</v>
      </c>
      <c r="B18" s="75" t="s">
        <v>130</v>
      </c>
      <c r="C18" s="19" t="s">
        <v>131</v>
      </c>
      <c r="D18" s="76">
        <v>102000</v>
      </c>
      <c r="E18" s="77">
        <f>ROUND(SUM(F18:G18),3)</f>
        <v>80.62</v>
      </c>
      <c r="F18" s="80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80.619782999999998</v>
      </c>
      <c r="G18" s="80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7"/>
    </row>
    <row r="19" spans="1:8" x14ac:dyDescent="0.3">
      <c r="A19" s="74" t="s">
        <v>132</v>
      </c>
      <c r="B19" s="75" t="s">
        <v>133</v>
      </c>
      <c r="C19" s="19" t="s">
        <v>111</v>
      </c>
      <c r="D19" s="76">
        <v>3400</v>
      </c>
      <c r="E19" s="79">
        <f>+SUM(DATA!V:V)</f>
        <v>0</v>
      </c>
      <c r="F19" s="37"/>
      <c r="G19" s="37"/>
      <c r="H19" s="37"/>
    </row>
    <row r="20" spans="1:8" x14ac:dyDescent="0.3">
      <c r="A20" s="75" t="s">
        <v>134</v>
      </c>
      <c r="B20" s="75" t="s">
        <v>135</v>
      </c>
      <c r="C20" s="19" t="s">
        <v>136</v>
      </c>
      <c r="D20" s="76">
        <v>510</v>
      </c>
      <c r="E20" s="79"/>
      <c r="F20" s="37"/>
      <c r="G20" s="37"/>
      <c r="H20" s="37"/>
    </row>
    <row r="21" spans="1:8" x14ac:dyDescent="0.3">
      <c r="A21" s="75" t="s">
        <v>137</v>
      </c>
      <c r="B21" s="75" t="s">
        <v>138</v>
      </c>
      <c r="C21" s="19" t="s">
        <v>136</v>
      </c>
      <c r="D21" s="76">
        <v>1200</v>
      </c>
      <c r="E21" s="79"/>
      <c r="F21" s="37"/>
      <c r="G21" s="37"/>
      <c r="H21" s="37"/>
    </row>
    <row r="22" spans="1:8" x14ac:dyDescent="0.3">
      <c r="A22" s="74" t="s">
        <v>139</v>
      </c>
      <c r="B22" s="75" t="s">
        <v>140</v>
      </c>
      <c r="C22" s="19" t="s">
        <v>111</v>
      </c>
      <c r="D22" s="76">
        <v>2160</v>
      </c>
      <c r="E22" s="79"/>
      <c r="F22" s="37"/>
      <c r="G22" s="37"/>
      <c r="H22" s="37"/>
    </row>
    <row r="23" spans="1:8" x14ac:dyDescent="0.3">
      <c r="A23" s="75" t="s">
        <v>141</v>
      </c>
      <c r="B23" s="75" t="s">
        <v>142</v>
      </c>
      <c r="C23" s="19" t="s">
        <v>136</v>
      </c>
      <c r="D23" s="76">
        <v>4150</v>
      </c>
      <c r="E23" s="79"/>
      <c r="F23" s="37"/>
      <c r="G23" s="37"/>
      <c r="H23" s="37"/>
    </row>
    <row r="24" spans="1:8" x14ac:dyDescent="0.3">
      <c r="A24" s="75" t="s">
        <v>143</v>
      </c>
      <c r="B24" s="75" t="s">
        <v>144</v>
      </c>
      <c r="C24" s="19" t="s">
        <v>136</v>
      </c>
      <c r="D24" s="76">
        <v>1500</v>
      </c>
      <c r="E24" s="79"/>
      <c r="F24" s="37"/>
      <c r="G24" s="37"/>
      <c r="H24" s="37"/>
    </row>
    <row r="25" spans="1:8" x14ac:dyDescent="0.3">
      <c r="A25" s="75" t="s">
        <v>145</v>
      </c>
      <c r="B25" s="75" t="s">
        <v>146</v>
      </c>
      <c r="C25" s="19" t="s">
        <v>136</v>
      </c>
      <c r="D25" s="76">
        <v>500</v>
      </c>
      <c r="E25" s="79"/>
      <c r="F25" s="37"/>
      <c r="G25" s="37"/>
      <c r="H25" s="37"/>
    </row>
    <row r="26" spans="1:8" x14ac:dyDescent="0.3">
      <c r="A26" s="75" t="s">
        <v>147</v>
      </c>
      <c r="B26" s="75" t="s">
        <v>148</v>
      </c>
      <c r="C26" s="19" t="s">
        <v>102</v>
      </c>
      <c r="D26" s="76">
        <v>6030</v>
      </c>
      <c r="E26" s="79"/>
      <c r="F26" s="37"/>
      <c r="G26" s="37"/>
      <c r="H26" s="37"/>
    </row>
    <row r="27" spans="1:8" x14ac:dyDescent="0.3">
      <c r="A27" s="75" t="s">
        <v>149</v>
      </c>
      <c r="B27" s="75" t="s">
        <v>150</v>
      </c>
      <c r="C27" s="19" t="s">
        <v>102</v>
      </c>
      <c r="D27" s="76">
        <v>10355</v>
      </c>
      <c r="E27" s="79"/>
      <c r="F27" s="37"/>
      <c r="G27" s="37"/>
      <c r="H27" s="37"/>
    </row>
    <row r="28" spans="1:8" x14ac:dyDescent="0.3">
      <c r="A28" s="75" t="s">
        <v>151</v>
      </c>
      <c r="B28" s="75" t="s">
        <v>152</v>
      </c>
      <c r="C28" s="19" t="s">
        <v>102</v>
      </c>
      <c r="D28" s="76">
        <v>10355</v>
      </c>
      <c r="E28" s="79"/>
      <c r="F28" s="37"/>
      <c r="G28" s="37"/>
      <c r="H28" s="37"/>
    </row>
    <row r="29" spans="1:8" x14ac:dyDescent="0.3">
      <c r="A29" s="75" t="s">
        <v>153</v>
      </c>
      <c r="B29" s="75" t="s">
        <v>154</v>
      </c>
      <c r="C29" s="19" t="s">
        <v>102</v>
      </c>
      <c r="D29" s="76">
        <v>10355</v>
      </c>
      <c r="E29" s="79"/>
      <c r="F29" s="37"/>
      <c r="G29" s="37"/>
      <c r="H29" s="37"/>
    </row>
    <row r="30" spans="1:8" x14ac:dyDescent="0.3">
      <c r="A30" s="75" t="s">
        <v>155</v>
      </c>
      <c r="B30" s="75" t="s">
        <v>156</v>
      </c>
      <c r="C30" s="19" t="s">
        <v>131</v>
      </c>
      <c r="D30" s="76">
        <v>46250</v>
      </c>
      <c r="E30" s="77">
        <f>ROUND(SUM(F30:G30),3)</f>
        <v>4.03</v>
      </c>
      <c r="F30" s="37">
        <f>ROUND(SUM(DATA!T:T)*(20*0.888*1.5+9*1.208*0.95)/1000,3)</f>
        <v>4.03</v>
      </c>
      <c r="G30" s="37"/>
      <c r="H30" s="37"/>
    </row>
    <row r="31" spans="1:8" x14ac:dyDescent="0.3">
      <c r="A31" s="75" t="s">
        <v>157</v>
      </c>
      <c r="B31" s="75" t="s">
        <v>158</v>
      </c>
      <c r="C31" s="19" t="s">
        <v>131</v>
      </c>
      <c r="D31" s="76">
        <v>92500</v>
      </c>
      <c r="E31" s="77">
        <f>ROUND(SUM(F31:G31),3)</f>
        <v>0</v>
      </c>
      <c r="F31" s="37">
        <f>+ROUND(COUNTIFS(DATA!AG:AG,"30 adet L=2m Ø12 Demir montajı yapıldı.")*30*0.888*2/1000,3)</f>
        <v>0</v>
      </c>
      <c r="G31" s="37"/>
      <c r="H31" s="37"/>
    </row>
    <row r="32" spans="1:8" x14ac:dyDescent="0.3">
      <c r="A32" s="75" t="s">
        <v>159</v>
      </c>
      <c r="B32" s="75" t="s">
        <v>160</v>
      </c>
      <c r="C32" s="19" t="s">
        <v>131</v>
      </c>
      <c r="D32" s="76">
        <v>97333</v>
      </c>
      <c r="E32" s="77">
        <f>ROUND(SUM(F32:H32),3)</f>
        <v>22.323</v>
      </c>
      <c r="F32" s="37">
        <f>ROUND(SUM(DATA!T:T)*0.195718,3)</f>
        <v>21.332999999999998</v>
      </c>
      <c r="G32" s="37">
        <f>ROUND(SUM(DATA!S:S)*0.11171,3)</f>
        <v>0</v>
      </c>
      <c r="H32" s="37">
        <f>+SUM('AYNA TAKİP'!L:L)</f>
        <v>0.98982599999999987</v>
      </c>
    </row>
    <row r="33" spans="1:8" x14ac:dyDescent="0.3">
      <c r="A33" s="75" t="s">
        <v>161</v>
      </c>
      <c r="B33" s="75" t="s">
        <v>162</v>
      </c>
      <c r="C33" s="19" t="s">
        <v>163</v>
      </c>
      <c r="D33" s="76">
        <v>150</v>
      </c>
      <c r="E33" s="79"/>
      <c r="F33" s="37"/>
      <c r="G33" s="37"/>
      <c r="H33" s="37"/>
    </row>
    <row r="34" spans="1:8" x14ac:dyDescent="0.3">
      <c r="A34" s="75" t="s">
        <v>164</v>
      </c>
      <c r="B34" s="75" t="s">
        <v>165</v>
      </c>
      <c r="C34" s="19" t="s">
        <v>163</v>
      </c>
      <c r="D34" s="76">
        <v>180</v>
      </c>
      <c r="E34" s="79"/>
      <c r="F34" s="37"/>
      <c r="G34" s="37"/>
      <c r="H34" s="37"/>
    </row>
    <row r="35" spans="1:8" x14ac:dyDescent="0.3">
      <c r="E35" s="81">
        <f>+SUMPRODUCT(D5:D34,E5:E34)</f>
        <v>32433922.120000001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2026-05-08T11:28:08Z</cp:lastPrinted>
  <dcterms:created xsi:type="dcterms:W3CDTF">2015-06-05T18:19:34Z</dcterms:created>
  <dcterms:modified xsi:type="dcterms:W3CDTF">2026-05-08T11:28:17Z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