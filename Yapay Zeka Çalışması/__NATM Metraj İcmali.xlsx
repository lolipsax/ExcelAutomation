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basak\Desktop\Yapay Zeka Çalışması\"/>
    </mc:Choice>
  </mc:AlternateContent>
  <xr:revisionPtr revIDLastSave="0" documentId="13_ncr:1_{EE2329BE-F863-4C30-B7AF-2264DFCD2A81}" xr6:coauthVersionLast="47" xr6:coauthVersionMax="47" xr10:uidLastSave="{00000000-0000-0000-0000-000000000000}"/>
  <bookViews>
    <workbookView xWindow="28680" yWindow="-120" windowWidth="29040" windowHeight="15720" tabRatio="951" firstSheet="7" activeTab="8" xr2:uid="{00000000-000D-0000-FFFF-FFFF00000000}"/>
  </bookViews>
  <sheets>
    <sheet name="Barbaros 1225" sheetId="77" state="hidden" r:id="rId1"/>
    <sheet name="Barbaros 1125" sheetId="76" state="hidden" r:id="rId2"/>
    <sheet name="Barbaros 1025" sheetId="75" state="hidden" r:id="rId3"/>
    <sheet name="Barbaros 0925" sheetId="74" state="hidden" r:id="rId4"/>
    <sheet name="Barbaros 0825" sheetId="73" state="hidden" r:id="rId5"/>
    <sheet name="Barbaros 0725" sheetId="72" state="hidden" r:id="rId6"/>
    <sheet name="Barbaros 0625" sheetId="71" state="hidden" r:id="rId7"/>
    <sheet name="Kapak" sheetId="22" r:id="rId8"/>
    <sheet name="ÖZET" sheetId="21" r:id="rId9"/>
    <sheet name="Malazgirt 0625" sheetId="82" state="hidden" r:id="rId10"/>
    <sheet name="Malazgirt 0725" sheetId="83" state="hidden" r:id="rId11"/>
    <sheet name="Malazgirt 0825" sheetId="84" state="hidden" r:id="rId12"/>
    <sheet name="Malazgirt 0925" sheetId="85" state="hidden" r:id="rId13"/>
    <sheet name="Malazgirt 1025" sheetId="86" state="hidden" r:id="rId14"/>
    <sheet name="Malazgirt 1125" sheetId="87" state="hidden" r:id="rId15"/>
    <sheet name="Malazgirt 1225" sheetId="88" state="hidden" r:id="rId16"/>
    <sheet name="Barbaros 0126" sheetId="78" state="hidden" r:id="rId17"/>
    <sheet name="Malazgirt 0126" sheetId="89" state="hidden" r:id="rId18"/>
    <sheet name="Barbaros 0226" sheetId="79" state="hidden" r:id="rId19"/>
    <sheet name="Malazgirt 0226" sheetId="90" state="hidden" r:id="rId20"/>
    <sheet name="Barbaros 0326" sheetId="80" state="hidden" r:id="rId21"/>
    <sheet name="Malazgirt 0326" sheetId="91" state="hidden" r:id="rId22"/>
    <sheet name="Barbaros 0426" sheetId="92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</externalReferences>
  <definedNames>
    <definedName name="_xlnm.Print_Area" localSheetId="8">ÖZET!$A$2:$N$41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3" i="92" l="1"/>
  <c r="AU33" i="92"/>
  <c r="P41" i="21" l="1"/>
  <c r="BA33" i="92" l="1"/>
  <c r="AK32" i="92" a="1"/>
  <c r="AJ32" i="92" a="1"/>
  <c r="AI32" i="92" a="1"/>
  <c r="AH32" i="92" a="1"/>
  <c r="AG32" i="92" a="1"/>
  <c r="AF32" i="92" a="1"/>
  <c r="AE32" i="92" a="1"/>
  <c r="AD32" i="92" a="1"/>
  <c r="AC32" i="92" a="1"/>
  <c r="AB32" i="92" a="1"/>
  <c r="AA32" i="92" a="1"/>
  <c r="Z32" i="92" a="1"/>
  <c r="Y32" i="92" a="1"/>
  <c r="X32" i="92" a="1"/>
  <c r="W32" i="92" a="1"/>
  <c r="V32" i="92" a="1"/>
  <c r="U32" i="92" a="1"/>
  <c r="T32" i="92" a="1"/>
  <c r="S32" i="92" a="1"/>
  <c r="R32" i="92" a="1"/>
  <c r="Q32" i="92" a="1"/>
  <c r="P32" i="92" a="1"/>
  <c r="O32" i="92" a="1"/>
  <c r="N32" i="92" a="1"/>
  <c r="M32" i="92" a="1"/>
  <c r="L32" i="92" a="1"/>
  <c r="K32" i="92" a="1"/>
  <c r="J32" i="92" a="1"/>
  <c r="G32" i="92"/>
  <c r="AK31" i="92" a="1"/>
  <c r="AJ31" i="92" a="1"/>
  <c r="AI31" i="92" a="1"/>
  <c r="AH31" i="92" a="1"/>
  <c r="AG31" i="92" a="1"/>
  <c r="AF31" i="92" a="1"/>
  <c r="AE31" i="92" a="1"/>
  <c r="AD31" i="92" a="1"/>
  <c r="AC31" i="92" a="1"/>
  <c r="AB31" i="92" a="1"/>
  <c r="AA31" i="92" a="1"/>
  <c r="Z31" i="92" a="1"/>
  <c r="Y31" i="92" a="1"/>
  <c r="X31" i="92" a="1"/>
  <c r="W31" i="92" a="1"/>
  <c r="V31" i="92" a="1"/>
  <c r="U31" i="92" a="1"/>
  <c r="T31" i="92" a="1"/>
  <c r="S31" i="92" a="1"/>
  <c r="R31" i="92" a="1"/>
  <c r="Q31" i="92" a="1"/>
  <c r="P31" i="92" a="1"/>
  <c r="O31" i="92" a="1"/>
  <c r="N31" i="92" a="1"/>
  <c r="M31" i="92" a="1"/>
  <c r="L31" i="92" a="1"/>
  <c r="K31" i="92" a="1"/>
  <c r="J31" i="92" a="1"/>
  <c r="G31" i="92"/>
  <c r="AK30" i="92" a="1"/>
  <c r="AJ30" i="92" a="1"/>
  <c r="AI30" i="92" a="1"/>
  <c r="AH30" i="92" a="1"/>
  <c r="AG30" i="92" a="1"/>
  <c r="AF30" i="92" a="1"/>
  <c r="AE30" i="92" a="1"/>
  <c r="AD30" i="92" a="1"/>
  <c r="AC30" i="92" a="1"/>
  <c r="AB30" i="92" a="1"/>
  <c r="AA30" i="92" a="1"/>
  <c r="Z30" i="92" a="1"/>
  <c r="Y30" i="92" a="1"/>
  <c r="X30" i="92" a="1"/>
  <c r="W30" i="92" a="1"/>
  <c r="V30" i="92" a="1"/>
  <c r="U30" i="92" a="1"/>
  <c r="T30" i="92" a="1"/>
  <c r="S30" i="92" a="1"/>
  <c r="R30" i="92" a="1"/>
  <c r="Q30" i="92" a="1"/>
  <c r="P30" i="92" a="1"/>
  <c r="O30" i="92" a="1"/>
  <c r="N30" i="92" a="1"/>
  <c r="M30" i="92" a="1"/>
  <c r="L30" i="92" a="1"/>
  <c r="K30" i="92" a="1"/>
  <c r="J30" i="92" a="1"/>
  <c r="G30" i="92"/>
  <c r="AK29" i="92" a="1"/>
  <c r="AJ29" i="92" a="1"/>
  <c r="AI29" i="92" a="1"/>
  <c r="AH29" i="92" a="1"/>
  <c r="AG29" i="92" a="1"/>
  <c r="AF29" i="92" a="1"/>
  <c r="AE29" i="92" a="1"/>
  <c r="AD29" i="92" a="1"/>
  <c r="AC29" i="92" a="1"/>
  <c r="AB29" i="92" a="1"/>
  <c r="AA29" i="92" a="1"/>
  <c r="Z29" i="92" a="1"/>
  <c r="Y29" i="92" a="1"/>
  <c r="X29" i="92" a="1"/>
  <c r="W29" i="92" a="1"/>
  <c r="V29" i="92" a="1"/>
  <c r="U29" i="92" a="1"/>
  <c r="T29" i="92" a="1"/>
  <c r="S29" i="92" a="1"/>
  <c r="R29" i="92" a="1"/>
  <c r="Q29" i="92" a="1"/>
  <c r="P29" i="92" a="1"/>
  <c r="O29" i="92" a="1"/>
  <c r="N29" i="92" a="1"/>
  <c r="M29" i="92" a="1"/>
  <c r="L29" i="92" a="1"/>
  <c r="K29" i="92" a="1"/>
  <c r="J29" i="92" a="1"/>
  <c r="G29" i="92"/>
  <c r="AK28" i="92" a="1"/>
  <c r="AJ28" i="92" a="1"/>
  <c r="AI28" i="92" a="1"/>
  <c r="AH28" i="92" a="1"/>
  <c r="AG28" i="92" a="1"/>
  <c r="AF28" i="92" a="1"/>
  <c r="AE28" i="92" a="1"/>
  <c r="AD28" i="92" a="1"/>
  <c r="AC28" i="92" a="1"/>
  <c r="AB28" i="92" a="1"/>
  <c r="AA28" i="92" a="1"/>
  <c r="Z28" i="92" a="1"/>
  <c r="Y28" i="92" a="1"/>
  <c r="X28" i="92" a="1"/>
  <c r="W28" i="92" a="1"/>
  <c r="V28" i="92" a="1"/>
  <c r="U28" i="92" a="1"/>
  <c r="T28" i="92" a="1"/>
  <c r="S28" i="92" a="1"/>
  <c r="R28" i="92" a="1"/>
  <c r="Q28" i="92" a="1"/>
  <c r="P28" i="92" a="1"/>
  <c r="O28" i="92" a="1"/>
  <c r="N28" i="92" a="1"/>
  <c r="M28" i="92" a="1"/>
  <c r="L28" i="92" a="1"/>
  <c r="K28" i="92" a="1"/>
  <c r="J28" i="92" a="1"/>
  <c r="G28" i="92"/>
  <c r="AK27" i="92" a="1"/>
  <c r="AJ27" i="92" a="1"/>
  <c r="AI27" i="92" a="1"/>
  <c r="AH27" i="92" a="1"/>
  <c r="AG27" i="92" a="1"/>
  <c r="AF27" i="92" a="1"/>
  <c r="AE27" i="92" a="1"/>
  <c r="AD27" i="92" a="1"/>
  <c r="AC27" i="92" a="1"/>
  <c r="AB27" i="92" a="1"/>
  <c r="AA27" i="92" a="1"/>
  <c r="Z27" i="92" a="1"/>
  <c r="Y27" i="92" a="1"/>
  <c r="X27" i="92" a="1"/>
  <c r="W27" i="92" a="1"/>
  <c r="V27" i="92" a="1"/>
  <c r="U27" i="92" a="1"/>
  <c r="T27" i="92" a="1"/>
  <c r="S27" i="92" a="1"/>
  <c r="R27" i="92" a="1"/>
  <c r="Q27" i="92" a="1"/>
  <c r="P27" i="92" a="1"/>
  <c r="O27" i="92" a="1"/>
  <c r="N27" i="92" a="1"/>
  <c r="M27" i="92" a="1"/>
  <c r="L27" i="92" a="1"/>
  <c r="K27" i="92" a="1"/>
  <c r="J27" i="92" a="1"/>
  <c r="G27" i="92"/>
  <c r="AK26" i="92" a="1"/>
  <c r="AJ26" i="92" a="1"/>
  <c r="AI26" i="92" a="1"/>
  <c r="AH26" i="92" a="1"/>
  <c r="AG26" i="92" a="1"/>
  <c r="AF26" i="92" a="1"/>
  <c r="AE26" i="92" a="1"/>
  <c r="AD26" i="92" a="1"/>
  <c r="AC26" i="92" a="1"/>
  <c r="AB26" i="92" a="1"/>
  <c r="AA26" i="92" a="1"/>
  <c r="Z26" i="92" a="1"/>
  <c r="Y26" i="92" a="1"/>
  <c r="X26" i="92" a="1"/>
  <c r="W26" i="92" a="1"/>
  <c r="V26" i="92" a="1"/>
  <c r="U26" i="92" a="1"/>
  <c r="T26" i="92" a="1"/>
  <c r="S26" i="92" a="1"/>
  <c r="R26" i="92" a="1"/>
  <c r="Q26" i="92" a="1"/>
  <c r="P26" i="92" a="1"/>
  <c r="O26" i="92" a="1"/>
  <c r="N26" i="92" a="1"/>
  <c r="M26" i="92" a="1"/>
  <c r="L26" i="92" a="1"/>
  <c r="K26" i="92" a="1"/>
  <c r="J26" i="92" a="1"/>
  <c r="G26" i="92"/>
  <c r="AK25" i="92" a="1"/>
  <c r="AJ25" i="92" a="1"/>
  <c r="AI25" i="92" a="1"/>
  <c r="AH25" i="92" a="1"/>
  <c r="AG25" i="92" a="1"/>
  <c r="AF25" i="92" a="1"/>
  <c r="AE25" i="92" a="1"/>
  <c r="AD25" i="92" a="1"/>
  <c r="AC25" i="92" a="1"/>
  <c r="AB25" i="92" a="1"/>
  <c r="AA25" i="92" a="1"/>
  <c r="Z25" i="92" a="1"/>
  <c r="Y25" i="92" a="1"/>
  <c r="X25" i="92" a="1"/>
  <c r="W25" i="92" a="1"/>
  <c r="V25" i="92" a="1"/>
  <c r="U25" i="92" a="1"/>
  <c r="T25" i="92" a="1"/>
  <c r="S25" i="92" a="1"/>
  <c r="R25" i="92" a="1"/>
  <c r="Q25" i="92" a="1"/>
  <c r="P25" i="92" a="1"/>
  <c r="O25" i="92" a="1"/>
  <c r="N25" i="92" a="1"/>
  <c r="M25" i="92" a="1"/>
  <c r="L25" i="92" a="1"/>
  <c r="K25" i="92" a="1"/>
  <c r="J25" i="92" a="1"/>
  <c r="G25" i="92"/>
  <c r="AK24" i="92" a="1"/>
  <c r="AJ24" i="92" a="1"/>
  <c r="AI24" i="92" a="1"/>
  <c r="AH24" i="92" a="1"/>
  <c r="AG24" i="92" a="1"/>
  <c r="AF24" i="92" a="1"/>
  <c r="AE24" i="92" a="1"/>
  <c r="AD24" i="92" a="1"/>
  <c r="AC24" i="92" a="1"/>
  <c r="AB24" i="92" a="1"/>
  <c r="AA24" i="92" a="1"/>
  <c r="Z24" i="92" a="1"/>
  <c r="Y24" i="92" a="1"/>
  <c r="X24" i="92" a="1"/>
  <c r="W24" i="92" a="1"/>
  <c r="V24" i="92" a="1"/>
  <c r="U24" i="92" a="1"/>
  <c r="T24" i="92" a="1"/>
  <c r="S24" i="92" a="1"/>
  <c r="R24" i="92" a="1"/>
  <c r="Q24" i="92" a="1"/>
  <c r="P24" i="92" a="1"/>
  <c r="O24" i="92" a="1"/>
  <c r="N24" i="92" a="1"/>
  <c r="M24" i="92" a="1"/>
  <c r="L24" i="92" a="1"/>
  <c r="K24" i="92" a="1"/>
  <c r="J24" i="92" a="1"/>
  <c r="G24" i="92"/>
  <c r="AK23" i="92" a="1"/>
  <c r="AJ23" i="92" a="1"/>
  <c r="AI23" i="92" a="1"/>
  <c r="AH23" i="92" a="1"/>
  <c r="AG23" i="92" a="1"/>
  <c r="AF23" i="92" a="1"/>
  <c r="AE23" i="92" a="1"/>
  <c r="AD23" i="92" a="1"/>
  <c r="AC23" i="92" a="1"/>
  <c r="AB23" i="92" a="1"/>
  <c r="AA23" i="92" a="1"/>
  <c r="Z23" i="92" a="1"/>
  <c r="Y23" i="92" a="1"/>
  <c r="X23" i="92" a="1"/>
  <c r="W23" i="92" a="1"/>
  <c r="V23" i="92" a="1"/>
  <c r="U23" i="92" a="1"/>
  <c r="T23" i="92" a="1"/>
  <c r="S23" i="92" a="1"/>
  <c r="R23" i="92" a="1"/>
  <c r="Q23" i="92" a="1"/>
  <c r="P23" i="92" a="1"/>
  <c r="O23" i="92" a="1"/>
  <c r="N23" i="92" a="1"/>
  <c r="M23" i="92" a="1"/>
  <c r="L23" i="92" a="1"/>
  <c r="K23" i="92" a="1"/>
  <c r="J23" i="92" a="1"/>
  <c r="G23" i="92"/>
  <c r="AK22" i="92" a="1"/>
  <c r="AJ22" i="92" a="1"/>
  <c r="AI22" i="92" a="1"/>
  <c r="AH22" i="92" a="1"/>
  <c r="AG22" i="92" a="1"/>
  <c r="AF22" i="92" a="1"/>
  <c r="AE22" i="92" a="1"/>
  <c r="AD22" i="92" a="1"/>
  <c r="AC22" i="92" a="1"/>
  <c r="AB22" i="92" a="1"/>
  <c r="AA22" i="92" a="1"/>
  <c r="Z22" i="92" a="1"/>
  <c r="Y22" i="92" a="1"/>
  <c r="X22" i="92" a="1"/>
  <c r="W22" i="92" a="1"/>
  <c r="V22" i="92" a="1"/>
  <c r="U22" i="92" a="1"/>
  <c r="T22" i="92" a="1"/>
  <c r="S22" i="92" a="1"/>
  <c r="R22" i="92" a="1"/>
  <c r="Q22" i="92" a="1"/>
  <c r="P22" i="92" a="1"/>
  <c r="O22" i="92" a="1"/>
  <c r="N22" i="92" a="1"/>
  <c r="M22" i="92" a="1"/>
  <c r="L22" i="92" a="1"/>
  <c r="K22" i="92" a="1"/>
  <c r="J22" i="92" a="1"/>
  <c r="G22" i="92"/>
  <c r="AK21" i="92" a="1"/>
  <c r="AJ21" i="92" a="1"/>
  <c r="AI21" i="92" a="1"/>
  <c r="AH21" i="92" a="1"/>
  <c r="AG21" i="92" a="1"/>
  <c r="AF21" i="92" a="1"/>
  <c r="AE21" i="92" a="1"/>
  <c r="AD21" i="92" a="1"/>
  <c r="AC21" i="92" a="1"/>
  <c r="AB21" i="92" a="1"/>
  <c r="AA21" i="92" a="1"/>
  <c r="Z21" i="92" a="1"/>
  <c r="Y21" i="92" a="1"/>
  <c r="X21" i="92" a="1"/>
  <c r="W21" i="92" a="1"/>
  <c r="V21" i="92" a="1"/>
  <c r="U21" i="92" a="1"/>
  <c r="T21" i="92" a="1"/>
  <c r="S21" i="92" a="1"/>
  <c r="R21" i="92" a="1"/>
  <c r="Q21" i="92" a="1"/>
  <c r="P21" i="92" a="1"/>
  <c r="O21" i="92" a="1"/>
  <c r="N21" i="92" a="1"/>
  <c r="M21" i="92" a="1"/>
  <c r="L21" i="92" a="1"/>
  <c r="K21" i="92" a="1"/>
  <c r="J21" i="92" a="1"/>
  <c r="G21" i="92"/>
  <c r="AK20" i="92" a="1"/>
  <c r="AJ20" i="92" a="1"/>
  <c r="AI20" i="92" a="1"/>
  <c r="AH20" i="92" a="1"/>
  <c r="AG20" i="92" a="1"/>
  <c r="AF20" i="92" a="1"/>
  <c r="AE20" i="92" a="1"/>
  <c r="AD20" i="92" a="1"/>
  <c r="AC20" i="92" a="1"/>
  <c r="AB20" i="92" a="1"/>
  <c r="AA20" i="92" a="1"/>
  <c r="Z20" i="92" a="1"/>
  <c r="Y20" i="92" a="1"/>
  <c r="X20" i="92" a="1"/>
  <c r="W20" i="92" a="1"/>
  <c r="V20" i="92" a="1"/>
  <c r="U20" i="92" a="1"/>
  <c r="T20" i="92" a="1"/>
  <c r="S20" i="92" a="1"/>
  <c r="R20" i="92" a="1"/>
  <c r="Q20" i="92" a="1"/>
  <c r="P20" i="92" a="1"/>
  <c r="O20" i="92" a="1"/>
  <c r="N20" i="92" a="1"/>
  <c r="M20" i="92" a="1"/>
  <c r="L20" i="92" a="1"/>
  <c r="K20" i="92" a="1"/>
  <c r="J20" i="92" a="1"/>
  <c r="G20" i="92"/>
  <c r="AK19" i="92" a="1"/>
  <c r="AJ19" i="92" a="1"/>
  <c r="AI19" i="92" a="1"/>
  <c r="AH19" i="92" a="1"/>
  <c r="AG19" i="92" a="1"/>
  <c r="AF19" i="92" a="1"/>
  <c r="AE19" i="92" a="1"/>
  <c r="AD19" i="92" a="1"/>
  <c r="AC19" i="92" a="1"/>
  <c r="AB19" i="92" a="1"/>
  <c r="AA19" i="92" a="1"/>
  <c r="Z19" i="92" a="1"/>
  <c r="Y19" i="92" a="1"/>
  <c r="X19" i="92" a="1"/>
  <c r="W19" i="92" a="1"/>
  <c r="V19" i="92" a="1"/>
  <c r="U19" i="92" a="1"/>
  <c r="T19" i="92" a="1"/>
  <c r="S19" i="92" a="1"/>
  <c r="R19" i="92" a="1"/>
  <c r="Q19" i="92" a="1"/>
  <c r="P19" i="92" a="1"/>
  <c r="O19" i="92" a="1"/>
  <c r="N19" i="92" a="1"/>
  <c r="M19" i="92" a="1"/>
  <c r="L19" i="92" a="1"/>
  <c r="K19" i="92" a="1"/>
  <c r="J19" i="92" a="1"/>
  <c r="G19" i="92"/>
  <c r="AK18" i="92" a="1"/>
  <c r="AJ18" i="92" a="1"/>
  <c r="AI18" i="92" a="1"/>
  <c r="AH18" i="92" a="1"/>
  <c r="AG18" i="92" a="1"/>
  <c r="AF18" i="92" a="1"/>
  <c r="AE18" i="92" a="1"/>
  <c r="AD18" i="92" a="1"/>
  <c r="AC18" i="92" a="1"/>
  <c r="AB18" i="92" a="1"/>
  <c r="AA18" i="92" a="1"/>
  <c r="Z18" i="92" a="1"/>
  <c r="Y18" i="92" a="1"/>
  <c r="X18" i="92" a="1"/>
  <c r="W18" i="92" a="1"/>
  <c r="V18" i="92" a="1"/>
  <c r="U18" i="92" a="1"/>
  <c r="T18" i="92" a="1"/>
  <c r="S18" i="92" a="1"/>
  <c r="R18" i="92" a="1"/>
  <c r="Q18" i="92" a="1"/>
  <c r="P18" i="92" a="1"/>
  <c r="O18" i="92" a="1"/>
  <c r="N18" i="92" a="1"/>
  <c r="M18" i="92" a="1"/>
  <c r="L18" i="92" a="1"/>
  <c r="K18" i="92" a="1"/>
  <c r="J18" i="92" a="1"/>
  <c r="G18" i="92"/>
  <c r="AK17" i="92" a="1"/>
  <c r="AJ17" i="92" a="1"/>
  <c r="AI17" i="92" a="1"/>
  <c r="AH17" i="92" a="1"/>
  <c r="AG17" i="92" a="1"/>
  <c r="AF17" i="92" a="1"/>
  <c r="AE17" i="92" a="1"/>
  <c r="AD17" i="92" a="1"/>
  <c r="AC17" i="92" a="1"/>
  <c r="AB17" i="92" a="1"/>
  <c r="AA17" i="92" a="1"/>
  <c r="Z17" i="92" a="1"/>
  <c r="Y17" i="92" a="1"/>
  <c r="X17" i="92" a="1"/>
  <c r="W17" i="92" a="1"/>
  <c r="V17" i="92" a="1"/>
  <c r="U17" i="92" a="1"/>
  <c r="T17" i="92" a="1"/>
  <c r="S17" i="92" a="1"/>
  <c r="R17" i="92" a="1"/>
  <c r="Q17" i="92" a="1"/>
  <c r="P17" i="92" a="1"/>
  <c r="O17" i="92" a="1"/>
  <c r="N17" i="92" a="1"/>
  <c r="M17" i="92" a="1"/>
  <c r="L17" i="92" a="1"/>
  <c r="K17" i="92" a="1"/>
  <c r="J17" i="92" a="1"/>
  <c r="G17" i="92"/>
  <c r="AK16" i="92" a="1"/>
  <c r="AJ16" i="92" a="1"/>
  <c r="AI16" i="92" a="1"/>
  <c r="AH16" i="92" a="1"/>
  <c r="AG16" i="92" a="1"/>
  <c r="AF16" i="92" a="1"/>
  <c r="AE16" i="92" a="1"/>
  <c r="AD16" i="92" a="1"/>
  <c r="AC16" i="92" a="1"/>
  <c r="AB16" i="92" a="1"/>
  <c r="AA16" i="92" a="1"/>
  <c r="Z16" i="92" a="1"/>
  <c r="Y16" i="92" a="1"/>
  <c r="X16" i="92" a="1"/>
  <c r="W16" i="92" a="1"/>
  <c r="V16" i="92" a="1"/>
  <c r="U16" i="92" a="1"/>
  <c r="T16" i="92" a="1"/>
  <c r="S16" i="92" a="1"/>
  <c r="R16" i="92" a="1"/>
  <c r="Q16" i="92" a="1"/>
  <c r="P16" i="92" a="1"/>
  <c r="O16" i="92" a="1"/>
  <c r="N16" i="92" a="1"/>
  <c r="M16" i="92" a="1"/>
  <c r="L16" i="92" a="1"/>
  <c r="K16" i="92" a="1"/>
  <c r="J16" i="92" a="1"/>
  <c r="G16" i="92"/>
  <c r="AK15" i="92" a="1"/>
  <c r="AJ15" i="92" a="1"/>
  <c r="AI15" i="92" a="1"/>
  <c r="AH15" i="92" a="1"/>
  <c r="AG15" i="92" a="1"/>
  <c r="AF15" i="92" a="1"/>
  <c r="AE15" i="92" a="1"/>
  <c r="AD15" i="92" a="1"/>
  <c r="AC15" i="92" a="1"/>
  <c r="AB15" i="92" a="1"/>
  <c r="AA15" i="92" a="1"/>
  <c r="Z15" i="92" a="1"/>
  <c r="Y15" i="92" a="1"/>
  <c r="X15" i="92" a="1"/>
  <c r="W15" i="92" a="1"/>
  <c r="V15" i="92" a="1"/>
  <c r="U15" i="92" a="1"/>
  <c r="T15" i="92" a="1"/>
  <c r="S15" i="92" a="1"/>
  <c r="R15" i="92" a="1"/>
  <c r="Q15" i="92" a="1"/>
  <c r="P15" i="92" a="1"/>
  <c r="O15" i="92" a="1"/>
  <c r="N15" i="92" a="1"/>
  <c r="M15" i="92" a="1"/>
  <c r="L15" i="92" a="1"/>
  <c r="K15" i="92" a="1"/>
  <c r="J15" i="92" a="1"/>
  <c r="G15" i="92"/>
  <c r="AK14" i="92" a="1"/>
  <c r="AJ14" i="92" a="1"/>
  <c r="AI14" i="92" a="1"/>
  <c r="AH14" i="92" a="1"/>
  <c r="AG14" i="92" a="1"/>
  <c r="AF14" i="92" a="1"/>
  <c r="AE14" i="92" a="1"/>
  <c r="AD14" i="92" a="1"/>
  <c r="AC14" i="92" a="1"/>
  <c r="AB14" i="92" a="1"/>
  <c r="AA14" i="92" a="1"/>
  <c r="Z14" i="92" a="1"/>
  <c r="Y14" i="92" a="1"/>
  <c r="X14" i="92" a="1"/>
  <c r="W14" i="92" a="1"/>
  <c r="V14" i="92" a="1"/>
  <c r="U14" i="92" a="1"/>
  <c r="T14" i="92" a="1"/>
  <c r="S14" i="92" a="1"/>
  <c r="R14" i="92" a="1"/>
  <c r="Q14" i="92" a="1"/>
  <c r="P14" i="92" a="1"/>
  <c r="O14" i="92" a="1"/>
  <c r="N14" i="92" a="1"/>
  <c r="M14" i="92" a="1"/>
  <c r="L14" i="92" a="1"/>
  <c r="K14" i="92" a="1"/>
  <c r="J14" i="92" a="1"/>
  <c r="G14" i="92"/>
  <c r="AK13" i="92" a="1"/>
  <c r="AJ13" i="92" a="1"/>
  <c r="AI13" i="92" a="1"/>
  <c r="AH13" i="92" a="1"/>
  <c r="AG13" i="92" a="1"/>
  <c r="AF13" i="92" a="1"/>
  <c r="AE13" i="92" a="1"/>
  <c r="AD13" i="92" a="1"/>
  <c r="AC13" i="92" a="1"/>
  <c r="AB13" i="92" a="1"/>
  <c r="AA13" i="92" a="1"/>
  <c r="Z13" i="92" a="1"/>
  <c r="Y13" i="92" a="1"/>
  <c r="X13" i="92" a="1"/>
  <c r="W13" i="92" a="1"/>
  <c r="V13" i="92" a="1"/>
  <c r="U13" i="92" a="1"/>
  <c r="T13" i="92" a="1"/>
  <c r="S13" i="92" a="1"/>
  <c r="R13" i="92" a="1"/>
  <c r="Q13" i="92" a="1"/>
  <c r="P13" i="92" a="1"/>
  <c r="O13" i="92" a="1"/>
  <c r="N13" i="92" a="1"/>
  <c r="M13" i="92" a="1"/>
  <c r="L13" i="92" a="1"/>
  <c r="K13" i="92" a="1"/>
  <c r="J13" i="92" a="1"/>
  <c r="G13" i="92"/>
  <c r="AK12" i="92" a="1"/>
  <c r="AJ12" i="92" a="1"/>
  <c r="AI12" i="92" a="1"/>
  <c r="AH12" i="92" a="1"/>
  <c r="AG12" i="92" a="1"/>
  <c r="AF12" i="92" a="1"/>
  <c r="AE12" i="92" a="1"/>
  <c r="AD12" i="92" a="1"/>
  <c r="AC12" i="92" a="1"/>
  <c r="AB12" i="92" a="1"/>
  <c r="AA12" i="92" a="1"/>
  <c r="Z12" i="92" a="1"/>
  <c r="Y12" i="92" a="1"/>
  <c r="X12" i="92" a="1"/>
  <c r="W12" i="92" a="1"/>
  <c r="V12" i="92" a="1"/>
  <c r="U12" i="92" a="1"/>
  <c r="T12" i="92" a="1"/>
  <c r="S12" i="92" a="1"/>
  <c r="R12" i="92" a="1"/>
  <c r="Q12" i="92" a="1"/>
  <c r="P12" i="92" a="1"/>
  <c r="O12" i="92" a="1"/>
  <c r="N12" i="92" a="1"/>
  <c r="M12" i="92" a="1"/>
  <c r="L12" i="92" a="1"/>
  <c r="K12" i="92" a="1"/>
  <c r="J12" i="92" a="1"/>
  <c r="G12" i="92"/>
  <c r="AK11" i="92" a="1"/>
  <c r="AJ11" i="92" a="1"/>
  <c r="AI11" i="92" a="1"/>
  <c r="AH11" i="92" a="1"/>
  <c r="AG11" i="92" a="1"/>
  <c r="AF11" i="92" a="1"/>
  <c r="AE11" i="92" a="1"/>
  <c r="AD11" i="92" a="1"/>
  <c r="AC11" i="92" a="1"/>
  <c r="AB11" i="92" a="1"/>
  <c r="AA11" i="92" a="1"/>
  <c r="Z11" i="92" a="1"/>
  <c r="Y11" i="92" a="1"/>
  <c r="X11" i="92" a="1"/>
  <c r="W11" i="92" a="1"/>
  <c r="V11" i="92" a="1"/>
  <c r="U11" i="92" a="1"/>
  <c r="T11" i="92" a="1"/>
  <c r="S11" i="92" a="1"/>
  <c r="R11" i="92" a="1"/>
  <c r="Q11" i="92" a="1"/>
  <c r="P11" i="92" a="1"/>
  <c r="O11" i="92" a="1"/>
  <c r="N11" i="92" a="1"/>
  <c r="M11" i="92" a="1"/>
  <c r="L11" i="92" a="1"/>
  <c r="K11" i="92" a="1"/>
  <c r="J11" i="92" a="1"/>
  <c r="G11" i="92"/>
  <c r="AK10" i="92" a="1"/>
  <c r="AJ10" i="92" a="1"/>
  <c r="AI10" i="92" a="1"/>
  <c r="AH10" i="92" a="1"/>
  <c r="AG10" i="92" a="1"/>
  <c r="AF10" i="92" a="1"/>
  <c r="AE10" i="92" a="1"/>
  <c r="AD10" i="92" a="1"/>
  <c r="AC10" i="92" a="1"/>
  <c r="AB10" i="92" a="1"/>
  <c r="AA10" i="92" a="1"/>
  <c r="Z10" i="92" a="1"/>
  <c r="Y10" i="92" a="1"/>
  <c r="X10" i="92" a="1"/>
  <c r="W10" i="92" a="1"/>
  <c r="V10" i="92" a="1"/>
  <c r="U10" i="92" a="1"/>
  <c r="T10" i="92" a="1"/>
  <c r="S10" i="92" a="1"/>
  <c r="R10" i="92" a="1"/>
  <c r="Q10" i="92" a="1"/>
  <c r="P10" i="92" a="1"/>
  <c r="O10" i="92" a="1"/>
  <c r="N10" i="92" a="1"/>
  <c r="M10" i="92" a="1"/>
  <c r="L10" i="92" a="1"/>
  <c r="K10" i="92" a="1"/>
  <c r="J10" i="92" a="1"/>
  <c r="G10" i="92"/>
  <c r="AK9" i="92" a="1"/>
  <c r="AJ9" i="92" a="1"/>
  <c r="AI9" i="92" a="1"/>
  <c r="AH9" i="92" a="1"/>
  <c r="AG9" i="92" a="1"/>
  <c r="AF9" i="92" a="1"/>
  <c r="AE9" i="92" a="1"/>
  <c r="AD9" i="92" a="1"/>
  <c r="AC9" i="92" a="1"/>
  <c r="AB9" i="92" a="1"/>
  <c r="AA9" i="92" a="1"/>
  <c r="Z9" i="92" a="1"/>
  <c r="Y9" i="92" a="1"/>
  <c r="X9" i="92" a="1"/>
  <c r="W9" i="92" a="1"/>
  <c r="V9" i="92" a="1"/>
  <c r="U9" i="92" a="1"/>
  <c r="T9" i="92" a="1"/>
  <c r="S9" i="92" a="1"/>
  <c r="R9" i="92" a="1"/>
  <c r="Q9" i="92" a="1"/>
  <c r="P9" i="92" a="1"/>
  <c r="O9" i="92" a="1"/>
  <c r="N9" i="92" a="1"/>
  <c r="M9" i="92" a="1"/>
  <c r="L9" i="92" a="1"/>
  <c r="K9" i="92" a="1"/>
  <c r="J9" i="92" a="1"/>
  <c r="G9" i="92"/>
  <c r="AK8" i="92" a="1"/>
  <c r="AJ8" i="92" a="1"/>
  <c r="AI8" i="92" a="1"/>
  <c r="AH8" i="92" a="1"/>
  <c r="AG8" i="92" a="1"/>
  <c r="AF8" i="92" a="1"/>
  <c r="AE8" i="92" a="1"/>
  <c r="AD8" i="92" a="1"/>
  <c r="AC8" i="92" a="1"/>
  <c r="AB8" i="92" a="1"/>
  <c r="AA8" i="92" a="1"/>
  <c r="Z8" i="92" a="1"/>
  <c r="Y8" i="92" a="1"/>
  <c r="X8" i="92" a="1"/>
  <c r="W8" i="92" a="1"/>
  <c r="V8" i="92" a="1"/>
  <c r="U8" i="92" a="1"/>
  <c r="T8" i="92" a="1"/>
  <c r="S8" i="92" a="1"/>
  <c r="R8" i="92" a="1"/>
  <c r="Q8" i="92" a="1"/>
  <c r="P8" i="92" a="1"/>
  <c r="O8" i="92" a="1"/>
  <c r="N8" i="92" a="1"/>
  <c r="M8" i="92" a="1"/>
  <c r="L8" i="92" a="1"/>
  <c r="K8" i="92" a="1"/>
  <c r="J8" i="92" a="1"/>
  <c r="G8" i="92"/>
  <c r="AK7" i="92" a="1"/>
  <c r="AJ7" i="92" a="1"/>
  <c r="AI7" i="92" a="1"/>
  <c r="AH7" i="92" a="1"/>
  <c r="AG7" i="92" a="1"/>
  <c r="AF7" i="92" a="1"/>
  <c r="AE7" i="92" a="1"/>
  <c r="AD7" i="92" a="1"/>
  <c r="AC7" i="92" a="1"/>
  <c r="AB7" i="92" a="1"/>
  <c r="AA7" i="92" a="1"/>
  <c r="Z7" i="92" a="1"/>
  <c r="Y7" i="92" a="1"/>
  <c r="X7" i="92" a="1"/>
  <c r="W7" i="92" a="1"/>
  <c r="V7" i="92" a="1"/>
  <c r="U7" i="92" a="1"/>
  <c r="T7" i="92" a="1"/>
  <c r="S7" i="92" a="1"/>
  <c r="R7" i="92" a="1"/>
  <c r="Q7" i="92" a="1"/>
  <c r="P7" i="92" a="1"/>
  <c r="O7" i="92" a="1"/>
  <c r="N7" i="92" a="1"/>
  <c r="M7" i="92" a="1"/>
  <c r="L7" i="92" a="1"/>
  <c r="K7" i="92" a="1"/>
  <c r="J7" i="92" a="1"/>
  <c r="G7" i="92"/>
  <c r="AK6" i="92" a="1"/>
  <c r="AJ6" i="92" a="1"/>
  <c r="AI6" i="92" a="1"/>
  <c r="AH6" i="92" a="1"/>
  <c r="AG6" i="92" a="1"/>
  <c r="AF6" i="92" a="1"/>
  <c r="AE6" i="92" a="1"/>
  <c r="AD6" i="92" a="1"/>
  <c r="AC6" i="92" a="1"/>
  <c r="AB6" i="92" a="1"/>
  <c r="AA6" i="92" a="1"/>
  <c r="Z6" i="92" a="1"/>
  <c r="Y6" i="92" a="1"/>
  <c r="X6" i="92" a="1"/>
  <c r="W6" i="92" a="1"/>
  <c r="V6" i="92" a="1"/>
  <c r="U6" i="92" a="1"/>
  <c r="T6" i="92" a="1"/>
  <c r="S6" i="92" a="1"/>
  <c r="R6" i="92" a="1"/>
  <c r="Q6" i="92" a="1"/>
  <c r="P6" i="92" a="1"/>
  <c r="O6" i="92" a="1"/>
  <c r="N6" i="92" a="1"/>
  <c r="M6" i="92" a="1"/>
  <c r="L6" i="92" a="1"/>
  <c r="K6" i="92" a="1"/>
  <c r="J6" i="92" a="1"/>
  <c r="G6" i="92"/>
  <c r="AK5" i="92" a="1"/>
  <c r="AJ5" i="92" a="1"/>
  <c r="AI5" i="92" a="1"/>
  <c r="AH5" i="92" a="1"/>
  <c r="AG5" i="92" a="1"/>
  <c r="AF5" i="92" a="1"/>
  <c r="AE5" i="92" a="1"/>
  <c r="AD5" i="92" a="1"/>
  <c r="AC5" i="92" a="1"/>
  <c r="AB5" i="92" a="1"/>
  <c r="AA5" i="92" a="1"/>
  <c r="Z5" i="92" a="1"/>
  <c r="Y5" i="92" a="1"/>
  <c r="X5" i="92" a="1"/>
  <c r="W5" i="92" a="1"/>
  <c r="V5" i="92" a="1"/>
  <c r="U5" i="92" a="1"/>
  <c r="T5" i="92" a="1"/>
  <c r="S5" i="92" a="1"/>
  <c r="R5" i="92" a="1"/>
  <c r="Q5" i="92" a="1"/>
  <c r="P5" i="92" a="1"/>
  <c r="O5" i="92" a="1"/>
  <c r="N5" i="92" a="1"/>
  <c r="M5" i="92" a="1"/>
  <c r="L5" i="92" a="1"/>
  <c r="K5" i="92" a="1"/>
  <c r="J5" i="92" a="1"/>
  <c r="G5" i="92"/>
  <c r="AK4" i="92" a="1"/>
  <c r="AJ4" i="92" a="1"/>
  <c r="AI4" i="92" a="1"/>
  <c r="AH4" i="92" a="1"/>
  <c r="AG4" i="92" a="1"/>
  <c r="AF4" i="92" a="1"/>
  <c r="AE4" i="92" a="1"/>
  <c r="AD4" i="92" a="1"/>
  <c r="AC4" i="92" a="1"/>
  <c r="AB4" i="92" a="1"/>
  <c r="AA4" i="92" a="1"/>
  <c r="Z4" i="92" a="1"/>
  <c r="Y4" i="92" a="1"/>
  <c r="X4" i="92" a="1"/>
  <c r="W4" i="92" a="1"/>
  <c r="V4" i="92" a="1"/>
  <c r="U4" i="92" a="1"/>
  <c r="T4" i="92" a="1"/>
  <c r="S4" i="92" a="1"/>
  <c r="R4" i="92" a="1"/>
  <c r="Q4" i="92" a="1"/>
  <c r="P4" i="92" a="1"/>
  <c r="O4" i="92" a="1"/>
  <c r="N4" i="92" a="1"/>
  <c r="M4" i="92" a="1"/>
  <c r="L4" i="92" a="1"/>
  <c r="K4" i="92" a="1"/>
  <c r="J4" i="92" a="1"/>
  <c r="G4" i="92"/>
  <c r="AK3" i="92" a="1"/>
  <c r="AJ3" i="92" a="1"/>
  <c r="AI3" i="92" a="1"/>
  <c r="AH3" i="92" a="1"/>
  <c r="AG3" i="92" a="1"/>
  <c r="AF3" i="92" a="1"/>
  <c r="AE3" i="92" a="1"/>
  <c r="AD3" i="92" a="1"/>
  <c r="AC3" i="92" a="1"/>
  <c r="AB3" i="92" a="1"/>
  <c r="AA3" i="92" a="1"/>
  <c r="Z3" i="92" a="1"/>
  <c r="Y3" i="92" a="1"/>
  <c r="X3" i="92" a="1"/>
  <c r="W3" i="92" a="1"/>
  <c r="V3" i="92" a="1"/>
  <c r="U3" i="92" a="1"/>
  <c r="T3" i="92" a="1"/>
  <c r="S3" i="92" a="1"/>
  <c r="R3" i="92" a="1"/>
  <c r="Q3" i="92" a="1"/>
  <c r="P3" i="92" a="1"/>
  <c r="O3" i="92" a="1"/>
  <c r="N3" i="92" a="1"/>
  <c r="M3" i="92" a="1"/>
  <c r="L3" i="92" a="1"/>
  <c r="K3" i="92" a="1"/>
  <c r="J3" i="92" a="1"/>
  <c r="G3" i="92"/>
  <c r="AP4" i="91"/>
  <c r="AP5" i="91"/>
  <c r="AP6" i="91"/>
  <c r="AP7" i="91"/>
  <c r="AP8" i="91"/>
  <c r="AP9" i="91"/>
  <c r="AP10" i="91"/>
  <c r="AP11" i="91"/>
  <c r="AP12" i="91"/>
  <c r="AP13" i="91"/>
  <c r="AP14" i="91"/>
  <c r="AP15" i="91"/>
  <c r="AP16" i="91"/>
  <c r="AP17" i="91"/>
  <c r="AP18" i="91"/>
  <c r="AP19" i="91"/>
  <c r="AP20" i="91"/>
  <c r="AP21" i="91"/>
  <c r="AP22" i="91"/>
  <c r="AP23" i="91"/>
  <c r="AP25" i="91"/>
  <c r="AP29" i="91"/>
  <c r="AP3" i="91"/>
  <c r="H30" i="92" l="1"/>
  <c r="M38" i="21" s="1"/>
  <c r="H21" i="92"/>
  <c r="M29" i="21" s="1"/>
  <c r="AG33" i="92"/>
  <c r="V33" i="92"/>
  <c r="H28" i="92"/>
  <c r="M36" i="21" s="1"/>
  <c r="H6" i="92"/>
  <c r="M14" i="21" s="1"/>
  <c r="H14" i="92"/>
  <c r="M22" i="21" s="1"/>
  <c r="AF33" i="92"/>
  <c r="N33" i="92"/>
  <c r="M33" i="92"/>
  <c r="AA33" i="92"/>
  <c r="AC33" i="92"/>
  <c r="AD33" i="92"/>
  <c r="J33" i="92"/>
  <c r="H3" i="92"/>
  <c r="M11" i="21" s="1"/>
  <c r="H9" i="92"/>
  <c r="M17" i="21" s="1"/>
  <c r="K33" i="92"/>
  <c r="H31" i="92"/>
  <c r="H13" i="92"/>
  <c r="M21" i="21" s="1"/>
  <c r="H27" i="92"/>
  <c r="M35" i="21" s="1"/>
  <c r="L33" i="92"/>
  <c r="AK33" i="92"/>
  <c r="H10" i="92"/>
  <c r="M18" i="21" s="1"/>
  <c r="H4" i="92"/>
  <c r="M12" i="21" s="1"/>
  <c r="AJ33" i="92"/>
  <c r="H18" i="92"/>
  <c r="M26" i="21" s="1"/>
  <c r="H32" i="92"/>
  <c r="H19" i="92"/>
  <c r="M27" i="21" s="1"/>
  <c r="O33" i="92"/>
  <c r="U33" i="92"/>
  <c r="Q33" i="92"/>
  <c r="H20" i="92"/>
  <c r="M28" i="21" s="1"/>
  <c r="H25" i="92"/>
  <c r="M33" i="21" s="1"/>
  <c r="W33" i="92"/>
  <c r="H7" i="92"/>
  <c r="M15" i="21" s="1"/>
  <c r="H29" i="92"/>
  <c r="M37" i="21" s="1"/>
  <c r="H15" i="92"/>
  <c r="M23" i="21" s="1"/>
  <c r="H16" i="92"/>
  <c r="M24" i="21" s="1"/>
  <c r="H12" i="92"/>
  <c r="M20" i="21" s="1"/>
  <c r="X33" i="92"/>
  <c r="Z33" i="92"/>
  <c r="H23" i="92"/>
  <c r="M31" i="21" s="1"/>
  <c r="H5" i="92"/>
  <c r="M13" i="21" s="1"/>
  <c r="AB33" i="92"/>
  <c r="AE33" i="92"/>
  <c r="R33" i="92"/>
  <c r="S33" i="92"/>
  <c r="H26" i="92"/>
  <c r="M34" i="21" s="1"/>
  <c r="T33" i="92"/>
  <c r="H24" i="92"/>
  <c r="M32" i="21" s="1"/>
  <c r="H17" i="92"/>
  <c r="M25" i="21" s="1"/>
  <c r="H22" i="92"/>
  <c r="M30" i="21" s="1"/>
  <c r="H11" i="92"/>
  <c r="M19" i="21" s="1"/>
  <c r="P33" i="92"/>
  <c r="AH33" i="92"/>
  <c r="Y33" i="92"/>
  <c r="H8" i="92"/>
  <c r="M16" i="21" s="1"/>
  <c r="AI33" i="92"/>
  <c r="AO4" i="91"/>
  <c r="AO5" i="91"/>
  <c r="AO6" i="91"/>
  <c r="AO7" i="91"/>
  <c r="AO8" i="91"/>
  <c r="AO9" i="91"/>
  <c r="AO10" i="91"/>
  <c r="AO11" i="91"/>
  <c r="AO12" i="91"/>
  <c r="AO13" i="91"/>
  <c r="AO14" i="91"/>
  <c r="AO15" i="91"/>
  <c r="AO16" i="91"/>
  <c r="AO17" i="91"/>
  <c r="AO18" i="91"/>
  <c r="AO19" i="91"/>
  <c r="AO20" i="91"/>
  <c r="AO23" i="91"/>
  <c r="AO25" i="91"/>
  <c r="AO29" i="91"/>
  <c r="AO3" i="91"/>
  <c r="I31" i="92" l="1"/>
  <c r="M39" i="21"/>
  <c r="I32" i="92"/>
  <c r="M40" i="21"/>
  <c r="I26" i="92"/>
  <c r="I18" i="92"/>
  <c r="I10" i="92"/>
  <c r="I5" i="92"/>
  <c r="I29" i="92"/>
  <c r="I16" i="92"/>
  <c r="I9" i="92"/>
  <c r="I11" i="92"/>
  <c r="I25" i="92"/>
  <c r="I6" i="92"/>
  <c r="I3" i="92"/>
  <c r="I17" i="92"/>
  <c r="I13" i="92"/>
  <c r="I23" i="92"/>
  <c r="I12" i="92"/>
  <c r="I8" i="92"/>
  <c r="I15" i="92"/>
  <c r="I7" i="92"/>
  <c r="I24" i="92"/>
  <c r="I21" i="92"/>
  <c r="I19" i="92"/>
  <c r="I4" i="92"/>
  <c r="I27" i="92"/>
  <c r="I22" i="92"/>
  <c r="I14" i="92"/>
  <c r="I20" i="92"/>
  <c r="I28" i="92"/>
  <c r="I30" i="92"/>
  <c r="AN18" i="91"/>
  <c r="AN19" i="91"/>
  <c r="AN20" i="91"/>
  <c r="AN22" i="91"/>
  <c r="AN23" i="91"/>
  <c r="AN25" i="91"/>
  <c r="AN29" i="91"/>
  <c r="I33" i="92" l="1"/>
  <c r="AN3" i="91"/>
  <c r="AN10" i="91" l="1"/>
  <c r="AN6" i="91"/>
  <c r="AN16" i="91"/>
  <c r="AN14" i="91"/>
  <c r="AN13" i="91"/>
  <c r="AN7" i="91"/>
  <c r="AN9" i="91"/>
  <c r="AN11" i="91"/>
  <c r="AN5" i="91"/>
  <c r="AN12" i="91" l="1"/>
  <c r="AN8" i="91"/>
  <c r="AN17" i="91"/>
  <c r="AN15" i="91"/>
  <c r="AN4" i="91" l="1"/>
  <c r="AM18" i="91" l="1"/>
  <c r="AM19" i="91"/>
  <c r="AM20" i="91"/>
  <c r="AM22" i="91"/>
  <c r="AM23" i="91"/>
  <c r="AM25" i="91"/>
  <c r="AM29" i="91"/>
  <c r="AM3" i="91" l="1"/>
  <c r="AM6" i="91"/>
  <c r="AM4" i="91"/>
  <c r="AM14" i="91"/>
  <c r="AM16" i="91"/>
  <c r="AM17" i="91"/>
  <c r="AM13" i="91"/>
  <c r="AM7" i="91"/>
  <c r="AM9" i="91"/>
  <c r="AM11" i="91"/>
  <c r="AM5" i="91" l="1"/>
  <c r="AM8" i="91"/>
  <c r="AM15" i="91"/>
  <c r="AM12" i="91"/>
  <c r="AM10" i="91"/>
  <c r="AL18" i="91" l="1"/>
  <c r="AL19" i="91"/>
  <c r="AL20" i="91"/>
  <c r="AL23" i="91"/>
  <c r="AL25" i="91"/>
  <c r="AL29" i="91"/>
  <c r="AL16" i="91" l="1"/>
  <c r="AL8" i="91" l="1"/>
  <c r="AL6" i="91"/>
  <c r="AL9" i="91"/>
  <c r="AL17" i="91"/>
  <c r="AL13" i="91" l="1"/>
  <c r="AL10" i="91"/>
  <c r="AL14" i="91"/>
  <c r="AL5" i="91"/>
  <c r="AL4" i="91"/>
  <c r="AL7" i="91"/>
  <c r="AL12" i="91"/>
  <c r="AL11" i="91"/>
  <c r="AL15" i="91"/>
  <c r="AL3" i="91" l="1"/>
  <c r="AP4" i="90" l="1"/>
  <c r="AP5" i="90"/>
  <c r="AP6" i="90"/>
  <c r="AP7" i="90"/>
  <c r="AP8" i="90"/>
  <c r="AP9" i="90"/>
  <c r="AP10" i="90"/>
  <c r="AP11" i="90"/>
  <c r="AP12" i="90"/>
  <c r="AP13" i="90"/>
  <c r="AP14" i="90"/>
  <c r="AP15" i="90"/>
  <c r="AP16" i="90"/>
  <c r="AP17" i="90"/>
  <c r="AP18" i="90"/>
  <c r="AP19" i="90"/>
  <c r="AP20" i="90"/>
  <c r="AP21" i="90"/>
  <c r="AP22" i="90"/>
  <c r="AP23" i="90"/>
  <c r="AP25" i="90"/>
  <c r="AP29" i="90"/>
  <c r="AP3" i="90"/>
  <c r="AO4" i="90" l="1"/>
  <c r="AO5" i="90"/>
  <c r="AO6" i="90"/>
  <c r="AO7" i="90"/>
  <c r="AO8" i="90"/>
  <c r="AO9" i="90"/>
  <c r="AO10" i="90"/>
  <c r="AO11" i="90"/>
  <c r="AO12" i="90"/>
  <c r="AO13" i="90"/>
  <c r="AO14" i="90"/>
  <c r="AO15" i="90"/>
  <c r="AO16" i="90"/>
  <c r="AO17" i="90"/>
  <c r="AO18" i="90"/>
  <c r="AO19" i="90"/>
  <c r="AO20" i="90"/>
  <c r="AO21" i="90"/>
  <c r="AO22" i="90"/>
  <c r="AO23" i="90"/>
  <c r="AO25" i="90"/>
  <c r="AO29" i="90"/>
  <c r="AO3" i="90"/>
  <c r="AN3" i="90"/>
  <c r="AN4" i="90"/>
  <c r="AN5" i="90"/>
  <c r="AN6" i="90"/>
  <c r="AN7" i="90"/>
  <c r="AN8" i="90"/>
  <c r="AN9" i="90"/>
  <c r="AN10" i="90"/>
  <c r="AN11" i="90"/>
  <c r="AN12" i="90"/>
  <c r="AN13" i="90"/>
  <c r="AN14" i="90"/>
  <c r="AN15" i="90"/>
  <c r="AN16" i="90"/>
  <c r="AN17" i="90"/>
  <c r="AN18" i="90"/>
  <c r="AN19" i="90"/>
  <c r="AN20" i="90"/>
  <c r="AN21" i="90"/>
  <c r="AN22" i="90"/>
  <c r="AN23" i="90"/>
  <c r="AN24" i="90"/>
  <c r="AN25" i="90"/>
  <c r="AN26" i="90"/>
  <c r="AN27" i="90"/>
  <c r="AN28" i="90"/>
  <c r="AN29" i="90"/>
  <c r="AN30" i="90"/>
  <c r="AN31" i="90"/>
  <c r="AN32" i="90"/>
  <c r="AM4" i="90" l="1"/>
  <c r="AM5" i="90"/>
  <c r="AM6" i="90"/>
  <c r="AM7" i="90"/>
  <c r="AM8" i="90"/>
  <c r="AM9" i="90"/>
  <c r="AM10" i="90"/>
  <c r="AM11" i="90"/>
  <c r="AM12" i="90"/>
  <c r="AM13" i="90"/>
  <c r="AM14" i="90"/>
  <c r="AM15" i="90"/>
  <c r="AM16" i="90"/>
  <c r="AM17" i="90"/>
  <c r="AM18" i="90"/>
  <c r="AM19" i="90"/>
  <c r="AM20" i="90"/>
  <c r="AM22" i="90"/>
  <c r="AM23" i="90"/>
  <c r="AM25" i="90"/>
  <c r="AM29" i="90"/>
  <c r="AM3" i="90"/>
  <c r="AL4" i="90" l="1"/>
  <c r="AL5" i="90"/>
  <c r="AL6" i="90"/>
  <c r="AL7" i="90"/>
  <c r="AL8" i="90"/>
  <c r="AL9" i="90"/>
  <c r="AL10" i="90"/>
  <c r="AL11" i="90"/>
  <c r="AL12" i="90"/>
  <c r="AL13" i="90"/>
  <c r="AL14" i="90"/>
  <c r="AL15" i="90"/>
  <c r="AL16" i="90"/>
  <c r="AL17" i="90"/>
  <c r="AL18" i="90"/>
  <c r="AL19" i="90"/>
  <c r="AL20" i="90"/>
  <c r="AL23" i="90"/>
  <c r="AL25" i="90"/>
  <c r="AL29" i="90"/>
  <c r="AL3" i="90"/>
  <c r="K4" i="88" l="1" a="1"/>
  <c r="K5" i="88" a="1"/>
  <c r="K6" i="88" a="1"/>
  <c r="K7" i="88" a="1"/>
  <c r="K8" i="88" a="1"/>
  <c r="K9" i="88" a="1"/>
  <c r="K10" i="88" a="1"/>
  <c r="K11" i="88" a="1"/>
  <c r="K12" i="88" a="1"/>
  <c r="K13" i="88" a="1"/>
  <c r="K14" i="88" a="1"/>
  <c r="K15" i="88" a="1"/>
  <c r="K16" i="88" a="1"/>
  <c r="K17" i="88" a="1"/>
  <c r="K18" i="88" a="1"/>
  <c r="K19" i="88" a="1"/>
  <c r="K20" i="88" a="1"/>
  <c r="K21" i="88" a="1"/>
  <c r="K22" i="88" a="1"/>
  <c r="K23" i="88" a="1"/>
  <c r="K24" i="88" a="1"/>
  <c r="K25" i="88" a="1"/>
  <c r="K26" i="88" a="1"/>
  <c r="K27" i="88" a="1"/>
  <c r="K28" i="88" a="1"/>
  <c r="K29" i="88" a="1"/>
  <c r="K30" i="88" a="1"/>
  <c r="K31" i="88" a="1"/>
  <c r="K32" i="88" a="1"/>
  <c r="K3" i="88" a="1"/>
  <c r="K4" i="87" a="1"/>
  <c r="K5" i="87" a="1"/>
  <c r="K6" i="87" a="1"/>
  <c r="K7" i="87" a="1"/>
  <c r="K8" i="87" a="1"/>
  <c r="K9" i="87" a="1"/>
  <c r="K10" i="87" a="1"/>
  <c r="K11" i="87" a="1"/>
  <c r="K12" i="87" a="1"/>
  <c r="K13" i="87" a="1"/>
  <c r="K14" i="87" a="1"/>
  <c r="K15" i="87" a="1"/>
  <c r="K16" i="87" a="1"/>
  <c r="K17" i="87" a="1"/>
  <c r="K18" i="87" a="1"/>
  <c r="K19" i="87" a="1"/>
  <c r="K20" i="87" a="1"/>
  <c r="K21" i="87" a="1"/>
  <c r="K22" i="87" a="1"/>
  <c r="K23" i="87" a="1"/>
  <c r="K24" i="87" a="1"/>
  <c r="K25" i="87" a="1"/>
  <c r="K26" i="87" a="1"/>
  <c r="K27" i="87" a="1"/>
  <c r="K28" i="87" a="1"/>
  <c r="K29" i="87" a="1"/>
  <c r="K30" i="87" a="1"/>
  <c r="K31" i="87" a="1"/>
  <c r="K32" i="87" a="1"/>
  <c r="K3" i="87" a="1"/>
  <c r="K4" i="86" a="1"/>
  <c r="K5" i="86" a="1"/>
  <c r="K6" i="86" a="1"/>
  <c r="K7" i="86" a="1"/>
  <c r="K8" i="86" a="1"/>
  <c r="K9" i="86" a="1"/>
  <c r="K10" i="86" a="1"/>
  <c r="K11" i="86" a="1"/>
  <c r="K12" i="86" a="1"/>
  <c r="K13" i="86" a="1"/>
  <c r="K14" i="86" a="1"/>
  <c r="K15" i="86" a="1"/>
  <c r="K16" i="86" a="1"/>
  <c r="K17" i="86" a="1"/>
  <c r="K18" i="86" a="1"/>
  <c r="K19" i="86" a="1"/>
  <c r="K20" i="86" a="1"/>
  <c r="K21" i="86" a="1"/>
  <c r="K22" i="86" a="1"/>
  <c r="K23" i="86" a="1"/>
  <c r="K24" i="86" a="1"/>
  <c r="K25" i="86" a="1"/>
  <c r="K26" i="86" a="1"/>
  <c r="K27" i="86" a="1"/>
  <c r="K28" i="86" a="1"/>
  <c r="K29" i="86" a="1"/>
  <c r="K30" i="86" a="1"/>
  <c r="K31" i="86" a="1"/>
  <c r="K32" i="86" a="1"/>
  <c r="K3" i="86" a="1"/>
  <c r="K4" i="85" a="1"/>
  <c r="K5" i="85" a="1"/>
  <c r="K6" i="85" a="1"/>
  <c r="K7" i="85" a="1"/>
  <c r="K8" i="85" a="1"/>
  <c r="K9" i="85" a="1"/>
  <c r="K10" i="85" a="1"/>
  <c r="K11" i="85" a="1"/>
  <c r="K12" i="85" a="1"/>
  <c r="K13" i="85" a="1"/>
  <c r="K14" i="85" a="1"/>
  <c r="K15" i="85" a="1"/>
  <c r="K16" i="85" a="1"/>
  <c r="K17" i="85" a="1"/>
  <c r="K18" i="85" a="1"/>
  <c r="K19" i="85" a="1"/>
  <c r="K20" i="85" a="1"/>
  <c r="K21" i="85" a="1"/>
  <c r="K22" i="85" a="1"/>
  <c r="K23" i="85" a="1"/>
  <c r="K24" i="85" a="1"/>
  <c r="K25" i="85" a="1"/>
  <c r="K26" i="85" a="1"/>
  <c r="K27" i="85" a="1"/>
  <c r="K28" i="85" a="1"/>
  <c r="K29" i="85" a="1"/>
  <c r="K30" i="85" a="1"/>
  <c r="K31" i="85" a="1"/>
  <c r="K32" i="85" a="1"/>
  <c r="K3" i="85" a="1"/>
  <c r="K4" i="84" a="1"/>
  <c r="K5" i="84" a="1"/>
  <c r="K6" i="84" a="1"/>
  <c r="K7" i="84" a="1"/>
  <c r="K8" i="84" a="1"/>
  <c r="K9" i="84" a="1"/>
  <c r="K10" i="84" a="1"/>
  <c r="K11" i="84" a="1"/>
  <c r="K12" i="84" a="1"/>
  <c r="K13" i="84" a="1"/>
  <c r="K14" i="84" a="1"/>
  <c r="K15" i="84" a="1"/>
  <c r="K16" i="84" a="1"/>
  <c r="K17" i="84" a="1"/>
  <c r="K18" i="84" a="1"/>
  <c r="K19" i="84" a="1"/>
  <c r="K20" i="84" a="1"/>
  <c r="K21" i="84" a="1"/>
  <c r="K22" i="84" a="1"/>
  <c r="K23" i="84" a="1"/>
  <c r="K24" i="84" a="1"/>
  <c r="K25" i="84" a="1"/>
  <c r="K26" i="84" a="1"/>
  <c r="K27" i="84" a="1"/>
  <c r="K28" i="84" a="1"/>
  <c r="K29" i="84" a="1"/>
  <c r="K30" i="84" a="1"/>
  <c r="K31" i="84" a="1"/>
  <c r="K32" i="84" a="1"/>
  <c r="K3" i="84" a="1"/>
  <c r="K4" i="83" a="1"/>
  <c r="K5" i="83" a="1"/>
  <c r="K6" i="83" a="1"/>
  <c r="K7" i="83" a="1"/>
  <c r="K8" i="83" a="1"/>
  <c r="K9" i="83" a="1"/>
  <c r="K10" i="83" a="1"/>
  <c r="K11" i="83" a="1"/>
  <c r="K12" i="83" a="1"/>
  <c r="K13" i="83" a="1"/>
  <c r="K14" i="83" a="1"/>
  <c r="K15" i="83" a="1"/>
  <c r="K16" i="83" a="1"/>
  <c r="K17" i="83" a="1"/>
  <c r="K18" i="83" a="1"/>
  <c r="K19" i="83" a="1"/>
  <c r="K20" i="83" a="1"/>
  <c r="K21" i="83" a="1"/>
  <c r="K22" i="83" a="1"/>
  <c r="K23" i="83" a="1"/>
  <c r="K24" i="83" a="1"/>
  <c r="K25" i="83" a="1"/>
  <c r="K26" i="83" a="1"/>
  <c r="K27" i="83" a="1"/>
  <c r="K28" i="83" a="1"/>
  <c r="K29" i="83" a="1"/>
  <c r="K30" i="83" a="1"/>
  <c r="K31" i="83" a="1"/>
  <c r="K32" i="83" a="1"/>
  <c r="K3" i="83" a="1"/>
  <c r="K4" i="82" a="1"/>
  <c r="K5" i="82" a="1"/>
  <c r="K6" i="82" a="1"/>
  <c r="K7" i="82" a="1"/>
  <c r="K8" i="82" a="1"/>
  <c r="K9" i="82" a="1"/>
  <c r="K10" i="82" a="1"/>
  <c r="K11" i="82" a="1"/>
  <c r="K12" i="82" a="1"/>
  <c r="K13" i="82" a="1"/>
  <c r="K14" i="82" a="1"/>
  <c r="K15" i="82" a="1"/>
  <c r="K16" i="82" a="1"/>
  <c r="K17" i="82" a="1"/>
  <c r="K18" i="82" a="1"/>
  <c r="K19" i="82" a="1"/>
  <c r="K20" i="82" a="1"/>
  <c r="K21" i="82" a="1"/>
  <c r="K22" i="82" a="1"/>
  <c r="K23" i="82" a="1"/>
  <c r="K24" i="82" a="1"/>
  <c r="K25" i="82" a="1"/>
  <c r="K26" i="82" a="1"/>
  <c r="K27" i="82" a="1"/>
  <c r="K28" i="82" a="1"/>
  <c r="K29" i="82" a="1"/>
  <c r="K30" i="82" a="1"/>
  <c r="K31" i="82" a="1"/>
  <c r="K32" i="82" a="1"/>
  <c r="K3" i="82" a="1"/>
  <c r="K4" i="89" a="1"/>
  <c r="K5" i="89" a="1"/>
  <c r="K6" i="89" a="1"/>
  <c r="K7" i="89" a="1"/>
  <c r="K8" i="89" a="1"/>
  <c r="K9" i="89" a="1"/>
  <c r="K10" i="89" a="1"/>
  <c r="K11" i="89" a="1"/>
  <c r="K12" i="89" a="1"/>
  <c r="K13" i="89" a="1"/>
  <c r="K14" i="89" a="1"/>
  <c r="K15" i="89" a="1"/>
  <c r="K16" i="89" a="1"/>
  <c r="K17" i="89" a="1"/>
  <c r="K18" i="89" a="1"/>
  <c r="K19" i="89" a="1"/>
  <c r="K20" i="89" a="1"/>
  <c r="K21" i="89" a="1"/>
  <c r="K22" i="89" a="1"/>
  <c r="K23" i="89" a="1"/>
  <c r="K24" i="89" a="1"/>
  <c r="K25" i="89" a="1"/>
  <c r="K26" i="89" a="1"/>
  <c r="K27" i="89" a="1"/>
  <c r="K28" i="89" a="1"/>
  <c r="K29" i="89" a="1"/>
  <c r="K30" i="89" a="1"/>
  <c r="K31" i="89" a="1"/>
  <c r="K32" i="89" a="1"/>
  <c r="K3" i="89" a="1"/>
  <c r="K4" i="91" a="1"/>
  <c r="K5" i="91" a="1"/>
  <c r="K6" i="91" a="1"/>
  <c r="K7" i="91" a="1"/>
  <c r="K8" i="91" a="1"/>
  <c r="K9" i="91" a="1"/>
  <c r="K10" i="91" a="1"/>
  <c r="K11" i="91" a="1"/>
  <c r="K12" i="91" a="1"/>
  <c r="K13" i="91" a="1"/>
  <c r="K14" i="91" a="1"/>
  <c r="K15" i="91" a="1"/>
  <c r="K16" i="91" a="1"/>
  <c r="K17" i="91" a="1"/>
  <c r="K18" i="91" a="1"/>
  <c r="K19" i="91" a="1"/>
  <c r="K20" i="91" a="1"/>
  <c r="K21" i="91" a="1"/>
  <c r="K22" i="91" a="1"/>
  <c r="K23" i="91" a="1"/>
  <c r="K24" i="91" a="1"/>
  <c r="K25" i="91" a="1"/>
  <c r="K26" i="91" a="1"/>
  <c r="K27" i="91" a="1"/>
  <c r="K28" i="91" a="1"/>
  <c r="K29" i="91" a="1"/>
  <c r="K30" i="91" a="1"/>
  <c r="K31" i="91" a="1"/>
  <c r="K32" i="91" a="1"/>
  <c r="K3" i="91" a="1"/>
  <c r="K4" i="90" a="1"/>
  <c r="K5" i="90" a="1"/>
  <c r="K6" i="90" a="1"/>
  <c r="K7" i="90" a="1"/>
  <c r="K8" i="90" a="1"/>
  <c r="K9" i="90" a="1"/>
  <c r="K10" i="90" a="1"/>
  <c r="K11" i="90" a="1"/>
  <c r="K12" i="90" a="1"/>
  <c r="K13" i="90" a="1"/>
  <c r="K14" i="90" a="1"/>
  <c r="K15" i="90" a="1"/>
  <c r="K16" i="90" a="1"/>
  <c r="K17" i="90" a="1"/>
  <c r="K18" i="90" a="1"/>
  <c r="K19" i="90" a="1"/>
  <c r="K20" i="90" a="1"/>
  <c r="K21" i="90" a="1"/>
  <c r="K22" i="90" a="1"/>
  <c r="K23" i="90" a="1"/>
  <c r="K24" i="90" a="1"/>
  <c r="K25" i="90" a="1"/>
  <c r="K26" i="90" a="1"/>
  <c r="K27" i="90" a="1"/>
  <c r="K28" i="90" a="1"/>
  <c r="K29" i="90" a="1"/>
  <c r="K30" i="90" a="1"/>
  <c r="K31" i="90" a="1"/>
  <c r="K32" i="90" a="1"/>
  <c r="K3" i="90" a="1"/>
  <c r="AR33" i="91" l="1"/>
  <c r="AK32" i="91" a="1"/>
  <c r="AJ32" i="91" a="1"/>
  <c r="AI32" i="91" a="1"/>
  <c r="AH32" i="91" a="1"/>
  <c r="AG32" i="91" a="1"/>
  <c r="AF32" i="91" a="1"/>
  <c r="AE32" i="91" a="1"/>
  <c r="AD32" i="91" a="1"/>
  <c r="AC32" i="91" a="1"/>
  <c r="AB32" i="91" a="1"/>
  <c r="AA32" i="91" a="1"/>
  <c r="Z32" i="91" a="1"/>
  <c r="Y32" i="91" a="1"/>
  <c r="X32" i="91" a="1"/>
  <c r="W32" i="91" a="1"/>
  <c r="V32" i="91" a="1"/>
  <c r="U32" i="91" a="1"/>
  <c r="T32" i="91" a="1"/>
  <c r="S32" i="91" a="1"/>
  <c r="R32" i="91" a="1"/>
  <c r="Q32" i="91" a="1"/>
  <c r="P32" i="91" a="1"/>
  <c r="O32" i="91" a="1"/>
  <c r="N32" i="91" a="1"/>
  <c r="M32" i="91" a="1"/>
  <c r="L32" i="91" a="1"/>
  <c r="J32" i="91" a="1"/>
  <c r="G32" i="91"/>
  <c r="AK31" i="91" a="1"/>
  <c r="AJ31" i="91" a="1"/>
  <c r="AI31" i="91" a="1"/>
  <c r="AH31" i="91" a="1"/>
  <c r="AG31" i="91" a="1"/>
  <c r="AF31" i="91" a="1"/>
  <c r="AE31" i="91" a="1"/>
  <c r="AD31" i="91" a="1"/>
  <c r="AC31" i="91" a="1"/>
  <c r="AB31" i="91" a="1"/>
  <c r="AA31" i="91" a="1"/>
  <c r="Z31" i="91" a="1"/>
  <c r="Y31" i="91" a="1"/>
  <c r="X31" i="91" a="1"/>
  <c r="W31" i="91" a="1"/>
  <c r="V31" i="91" a="1"/>
  <c r="U31" i="91" a="1"/>
  <c r="T31" i="91" a="1"/>
  <c r="S31" i="91" a="1"/>
  <c r="R31" i="91" a="1"/>
  <c r="Q31" i="91" a="1"/>
  <c r="P31" i="91" a="1"/>
  <c r="O31" i="91" a="1"/>
  <c r="N31" i="91" a="1"/>
  <c r="M31" i="91" a="1"/>
  <c r="L31" i="91" a="1"/>
  <c r="J31" i="91" a="1"/>
  <c r="G31" i="91"/>
  <c r="AK30" i="91" a="1"/>
  <c r="AJ30" i="91" a="1"/>
  <c r="AI30" i="91" a="1"/>
  <c r="AH30" i="91" a="1"/>
  <c r="AG30" i="91" a="1"/>
  <c r="AF30" i="91" a="1"/>
  <c r="AE30" i="91" a="1"/>
  <c r="AD30" i="91" a="1"/>
  <c r="AC30" i="91" a="1"/>
  <c r="AB30" i="91" a="1"/>
  <c r="AA30" i="91" a="1"/>
  <c r="Z30" i="91" a="1"/>
  <c r="Y30" i="91" a="1"/>
  <c r="X30" i="91" a="1"/>
  <c r="W30" i="91" a="1"/>
  <c r="V30" i="91" a="1"/>
  <c r="U30" i="91" a="1"/>
  <c r="T30" i="91" a="1"/>
  <c r="S30" i="91" a="1"/>
  <c r="R30" i="91" a="1"/>
  <c r="Q30" i="91" a="1"/>
  <c r="P30" i="91" a="1"/>
  <c r="O30" i="91" a="1"/>
  <c r="N30" i="91" a="1"/>
  <c r="M30" i="91" a="1"/>
  <c r="L30" i="91" a="1"/>
  <c r="J30" i="91" a="1"/>
  <c r="G30" i="91"/>
  <c r="AK29" i="91" a="1"/>
  <c r="AJ29" i="91" a="1"/>
  <c r="AI29" i="91" a="1"/>
  <c r="AH29" i="91" a="1"/>
  <c r="AG29" i="91" a="1"/>
  <c r="AF29" i="91" a="1"/>
  <c r="AE29" i="91" a="1"/>
  <c r="AD29" i="91" a="1"/>
  <c r="AC29" i="91" a="1"/>
  <c r="AB29" i="91" a="1"/>
  <c r="AA29" i="91" a="1"/>
  <c r="Z29" i="91" a="1"/>
  <c r="Y29" i="91" a="1"/>
  <c r="X29" i="91" a="1"/>
  <c r="W29" i="91" a="1"/>
  <c r="V29" i="91" a="1"/>
  <c r="U29" i="91" a="1"/>
  <c r="T29" i="91" a="1"/>
  <c r="S29" i="91" a="1"/>
  <c r="R29" i="91" a="1"/>
  <c r="Q29" i="91" a="1"/>
  <c r="P29" i="91" a="1"/>
  <c r="O29" i="91" a="1"/>
  <c r="N29" i="91" a="1"/>
  <c r="M29" i="91" a="1"/>
  <c r="L29" i="91" a="1"/>
  <c r="J29" i="91" a="1"/>
  <c r="G29" i="91"/>
  <c r="AK28" i="91" a="1"/>
  <c r="AJ28" i="91" a="1"/>
  <c r="AI28" i="91" a="1"/>
  <c r="AH28" i="91" a="1"/>
  <c r="AG28" i="91" a="1"/>
  <c r="AF28" i="91" a="1"/>
  <c r="AE28" i="91" a="1"/>
  <c r="AD28" i="91" a="1"/>
  <c r="AC28" i="91" a="1"/>
  <c r="AB28" i="91" a="1"/>
  <c r="AA28" i="91" a="1"/>
  <c r="Z28" i="91" a="1"/>
  <c r="Y28" i="91" a="1"/>
  <c r="X28" i="91" a="1"/>
  <c r="W28" i="91" a="1"/>
  <c r="V28" i="91" a="1"/>
  <c r="U28" i="91" a="1"/>
  <c r="T28" i="91" a="1"/>
  <c r="S28" i="91" a="1"/>
  <c r="R28" i="91" a="1"/>
  <c r="Q28" i="91" a="1"/>
  <c r="P28" i="91" a="1"/>
  <c r="O28" i="91" a="1"/>
  <c r="N28" i="91" a="1"/>
  <c r="M28" i="91" a="1"/>
  <c r="L28" i="91" a="1"/>
  <c r="J28" i="91" a="1"/>
  <c r="G28" i="91"/>
  <c r="AK27" i="91" a="1"/>
  <c r="AJ27" i="91" a="1"/>
  <c r="AI27" i="91" a="1"/>
  <c r="AH27" i="91" a="1"/>
  <c r="AG27" i="91" a="1"/>
  <c r="AF27" i="91" a="1"/>
  <c r="AE27" i="91" a="1"/>
  <c r="AD27" i="91" a="1"/>
  <c r="AC27" i="91" a="1"/>
  <c r="AB27" i="91" a="1"/>
  <c r="AA27" i="91" a="1"/>
  <c r="Z27" i="91" a="1"/>
  <c r="Y27" i="91" a="1"/>
  <c r="X27" i="91" a="1"/>
  <c r="W27" i="91" a="1"/>
  <c r="V27" i="91" a="1"/>
  <c r="U27" i="91" a="1"/>
  <c r="T27" i="91" a="1"/>
  <c r="S27" i="91" a="1"/>
  <c r="R27" i="91" a="1"/>
  <c r="Q27" i="91" a="1"/>
  <c r="P27" i="91" a="1"/>
  <c r="O27" i="91" a="1"/>
  <c r="N27" i="91" a="1"/>
  <c r="M27" i="91" a="1"/>
  <c r="L27" i="91" a="1"/>
  <c r="J27" i="91" a="1"/>
  <c r="G27" i="91"/>
  <c r="AK26" i="91" a="1"/>
  <c r="AJ26" i="91" a="1"/>
  <c r="AI26" i="91" a="1"/>
  <c r="AH26" i="91" a="1"/>
  <c r="AG26" i="91" a="1"/>
  <c r="AF26" i="91" a="1"/>
  <c r="AE26" i="91" a="1"/>
  <c r="AD26" i="91" a="1"/>
  <c r="AC26" i="91" a="1"/>
  <c r="AB26" i="91" a="1"/>
  <c r="AA26" i="91" a="1"/>
  <c r="Z26" i="91" a="1"/>
  <c r="Y26" i="91" a="1"/>
  <c r="X26" i="91" a="1"/>
  <c r="W26" i="91" a="1"/>
  <c r="V26" i="91" a="1"/>
  <c r="U26" i="91" a="1"/>
  <c r="T26" i="91" a="1"/>
  <c r="S26" i="91" a="1"/>
  <c r="R26" i="91" a="1"/>
  <c r="Q26" i="91" a="1"/>
  <c r="P26" i="91" a="1"/>
  <c r="O26" i="91" a="1"/>
  <c r="N26" i="91" a="1"/>
  <c r="M26" i="91" a="1"/>
  <c r="L26" i="91" a="1"/>
  <c r="J26" i="91" a="1"/>
  <c r="G26" i="91"/>
  <c r="AK25" i="91" a="1"/>
  <c r="AJ25" i="91" a="1"/>
  <c r="AI25" i="91" a="1"/>
  <c r="AH25" i="91" a="1"/>
  <c r="AG25" i="91" a="1"/>
  <c r="AF25" i="91" a="1"/>
  <c r="AE25" i="91" a="1"/>
  <c r="AD25" i="91" a="1"/>
  <c r="AC25" i="91" a="1"/>
  <c r="AB25" i="91" a="1"/>
  <c r="AA25" i="91" a="1"/>
  <c r="Z25" i="91" a="1"/>
  <c r="Y25" i="91" a="1"/>
  <c r="X25" i="91" a="1"/>
  <c r="W25" i="91" a="1"/>
  <c r="V25" i="91" a="1"/>
  <c r="U25" i="91" a="1"/>
  <c r="T25" i="91" a="1"/>
  <c r="S25" i="91" a="1"/>
  <c r="R25" i="91" a="1"/>
  <c r="Q25" i="91" a="1"/>
  <c r="P25" i="91" a="1"/>
  <c r="O25" i="91" a="1"/>
  <c r="N25" i="91" a="1"/>
  <c r="M25" i="91" a="1"/>
  <c r="L25" i="91" a="1"/>
  <c r="J25" i="91" a="1"/>
  <c r="G25" i="91"/>
  <c r="AK24" i="91" a="1"/>
  <c r="AJ24" i="91" a="1"/>
  <c r="AI24" i="91" a="1"/>
  <c r="AH24" i="91" a="1"/>
  <c r="AG24" i="91" a="1"/>
  <c r="AF24" i="91" a="1"/>
  <c r="AE24" i="91" a="1"/>
  <c r="AD24" i="91" a="1"/>
  <c r="AC24" i="91" a="1"/>
  <c r="AB24" i="91" a="1"/>
  <c r="AA24" i="91" a="1"/>
  <c r="Z24" i="91" a="1"/>
  <c r="Y24" i="91" a="1"/>
  <c r="X24" i="91" a="1"/>
  <c r="W24" i="91" a="1"/>
  <c r="V24" i="91" a="1"/>
  <c r="U24" i="91" a="1"/>
  <c r="T24" i="91" a="1"/>
  <c r="S24" i="91" a="1"/>
  <c r="R24" i="91" a="1"/>
  <c r="Q24" i="91" a="1"/>
  <c r="P24" i="91" a="1"/>
  <c r="O24" i="91" a="1"/>
  <c r="N24" i="91" a="1"/>
  <c r="M24" i="91" a="1"/>
  <c r="L24" i="91" a="1"/>
  <c r="J24" i="91" a="1"/>
  <c r="G24" i="91"/>
  <c r="AK23" i="91" a="1"/>
  <c r="AJ23" i="91" a="1"/>
  <c r="AI23" i="91" a="1"/>
  <c r="AH23" i="91" a="1"/>
  <c r="AG23" i="91" a="1"/>
  <c r="AF23" i="91" a="1"/>
  <c r="AE23" i="91" a="1"/>
  <c r="AD23" i="91" a="1"/>
  <c r="AC23" i="91" a="1"/>
  <c r="AB23" i="91" a="1"/>
  <c r="AA23" i="91" a="1"/>
  <c r="Z23" i="91" a="1"/>
  <c r="Y23" i="91" a="1"/>
  <c r="X23" i="91" a="1"/>
  <c r="W23" i="91" a="1"/>
  <c r="V23" i="91" a="1"/>
  <c r="U23" i="91" a="1"/>
  <c r="T23" i="91" a="1"/>
  <c r="S23" i="91" a="1"/>
  <c r="R23" i="91" a="1"/>
  <c r="Q23" i="91" a="1"/>
  <c r="P23" i="91" a="1"/>
  <c r="O23" i="91" a="1"/>
  <c r="N23" i="91" a="1"/>
  <c r="M23" i="91" a="1"/>
  <c r="L23" i="91" a="1"/>
  <c r="J23" i="91" a="1"/>
  <c r="G23" i="91"/>
  <c r="AK22" i="91" a="1"/>
  <c r="AJ22" i="91" a="1"/>
  <c r="AI22" i="91" a="1"/>
  <c r="AH22" i="91" a="1"/>
  <c r="AG22" i="91" a="1"/>
  <c r="AF22" i="91" a="1"/>
  <c r="AE22" i="91" a="1"/>
  <c r="AD22" i="91" a="1"/>
  <c r="AC22" i="91" a="1"/>
  <c r="AB22" i="91" a="1"/>
  <c r="AA22" i="91" a="1"/>
  <c r="Z22" i="91" a="1"/>
  <c r="Y22" i="91" a="1"/>
  <c r="X22" i="91" a="1"/>
  <c r="W22" i="91" a="1"/>
  <c r="V22" i="91" a="1"/>
  <c r="U22" i="91" a="1"/>
  <c r="T22" i="91" a="1"/>
  <c r="S22" i="91" a="1"/>
  <c r="R22" i="91" a="1"/>
  <c r="Q22" i="91" a="1"/>
  <c r="P22" i="91" a="1"/>
  <c r="O22" i="91" a="1"/>
  <c r="N22" i="91" a="1"/>
  <c r="M22" i="91" a="1"/>
  <c r="L22" i="91" a="1"/>
  <c r="J22" i="91" a="1"/>
  <c r="G22" i="91"/>
  <c r="AK21" i="91" a="1"/>
  <c r="AJ21" i="91" a="1"/>
  <c r="AI21" i="91" a="1"/>
  <c r="AH21" i="91" a="1"/>
  <c r="AG21" i="91" a="1"/>
  <c r="AF21" i="91" a="1"/>
  <c r="AE21" i="91" a="1"/>
  <c r="AD21" i="91" a="1"/>
  <c r="AC21" i="91" a="1"/>
  <c r="AB21" i="91" a="1"/>
  <c r="AA21" i="91" a="1"/>
  <c r="Z21" i="91" a="1"/>
  <c r="Y21" i="91" a="1"/>
  <c r="X21" i="91" a="1"/>
  <c r="W21" i="91" a="1"/>
  <c r="V21" i="91" a="1"/>
  <c r="U21" i="91" a="1"/>
  <c r="T21" i="91" a="1"/>
  <c r="S21" i="91" a="1"/>
  <c r="R21" i="91" a="1"/>
  <c r="Q21" i="91" a="1"/>
  <c r="P21" i="91" a="1"/>
  <c r="O21" i="91" a="1"/>
  <c r="N21" i="91" a="1"/>
  <c r="M21" i="91" a="1"/>
  <c r="L21" i="91" a="1"/>
  <c r="J21" i="91" a="1"/>
  <c r="G21" i="91"/>
  <c r="AK20" i="91" a="1"/>
  <c r="AJ20" i="91" a="1"/>
  <c r="AI20" i="91" a="1"/>
  <c r="AH20" i="91" a="1"/>
  <c r="AG20" i="91" a="1"/>
  <c r="AF20" i="91" a="1"/>
  <c r="AE20" i="91" a="1"/>
  <c r="AD20" i="91" a="1"/>
  <c r="AC20" i="91" a="1"/>
  <c r="AB20" i="91" a="1"/>
  <c r="AA20" i="91" a="1"/>
  <c r="Z20" i="91" a="1"/>
  <c r="Y20" i="91" a="1"/>
  <c r="X20" i="91" a="1"/>
  <c r="W20" i="91" a="1"/>
  <c r="V20" i="91" a="1"/>
  <c r="U20" i="91" a="1"/>
  <c r="T20" i="91" a="1"/>
  <c r="S20" i="91" a="1"/>
  <c r="R20" i="91" a="1"/>
  <c r="Q20" i="91" a="1"/>
  <c r="P20" i="91" a="1"/>
  <c r="O20" i="91" a="1"/>
  <c r="N20" i="91" a="1"/>
  <c r="M20" i="91" a="1"/>
  <c r="L20" i="91" a="1"/>
  <c r="J20" i="91" a="1"/>
  <c r="G20" i="91"/>
  <c r="AK19" i="91" a="1"/>
  <c r="AJ19" i="91" a="1"/>
  <c r="AI19" i="91" a="1"/>
  <c r="AH19" i="91" a="1"/>
  <c r="AG19" i="91" a="1"/>
  <c r="AF19" i="91" a="1"/>
  <c r="AE19" i="91" a="1"/>
  <c r="AD19" i="91" a="1"/>
  <c r="AC19" i="91" a="1"/>
  <c r="AB19" i="91" a="1"/>
  <c r="AA19" i="91" a="1"/>
  <c r="Z19" i="91" a="1"/>
  <c r="Y19" i="91" a="1"/>
  <c r="X19" i="91" a="1"/>
  <c r="W19" i="91" a="1"/>
  <c r="V19" i="91" a="1"/>
  <c r="U19" i="91" a="1"/>
  <c r="T19" i="91" a="1"/>
  <c r="S19" i="91" a="1"/>
  <c r="R19" i="91" a="1"/>
  <c r="Q19" i="91" a="1"/>
  <c r="P19" i="91" a="1"/>
  <c r="O19" i="91" a="1"/>
  <c r="N19" i="91" a="1"/>
  <c r="M19" i="91" a="1"/>
  <c r="L19" i="91" a="1"/>
  <c r="J19" i="91" a="1"/>
  <c r="G19" i="91"/>
  <c r="AK18" i="91" a="1"/>
  <c r="AJ18" i="91" a="1"/>
  <c r="AI18" i="91" a="1"/>
  <c r="AH18" i="91" a="1"/>
  <c r="AG18" i="91" a="1"/>
  <c r="AF18" i="91" a="1"/>
  <c r="AE18" i="91" a="1"/>
  <c r="AD18" i="91" a="1"/>
  <c r="AC18" i="91" a="1"/>
  <c r="AB18" i="91" a="1"/>
  <c r="AA18" i="91" a="1"/>
  <c r="Z18" i="91" a="1"/>
  <c r="Y18" i="91" a="1"/>
  <c r="X18" i="91" a="1"/>
  <c r="W18" i="91" a="1"/>
  <c r="V18" i="91" a="1"/>
  <c r="U18" i="91" a="1"/>
  <c r="T18" i="91" a="1"/>
  <c r="S18" i="91" a="1"/>
  <c r="R18" i="91" a="1"/>
  <c r="Q18" i="91" a="1"/>
  <c r="P18" i="91" a="1"/>
  <c r="O18" i="91" a="1"/>
  <c r="N18" i="91" a="1"/>
  <c r="M18" i="91" a="1"/>
  <c r="L18" i="91" a="1"/>
  <c r="J18" i="91" a="1"/>
  <c r="G18" i="91"/>
  <c r="AK17" i="91" a="1"/>
  <c r="AJ17" i="91" a="1"/>
  <c r="AI17" i="91" a="1"/>
  <c r="AH17" i="91" a="1"/>
  <c r="AG17" i="91" a="1"/>
  <c r="AF17" i="91" a="1"/>
  <c r="AE17" i="91" a="1"/>
  <c r="AD17" i="91" a="1"/>
  <c r="AC17" i="91" a="1"/>
  <c r="AB17" i="91" a="1"/>
  <c r="AA17" i="91" a="1"/>
  <c r="Z17" i="91" a="1"/>
  <c r="Y17" i="91" a="1"/>
  <c r="X17" i="91" a="1"/>
  <c r="W17" i="91" a="1"/>
  <c r="V17" i="91" a="1"/>
  <c r="U17" i="91" a="1"/>
  <c r="T17" i="91" a="1"/>
  <c r="S17" i="91" a="1"/>
  <c r="R17" i="91" a="1"/>
  <c r="Q17" i="91" a="1"/>
  <c r="P17" i="91" a="1"/>
  <c r="O17" i="91" a="1"/>
  <c r="N17" i="91" a="1"/>
  <c r="M17" i="91" a="1"/>
  <c r="L17" i="91" a="1"/>
  <c r="J17" i="91" a="1"/>
  <c r="G17" i="91"/>
  <c r="AK16" i="91" a="1"/>
  <c r="AJ16" i="91" a="1"/>
  <c r="AI16" i="91" a="1"/>
  <c r="AH16" i="91" a="1"/>
  <c r="AG16" i="91" a="1"/>
  <c r="AF16" i="91" a="1"/>
  <c r="AE16" i="91" a="1"/>
  <c r="AD16" i="91" a="1"/>
  <c r="AC16" i="91" a="1"/>
  <c r="AB16" i="91" a="1"/>
  <c r="AA16" i="91" a="1"/>
  <c r="Z16" i="91" a="1"/>
  <c r="Y16" i="91" a="1"/>
  <c r="X16" i="91" a="1"/>
  <c r="W16" i="91" a="1"/>
  <c r="V16" i="91" a="1"/>
  <c r="U16" i="91" a="1"/>
  <c r="T16" i="91" a="1"/>
  <c r="S16" i="91" a="1"/>
  <c r="R16" i="91" a="1"/>
  <c r="Q16" i="91" a="1"/>
  <c r="P16" i="91" a="1"/>
  <c r="O16" i="91" a="1"/>
  <c r="N16" i="91" a="1"/>
  <c r="M16" i="91" a="1"/>
  <c r="L16" i="91" a="1"/>
  <c r="J16" i="91" a="1"/>
  <c r="G16" i="91"/>
  <c r="AK15" i="91" a="1"/>
  <c r="AJ15" i="91" a="1"/>
  <c r="AI15" i="91" a="1"/>
  <c r="AH15" i="91" a="1"/>
  <c r="AG15" i="91" a="1"/>
  <c r="AF15" i="91" a="1"/>
  <c r="AE15" i="91" a="1"/>
  <c r="AD15" i="91" a="1"/>
  <c r="AC15" i="91" a="1"/>
  <c r="AB15" i="91" a="1"/>
  <c r="AA15" i="91" a="1"/>
  <c r="Z15" i="91" a="1"/>
  <c r="Y15" i="91" a="1"/>
  <c r="X15" i="91" a="1"/>
  <c r="W15" i="91" a="1"/>
  <c r="V15" i="91" a="1"/>
  <c r="U15" i="91" a="1"/>
  <c r="T15" i="91" a="1"/>
  <c r="S15" i="91" a="1"/>
  <c r="R15" i="91" a="1"/>
  <c r="Q15" i="91" a="1"/>
  <c r="P15" i="91" a="1"/>
  <c r="O15" i="91" a="1"/>
  <c r="N15" i="91" a="1"/>
  <c r="M15" i="91" a="1"/>
  <c r="L15" i="91" a="1"/>
  <c r="J15" i="91" a="1"/>
  <c r="G15" i="91"/>
  <c r="AK14" i="91" a="1"/>
  <c r="AJ14" i="91" a="1"/>
  <c r="AI14" i="91" a="1"/>
  <c r="AH14" i="91" a="1"/>
  <c r="AG14" i="91" a="1"/>
  <c r="AF14" i="91" a="1"/>
  <c r="AE14" i="91" a="1"/>
  <c r="AD14" i="91" a="1"/>
  <c r="AC14" i="91" a="1"/>
  <c r="AB14" i="91" a="1"/>
  <c r="AA14" i="91" a="1"/>
  <c r="Z14" i="91" a="1"/>
  <c r="Y14" i="91" a="1"/>
  <c r="X14" i="91" a="1"/>
  <c r="W14" i="91" a="1"/>
  <c r="V14" i="91" a="1"/>
  <c r="U14" i="91" a="1"/>
  <c r="T14" i="91" a="1"/>
  <c r="S14" i="91" a="1"/>
  <c r="R14" i="91" a="1"/>
  <c r="Q14" i="91" a="1"/>
  <c r="P14" i="91" a="1"/>
  <c r="O14" i="91" a="1"/>
  <c r="N14" i="91" a="1"/>
  <c r="M14" i="91" a="1"/>
  <c r="L14" i="91" a="1"/>
  <c r="J14" i="91" a="1"/>
  <c r="G14" i="91"/>
  <c r="AK13" i="91" a="1"/>
  <c r="AJ13" i="91" a="1"/>
  <c r="AI13" i="91" a="1"/>
  <c r="AH13" i="91" a="1"/>
  <c r="AG13" i="91" a="1"/>
  <c r="AF13" i="91" a="1"/>
  <c r="AE13" i="91" a="1"/>
  <c r="AD13" i="91" a="1"/>
  <c r="AC13" i="91" a="1"/>
  <c r="AB13" i="91" a="1"/>
  <c r="AA13" i="91" a="1"/>
  <c r="Z13" i="91" a="1"/>
  <c r="Y13" i="91" a="1"/>
  <c r="X13" i="91" a="1"/>
  <c r="W13" i="91" a="1"/>
  <c r="V13" i="91" a="1"/>
  <c r="U13" i="91" a="1"/>
  <c r="T13" i="91" a="1"/>
  <c r="S13" i="91" a="1"/>
  <c r="R13" i="91" a="1"/>
  <c r="Q13" i="91" a="1"/>
  <c r="P13" i="91" a="1"/>
  <c r="O13" i="91" a="1"/>
  <c r="N13" i="91" a="1"/>
  <c r="M13" i="91" a="1"/>
  <c r="L13" i="91" a="1"/>
  <c r="J13" i="91" a="1"/>
  <c r="G13" i="91"/>
  <c r="AK12" i="91" a="1"/>
  <c r="AJ12" i="91" a="1"/>
  <c r="AI12" i="91" a="1"/>
  <c r="AH12" i="91" a="1"/>
  <c r="AG12" i="91" a="1"/>
  <c r="AF12" i="91" a="1"/>
  <c r="AE12" i="91" a="1"/>
  <c r="AD12" i="91" a="1"/>
  <c r="AC12" i="91" a="1"/>
  <c r="AB12" i="91" a="1"/>
  <c r="AA12" i="91" a="1"/>
  <c r="Z12" i="91" a="1"/>
  <c r="Y12" i="91" a="1"/>
  <c r="X12" i="91" a="1"/>
  <c r="W12" i="91" a="1"/>
  <c r="V12" i="91" a="1"/>
  <c r="U12" i="91" a="1"/>
  <c r="T12" i="91" a="1"/>
  <c r="S12" i="91" a="1"/>
  <c r="R12" i="91" a="1"/>
  <c r="Q12" i="91" a="1"/>
  <c r="P12" i="91" a="1"/>
  <c r="O12" i="91" a="1"/>
  <c r="N12" i="91" a="1"/>
  <c r="M12" i="91" a="1"/>
  <c r="L12" i="91" a="1"/>
  <c r="J12" i="91" a="1"/>
  <c r="G12" i="91"/>
  <c r="AK11" i="91" a="1"/>
  <c r="AJ11" i="91" a="1"/>
  <c r="AI11" i="91" a="1"/>
  <c r="AH11" i="91" a="1"/>
  <c r="AG11" i="91" a="1"/>
  <c r="AF11" i="91" a="1"/>
  <c r="AE11" i="91" a="1"/>
  <c r="AD11" i="91" a="1"/>
  <c r="AC11" i="91" a="1"/>
  <c r="AB11" i="91" a="1"/>
  <c r="AA11" i="91" a="1"/>
  <c r="Z11" i="91" a="1"/>
  <c r="Y11" i="91" a="1"/>
  <c r="X11" i="91" a="1"/>
  <c r="W11" i="91" a="1"/>
  <c r="V11" i="91" a="1"/>
  <c r="U11" i="91" a="1"/>
  <c r="T11" i="91" a="1"/>
  <c r="S11" i="91" a="1"/>
  <c r="R11" i="91" a="1"/>
  <c r="Q11" i="91" a="1"/>
  <c r="P11" i="91" a="1"/>
  <c r="O11" i="91" a="1"/>
  <c r="N11" i="91" a="1"/>
  <c r="M11" i="91" a="1"/>
  <c r="L11" i="91" a="1"/>
  <c r="J11" i="91" a="1"/>
  <c r="G11" i="91"/>
  <c r="AK10" i="91" a="1"/>
  <c r="AJ10" i="91" a="1"/>
  <c r="AI10" i="91" a="1"/>
  <c r="AH10" i="91" a="1"/>
  <c r="AG10" i="91" a="1"/>
  <c r="AF10" i="91" a="1"/>
  <c r="AE10" i="91" a="1"/>
  <c r="AD10" i="91" a="1"/>
  <c r="AC10" i="91" a="1"/>
  <c r="AB10" i="91" a="1"/>
  <c r="AA10" i="91" a="1"/>
  <c r="Z10" i="91" a="1"/>
  <c r="Y10" i="91" a="1"/>
  <c r="X10" i="91" a="1"/>
  <c r="W10" i="91" a="1"/>
  <c r="V10" i="91" a="1"/>
  <c r="U10" i="91" a="1"/>
  <c r="T10" i="91" a="1"/>
  <c r="S10" i="91" a="1"/>
  <c r="R10" i="91" a="1"/>
  <c r="Q10" i="91" a="1"/>
  <c r="P10" i="91" a="1"/>
  <c r="O10" i="91" a="1"/>
  <c r="N10" i="91" a="1"/>
  <c r="M10" i="91" a="1"/>
  <c r="L10" i="91" a="1"/>
  <c r="J10" i="91" a="1"/>
  <c r="G10" i="91"/>
  <c r="AK9" i="91" a="1"/>
  <c r="AJ9" i="91" a="1"/>
  <c r="AI9" i="91" a="1"/>
  <c r="AH9" i="91" a="1"/>
  <c r="AG9" i="91" a="1"/>
  <c r="AF9" i="91" a="1"/>
  <c r="AE9" i="91" a="1"/>
  <c r="AD9" i="91" a="1"/>
  <c r="AC9" i="91" a="1"/>
  <c r="AB9" i="91" a="1"/>
  <c r="AA9" i="91" a="1"/>
  <c r="Z9" i="91" a="1"/>
  <c r="Y9" i="91" a="1"/>
  <c r="X9" i="91" a="1"/>
  <c r="W9" i="91" a="1"/>
  <c r="V9" i="91" a="1"/>
  <c r="U9" i="91" a="1"/>
  <c r="T9" i="91" a="1"/>
  <c r="S9" i="91" a="1"/>
  <c r="R9" i="91" a="1"/>
  <c r="Q9" i="91" a="1"/>
  <c r="P9" i="91" a="1"/>
  <c r="O9" i="91" a="1"/>
  <c r="N9" i="91" a="1"/>
  <c r="M9" i="91" a="1"/>
  <c r="L9" i="91" a="1"/>
  <c r="J9" i="91" a="1"/>
  <c r="G9" i="91"/>
  <c r="AK8" i="91" a="1"/>
  <c r="AJ8" i="91" a="1"/>
  <c r="AI8" i="91" a="1"/>
  <c r="AH8" i="91" a="1"/>
  <c r="AG8" i="91" a="1"/>
  <c r="AF8" i="91" a="1"/>
  <c r="AE8" i="91" a="1"/>
  <c r="AD8" i="91" a="1"/>
  <c r="AC8" i="91" a="1"/>
  <c r="AB8" i="91" a="1"/>
  <c r="AA8" i="91" a="1"/>
  <c r="Z8" i="91" a="1"/>
  <c r="Y8" i="91" a="1"/>
  <c r="X8" i="91" a="1"/>
  <c r="W8" i="91" a="1"/>
  <c r="V8" i="91" a="1"/>
  <c r="U8" i="91" a="1"/>
  <c r="T8" i="91" a="1"/>
  <c r="S8" i="91" a="1"/>
  <c r="R8" i="91" a="1"/>
  <c r="Q8" i="91" a="1"/>
  <c r="P8" i="91" a="1"/>
  <c r="O8" i="91" a="1"/>
  <c r="N8" i="91" a="1"/>
  <c r="M8" i="91" a="1"/>
  <c r="L8" i="91" a="1"/>
  <c r="J8" i="91" a="1"/>
  <c r="G8" i="91"/>
  <c r="AK7" i="91" a="1"/>
  <c r="AJ7" i="91" a="1"/>
  <c r="AI7" i="91" a="1"/>
  <c r="AH7" i="91" a="1"/>
  <c r="AG7" i="91" a="1"/>
  <c r="AF7" i="91" a="1"/>
  <c r="AE7" i="91" a="1"/>
  <c r="AD7" i="91" a="1"/>
  <c r="AC7" i="91" a="1"/>
  <c r="AB7" i="91" a="1"/>
  <c r="AA7" i="91" a="1"/>
  <c r="Z7" i="91" a="1"/>
  <c r="Y7" i="91" a="1"/>
  <c r="X7" i="91" a="1"/>
  <c r="W7" i="91" a="1"/>
  <c r="V7" i="91" a="1"/>
  <c r="U7" i="91" a="1"/>
  <c r="T7" i="91" a="1"/>
  <c r="S7" i="91" a="1"/>
  <c r="R7" i="91" a="1"/>
  <c r="Q7" i="91" a="1"/>
  <c r="P7" i="91" a="1"/>
  <c r="O7" i="91" a="1"/>
  <c r="N7" i="91" a="1"/>
  <c r="M7" i="91" a="1"/>
  <c r="L7" i="91" a="1"/>
  <c r="J7" i="91" a="1"/>
  <c r="G7" i="91"/>
  <c r="AK6" i="91" a="1"/>
  <c r="AJ6" i="91" a="1"/>
  <c r="AI6" i="91" a="1"/>
  <c r="AH6" i="91" a="1"/>
  <c r="AG6" i="91" a="1"/>
  <c r="AF6" i="91" a="1"/>
  <c r="AE6" i="91" a="1"/>
  <c r="AD6" i="91" a="1"/>
  <c r="AC6" i="91" a="1"/>
  <c r="AB6" i="91" a="1"/>
  <c r="AA6" i="91" a="1"/>
  <c r="Z6" i="91" a="1"/>
  <c r="Y6" i="91" a="1"/>
  <c r="X6" i="91" a="1"/>
  <c r="W6" i="91" a="1"/>
  <c r="V6" i="91" a="1"/>
  <c r="U6" i="91" a="1"/>
  <c r="T6" i="91" a="1"/>
  <c r="S6" i="91" a="1"/>
  <c r="R6" i="91" a="1"/>
  <c r="Q6" i="91" a="1"/>
  <c r="P6" i="91" a="1"/>
  <c r="O6" i="91" a="1"/>
  <c r="N6" i="91" a="1"/>
  <c r="M6" i="91" a="1"/>
  <c r="L6" i="91" a="1"/>
  <c r="J6" i="91" a="1"/>
  <c r="G6" i="91"/>
  <c r="AK5" i="91" a="1"/>
  <c r="AJ5" i="91" a="1"/>
  <c r="AI5" i="91" a="1"/>
  <c r="AH5" i="91" a="1"/>
  <c r="AG5" i="91" a="1"/>
  <c r="AF5" i="91" a="1"/>
  <c r="AE5" i="91" a="1"/>
  <c r="AD5" i="91" a="1"/>
  <c r="AC5" i="91" a="1"/>
  <c r="AB5" i="91" a="1"/>
  <c r="AA5" i="91" a="1"/>
  <c r="Z5" i="91" a="1"/>
  <c r="Y5" i="91" a="1"/>
  <c r="X5" i="91" a="1"/>
  <c r="W5" i="91" a="1"/>
  <c r="V5" i="91" a="1"/>
  <c r="U5" i="91" a="1"/>
  <c r="T5" i="91" a="1"/>
  <c r="S5" i="91" a="1"/>
  <c r="R5" i="91" a="1"/>
  <c r="Q5" i="91" a="1"/>
  <c r="P5" i="91" a="1"/>
  <c r="O5" i="91" a="1"/>
  <c r="N5" i="91" a="1"/>
  <c r="M5" i="91" a="1"/>
  <c r="L5" i="91" a="1"/>
  <c r="J5" i="91" a="1"/>
  <c r="G5" i="91"/>
  <c r="AK4" i="91" a="1"/>
  <c r="AJ4" i="91" a="1"/>
  <c r="AI4" i="91" a="1"/>
  <c r="AH4" i="91" a="1"/>
  <c r="AG4" i="91" a="1"/>
  <c r="AF4" i="91" a="1"/>
  <c r="AE4" i="91" a="1"/>
  <c r="AD4" i="91" a="1"/>
  <c r="AC4" i="91" a="1"/>
  <c r="AB4" i="91" a="1"/>
  <c r="AA4" i="91" a="1"/>
  <c r="Z4" i="91" a="1"/>
  <c r="Y4" i="91" a="1"/>
  <c r="X4" i="91" a="1"/>
  <c r="W4" i="91" a="1"/>
  <c r="V4" i="91" a="1"/>
  <c r="U4" i="91" a="1"/>
  <c r="T4" i="91" a="1"/>
  <c r="S4" i="91" a="1"/>
  <c r="R4" i="91" a="1"/>
  <c r="Q4" i="91" a="1"/>
  <c r="P4" i="91" a="1"/>
  <c r="O4" i="91" a="1"/>
  <c r="N4" i="91" a="1"/>
  <c r="M4" i="91" a="1"/>
  <c r="L4" i="91" a="1"/>
  <c r="J4" i="91" a="1"/>
  <c r="G4" i="91"/>
  <c r="AK3" i="91" a="1"/>
  <c r="AJ3" i="91" a="1"/>
  <c r="AI3" i="91" a="1"/>
  <c r="AH3" i="91" a="1"/>
  <c r="AG3" i="91" a="1"/>
  <c r="AF3" i="91" a="1"/>
  <c r="AE3" i="91" a="1"/>
  <c r="AD3" i="91" a="1"/>
  <c r="AC3" i="91" a="1"/>
  <c r="AB3" i="91" a="1"/>
  <c r="AA3" i="91" a="1"/>
  <c r="Z3" i="91" a="1"/>
  <c r="Y3" i="91" a="1"/>
  <c r="X3" i="91" a="1"/>
  <c r="W3" i="91" a="1"/>
  <c r="V3" i="91" a="1"/>
  <c r="U3" i="91" a="1"/>
  <c r="T3" i="91" a="1"/>
  <c r="S3" i="91" a="1"/>
  <c r="R3" i="91" a="1"/>
  <c r="Q3" i="91" a="1"/>
  <c r="P3" i="91" a="1"/>
  <c r="O3" i="91" a="1"/>
  <c r="N3" i="91" a="1"/>
  <c r="M3" i="91" a="1"/>
  <c r="L3" i="91" a="1"/>
  <c r="J3" i="91" a="1"/>
  <c r="G3" i="91"/>
  <c r="AQ33" i="90"/>
  <c r="AK32" i="90" a="1"/>
  <c r="AJ32" i="90" a="1"/>
  <c r="AI32" i="90" a="1"/>
  <c r="AH32" i="90" a="1"/>
  <c r="AG32" i="90" a="1"/>
  <c r="AF32" i="90" a="1"/>
  <c r="AE32" i="90" a="1"/>
  <c r="AD32" i="90" a="1"/>
  <c r="AC32" i="90" a="1"/>
  <c r="AB32" i="90" a="1"/>
  <c r="AA32" i="90" a="1"/>
  <c r="Z32" i="90" a="1"/>
  <c r="Y32" i="90" a="1"/>
  <c r="X32" i="90" a="1"/>
  <c r="W32" i="90" a="1"/>
  <c r="V32" i="90" a="1"/>
  <c r="U32" i="90" a="1"/>
  <c r="T32" i="90" a="1"/>
  <c r="S32" i="90" a="1"/>
  <c r="R32" i="90" a="1"/>
  <c r="Q32" i="90" a="1"/>
  <c r="P32" i="90" a="1"/>
  <c r="O32" i="90" a="1"/>
  <c r="N32" i="90" a="1"/>
  <c r="M32" i="90" a="1"/>
  <c r="L32" i="90" a="1"/>
  <c r="J32" i="90" a="1"/>
  <c r="G32" i="90"/>
  <c r="AK31" i="90" a="1"/>
  <c r="AJ31" i="90" a="1"/>
  <c r="AI31" i="90" a="1"/>
  <c r="AH31" i="90" a="1"/>
  <c r="AG31" i="90" a="1"/>
  <c r="AF31" i="90" a="1"/>
  <c r="AE31" i="90" a="1"/>
  <c r="AD31" i="90" a="1"/>
  <c r="AC31" i="90" a="1"/>
  <c r="AB31" i="90" a="1"/>
  <c r="AA31" i="90" a="1"/>
  <c r="Z31" i="90" a="1"/>
  <c r="Y31" i="90" a="1"/>
  <c r="X31" i="90" a="1"/>
  <c r="W31" i="90" a="1"/>
  <c r="V31" i="90" a="1"/>
  <c r="U31" i="90" a="1"/>
  <c r="T31" i="90" a="1"/>
  <c r="S31" i="90" a="1"/>
  <c r="R31" i="90" a="1"/>
  <c r="Q31" i="90" a="1"/>
  <c r="P31" i="90" a="1"/>
  <c r="O31" i="90" a="1"/>
  <c r="N31" i="90" a="1"/>
  <c r="M31" i="90" a="1"/>
  <c r="L31" i="90" a="1"/>
  <c r="J31" i="90" a="1"/>
  <c r="G31" i="90"/>
  <c r="AK30" i="90" a="1"/>
  <c r="AJ30" i="90" a="1"/>
  <c r="AI30" i="90" a="1"/>
  <c r="AH30" i="90" a="1"/>
  <c r="AG30" i="90" a="1"/>
  <c r="AF30" i="90" a="1"/>
  <c r="AE30" i="90" a="1"/>
  <c r="AD30" i="90" a="1"/>
  <c r="AC30" i="90" a="1"/>
  <c r="AB30" i="90" a="1"/>
  <c r="AA30" i="90" a="1"/>
  <c r="Z30" i="90" a="1"/>
  <c r="Y30" i="90" a="1"/>
  <c r="X30" i="90" a="1"/>
  <c r="W30" i="90" a="1"/>
  <c r="V30" i="90" a="1"/>
  <c r="U30" i="90" a="1"/>
  <c r="T30" i="90" a="1"/>
  <c r="S30" i="90" a="1"/>
  <c r="R30" i="90" a="1"/>
  <c r="Q30" i="90" a="1"/>
  <c r="P30" i="90" a="1"/>
  <c r="O30" i="90" a="1"/>
  <c r="N30" i="90" a="1"/>
  <c r="M30" i="90" a="1"/>
  <c r="L30" i="90" a="1"/>
  <c r="J30" i="90" a="1"/>
  <c r="G30" i="90"/>
  <c r="AK29" i="90" a="1"/>
  <c r="AJ29" i="90" a="1"/>
  <c r="AI29" i="90" a="1"/>
  <c r="AH29" i="90" a="1"/>
  <c r="AG29" i="90" a="1"/>
  <c r="AF29" i="90" a="1"/>
  <c r="AE29" i="90" a="1"/>
  <c r="AD29" i="90" a="1"/>
  <c r="AC29" i="90" a="1"/>
  <c r="AB29" i="90" a="1"/>
  <c r="AA29" i="90" a="1"/>
  <c r="Z29" i="90" a="1"/>
  <c r="Y29" i="90" a="1"/>
  <c r="X29" i="90" a="1"/>
  <c r="W29" i="90" a="1"/>
  <c r="V29" i="90" a="1"/>
  <c r="U29" i="90" a="1"/>
  <c r="T29" i="90" a="1"/>
  <c r="S29" i="90" a="1"/>
  <c r="R29" i="90" a="1"/>
  <c r="Q29" i="90" a="1"/>
  <c r="P29" i="90" a="1"/>
  <c r="O29" i="90" a="1"/>
  <c r="N29" i="90" a="1"/>
  <c r="M29" i="90" a="1"/>
  <c r="L29" i="90" a="1"/>
  <c r="J29" i="90" a="1"/>
  <c r="G29" i="90"/>
  <c r="AK28" i="90" a="1"/>
  <c r="AJ28" i="90" a="1"/>
  <c r="AI28" i="90" a="1"/>
  <c r="AH28" i="90" a="1"/>
  <c r="AG28" i="90" a="1"/>
  <c r="AF28" i="90" a="1"/>
  <c r="AE28" i="90" a="1"/>
  <c r="AD28" i="90" a="1"/>
  <c r="AC28" i="90" a="1"/>
  <c r="AB28" i="90" a="1"/>
  <c r="AA28" i="90" a="1"/>
  <c r="Z28" i="90" a="1"/>
  <c r="Y28" i="90" a="1"/>
  <c r="X28" i="90" a="1"/>
  <c r="W28" i="90" a="1"/>
  <c r="V28" i="90" a="1"/>
  <c r="U28" i="90" a="1"/>
  <c r="T28" i="90" a="1"/>
  <c r="S28" i="90" a="1"/>
  <c r="R28" i="90" a="1"/>
  <c r="Q28" i="90" a="1"/>
  <c r="P28" i="90" a="1"/>
  <c r="O28" i="90" a="1"/>
  <c r="N28" i="90" a="1"/>
  <c r="M28" i="90" a="1"/>
  <c r="L28" i="90" a="1"/>
  <c r="J28" i="90" a="1"/>
  <c r="G28" i="90"/>
  <c r="AK27" i="90" a="1"/>
  <c r="AJ27" i="90" a="1"/>
  <c r="AI27" i="90" a="1"/>
  <c r="AH27" i="90" a="1"/>
  <c r="AG27" i="90" a="1"/>
  <c r="AF27" i="90" a="1"/>
  <c r="AE27" i="90" a="1"/>
  <c r="AD27" i="90" a="1"/>
  <c r="AC27" i="90" a="1"/>
  <c r="AB27" i="90" a="1"/>
  <c r="AA27" i="90" a="1"/>
  <c r="Z27" i="90" a="1"/>
  <c r="Y27" i="90" a="1"/>
  <c r="X27" i="90" a="1"/>
  <c r="W27" i="90" a="1"/>
  <c r="V27" i="90" a="1"/>
  <c r="U27" i="90" a="1"/>
  <c r="T27" i="90" a="1"/>
  <c r="S27" i="90" a="1"/>
  <c r="R27" i="90" a="1"/>
  <c r="Q27" i="90" a="1"/>
  <c r="P27" i="90" a="1"/>
  <c r="O27" i="90" a="1"/>
  <c r="N27" i="90" a="1"/>
  <c r="M27" i="90" a="1"/>
  <c r="L27" i="90" a="1"/>
  <c r="J27" i="90" a="1"/>
  <c r="G27" i="90"/>
  <c r="AK26" i="90" a="1"/>
  <c r="AJ26" i="90" a="1"/>
  <c r="AI26" i="90" a="1"/>
  <c r="AH26" i="90" a="1"/>
  <c r="AG26" i="90" a="1"/>
  <c r="AF26" i="90" a="1"/>
  <c r="AE26" i="90" a="1"/>
  <c r="AD26" i="90" a="1"/>
  <c r="AC26" i="90" a="1"/>
  <c r="AB26" i="90" a="1"/>
  <c r="AA26" i="90" a="1"/>
  <c r="Z26" i="90" a="1"/>
  <c r="Y26" i="90" a="1"/>
  <c r="X26" i="90" a="1"/>
  <c r="W26" i="90" a="1"/>
  <c r="V26" i="90" a="1"/>
  <c r="U26" i="90" a="1"/>
  <c r="T26" i="90" a="1"/>
  <c r="S26" i="90" a="1"/>
  <c r="R26" i="90" a="1"/>
  <c r="Q26" i="90" a="1"/>
  <c r="P26" i="90" a="1"/>
  <c r="O26" i="90" a="1"/>
  <c r="N26" i="90" a="1"/>
  <c r="M26" i="90" a="1"/>
  <c r="L26" i="90" a="1"/>
  <c r="J26" i="90" a="1"/>
  <c r="G26" i="90"/>
  <c r="AK25" i="90" a="1"/>
  <c r="AJ25" i="90" a="1"/>
  <c r="AI25" i="90" a="1"/>
  <c r="AH25" i="90" a="1"/>
  <c r="AG25" i="90" a="1"/>
  <c r="AF25" i="90" a="1"/>
  <c r="AE25" i="90" a="1"/>
  <c r="AD25" i="90" a="1"/>
  <c r="AC25" i="90" a="1"/>
  <c r="AB25" i="90" a="1"/>
  <c r="AA25" i="90" a="1"/>
  <c r="Z25" i="90" a="1"/>
  <c r="Y25" i="90" a="1"/>
  <c r="X25" i="90" a="1"/>
  <c r="W25" i="90" a="1"/>
  <c r="V25" i="90" a="1"/>
  <c r="U25" i="90" a="1"/>
  <c r="T25" i="90" a="1"/>
  <c r="S25" i="90" a="1"/>
  <c r="R25" i="90" a="1"/>
  <c r="Q25" i="90" a="1"/>
  <c r="P25" i="90" a="1"/>
  <c r="O25" i="90" a="1"/>
  <c r="N25" i="90" a="1"/>
  <c r="M25" i="90" a="1"/>
  <c r="L25" i="90" a="1"/>
  <c r="J25" i="90" a="1"/>
  <c r="G25" i="90"/>
  <c r="AK24" i="90" a="1"/>
  <c r="AJ24" i="90" a="1"/>
  <c r="AI24" i="90" a="1"/>
  <c r="AH24" i="90" a="1"/>
  <c r="AG24" i="90" a="1"/>
  <c r="AF24" i="90" a="1"/>
  <c r="AE24" i="90" a="1"/>
  <c r="AD24" i="90" a="1"/>
  <c r="AC24" i="90" a="1"/>
  <c r="AB24" i="90" a="1"/>
  <c r="AA24" i="90" a="1"/>
  <c r="Z24" i="90" a="1"/>
  <c r="Y24" i="90" a="1"/>
  <c r="X24" i="90" a="1"/>
  <c r="W24" i="90" a="1"/>
  <c r="V24" i="90" a="1"/>
  <c r="U24" i="90" a="1"/>
  <c r="T24" i="90" a="1"/>
  <c r="S24" i="90" a="1"/>
  <c r="R24" i="90" a="1"/>
  <c r="Q24" i="90" a="1"/>
  <c r="P24" i="90" a="1"/>
  <c r="O24" i="90" a="1"/>
  <c r="N24" i="90" a="1"/>
  <c r="M24" i="90" a="1"/>
  <c r="L24" i="90" a="1"/>
  <c r="J24" i="90" a="1"/>
  <c r="G24" i="90"/>
  <c r="AK23" i="90" a="1"/>
  <c r="AJ23" i="90" a="1"/>
  <c r="AI23" i="90" a="1"/>
  <c r="AH23" i="90" a="1"/>
  <c r="AG23" i="90" a="1"/>
  <c r="AF23" i="90" a="1"/>
  <c r="AE23" i="90" a="1"/>
  <c r="AD23" i="90" a="1"/>
  <c r="AC23" i="90" a="1"/>
  <c r="AB23" i="90" a="1"/>
  <c r="AA23" i="90" a="1"/>
  <c r="Z23" i="90" a="1"/>
  <c r="Y23" i="90" a="1"/>
  <c r="X23" i="90" a="1"/>
  <c r="W23" i="90" a="1"/>
  <c r="V23" i="90" a="1"/>
  <c r="U23" i="90" a="1"/>
  <c r="T23" i="90" a="1"/>
  <c r="S23" i="90" a="1"/>
  <c r="R23" i="90" a="1"/>
  <c r="Q23" i="90" a="1"/>
  <c r="P23" i="90" a="1"/>
  <c r="O23" i="90" a="1"/>
  <c r="N23" i="90" a="1"/>
  <c r="M23" i="90" a="1"/>
  <c r="L23" i="90" a="1"/>
  <c r="J23" i="90" a="1"/>
  <c r="G23" i="90"/>
  <c r="AK22" i="90" a="1"/>
  <c r="AJ22" i="90" a="1"/>
  <c r="AI22" i="90" a="1"/>
  <c r="AH22" i="90" a="1"/>
  <c r="AG22" i="90" a="1"/>
  <c r="AF22" i="90" a="1"/>
  <c r="AE22" i="90" a="1"/>
  <c r="AD22" i="90" a="1"/>
  <c r="AC22" i="90" a="1"/>
  <c r="AB22" i="90" a="1"/>
  <c r="AA22" i="90" a="1"/>
  <c r="Z22" i="90" a="1"/>
  <c r="Y22" i="90" a="1"/>
  <c r="X22" i="90" a="1"/>
  <c r="W22" i="90" a="1"/>
  <c r="V22" i="90" a="1"/>
  <c r="U22" i="90" a="1"/>
  <c r="T22" i="90" a="1"/>
  <c r="S22" i="90" a="1"/>
  <c r="R22" i="90" a="1"/>
  <c r="Q22" i="90" a="1"/>
  <c r="P22" i="90" a="1"/>
  <c r="O22" i="90" a="1"/>
  <c r="N22" i="90" a="1"/>
  <c r="M22" i="90" a="1"/>
  <c r="L22" i="90" a="1"/>
  <c r="J22" i="90" a="1"/>
  <c r="G22" i="90"/>
  <c r="AK21" i="90" a="1"/>
  <c r="AJ21" i="90" a="1"/>
  <c r="AI21" i="90" a="1"/>
  <c r="AH21" i="90" a="1"/>
  <c r="AG21" i="90" a="1"/>
  <c r="AF21" i="90" a="1"/>
  <c r="AE21" i="90" a="1"/>
  <c r="AD21" i="90" a="1"/>
  <c r="AC21" i="90" a="1"/>
  <c r="AB21" i="90" a="1"/>
  <c r="AA21" i="90" a="1"/>
  <c r="Z21" i="90" a="1"/>
  <c r="Y21" i="90" a="1"/>
  <c r="X21" i="90" a="1"/>
  <c r="W21" i="90" a="1"/>
  <c r="V21" i="90" a="1"/>
  <c r="U21" i="90" a="1"/>
  <c r="T21" i="90" a="1"/>
  <c r="S21" i="90" a="1"/>
  <c r="R21" i="90" a="1"/>
  <c r="Q21" i="90" a="1"/>
  <c r="P21" i="90" a="1"/>
  <c r="O21" i="90" a="1"/>
  <c r="N21" i="90" a="1"/>
  <c r="M21" i="90" a="1"/>
  <c r="L21" i="90" a="1"/>
  <c r="J21" i="90" a="1"/>
  <c r="G21" i="90"/>
  <c r="AK20" i="90" a="1"/>
  <c r="AJ20" i="90" a="1"/>
  <c r="AI20" i="90" a="1"/>
  <c r="AH20" i="90" a="1"/>
  <c r="AG20" i="90" a="1"/>
  <c r="AF20" i="90" a="1"/>
  <c r="AE20" i="90" a="1"/>
  <c r="AD20" i="90" a="1"/>
  <c r="AC20" i="90" a="1"/>
  <c r="AB20" i="90" a="1"/>
  <c r="AA20" i="90" a="1"/>
  <c r="Z20" i="90" a="1"/>
  <c r="Y20" i="90" a="1"/>
  <c r="X20" i="90" a="1"/>
  <c r="W20" i="90" a="1"/>
  <c r="V20" i="90" a="1"/>
  <c r="U20" i="90" a="1"/>
  <c r="T20" i="90" a="1"/>
  <c r="S20" i="90" a="1"/>
  <c r="R20" i="90" a="1"/>
  <c r="Q20" i="90" a="1"/>
  <c r="P20" i="90" a="1"/>
  <c r="O20" i="90" a="1"/>
  <c r="N20" i="90" a="1"/>
  <c r="M20" i="90" a="1"/>
  <c r="L20" i="90" a="1"/>
  <c r="J20" i="90" a="1"/>
  <c r="G20" i="90"/>
  <c r="AK19" i="90" a="1"/>
  <c r="AJ19" i="90" a="1"/>
  <c r="AI19" i="90" a="1"/>
  <c r="AH19" i="90" a="1"/>
  <c r="AG19" i="90" a="1"/>
  <c r="AF19" i="90" a="1"/>
  <c r="AE19" i="90" a="1"/>
  <c r="AD19" i="90" a="1"/>
  <c r="AC19" i="90" a="1"/>
  <c r="AB19" i="90" a="1"/>
  <c r="AA19" i="90" a="1"/>
  <c r="Z19" i="90" a="1"/>
  <c r="Y19" i="90" a="1"/>
  <c r="X19" i="90" a="1"/>
  <c r="W19" i="90" a="1"/>
  <c r="V19" i="90" a="1"/>
  <c r="U19" i="90" a="1"/>
  <c r="T19" i="90" a="1"/>
  <c r="S19" i="90" a="1"/>
  <c r="R19" i="90" a="1"/>
  <c r="Q19" i="90" a="1"/>
  <c r="P19" i="90" a="1"/>
  <c r="O19" i="90" a="1"/>
  <c r="N19" i="90" a="1"/>
  <c r="M19" i="90" a="1"/>
  <c r="L19" i="90" a="1"/>
  <c r="J19" i="90" a="1"/>
  <c r="G19" i="90"/>
  <c r="AK18" i="90" a="1"/>
  <c r="AJ18" i="90" a="1"/>
  <c r="AI18" i="90" a="1"/>
  <c r="AH18" i="90" a="1"/>
  <c r="AG18" i="90" a="1"/>
  <c r="AF18" i="90" a="1"/>
  <c r="AE18" i="90" a="1"/>
  <c r="AD18" i="90" a="1"/>
  <c r="AC18" i="90" a="1"/>
  <c r="AB18" i="90" a="1"/>
  <c r="AA18" i="90" a="1"/>
  <c r="Z18" i="90" a="1"/>
  <c r="Y18" i="90" a="1"/>
  <c r="X18" i="90" a="1"/>
  <c r="W18" i="90" a="1"/>
  <c r="V18" i="90" a="1"/>
  <c r="U18" i="90" a="1"/>
  <c r="T18" i="90" a="1"/>
  <c r="S18" i="90" a="1"/>
  <c r="R18" i="90" a="1"/>
  <c r="Q18" i="90" a="1"/>
  <c r="P18" i="90" a="1"/>
  <c r="O18" i="90" a="1"/>
  <c r="N18" i="90" a="1"/>
  <c r="M18" i="90" a="1"/>
  <c r="L18" i="90" a="1"/>
  <c r="J18" i="90" a="1"/>
  <c r="G18" i="90"/>
  <c r="AK17" i="90" a="1"/>
  <c r="AJ17" i="90" a="1"/>
  <c r="AI17" i="90" a="1"/>
  <c r="AH17" i="90" a="1"/>
  <c r="AG17" i="90" a="1"/>
  <c r="AF17" i="90" a="1"/>
  <c r="AE17" i="90" a="1"/>
  <c r="AD17" i="90" a="1"/>
  <c r="AC17" i="90" a="1"/>
  <c r="AB17" i="90" a="1"/>
  <c r="AA17" i="90" a="1"/>
  <c r="Z17" i="90" a="1"/>
  <c r="Y17" i="90" a="1"/>
  <c r="X17" i="90" a="1"/>
  <c r="W17" i="90" a="1"/>
  <c r="V17" i="90" a="1"/>
  <c r="U17" i="90" a="1"/>
  <c r="T17" i="90" a="1"/>
  <c r="S17" i="90" a="1"/>
  <c r="R17" i="90" a="1"/>
  <c r="Q17" i="90" a="1"/>
  <c r="P17" i="90" a="1"/>
  <c r="O17" i="90" a="1"/>
  <c r="N17" i="90" a="1"/>
  <c r="M17" i="90" a="1"/>
  <c r="L17" i="90" a="1"/>
  <c r="J17" i="90" a="1"/>
  <c r="G17" i="90"/>
  <c r="AK16" i="90" a="1"/>
  <c r="AJ16" i="90" a="1"/>
  <c r="AI16" i="90" a="1"/>
  <c r="AH16" i="90" a="1"/>
  <c r="AG16" i="90" a="1"/>
  <c r="AF16" i="90" a="1"/>
  <c r="AE16" i="90" a="1"/>
  <c r="AD16" i="90" a="1"/>
  <c r="AC16" i="90" a="1"/>
  <c r="AB16" i="90" a="1"/>
  <c r="AA16" i="90" a="1"/>
  <c r="Z16" i="90" a="1"/>
  <c r="Y16" i="90" a="1"/>
  <c r="X16" i="90" a="1"/>
  <c r="W16" i="90" a="1"/>
  <c r="V16" i="90" a="1"/>
  <c r="U16" i="90" a="1"/>
  <c r="T16" i="90" a="1"/>
  <c r="S16" i="90" a="1"/>
  <c r="R16" i="90" a="1"/>
  <c r="Q16" i="90" a="1"/>
  <c r="P16" i="90" a="1"/>
  <c r="O16" i="90" a="1"/>
  <c r="N16" i="90" a="1"/>
  <c r="M16" i="90" a="1"/>
  <c r="L16" i="90" a="1"/>
  <c r="J16" i="90" a="1"/>
  <c r="G16" i="90"/>
  <c r="AK15" i="90" a="1"/>
  <c r="AJ15" i="90" a="1"/>
  <c r="AI15" i="90" a="1"/>
  <c r="AH15" i="90" a="1"/>
  <c r="AG15" i="90" a="1"/>
  <c r="AF15" i="90" a="1"/>
  <c r="AE15" i="90" a="1"/>
  <c r="AD15" i="90" a="1"/>
  <c r="AC15" i="90" a="1"/>
  <c r="AB15" i="90" a="1"/>
  <c r="AA15" i="90" a="1"/>
  <c r="Z15" i="90" a="1"/>
  <c r="Y15" i="90" a="1"/>
  <c r="X15" i="90" a="1"/>
  <c r="W15" i="90" a="1"/>
  <c r="V15" i="90" a="1"/>
  <c r="U15" i="90" a="1"/>
  <c r="T15" i="90" a="1"/>
  <c r="S15" i="90" a="1"/>
  <c r="R15" i="90" a="1"/>
  <c r="Q15" i="90" a="1"/>
  <c r="P15" i="90" a="1"/>
  <c r="O15" i="90" a="1"/>
  <c r="N15" i="90" a="1"/>
  <c r="M15" i="90" a="1"/>
  <c r="L15" i="90" a="1"/>
  <c r="J15" i="90" a="1"/>
  <c r="G15" i="90"/>
  <c r="AK14" i="90" a="1"/>
  <c r="AJ14" i="90" a="1"/>
  <c r="AI14" i="90" a="1"/>
  <c r="AH14" i="90" a="1"/>
  <c r="AG14" i="90" a="1"/>
  <c r="AF14" i="90" a="1"/>
  <c r="AE14" i="90" a="1"/>
  <c r="AD14" i="90" a="1"/>
  <c r="AC14" i="90" a="1"/>
  <c r="AB14" i="90" a="1"/>
  <c r="AA14" i="90" a="1"/>
  <c r="Z14" i="90" a="1"/>
  <c r="Y14" i="90" a="1"/>
  <c r="X14" i="90" a="1"/>
  <c r="W14" i="90" a="1"/>
  <c r="V14" i="90" a="1"/>
  <c r="U14" i="90" a="1"/>
  <c r="T14" i="90" a="1"/>
  <c r="S14" i="90" a="1"/>
  <c r="R14" i="90" a="1"/>
  <c r="Q14" i="90" a="1"/>
  <c r="P14" i="90" a="1"/>
  <c r="O14" i="90" a="1"/>
  <c r="N14" i="90" a="1"/>
  <c r="M14" i="90" a="1"/>
  <c r="L14" i="90" a="1"/>
  <c r="J14" i="90" a="1"/>
  <c r="G14" i="90"/>
  <c r="AK13" i="90" a="1"/>
  <c r="AJ13" i="90" a="1"/>
  <c r="AI13" i="90" a="1"/>
  <c r="AH13" i="90" a="1"/>
  <c r="AG13" i="90" a="1"/>
  <c r="AF13" i="90" a="1"/>
  <c r="AE13" i="90" a="1"/>
  <c r="AD13" i="90" a="1"/>
  <c r="AC13" i="90" a="1"/>
  <c r="AB13" i="90" a="1"/>
  <c r="AA13" i="90" a="1"/>
  <c r="Z13" i="90" a="1"/>
  <c r="Y13" i="90" a="1"/>
  <c r="X13" i="90" a="1"/>
  <c r="W13" i="90" a="1"/>
  <c r="V13" i="90" a="1"/>
  <c r="U13" i="90" a="1"/>
  <c r="T13" i="90" a="1"/>
  <c r="S13" i="90" a="1"/>
  <c r="R13" i="90" a="1"/>
  <c r="Q13" i="90" a="1"/>
  <c r="P13" i="90" a="1"/>
  <c r="O13" i="90" a="1"/>
  <c r="N13" i="90" a="1"/>
  <c r="M13" i="90" a="1"/>
  <c r="L13" i="90" a="1"/>
  <c r="J13" i="90" a="1"/>
  <c r="G13" i="90"/>
  <c r="AK12" i="90" a="1"/>
  <c r="AJ12" i="90" a="1"/>
  <c r="AI12" i="90" a="1"/>
  <c r="AH12" i="90" a="1"/>
  <c r="AG12" i="90" a="1"/>
  <c r="AF12" i="90" a="1"/>
  <c r="AE12" i="90" a="1"/>
  <c r="AD12" i="90" a="1"/>
  <c r="AC12" i="90" a="1"/>
  <c r="AB12" i="90" a="1"/>
  <c r="AA12" i="90" a="1"/>
  <c r="Z12" i="90" a="1"/>
  <c r="Y12" i="90" a="1"/>
  <c r="X12" i="90" a="1"/>
  <c r="W12" i="90" a="1"/>
  <c r="V12" i="90" a="1"/>
  <c r="U12" i="90" a="1"/>
  <c r="T12" i="90" a="1"/>
  <c r="S12" i="90" a="1"/>
  <c r="R12" i="90" a="1"/>
  <c r="Q12" i="90" a="1"/>
  <c r="P12" i="90" a="1"/>
  <c r="O12" i="90" a="1"/>
  <c r="N12" i="90" a="1"/>
  <c r="M12" i="90" a="1"/>
  <c r="L12" i="90" a="1"/>
  <c r="J12" i="90" a="1"/>
  <c r="G12" i="90"/>
  <c r="AK11" i="90" a="1"/>
  <c r="AJ11" i="90" a="1"/>
  <c r="AI11" i="90" a="1"/>
  <c r="AH11" i="90" a="1"/>
  <c r="AG11" i="90" a="1"/>
  <c r="AF11" i="90" a="1"/>
  <c r="AE11" i="90" a="1"/>
  <c r="AD11" i="90" a="1"/>
  <c r="AC11" i="90" a="1"/>
  <c r="AB11" i="90" a="1"/>
  <c r="AA11" i="90" a="1"/>
  <c r="Z11" i="90" a="1"/>
  <c r="Y11" i="90" a="1"/>
  <c r="X11" i="90" a="1"/>
  <c r="W11" i="90" a="1"/>
  <c r="V11" i="90" a="1"/>
  <c r="U11" i="90" a="1"/>
  <c r="T11" i="90" a="1"/>
  <c r="S11" i="90" a="1"/>
  <c r="R11" i="90" a="1"/>
  <c r="Q11" i="90" a="1"/>
  <c r="P11" i="90" a="1"/>
  <c r="O11" i="90" a="1"/>
  <c r="N11" i="90" a="1"/>
  <c r="M11" i="90" a="1"/>
  <c r="L11" i="90" a="1"/>
  <c r="J11" i="90" a="1"/>
  <c r="G11" i="90"/>
  <c r="AK10" i="90" a="1"/>
  <c r="AJ10" i="90" a="1"/>
  <c r="AI10" i="90" a="1"/>
  <c r="AH10" i="90" a="1"/>
  <c r="AG10" i="90" a="1"/>
  <c r="AF10" i="90" a="1"/>
  <c r="AE10" i="90" a="1"/>
  <c r="AD10" i="90" a="1"/>
  <c r="AC10" i="90" a="1"/>
  <c r="AB10" i="90" a="1"/>
  <c r="AA10" i="90" a="1"/>
  <c r="Z10" i="90" a="1"/>
  <c r="Y10" i="90" a="1"/>
  <c r="X10" i="90" a="1"/>
  <c r="W10" i="90" a="1"/>
  <c r="V10" i="90" a="1"/>
  <c r="U10" i="90" a="1"/>
  <c r="T10" i="90" a="1"/>
  <c r="S10" i="90" a="1"/>
  <c r="R10" i="90" a="1"/>
  <c r="Q10" i="90" a="1"/>
  <c r="P10" i="90" a="1"/>
  <c r="O10" i="90" a="1"/>
  <c r="N10" i="90" a="1"/>
  <c r="M10" i="90" a="1"/>
  <c r="L10" i="90" a="1"/>
  <c r="J10" i="90" a="1"/>
  <c r="G10" i="90"/>
  <c r="AK9" i="90" a="1"/>
  <c r="AJ9" i="90" a="1"/>
  <c r="AI9" i="90" a="1"/>
  <c r="AH9" i="90" a="1"/>
  <c r="AG9" i="90" a="1"/>
  <c r="AF9" i="90" a="1"/>
  <c r="AE9" i="90" a="1"/>
  <c r="AD9" i="90" a="1"/>
  <c r="AC9" i="90" a="1"/>
  <c r="AB9" i="90" a="1"/>
  <c r="AA9" i="90" a="1"/>
  <c r="Z9" i="90" a="1"/>
  <c r="Y9" i="90" a="1"/>
  <c r="X9" i="90" a="1"/>
  <c r="W9" i="90" a="1"/>
  <c r="V9" i="90" a="1"/>
  <c r="U9" i="90" a="1"/>
  <c r="T9" i="90" a="1"/>
  <c r="S9" i="90" a="1"/>
  <c r="R9" i="90" a="1"/>
  <c r="Q9" i="90" a="1"/>
  <c r="P9" i="90" a="1"/>
  <c r="O9" i="90" a="1"/>
  <c r="N9" i="90" a="1"/>
  <c r="M9" i="90" a="1"/>
  <c r="L9" i="90" a="1"/>
  <c r="J9" i="90" a="1"/>
  <c r="G9" i="90"/>
  <c r="AK8" i="90" a="1"/>
  <c r="AJ8" i="90" a="1"/>
  <c r="AI8" i="90" a="1"/>
  <c r="AH8" i="90" a="1"/>
  <c r="AG8" i="90" a="1"/>
  <c r="AF8" i="90" a="1"/>
  <c r="AE8" i="90" a="1"/>
  <c r="AD8" i="90" a="1"/>
  <c r="AC8" i="90" a="1"/>
  <c r="AB8" i="90" a="1"/>
  <c r="AA8" i="90" a="1"/>
  <c r="Z8" i="90" a="1"/>
  <c r="Y8" i="90" a="1"/>
  <c r="X8" i="90" a="1"/>
  <c r="W8" i="90" a="1"/>
  <c r="V8" i="90" a="1"/>
  <c r="U8" i="90" a="1"/>
  <c r="T8" i="90" a="1"/>
  <c r="S8" i="90" a="1"/>
  <c r="R8" i="90" a="1"/>
  <c r="Q8" i="90" a="1"/>
  <c r="P8" i="90" a="1"/>
  <c r="O8" i="90" a="1"/>
  <c r="N8" i="90" a="1"/>
  <c r="M8" i="90" a="1"/>
  <c r="L8" i="90" a="1"/>
  <c r="J8" i="90" a="1"/>
  <c r="G8" i="90"/>
  <c r="AK7" i="90" a="1"/>
  <c r="AJ7" i="90" a="1"/>
  <c r="AI7" i="90" a="1"/>
  <c r="AH7" i="90" a="1"/>
  <c r="AG7" i="90" a="1"/>
  <c r="AF7" i="90" a="1"/>
  <c r="AE7" i="90" a="1"/>
  <c r="AD7" i="90" a="1"/>
  <c r="AC7" i="90" a="1"/>
  <c r="AB7" i="90" a="1"/>
  <c r="AA7" i="90" a="1"/>
  <c r="Z7" i="90" a="1"/>
  <c r="Y7" i="90" a="1"/>
  <c r="X7" i="90" a="1"/>
  <c r="W7" i="90" a="1"/>
  <c r="V7" i="90" a="1"/>
  <c r="U7" i="90" a="1"/>
  <c r="T7" i="90" a="1"/>
  <c r="S7" i="90" a="1"/>
  <c r="R7" i="90" a="1"/>
  <c r="Q7" i="90" a="1"/>
  <c r="P7" i="90" a="1"/>
  <c r="O7" i="90" a="1"/>
  <c r="N7" i="90" a="1"/>
  <c r="M7" i="90" a="1"/>
  <c r="L7" i="90" a="1"/>
  <c r="J7" i="90" a="1"/>
  <c r="G7" i="90"/>
  <c r="AK6" i="90" a="1"/>
  <c r="AJ6" i="90" a="1"/>
  <c r="AI6" i="90" a="1"/>
  <c r="AH6" i="90" a="1"/>
  <c r="AG6" i="90" a="1"/>
  <c r="AF6" i="90" a="1"/>
  <c r="AE6" i="90" a="1"/>
  <c r="AD6" i="90" a="1"/>
  <c r="AC6" i="90" a="1"/>
  <c r="AB6" i="90" a="1"/>
  <c r="AA6" i="90" a="1"/>
  <c r="Z6" i="90" a="1"/>
  <c r="Y6" i="90" a="1"/>
  <c r="X6" i="90" a="1"/>
  <c r="W6" i="90" a="1"/>
  <c r="V6" i="90" a="1"/>
  <c r="U6" i="90" a="1"/>
  <c r="T6" i="90" a="1"/>
  <c r="S6" i="90" a="1"/>
  <c r="R6" i="90" a="1"/>
  <c r="Q6" i="90" a="1"/>
  <c r="P6" i="90" a="1"/>
  <c r="O6" i="90" a="1"/>
  <c r="N6" i="90" a="1"/>
  <c r="M6" i="90" a="1"/>
  <c r="L6" i="90" a="1"/>
  <c r="J6" i="90" a="1"/>
  <c r="G6" i="90"/>
  <c r="AK5" i="90" a="1"/>
  <c r="AJ5" i="90" a="1"/>
  <c r="AI5" i="90" a="1"/>
  <c r="AH5" i="90" a="1"/>
  <c r="AG5" i="90" a="1"/>
  <c r="AF5" i="90" a="1"/>
  <c r="AE5" i="90" a="1"/>
  <c r="AD5" i="90" a="1"/>
  <c r="AC5" i="90" a="1"/>
  <c r="AB5" i="90" a="1"/>
  <c r="AA5" i="90" a="1"/>
  <c r="Z5" i="90" a="1"/>
  <c r="Y5" i="90" a="1"/>
  <c r="X5" i="90" a="1"/>
  <c r="W5" i="90" a="1"/>
  <c r="V5" i="90" a="1"/>
  <c r="U5" i="90" a="1"/>
  <c r="T5" i="90" a="1"/>
  <c r="S5" i="90" a="1"/>
  <c r="R5" i="90" a="1"/>
  <c r="Q5" i="90" a="1"/>
  <c r="P5" i="90" a="1"/>
  <c r="O5" i="90" a="1"/>
  <c r="N5" i="90" a="1"/>
  <c r="M5" i="90" a="1"/>
  <c r="L5" i="90" a="1"/>
  <c r="J5" i="90" a="1"/>
  <c r="G5" i="90"/>
  <c r="AK4" i="90" a="1"/>
  <c r="AJ4" i="90" a="1"/>
  <c r="AI4" i="90" a="1"/>
  <c r="AH4" i="90" a="1"/>
  <c r="AG4" i="90" a="1"/>
  <c r="AF4" i="90" a="1"/>
  <c r="AE4" i="90" a="1"/>
  <c r="AD4" i="90" a="1"/>
  <c r="AC4" i="90" a="1"/>
  <c r="AB4" i="90" a="1"/>
  <c r="AA4" i="90" a="1"/>
  <c r="Z4" i="90" a="1"/>
  <c r="Y4" i="90" a="1"/>
  <c r="X4" i="90" a="1"/>
  <c r="W4" i="90" a="1"/>
  <c r="V4" i="90" a="1"/>
  <c r="U4" i="90" a="1"/>
  <c r="T4" i="90" a="1"/>
  <c r="S4" i="90" a="1"/>
  <c r="R4" i="90" a="1"/>
  <c r="Q4" i="90" a="1"/>
  <c r="P4" i="90" a="1"/>
  <c r="O4" i="90" a="1"/>
  <c r="N4" i="90" a="1"/>
  <c r="M4" i="90" a="1"/>
  <c r="L4" i="90" a="1"/>
  <c r="J4" i="90" a="1"/>
  <c r="G4" i="90"/>
  <c r="AK3" i="90" a="1"/>
  <c r="AJ3" i="90" a="1"/>
  <c r="AI3" i="90" a="1"/>
  <c r="AH3" i="90" a="1"/>
  <c r="AG3" i="90" a="1"/>
  <c r="AF3" i="90" a="1"/>
  <c r="AE3" i="90" a="1"/>
  <c r="AD3" i="90" a="1"/>
  <c r="AC3" i="90" a="1"/>
  <c r="AB3" i="90" a="1"/>
  <c r="AA3" i="90" a="1"/>
  <c r="Z3" i="90" a="1"/>
  <c r="Y3" i="90" a="1"/>
  <c r="X3" i="90" a="1"/>
  <c r="W3" i="90" a="1"/>
  <c r="V3" i="90" a="1"/>
  <c r="U3" i="90" a="1"/>
  <c r="T3" i="90" a="1"/>
  <c r="S3" i="90" a="1"/>
  <c r="R3" i="90" a="1"/>
  <c r="Q3" i="90" a="1"/>
  <c r="P3" i="90" a="1"/>
  <c r="O3" i="90" a="1"/>
  <c r="N3" i="90" a="1"/>
  <c r="M3" i="90" a="1"/>
  <c r="L3" i="90" a="1"/>
  <c r="J3" i="90" a="1"/>
  <c r="G3" i="90"/>
  <c r="AN33" i="89"/>
  <c r="AK32" i="89" a="1"/>
  <c r="AJ32" i="89" a="1"/>
  <c r="AI32" i="89" a="1"/>
  <c r="AH32" i="89" a="1"/>
  <c r="AG32" i="89" a="1"/>
  <c r="AF32" i="89" a="1"/>
  <c r="AE32" i="89" a="1"/>
  <c r="AD32" i="89" a="1"/>
  <c r="AC32" i="89" a="1"/>
  <c r="AB32" i="89" a="1"/>
  <c r="AA32" i="89" a="1"/>
  <c r="Z32" i="89" a="1"/>
  <c r="Y32" i="89" a="1"/>
  <c r="X32" i="89" a="1"/>
  <c r="W32" i="89" a="1"/>
  <c r="V32" i="89" a="1"/>
  <c r="U32" i="89" a="1"/>
  <c r="T32" i="89" a="1"/>
  <c r="S32" i="89" a="1"/>
  <c r="R32" i="89" a="1"/>
  <c r="Q32" i="89" a="1"/>
  <c r="P32" i="89" a="1"/>
  <c r="O32" i="89" a="1"/>
  <c r="N32" i="89" a="1"/>
  <c r="M32" i="89" a="1"/>
  <c r="L32" i="89" a="1"/>
  <c r="J32" i="89" a="1"/>
  <c r="G32" i="89"/>
  <c r="AK31" i="89" a="1"/>
  <c r="AJ31" i="89" a="1"/>
  <c r="AI31" i="89" a="1"/>
  <c r="AH31" i="89" a="1"/>
  <c r="AG31" i="89" a="1"/>
  <c r="AF31" i="89" a="1"/>
  <c r="AE31" i="89" a="1"/>
  <c r="AD31" i="89" a="1"/>
  <c r="AC31" i="89" a="1"/>
  <c r="AB31" i="89" a="1"/>
  <c r="AA31" i="89" a="1"/>
  <c r="Z31" i="89" a="1"/>
  <c r="Y31" i="89" a="1"/>
  <c r="X31" i="89" a="1"/>
  <c r="W31" i="89" a="1"/>
  <c r="V31" i="89" a="1"/>
  <c r="U31" i="89" a="1"/>
  <c r="T31" i="89" a="1"/>
  <c r="S31" i="89" a="1"/>
  <c r="R31" i="89" a="1"/>
  <c r="Q31" i="89" a="1"/>
  <c r="P31" i="89" a="1"/>
  <c r="O31" i="89" a="1"/>
  <c r="N31" i="89" a="1"/>
  <c r="M31" i="89" a="1"/>
  <c r="L31" i="89" a="1"/>
  <c r="J31" i="89" a="1"/>
  <c r="G31" i="89"/>
  <c r="AK30" i="89" a="1"/>
  <c r="AJ30" i="89" a="1"/>
  <c r="AI30" i="89" a="1"/>
  <c r="AH30" i="89" a="1"/>
  <c r="AG30" i="89" a="1"/>
  <c r="AF30" i="89" a="1"/>
  <c r="AE30" i="89" a="1"/>
  <c r="AD30" i="89" a="1"/>
  <c r="AC30" i="89" a="1"/>
  <c r="AB30" i="89" a="1"/>
  <c r="AA30" i="89" a="1"/>
  <c r="Z30" i="89" a="1"/>
  <c r="Y30" i="89" a="1"/>
  <c r="X30" i="89" a="1"/>
  <c r="W30" i="89" a="1"/>
  <c r="V30" i="89" a="1"/>
  <c r="U30" i="89" a="1"/>
  <c r="T30" i="89" a="1"/>
  <c r="S30" i="89" a="1"/>
  <c r="R30" i="89" a="1"/>
  <c r="Q30" i="89" a="1"/>
  <c r="P30" i="89" a="1"/>
  <c r="O30" i="89" a="1"/>
  <c r="N30" i="89" a="1"/>
  <c r="M30" i="89" a="1"/>
  <c r="L30" i="89" a="1"/>
  <c r="J30" i="89" a="1"/>
  <c r="G30" i="89"/>
  <c r="AK29" i="89" a="1"/>
  <c r="AJ29" i="89" a="1"/>
  <c r="AI29" i="89" a="1"/>
  <c r="AH29" i="89" a="1"/>
  <c r="AG29" i="89" a="1"/>
  <c r="AF29" i="89" a="1"/>
  <c r="AE29" i="89" a="1"/>
  <c r="AD29" i="89" a="1"/>
  <c r="AC29" i="89" a="1"/>
  <c r="AB29" i="89" a="1"/>
  <c r="AA29" i="89" a="1"/>
  <c r="Z29" i="89" a="1"/>
  <c r="Y29" i="89" a="1"/>
  <c r="X29" i="89" a="1"/>
  <c r="W29" i="89" a="1"/>
  <c r="V29" i="89" a="1"/>
  <c r="U29" i="89" a="1"/>
  <c r="T29" i="89" a="1"/>
  <c r="S29" i="89" a="1"/>
  <c r="R29" i="89" a="1"/>
  <c r="Q29" i="89" a="1"/>
  <c r="P29" i="89" a="1"/>
  <c r="O29" i="89" a="1"/>
  <c r="N29" i="89" a="1"/>
  <c r="M29" i="89" a="1"/>
  <c r="L29" i="89" a="1"/>
  <c r="J29" i="89" a="1"/>
  <c r="G29" i="89"/>
  <c r="AK28" i="89" a="1"/>
  <c r="AJ28" i="89" a="1"/>
  <c r="AI28" i="89" a="1"/>
  <c r="AH28" i="89" a="1"/>
  <c r="AG28" i="89" a="1"/>
  <c r="AF28" i="89" a="1"/>
  <c r="AE28" i="89" a="1"/>
  <c r="AD28" i="89" a="1"/>
  <c r="AC28" i="89" a="1"/>
  <c r="AB28" i="89" a="1"/>
  <c r="AA28" i="89" a="1"/>
  <c r="Z28" i="89" a="1"/>
  <c r="Y28" i="89" a="1"/>
  <c r="X28" i="89" a="1"/>
  <c r="W28" i="89" a="1"/>
  <c r="V28" i="89" a="1"/>
  <c r="U28" i="89" a="1"/>
  <c r="T28" i="89" a="1"/>
  <c r="S28" i="89" a="1"/>
  <c r="R28" i="89" a="1"/>
  <c r="Q28" i="89" a="1"/>
  <c r="P28" i="89" a="1"/>
  <c r="O28" i="89" a="1"/>
  <c r="N28" i="89" a="1"/>
  <c r="M28" i="89" a="1"/>
  <c r="L28" i="89" a="1"/>
  <c r="J28" i="89" a="1"/>
  <c r="G28" i="89"/>
  <c r="AK27" i="89" a="1"/>
  <c r="AJ27" i="89" a="1"/>
  <c r="AI27" i="89" a="1"/>
  <c r="AH27" i="89" a="1"/>
  <c r="AG27" i="89" a="1"/>
  <c r="AF27" i="89" a="1"/>
  <c r="AE27" i="89" a="1"/>
  <c r="AD27" i="89" a="1"/>
  <c r="AC27" i="89" a="1"/>
  <c r="AB27" i="89" a="1"/>
  <c r="AA27" i="89" a="1"/>
  <c r="Z27" i="89" a="1"/>
  <c r="Y27" i="89" a="1"/>
  <c r="X27" i="89" a="1"/>
  <c r="W27" i="89" a="1"/>
  <c r="V27" i="89" a="1"/>
  <c r="U27" i="89" a="1"/>
  <c r="T27" i="89" a="1"/>
  <c r="S27" i="89" a="1"/>
  <c r="R27" i="89" a="1"/>
  <c r="Q27" i="89" a="1"/>
  <c r="P27" i="89" a="1"/>
  <c r="O27" i="89" a="1"/>
  <c r="N27" i="89" a="1"/>
  <c r="M27" i="89" a="1"/>
  <c r="L27" i="89" a="1"/>
  <c r="J27" i="89" a="1"/>
  <c r="G27" i="89"/>
  <c r="AK26" i="89" a="1"/>
  <c r="AJ26" i="89" a="1"/>
  <c r="AI26" i="89" a="1"/>
  <c r="AH26" i="89" a="1"/>
  <c r="AG26" i="89" a="1"/>
  <c r="AF26" i="89" a="1"/>
  <c r="AE26" i="89" a="1"/>
  <c r="AD26" i="89" a="1"/>
  <c r="AC26" i="89" a="1"/>
  <c r="AB26" i="89" a="1"/>
  <c r="AA26" i="89" a="1"/>
  <c r="Z26" i="89" a="1"/>
  <c r="Y26" i="89" a="1"/>
  <c r="X26" i="89" a="1"/>
  <c r="W26" i="89" a="1"/>
  <c r="V26" i="89" a="1"/>
  <c r="U26" i="89" a="1"/>
  <c r="T26" i="89" a="1"/>
  <c r="S26" i="89" a="1"/>
  <c r="R26" i="89" a="1"/>
  <c r="Q26" i="89" a="1"/>
  <c r="P26" i="89" a="1"/>
  <c r="O26" i="89" a="1"/>
  <c r="N26" i="89" a="1"/>
  <c r="M26" i="89" a="1"/>
  <c r="L26" i="89" a="1"/>
  <c r="J26" i="89" a="1"/>
  <c r="G26" i="89"/>
  <c r="AK25" i="89" a="1"/>
  <c r="AJ25" i="89" a="1"/>
  <c r="AI25" i="89" a="1"/>
  <c r="AH25" i="89" a="1"/>
  <c r="AG25" i="89" a="1"/>
  <c r="AF25" i="89" a="1"/>
  <c r="AE25" i="89" a="1"/>
  <c r="AD25" i="89" a="1"/>
  <c r="AC25" i="89" a="1"/>
  <c r="AB25" i="89" a="1"/>
  <c r="AA25" i="89" a="1"/>
  <c r="Z25" i="89" a="1"/>
  <c r="Y25" i="89" a="1"/>
  <c r="X25" i="89" a="1"/>
  <c r="W25" i="89" a="1"/>
  <c r="V25" i="89" a="1"/>
  <c r="U25" i="89" a="1"/>
  <c r="T25" i="89" a="1"/>
  <c r="S25" i="89" a="1"/>
  <c r="R25" i="89" a="1"/>
  <c r="Q25" i="89" a="1"/>
  <c r="P25" i="89" a="1"/>
  <c r="O25" i="89" a="1"/>
  <c r="N25" i="89" a="1"/>
  <c r="M25" i="89" a="1"/>
  <c r="L25" i="89" a="1"/>
  <c r="J25" i="89" a="1"/>
  <c r="G25" i="89"/>
  <c r="AK24" i="89" a="1"/>
  <c r="AJ24" i="89" a="1"/>
  <c r="AI24" i="89" a="1"/>
  <c r="AH24" i="89" a="1"/>
  <c r="AG24" i="89" a="1"/>
  <c r="AF24" i="89" a="1"/>
  <c r="AE24" i="89" a="1"/>
  <c r="AD24" i="89" a="1"/>
  <c r="AC24" i="89" a="1"/>
  <c r="AB24" i="89" a="1"/>
  <c r="AA24" i="89" a="1"/>
  <c r="Z24" i="89" a="1"/>
  <c r="Y24" i="89" a="1"/>
  <c r="X24" i="89" a="1"/>
  <c r="W24" i="89" a="1"/>
  <c r="V24" i="89" a="1"/>
  <c r="U24" i="89" a="1"/>
  <c r="T24" i="89" a="1"/>
  <c r="S24" i="89" a="1"/>
  <c r="R24" i="89" a="1"/>
  <c r="Q24" i="89" a="1"/>
  <c r="P24" i="89" a="1"/>
  <c r="O24" i="89" a="1"/>
  <c r="N24" i="89" a="1"/>
  <c r="M24" i="89" a="1"/>
  <c r="L24" i="89" a="1"/>
  <c r="J24" i="89" a="1"/>
  <c r="G24" i="89"/>
  <c r="AK23" i="89" a="1"/>
  <c r="AJ23" i="89" a="1"/>
  <c r="AI23" i="89" a="1"/>
  <c r="AH23" i="89" a="1"/>
  <c r="AG23" i="89" a="1"/>
  <c r="AF23" i="89" a="1"/>
  <c r="AE23" i="89" a="1"/>
  <c r="AD23" i="89" a="1"/>
  <c r="AC23" i="89" a="1"/>
  <c r="AB23" i="89" a="1"/>
  <c r="AA23" i="89" a="1"/>
  <c r="Z23" i="89" a="1"/>
  <c r="Y23" i="89" a="1"/>
  <c r="X23" i="89" a="1"/>
  <c r="W23" i="89" a="1"/>
  <c r="V23" i="89" a="1"/>
  <c r="U23" i="89" a="1"/>
  <c r="T23" i="89" a="1"/>
  <c r="S23" i="89" a="1"/>
  <c r="R23" i="89" a="1"/>
  <c r="Q23" i="89" a="1"/>
  <c r="P23" i="89" a="1"/>
  <c r="O23" i="89" a="1"/>
  <c r="N23" i="89" a="1"/>
  <c r="M23" i="89" a="1"/>
  <c r="L23" i="89" a="1"/>
  <c r="J23" i="89" a="1"/>
  <c r="G23" i="89"/>
  <c r="AK22" i="89" a="1"/>
  <c r="AJ22" i="89" a="1"/>
  <c r="AI22" i="89" a="1"/>
  <c r="AH22" i="89" a="1"/>
  <c r="AG22" i="89" a="1"/>
  <c r="AF22" i="89" a="1"/>
  <c r="AE22" i="89" a="1"/>
  <c r="AD22" i="89" a="1"/>
  <c r="AC22" i="89" a="1"/>
  <c r="AB22" i="89" a="1"/>
  <c r="AA22" i="89" a="1"/>
  <c r="Z22" i="89" a="1"/>
  <c r="Y22" i="89" a="1"/>
  <c r="X22" i="89" a="1"/>
  <c r="W22" i="89" a="1"/>
  <c r="V22" i="89" a="1"/>
  <c r="U22" i="89" a="1"/>
  <c r="T22" i="89" a="1"/>
  <c r="S22" i="89" a="1"/>
  <c r="R22" i="89" a="1"/>
  <c r="Q22" i="89" a="1"/>
  <c r="P22" i="89" a="1"/>
  <c r="O22" i="89" a="1"/>
  <c r="N22" i="89" a="1"/>
  <c r="M22" i="89" a="1"/>
  <c r="L22" i="89" a="1"/>
  <c r="J22" i="89" a="1"/>
  <c r="G22" i="89"/>
  <c r="AK21" i="89" a="1"/>
  <c r="AJ21" i="89" a="1"/>
  <c r="AI21" i="89" a="1"/>
  <c r="AH21" i="89" a="1"/>
  <c r="AG21" i="89" a="1"/>
  <c r="AF21" i="89" a="1"/>
  <c r="AE21" i="89" a="1"/>
  <c r="AD21" i="89" a="1"/>
  <c r="AC21" i="89" a="1"/>
  <c r="AB21" i="89" a="1"/>
  <c r="AA21" i="89" a="1"/>
  <c r="Z21" i="89" a="1"/>
  <c r="Y21" i="89" a="1"/>
  <c r="X21" i="89" a="1"/>
  <c r="W21" i="89" a="1"/>
  <c r="V21" i="89" a="1"/>
  <c r="U21" i="89" a="1"/>
  <c r="T21" i="89" a="1"/>
  <c r="S21" i="89" a="1"/>
  <c r="R21" i="89" a="1"/>
  <c r="Q21" i="89" a="1"/>
  <c r="P21" i="89" a="1"/>
  <c r="O21" i="89" a="1"/>
  <c r="N21" i="89" a="1"/>
  <c r="M21" i="89" a="1"/>
  <c r="L21" i="89" a="1"/>
  <c r="J21" i="89" a="1"/>
  <c r="G21" i="89"/>
  <c r="AK20" i="89" a="1"/>
  <c r="AJ20" i="89" a="1"/>
  <c r="AI20" i="89" a="1"/>
  <c r="AH20" i="89" a="1"/>
  <c r="AG20" i="89" a="1"/>
  <c r="AF20" i="89" a="1"/>
  <c r="AE20" i="89" a="1"/>
  <c r="AD20" i="89" a="1"/>
  <c r="AC20" i="89" a="1"/>
  <c r="AB20" i="89" a="1"/>
  <c r="AA20" i="89" a="1"/>
  <c r="Z20" i="89" a="1"/>
  <c r="Y20" i="89" a="1"/>
  <c r="X20" i="89" a="1"/>
  <c r="W20" i="89" a="1"/>
  <c r="V20" i="89" a="1"/>
  <c r="U20" i="89" a="1"/>
  <c r="T20" i="89" a="1"/>
  <c r="S20" i="89" a="1"/>
  <c r="R20" i="89" a="1"/>
  <c r="Q20" i="89" a="1"/>
  <c r="P20" i="89" a="1"/>
  <c r="O20" i="89" a="1"/>
  <c r="N20" i="89" a="1"/>
  <c r="M20" i="89" a="1"/>
  <c r="L20" i="89" a="1"/>
  <c r="J20" i="89" a="1"/>
  <c r="G20" i="89"/>
  <c r="AK19" i="89" a="1"/>
  <c r="AJ19" i="89" a="1"/>
  <c r="AI19" i="89" a="1"/>
  <c r="AH19" i="89" a="1"/>
  <c r="AG19" i="89" a="1"/>
  <c r="AF19" i="89" a="1"/>
  <c r="AE19" i="89" a="1"/>
  <c r="AD19" i="89" a="1"/>
  <c r="AC19" i="89" a="1"/>
  <c r="AB19" i="89" a="1"/>
  <c r="AA19" i="89" a="1"/>
  <c r="Z19" i="89" a="1"/>
  <c r="Y19" i="89" a="1"/>
  <c r="X19" i="89" a="1"/>
  <c r="W19" i="89" a="1"/>
  <c r="V19" i="89" a="1"/>
  <c r="U19" i="89" a="1"/>
  <c r="T19" i="89" a="1"/>
  <c r="S19" i="89" a="1"/>
  <c r="R19" i="89" a="1"/>
  <c r="Q19" i="89" a="1"/>
  <c r="P19" i="89" a="1"/>
  <c r="O19" i="89" a="1"/>
  <c r="N19" i="89" a="1"/>
  <c r="M19" i="89" a="1"/>
  <c r="L19" i="89" a="1"/>
  <c r="J19" i="89" a="1"/>
  <c r="G19" i="89"/>
  <c r="AK18" i="89" a="1"/>
  <c r="AJ18" i="89" a="1"/>
  <c r="AI18" i="89" a="1"/>
  <c r="AH18" i="89" a="1"/>
  <c r="AG18" i="89" a="1"/>
  <c r="AF18" i="89" a="1"/>
  <c r="AE18" i="89" a="1"/>
  <c r="AD18" i="89" a="1"/>
  <c r="AC18" i="89" a="1"/>
  <c r="AB18" i="89" a="1"/>
  <c r="AA18" i="89" a="1"/>
  <c r="Z18" i="89" a="1"/>
  <c r="Y18" i="89" a="1"/>
  <c r="X18" i="89" a="1"/>
  <c r="W18" i="89" a="1"/>
  <c r="V18" i="89" a="1"/>
  <c r="U18" i="89" a="1"/>
  <c r="T18" i="89" a="1"/>
  <c r="S18" i="89" a="1"/>
  <c r="R18" i="89" a="1"/>
  <c r="Q18" i="89" a="1"/>
  <c r="P18" i="89" a="1"/>
  <c r="O18" i="89" a="1"/>
  <c r="N18" i="89" a="1"/>
  <c r="M18" i="89" a="1"/>
  <c r="L18" i="89" a="1"/>
  <c r="J18" i="89" a="1"/>
  <c r="G18" i="89"/>
  <c r="AK17" i="89" a="1"/>
  <c r="AJ17" i="89" a="1"/>
  <c r="AI17" i="89" a="1"/>
  <c r="AH17" i="89" a="1"/>
  <c r="AG17" i="89" a="1"/>
  <c r="AF17" i="89" a="1"/>
  <c r="AE17" i="89" a="1"/>
  <c r="AD17" i="89" a="1"/>
  <c r="AC17" i="89" a="1"/>
  <c r="AB17" i="89" a="1"/>
  <c r="AA17" i="89" a="1"/>
  <c r="Z17" i="89" a="1"/>
  <c r="Y17" i="89" a="1"/>
  <c r="X17" i="89" a="1"/>
  <c r="W17" i="89" a="1"/>
  <c r="V17" i="89" a="1"/>
  <c r="U17" i="89" a="1"/>
  <c r="T17" i="89" a="1"/>
  <c r="S17" i="89" a="1"/>
  <c r="R17" i="89" a="1"/>
  <c r="Q17" i="89" a="1"/>
  <c r="P17" i="89" a="1"/>
  <c r="O17" i="89" a="1"/>
  <c r="N17" i="89" a="1"/>
  <c r="M17" i="89" a="1"/>
  <c r="L17" i="89" a="1"/>
  <c r="J17" i="89" a="1"/>
  <c r="G17" i="89"/>
  <c r="AK16" i="89" a="1"/>
  <c r="AJ16" i="89" a="1"/>
  <c r="AI16" i="89" a="1"/>
  <c r="AH16" i="89" a="1"/>
  <c r="AG16" i="89" a="1"/>
  <c r="AF16" i="89" a="1"/>
  <c r="AE16" i="89" a="1"/>
  <c r="AD16" i="89" a="1"/>
  <c r="AC16" i="89" a="1"/>
  <c r="AB16" i="89" a="1"/>
  <c r="AA16" i="89" a="1"/>
  <c r="Z16" i="89" a="1"/>
  <c r="Y16" i="89" a="1"/>
  <c r="X16" i="89" a="1"/>
  <c r="W16" i="89" a="1"/>
  <c r="V16" i="89" a="1"/>
  <c r="U16" i="89" a="1"/>
  <c r="T16" i="89" a="1"/>
  <c r="S16" i="89" a="1"/>
  <c r="R16" i="89" a="1"/>
  <c r="Q16" i="89" a="1"/>
  <c r="P16" i="89" a="1"/>
  <c r="O16" i="89" a="1"/>
  <c r="N16" i="89" a="1"/>
  <c r="M16" i="89" a="1"/>
  <c r="L16" i="89" a="1"/>
  <c r="J16" i="89" a="1"/>
  <c r="G16" i="89"/>
  <c r="AK15" i="89" a="1"/>
  <c r="AJ15" i="89" a="1"/>
  <c r="AI15" i="89" a="1"/>
  <c r="AH15" i="89" a="1"/>
  <c r="AG15" i="89" a="1"/>
  <c r="AF15" i="89" a="1"/>
  <c r="AE15" i="89" a="1"/>
  <c r="AD15" i="89" a="1"/>
  <c r="AC15" i="89" a="1"/>
  <c r="AB15" i="89" a="1"/>
  <c r="AA15" i="89" a="1"/>
  <c r="Z15" i="89" a="1"/>
  <c r="Y15" i="89" a="1"/>
  <c r="X15" i="89" a="1"/>
  <c r="W15" i="89" a="1"/>
  <c r="V15" i="89" a="1"/>
  <c r="U15" i="89" a="1"/>
  <c r="T15" i="89" a="1"/>
  <c r="S15" i="89" a="1"/>
  <c r="R15" i="89" a="1"/>
  <c r="Q15" i="89" a="1"/>
  <c r="P15" i="89" a="1"/>
  <c r="O15" i="89" a="1"/>
  <c r="N15" i="89" a="1"/>
  <c r="M15" i="89" a="1"/>
  <c r="L15" i="89" a="1"/>
  <c r="J15" i="89" a="1"/>
  <c r="G15" i="89"/>
  <c r="AK14" i="89" a="1"/>
  <c r="AJ14" i="89" a="1"/>
  <c r="AI14" i="89" a="1"/>
  <c r="AH14" i="89" a="1"/>
  <c r="AG14" i="89" a="1"/>
  <c r="AF14" i="89" a="1"/>
  <c r="AE14" i="89" a="1"/>
  <c r="AD14" i="89" a="1"/>
  <c r="AC14" i="89" a="1"/>
  <c r="AB14" i="89" a="1"/>
  <c r="AA14" i="89" a="1"/>
  <c r="Z14" i="89" a="1"/>
  <c r="Y14" i="89" a="1"/>
  <c r="X14" i="89" a="1"/>
  <c r="W14" i="89" a="1"/>
  <c r="V14" i="89" a="1"/>
  <c r="U14" i="89" a="1"/>
  <c r="T14" i="89" a="1"/>
  <c r="S14" i="89" a="1"/>
  <c r="R14" i="89" a="1"/>
  <c r="Q14" i="89" a="1"/>
  <c r="P14" i="89" a="1"/>
  <c r="O14" i="89" a="1"/>
  <c r="N14" i="89" a="1"/>
  <c r="M14" i="89" a="1"/>
  <c r="L14" i="89" a="1"/>
  <c r="J14" i="89" a="1"/>
  <c r="G14" i="89"/>
  <c r="AK13" i="89" a="1"/>
  <c r="AJ13" i="89" a="1"/>
  <c r="AI13" i="89" a="1"/>
  <c r="AH13" i="89" a="1"/>
  <c r="AG13" i="89" a="1"/>
  <c r="AF13" i="89" a="1"/>
  <c r="AE13" i="89" a="1"/>
  <c r="AD13" i="89" a="1"/>
  <c r="AC13" i="89" a="1"/>
  <c r="AB13" i="89" a="1"/>
  <c r="AA13" i="89" a="1"/>
  <c r="Z13" i="89" a="1"/>
  <c r="Y13" i="89" a="1"/>
  <c r="X13" i="89" a="1"/>
  <c r="W13" i="89" a="1"/>
  <c r="V13" i="89" a="1"/>
  <c r="U13" i="89" a="1"/>
  <c r="T13" i="89" a="1"/>
  <c r="S13" i="89" a="1"/>
  <c r="R13" i="89" a="1"/>
  <c r="Q13" i="89" a="1"/>
  <c r="P13" i="89" a="1"/>
  <c r="O13" i="89" a="1"/>
  <c r="N13" i="89" a="1"/>
  <c r="M13" i="89" a="1"/>
  <c r="L13" i="89" a="1"/>
  <c r="J13" i="89" a="1"/>
  <c r="G13" i="89"/>
  <c r="AK12" i="89" a="1"/>
  <c r="AJ12" i="89" a="1"/>
  <c r="AI12" i="89" a="1"/>
  <c r="AH12" i="89" a="1"/>
  <c r="AG12" i="89" a="1"/>
  <c r="AF12" i="89" a="1"/>
  <c r="AE12" i="89" a="1"/>
  <c r="AD12" i="89" a="1"/>
  <c r="AC12" i="89" a="1"/>
  <c r="AB12" i="89" a="1"/>
  <c r="AA12" i="89" a="1"/>
  <c r="Z12" i="89" a="1"/>
  <c r="Y12" i="89" a="1"/>
  <c r="X12" i="89" a="1"/>
  <c r="W12" i="89" a="1"/>
  <c r="V12" i="89" a="1"/>
  <c r="U12" i="89" a="1"/>
  <c r="T12" i="89" a="1"/>
  <c r="S12" i="89" a="1"/>
  <c r="R12" i="89" a="1"/>
  <c r="Q12" i="89" a="1"/>
  <c r="P12" i="89" a="1"/>
  <c r="O12" i="89" a="1"/>
  <c r="N12" i="89" a="1"/>
  <c r="M12" i="89" a="1"/>
  <c r="L12" i="89" a="1"/>
  <c r="J12" i="89" a="1"/>
  <c r="G12" i="89"/>
  <c r="AK11" i="89" a="1"/>
  <c r="AJ11" i="89" a="1"/>
  <c r="AI11" i="89" a="1"/>
  <c r="AH11" i="89" a="1"/>
  <c r="AG11" i="89" a="1"/>
  <c r="AF11" i="89" a="1"/>
  <c r="AE11" i="89" a="1"/>
  <c r="AD11" i="89" a="1"/>
  <c r="AC11" i="89" a="1"/>
  <c r="AB11" i="89" a="1"/>
  <c r="AA11" i="89" a="1"/>
  <c r="Z11" i="89" a="1"/>
  <c r="Y11" i="89" a="1"/>
  <c r="X11" i="89" a="1"/>
  <c r="W11" i="89" a="1"/>
  <c r="V11" i="89" a="1"/>
  <c r="U11" i="89" a="1"/>
  <c r="T11" i="89" a="1"/>
  <c r="S11" i="89" a="1"/>
  <c r="R11" i="89" a="1"/>
  <c r="Q11" i="89" a="1"/>
  <c r="P11" i="89" a="1"/>
  <c r="O11" i="89" a="1"/>
  <c r="N11" i="89" a="1"/>
  <c r="M11" i="89" a="1"/>
  <c r="L11" i="89" a="1"/>
  <c r="J11" i="89" a="1"/>
  <c r="G11" i="89"/>
  <c r="AK10" i="89" a="1"/>
  <c r="AJ10" i="89" a="1"/>
  <c r="AI10" i="89" a="1"/>
  <c r="AH10" i="89" a="1"/>
  <c r="AG10" i="89" a="1"/>
  <c r="AF10" i="89" a="1"/>
  <c r="AE10" i="89" a="1"/>
  <c r="AD10" i="89" a="1"/>
  <c r="AC10" i="89" a="1"/>
  <c r="AB10" i="89" a="1"/>
  <c r="AA10" i="89" a="1"/>
  <c r="Z10" i="89" a="1"/>
  <c r="Y10" i="89" a="1"/>
  <c r="X10" i="89" a="1"/>
  <c r="W10" i="89" a="1"/>
  <c r="V10" i="89" a="1"/>
  <c r="U10" i="89" a="1"/>
  <c r="T10" i="89" a="1"/>
  <c r="S10" i="89" a="1"/>
  <c r="R10" i="89" a="1"/>
  <c r="Q10" i="89" a="1"/>
  <c r="P10" i="89" a="1"/>
  <c r="O10" i="89" a="1"/>
  <c r="N10" i="89" a="1"/>
  <c r="M10" i="89" a="1"/>
  <c r="L10" i="89" a="1"/>
  <c r="J10" i="89" a="1"/>
  <c r="G10" i="89"/>
  <c r="AK9" i="89" a="1"/>
  <c r="AJ9" i="89" a="1"/>
  <c r="AI9" i="89" a="1"/>
  <c r="AH9" i="89" a="1"/>
  <c r="AG9" i="89" a="1"/>
  <c r="AF9" i="89" a="1"/>
  <c r="AE9" i="89" a="1"/>
  <c r="AD9" i="89" a="1"/>
  <c r="AC9" i="89" a="1"/>
  <c r="AB9" i="89" a="1"/>
  <c r="AA9" i="89" a="1"/>
  <c r="Z9" i="89" a="1"/>
  <c r="Y9" i="89" a="1"/>
  <c r="X9" i="89" a="1"/>
  <c r="W9" i="89" a="1"/>
  <c r="V9" i="89" a="1"/>
  <c r="U9" i="89" a="1"/>
  <c r="T9" i="89" a="1"/>
  <c r="S9" i="89" a="1"/>
  <c r="R9" i="89" a="1"/>
  <c r="Q9" i="89" a="1"/>
  <c r="P9" i="89" a="1"/>
  <c r="O9" i="89" a="1"/>
  <c r="N9" i="89" a="1"/>
  <c r="M9" i="89" a="1"/>
  <c r="L9" i="89" a="1"/>
  <c r="J9" i="89" a="1"/>
  <c r="G9" i="89"/>
  <c r="AK8" i="89" a="1"/>
  <c r="AJ8" i="89" a="1"/>
  <c r="AI8" i="89" a="1"/>
  <c r="AH8" i="89" a="1"/>
  <c r="AG8" i="89" a="1"/>
  <c r="AF8" i="89" a="1"/>
  <c r="AE8" i="89" a="1"/>
  <c r="AD8" i="89" a="1"/>
  <c r="AC8" i="89" a="1"/>
  <c r="AB8" i="89" a="1"/>
  <c r="AA8" i="89" a="1"/>
  <c r="Z8" i="89" a="1"/>
  <c r="Y8" i="89" a="1"/>
  <c r="X8" i="89" a="1"/>
  <c r="W8" i="89" a="1"/>
  <c r="V8" i="89" a="1"/>
  <c r="U8" i="89" a="1"/>
  <c r="T8" i="89" a="1"/>
  <c r="S8" i="89" a="1"/>
  <c r="R8" i="89" a="1"/>
  <c r="Q8" i="89" a="1"/>
  <c r="P8" i="89" a="1"/>
  <c r="O8" i="89" a="1"/>
  <c r="N8" i="89" a="1"/>
  <c r="M8" i="89" a="1"/>
  <c r="L8" i="89" a="1"/>
  <c r="J8" i="89" a="1"/>
  <c r="G8" i="89"/>
  <c r="AK7" i="89" a="1"/>
  <c r="AJ7" i="89" a="1"/>
  <c r="AI7" i="89" a="1"/>
  <c r="AH7" i="89" a="1"/>
  <c r="AG7" i="89" a="1"/>
  <c r="AF7" i="89" a="1"/>
  <c r="AE7" i="89" a="1"/>
  <c r="AD7" i="89" a="1"/>
  <c r="AC7" i="89" a="1"/>
  <c r="AB7" i="89" a="1"/>
  <c r="AA7" i="89" a="1"/>
  <c r="Z7" i="89" a="1"/>
  <c r="Y7" i="89" a="1"/>
  <c r="X7" i="89" a="1"/>
  <c r="W7" i="89" a="1"/>
  <c r="V7" i="89" a="1"/>
  <c r="U7" i="89" a="1"/>
  <c r="T7" i="89" a="1"/>
  <c r="S7" i="89" a="1"/>
  <c r="R7" i="89" a="1"/>
  <c r="Q7" i="89" a="1"/>
  <c r="P7" i="89" a="1"/>
  <c r="O7" i="89" a="1"/>
  <c r="N7" i="89" a="1"/>
  <c r="M7" i="89" a="1"/>
  <c r="L7" i="89" a="1"/>
  <c r="J7" i="89" a="1"/>
  <c r="G7" i="89"/>
  <c r="AK6" i="89" a="1"/>
  <c r="AJ6" i="89" a="1"/>
  <c r="AI6" i="89" a="1"/>
  <c r="AH6" i="89" a="1"/>
  <c r="AG6" i="89" a="1"/>
  <c r="AF6" i="89" a="1"/>
  <c r="AE6" i="89" a="1"/>
  <c r="AD6" i="89" a="1"/>
  <c r="AC6" i="89" a="1"/>
  <c r="AB6" i="89" a="1"/>
  <c r="AA6" i="89" a="1"/>
  <c r="Z6" i="89" a="1"/>
  <c r="Y6" i="89" a="1"/>
  <c r="X6" i="89" a="1"/>
  <c r="W6" i="89" a="1"/>
  <c r="V6" i="89" a="1"/>
  <c r="U6" i="89" a="1"/>
  <c r="T6" i="89" a="1"/>
  <c r="S6" i="89" a="1"/>
  <c r="R6" i="89" a="1"/>
  <c r="Q6" i="89" a="1"/>
  <c r="P6" i="89" a="1"/>
  <c r="O6" i="89" a="1"/>
  <c r="N6" i="89" a="1"/>
  <c r="M6" i="89" a="1"/>
  <c r="L6" i="89" a="1"/>
  <c r="J6" i="89" a="1"/>
  <c r="G6" i="89"/>
  <c r="AK5" i="89" a="1"/>
  <c r="AJ5" i="89" a="1"/>
  <c r="AI5" i="89" a="1"/>
  <c r="AH5" i="89" a="1"/>
  <c r="AG5" i="89" a="1"/>
  <c r="AF5" i="89" a="1"/>
  <c r="AE5" i="89" a="1"/>
  <c r="AD5" i="89" a="1"/>
  <c r="AC5" i="89" a="1"/>
  <c r="AB5" i="89" a="1"/>
  <c r="AA5" i="89" a="1"/>
  <c r="Z5" i="89" a="1"/>
  <c r="Y5" i="89" a="1"/>
  <c r="X5" i="89" a="1"/>
  <c r="W5" i="89" a="1"/>
  <c r="V5" i="89" a="1"/>
  <c r="U5" i="89" a="1"/>
  <c r="T5" i="89" a="1"/>
  <c r="S5" i="89" a="1"/>
  <c r="R5" i="89" a="1"/>
  <c r="Q5" i="89" a="1"/>
  <c r="P5" i="89" a="1"/>
  <c r="O5" i="89" a="1"/>
  <c r="N5" i="89" a="1"/>
  <c r="M5" i="89" a="1"/>
  <c r="L5" i="89" a="1"/>
  <c r="J5" i="89" a="1"/>
  <c r="G5" i="89"/>
  <c r="AK4" i="89" a="1"/>
  <c r="AJ4" i="89" a="1"/>
  <c r="AI4" i="89" a="1"/>
  <c r="AH4" i="89" a="1"/>
  <c r="AG4" i="89" a="1"/>
  <c r="AF4" i="89" a="1"/>
  <c r="AE4" i="89" a="1"/>
  <c r="AD4" i="89" a="1"/>
  <c r="AC4" i="89" a="1"/>
  <c r="AB4" i="89" a="1"/>
  <c r="AA4" i="89" a="1"/>
  <c r="Z4" i="89" a="1"/>
  <c r="Y4" i="89" a="1"/>
  <c r="X4" i="89" a="1"/>
  <c r="W4" i="89" a="1"/>
  <c r="V4" i="89" a="1"/>
  <c r="U4" i="89" a="1"/>
  <c r="T4" i="89" a="1"/>
  <c r="S4" i="89" a="1"/>
  <c r="R4" i="89" a="1"/>
  <c r="Q4" i="89" a="1"/>
  <c r="P4" i="89" a="1"/>
  <c r="O4" i="89" a="1"/>
  <c r="N4" i="89" a="1"/>
  <c r="M4" i="89" a="1"/>
  <c r="L4" i="89" a="1"/>
  <c r="J4" i="89" a="1"/>
  <c r="G4" i="89"/>
  <c r="AK3" i="89" a="1"/>
  <c r="AJ3" i="89" a="1"/>
  <c r="AI3" i="89" a="1"/>
  <c r="AH3" i="89" a="1"/>
  <c r="AG3" i="89" a="1"/>
  <c r="AF3" i="89" a="1"/>
  <c r="AE3" i="89" a="1"/>
  <c r="AD3" i="89" a="1"/>
  <c r="AC3" i="89" a="1"/>
  <c r="AB3" i="89" a="1"/>
  <c r="AA3" i="89" a="1"/>
  <c r="Z3" i="89" a="1"/>
  <c r="Y3" i="89" a="1"/>
  <c r="X3" i="89" a="1"/>
  <c r="W3" i="89" a="1"/>
  <c r="V3" i="89" a="1"/>
  <c r="U3" i="89" a="1"/>
  <c r="T3" i="89" a="1"/>
  <c r="S3" i="89" a="1"/>
  <c r="R3" i="89" a="1"/>
  <c r="Q3" i="89" a="1"/>
  <c r="P3" i="89" a="1"/>
  <c r="O3" i="89" a="1"/>
  <c r="N3" i="89" a="1"/>
  <c r="M3" i="89" a="1"/>
  <c r="L3" i="89" a="1"/>
  <c r="J3" i="89" a="1"/>
  <c r="G3" i="89"/>
  <c r="AN33" i="88"/>
  <c r="AK32" i="88" a="1"/>
  <c r="AJ32" i="88" a="1"/>
  <c r="AI32" i="88" a="1"/>
  <c r="AH32" i="88" a="1"/>
  <c r="AG32" i="88" a="1"/>
  <c r="AF32" i="88" a="1"/>
  <c r="AE32" i="88" a="1"/>
  <c r="AD32" i="88" a="1"/>
  <c r="AC32" i="88" a="1"/>
  <c r="AB32" i="88" a="1"/>
  <c r="AA32" i="88" a="1"/>
  <c r="Z32" i="88" a="1"/>
  <c r="Y32" i="88" a="1"/>
  <c r="X32" i="88" a="1"/>
  <c r="W32" i="88" a="1"/>
  <c r="V32" i="88" a="1"/>
  <c r="U32" i="88" a="1"/>
  <c r="T32" i="88" a="1"/>
  <c r="S32" i="88" a="1"/>
  <c r="R32" i="88" a="1"/>
  <c r="Q32" i="88" a="1"/>
  <c r="P32" i="88" a="1"/>
  <c r="O32" i="88" a="1"/>
  <c r="N32" i="88" a="1"/>
  <c r="M32" i="88" a="1"/>
  <c r="L32" i="88" a="1"/>
  <c r="J32" i="88" a="1"/>
  <c r="G32" i="88"/>
  <c r="AK31" i="88" a="1"/>
  <c r="AJ31" i="88" a="1"/>
  <c r="AI31" i="88" a="1"/>
  <c r="AH31" i="88" a="1"/>
  <c r="AG31" i="88" a="1"/>
  <c r="AF31" i="88" a="1"/>
  <c r="AE31" i="88" a="1"/>
  <c r="AD31" i="88" a="1"/>
  <c r="AC31" i="88" a="1"/>
  <c r="AB31" i="88" a="1"/>
  <c r="AA31" i="88" a="1"/>
  <c r="Z31" i="88" a="1"/>
  <c r="Y31" i="88" a="1"/>
  <c r="X31" i="88" a="1"/>
  <c r="W31" i="88" a="1"/>
  <c r="V31" i="88" a="1"/>
  <c r="U31" i="88" a="1"/>
  <c r="T31" i="88" a="1"/>
  <c r="S31" i="88" a="1"/>
  <c r="R31" i="88" a="1"/>
  <c r="Q31" i="88" a="1"/>
  <c r="P31" i="88" a="1"/>
  <c r="O31" i="88" a="1"/>
  <c r="N31" i="88" a="1"/>
  <c r="M31" i="88" a="1"/>
  <c r="L31" i="88" a="1"/>
  <c r="J31" i="88" a="1"/>
  <c r="G31" i="88"/>
  <c r="AK30" i="88" a="1"/>
  <c r="AJ30" i="88" a="1"/>
  <c r="AI30" i="88" a="1"/>
  <c r="AH30" i="88" a="1"/>
  <c r="AG30" i="88" a="1"/>
  <c r="AF30" i="88" a="1"/>
  <c r="AE30" i="88" a="1"/>
  <c r="AD30" i="88" a="1"/>
  <c r="AC30" i="88" a="1"/>
  <c r="AB30" i="88" a="1"/>
  <c r="AA30" i="88" a="1"/>
  <c r="Z30" i="88" a="1"/>
  <c r="Y30" i="88" a="1"/>
  <c r="X30" i="88" a="1"/>
  <c r="W30" i="88" a="1"/>
  <c r="V30" i="88" a="1"/>
  <c r="U30" i="88" a="1"/>
  <c r="T30" i="88" a="1"/>
  <c r="S30" i="88" a="1"/>
  <c r="R30" i="88" a="1"/>
  <c r="Q30" i="88" a="1"/>
  <c r="P30" i="88" a="1"/>
  <c r="O30" i="88" a="1"/>
  <c r="N30" i="88" a="1"/>
  <c r="M30" i="88" a="1"/>
  <c r="L30" i="88" a="1"/>
  <c r="J30" i="88" a="1"/>
  <c r="G30" i="88"/>
  <c r="AK29" i="88" a="1"/>
  <c r="AJ29" i="88" a="1"/>
  <c r="AI29" i="88" a="1"/>
  <c r="AH29" i="88" a="1"/>
  <c r="AG29" i="88" a="1"/>
  <c r="AF29" i="88" a="1"/>
  <c r="AE29" i="88" a="1"/>
  <c r="AD29" i="88" a="1"/>
  <c r="AC29" i="88" a="1"/>
  <c r="AB29" i="88" a="1"/>
  <c r="AA29" i="88" a="1"/>
  <c r="Z29" i="88" a="1"/>
  <c r="Y29" i="88" a="1"/>
  <c r="X29" i="88" a="1"/>
  <c r="W29" i="88" a="1"/>
  <c r="V29" i="88" a="1"/>
  <c r="U29" i="88" a="1"/>
  <c r="T29" i="88" a="1"/>
  <c r="S29" i="88" a="1"/>
  <c r="R29" i="88" a="1"/>
  <c r="Q29" i="88" a="1"/>
  <c r="P29" i="88" a="1"/>
  <c r="O29" i="88" a="1"/>
  <c r="N29" i="88" a="1"/>
  <c r="M29" i="88" a="1"/>
  <c r="L29" i="88" a="1"/>
  <c r="J29" i="88" a="1"/>
  <c r="G29" i="88"/>
  <c r="AK28" i="88" a="1"/>
  <c r="AJ28" i="88" a="1"/>
  <c r="AI28" i="88" a="1"/>
  <c r="AH28" i="88" a="1"/>
  <c r="AG28" i="88" a="1"/>
  <c r="AF28" i="88" a="1"/>
  <c r="AE28" i="88" a="1"/>
  <c r="AD28" i="88" a="1"/>
  <c r="AC28" i="88" a="1"/>
  <c r="AB28" i="88" a="1"/>
  <c r="AA28" i="88" a="1"/>
  <c r="Z28" i="88" a="1"/>
  <c r="Y28" i="88" a="1"/>
  <c r="X28" i="88" a="1"/>
  <c r="W28" i="88" a="1"/>
  <c r="V28" i="88" a="1"/>
  <c r="U28" i="88" a="1"/>
  <c r="T28" i="88" a="1"/>
  <c r="S28" i="88" a="1"/>
  <c r="R28" i="88" a="1"/>
  <c r="Q28" i="88" a="1"/>
  <c r="P28" i="88" a="1"/>
  <c r="O28" i="88" a="1"/>
  <c r="N28" i="88" a="1"/>
  <c r="M28" i="88" a="1"/>
  <c r="L28" i="88" a="1"/>
  <c r="J28" i="88" a="1"/>
  <c r="G28" i="88"/>
  <c r="AK27" i="88" a="1"/>
  <c r="AJ27" i="88" a="1"/>
  <c r="AI27" i="88" a="1"/>
  <c r="AH27" i="88" a="1"/>
  <c r="AG27" i="88" a="1"/>
  <c r="AF27" i="88" a="1"/>
  <c r="AE27" i="88" a="1"/>
  <c r="AD27" i="88" a="1"/>
  <c r="AC27" i="88" a="1"/>
  <c r="AB27" i="88" a="1"/>
  <c r="AA27" i="88" a="1"/>
  <c r="Z27" i="88" a="1"/>
  <c r="Y27" i="88" a="1"/>
  <c r="X27" i="88" a="1"/>
  <c r="W27" i="88" a="1"/>
  <c r="V27" i="88" a="1"/>
  <c r="U27" i="88" a="1"/>
  <c r="T27" i="88" a="1"/>
  <c r="S27" i="88" a="1"/>
  <c r="R27" i="88" a="1"/>
  <c r="Q27" i="88" a="1"/>
  <c r="P27" i="88" a="1"/>
  <c r="O27" i="88" a="1"/>
  <c r="N27" i="88" a="1"/>
  <c r="M27" i="88" a="1"/>
  <c r="L27" i="88" a="1"/>
  <c r="J27" i="88" a="1"/>
  <c r="G27" i="88"/>
  <c r="AK26" i="88" a="1"/>
  <c r="AJ26" i="88" a="1"/>
  <c r="AI26" i="88" a="1"/>
  <c r="AH26" i="88" a="1"/>
  <c r="AG26" i="88" a="1"/>
  <c r="AF26" i="88" a="1"/>
  <c r="AE26" i="88" a="1"/>
  <c r="AD26" i="88" a="1"/>
  <c r="AC26" i="88" a="1"/>
  <c r="AB26" i="88" a="1"/>
  <c r="AA26" i="88" a="1"/>
  <c r="Z26" i="88" a="1"/>
  <c r="Y26" i="88" a="1"/>
  <c r="X26" i="88" a="1"/>
  <c r="W26" i="88" a="1"/>
  <c r="V26" i="88" a="1"/>
  <c r="U26" i="88" a="1"/>
  <c r="T26" i="88" a="1"/>
  <c r="S26" i="88" a="1"/>
  <c r="R26" i="88" a="1"/>
  <c r="Q26" i="88" a="1"/>
  <c r="P26" i="88" a="1"/>
  <c r="O26" i="88" a="1"/>
  <c r="N26" i="88" a="1"/>
  <c r="M26" i="88" a="1"/>
  <c r="L26" i="88" a="1"/>
  <c r="J26" i="88" a="1"/>
  <c r="G26" i="88"/>
  <c r="AK25" i="88" a="1"/>
  <c r="AJ25" i="88" a="1"/>
  <c r="AI25" i="88" a="1"/>
  <c r="AH25" i="88" a="1"/>
  <c r="AG25" i="88" a="1"/>
  <c r="AF25" i="88" a="1"/>
  <c r="AE25" i="88" a="1"/>
  <c r="AD25" i="88" a="1"/>
  <c r="AC25" i="88" a="1"/>
  <c r="AB25" i="88" a="1"/>
  <c r="AA25" i="88" a="1"/>
  <c r="Z25" i="88" a="1"/>
  <c r="Y25" i="88" a="1"/>
  <c r="X25" i="88" a="1"/>
  <c r="W25" i="88" a="1"/>
  <c r="V25" i="88" a="1"/>
  <c r="U25" i="88" a="1"/>
  <c r="T25" i="88" a="1"/>
  <c r="S25" i="88" a="1"/>
  <c r="R25" i="88" a="1"/>
  <c r="Q25" i="88" a="1"/>
  <c r="P25" i="88" a="1"/>
  <c r="O25" i="88" a="1"/>
  <c r="N25" i="88" a="1"/>
  <c r="M25" i="88" a="1"/>
  <c r="L25" i="88" a="1"/>
  <c r="J25" i="88" a="1"/>
  <c r="G25" i="88"/>
  <c r="AK24" i="88" a="1"/>
  <c r="AJ24" i="88" a="1"/>
  <c r="AI24" i="88" a="1"/>
  <c r="AH24" i="88" a="1"/>
  <c r="AG24" i="88" a="1"/>
  <c r="AF24" i="88" a="1"/>
  <c r="AE24" i="88" a="1"/>
  <c r="AD24" i="88" a="1"/>
  <c r="AC24" i="88" a="1"/>
  <c r="AB24" i="88" a="1"/>
  <c r="AA24" i="88" a="1"/>
  <c r="Z24" i="88" a="1"/>
  <c r="Y24" i="88" a="1"/>
  <c r="X24" i="88" a="1"/>
  <c r="W24" i="88" a="1"/>
  <c r="V24" i="88" a="1"/>
  <c r="U24" i="88" a="1"/>
  <c r="T24" i="88" a="1"/>
  <c r="S24" i="88" a="1"/>
  <c r="R24" i="88" a="1"/>
  <c r="Q24" i="88" a="1"/>
  <c r="P24" i="88" a="1"/>
  <c r="O24" i="88" a="1"/>
  <c r="N24" i="88" a="1"/>
  <c r="M24" i="88" a="1"/>
  <c r="L24" i="88" a="1"/>
  <c r="J24" i="88" a="1"/>
  <c r="G24" i="88"/>
  <c r="AK23" i="88" a="1"/>
  <c r="AJ23" i="88" a="1"/>
  <c r="AI23" i="88" a="1"/>
  <c r="AH23" i="88" a="1"/>
  <c r="AG23" i="88" a="1"/>
  <c r="AF23" i="88" a="1"/>
  <c r="AE23" i="88" a="1"/>
  <c r="AD23" i="88" a="1"/>
  <c r="AC23" i="88" a="1"/>
  <c r="AB23" i="88" a="1"/>
  <c r="AA23" i="88" a="1"/>
  <c r="Z23" i="88" a="1"/>
  <c r="Y23" i="88" a="1"/>
  <c r="X23" i="88" a="1"/>
  <c r="W23" i="88" a="1"/>
  <c r="V23" i="88" a="1"/>
  <c r="U23" i="88" a="1"/>
  <c r="T23" i="88" a="1"/>
  <c r="S23" i="88" a="1"/>
  <c r="R23" i="88" a="1"/>
  <c r="Q23" i="88" a="1"/>
  <c r="P23" i="88" a="1"/>
  <c r="O23" i="88" a="1"/>
  <c r="N23" i="88" a="1"/>
  <c r="M23" i="88" a="1"/>
  <c r="L23" i="88" a="1"/>
  <c r="J23" i="88" a="1"/>
  <c r="G23" i="88"/>
  <c r="AK22" i="88" a="1"/>
  <c r="AJ22" i="88" a="1"/>
  <c r="AI22" i="88" a="1"/>
  <c r="AH22" i="88" a="1"/>
  <c r="AG22" i="88" a="1"/>
  <c r="AF22" i="88" a="1"/>
  <c r="AE22" i="88" a="1"/>
  <c r="AD22" i="88" a="1"/>
  <c r="AC22" i="88" a="1"/>
  <c r="AB22" i="88" a="1"/>
  <c r="AA22" i="88" a="1"/>
  <c r="Z22" i="88" a="1"/>
  <c r="Y22" i="88" a="1"/>
  <c r="X22" i="88" a="1"/>
  <c r="W22" i="88" a="1"/>
  <c r="V22" i="88" a="1"/>
  <c r="U22" i="88" a="1"/>
  <c r="T22" i="88" a="1"/>
  <c r="S22" i="88" a="1"/>
  <c r="R22" i="88" a="1"/>
  <c r="Q22" i="88" a="1"/>
  <c r="P22" i="88" a="1"/>
  <c r="O22" i="88" a="1"/>
  <c r="N22" i="88" a="1"/>
  <c r="M22" i="88" a="1"/>
  <c r="L22" i="88" a="1"/>
  <c r="J22" i="88" a="1"/>
  <c r="G22" i="88"/>
  <c r="AK21" i="88" a="1"/>
  <c r="AJ21" i="88" a="1"/>
  <c r="AI21" i="88" a="1"/>
  <c r="AH21" i="88" a="1"/>
  <c r="AG21" i="88" a="1"/>
  <c r="AF21" i="88" a="1"/>
  <c r="AE21" i="88" a="1"/>
  <c r="AD21" i="88" a="1"/>
  <c r="AC21" i="88" a="1"/>
  <c r="AB21" i="88" a="1"/>
  <c r="AA21" i="88" a="1"/>
  <c r="Z21" i="88" a="1"/>
  <c r="Y21" i="88" a="1"/>
  <c r="X21" i="88" a="1"/>
  <c r="W21" i="88" a="1"/>
  <c r="V21" i="88" a="1"/>
  <c r="U21" i="88" a="1"/>
  <c r="T21" i="88" a="1"/>
  <c r="S21" i="88" a="1"/>
  <c r="R21" i="88" a="1"/>
  <c r="Q21" i="88" a="1"/>
  <c r="P21" i="88" a="1"/>
  <c r="O21" i="88" a="1"/>
  <c r="N21" i="88" a="1"/>
  <c r="M21" i="88" a="1"/>
  <c r="L21" i="88" a="1"/>
  <c r="J21" i="88" a="1"/>
  <c r="G21" i="88"/>
  <c r="AK20" i="88" a="1"/>
  <c r="AJ20" i="88" a="1"/>
  <c r="AI20" i="88" a="1"/>
  <c r="AH20" i="88" a="1"/>
  <c r="AG20" i="88" a="1"/>
  <c r="AF20" i="88" a="1"/>
  <c r="AE20" i="88" a="1"/>
  <c r="AD20" i="88" a="1"/>
  <c r="AC20" i="88" a="1"/>
  <c r="AB20" i="88" a="1"/>
  <c r="AA20" i="88" a="1"/>
  <c r="Z20" i="88" a="1"/>
  <c r="Y20" i="88" a="1"/>
  <c r="X20" i="88" a="1"/>
  <c r="W20" i="88" a="1"/>
  <c r="V20" i="88" a="1"/>
  <c r="U20" i="88" a="1"/>
  <c r="T20" i="88" a="1"/>
  <c r="S20" i="88" a="1"/>
  <c r="R20" i="88" a="1"/>
  <c r="Q20" i="88" a="1"/>
  <c r="P20" i="88" a="1"/>
  <c r="O20" i="88" a="1"/>
  <c r="N20" i="88" a="1"/>
  <c r="M20" i="88" a="1"/>
  <c r="L20" i="88" a="1"/>
  <c r="J20" i="88" a="1"/>
  <c r="G20" i="88"/>
  <c r="AK19" i="88" a="1"/>
  <c r="AJ19" i="88" a="1"/>
  <c r="AI19" i="88" a="1"/>
  <c r="AH19" i="88" a="1"/>
  <c r="AG19" i="88" a="1"/>
  <c r="AF19" i="88" a="1"/>
  <c r="AE19" i="88" a="1"/>
  <c r="AD19" i="88" a="1"/>
  <c r="AC19" i="88" a="1"/>
  <c r="AB19" i="88" a="1"/>
  <c r="AA19" i="88" a="1"/>
  <c r="Z19" i="88" a="1"/>
  <c r="Y19" i="88" a="1"/>
  <c r="X19" i="88" a="1"/>
  <c r="W19" i="88" a="1"/>
  <c r="V19" i="88" a="1"/>
  <c r="U19" i="88" a="1"/>
  <c r="T19" i="88" a="1"/>
  <c r="S19" i="88" a="1"/>
  <c r="R19" i="88" a="1"/>
  <c r="Q19" i="88" a="1"/>
  <c r="P19" i="88" a="1"/>
  <c r="O19" i="88" a="1"/>
  <c r="N19" i="88" a="1"/>
  <c r="M19" i="88" a="1"/>
  <c r="L19" i="88" a="1"/>
  <c r="J19" i="88" a="1"/>
  <c r="G19" i="88"/>
  <c r="AK18" i="88" a="1"/>
  <c r="AJ18" i="88" a="1"/>
  <c r="AI18" i="88" a="1"/>
  <c r="AH18" i="88" a="1"/>
  <c r="AG18" i="88" a="1"/>
  <c r="AF18" i="88" a="1"/>
  <c r="AE18" i="88" a="1"/>
  <c r="AD18" i="88" a="1"/>
  <c r="AC18" i="88" a="1"/>
  <c r="AB18" i="88" a="1"/>
  <c r="AA18" i="88" a="1"/>
  <c r="Z18" i="88" a="1"/>
  <c r="Y18" i="88" a="1"/>
  <c r="X18" i="88" a="1"/>
  <c r="W18" i="88" a="1"/>
  <c r="V18" i="88" a="1"/>
  <c r="U18" i="88" a="1"/>
  <c r="T18" i="88" a="1"/>
  <c r="S18" i="88" a="1"/>
  <c r="R18" i="88" a="1"/>
  <c r="Q18" i="88" a="1"/>
  <c r="P18" i="88" a="1"/>
  <c r="O18" i="88" a="1"/>
  <c r="N18" i="88" a="1"/>
  <c r="M18" i="88" a="1"/>
  <c r="L18" i="88" a="1"/>
  <c r="J18" i="88" a="1"/>
  <c r="G18" i="88"/>
  <c r="AK17" i="88" a="1"/>
  <c r="AJ17" i="88" a="1"/>
  <c r="AI17" i="88" a="1"/>
  <c r="AH17" i="88" a="1"/>
  <c r="AG17" i="88" a="1"/>
  <c r="AF17" i="88" a="1"/>
  <c r="AE17" i="88" a="1"/>
  <c r="AD17" i="88" a="1"/>
  <c r="AC17" i="88" a="1"/>
  <c r="AB17" i="88" a="1"/>
  <c r="AA17" i="88" a="1"/>
  <c r="Z17" i="88" a="1"/>
  <c r="Y17" i="88" a="1"/>
  <c r="X17" i="88" a="1"/>
  <c r="W17" i="88" a="1"/>
  <c r="V17" i="88" a="1"/>
  <c r="U17" i="88" a="1"/>
  <c r="T17" i="88" a="1"/>
  <c r="S17" i="88" a="1"/>
  <c r="R17" i="88" a="1"/>
  <c r="Q17" i="88" a="1"/>
  <c r="P17" i="88" a="1"/>
  <c r="O17" i="88" a="1"/>
  <c r="N17" i="88" a="1"/>
  <c r="M17" i="88" a="1"/>
  <c r="L17" i="88" a="1"/>
  <c r="J17" i="88" a="1"/>
  <c r="G17" i="88"/>
  <c r="AK16" i="88" a="1"/>
  <c r="AJ16" i="88" a="1"/>
  <c r="AI16" i="88" a="1"/>
  <c r="AH16" i="88" a="1"/>
  <c r="AG16" i="88" a="1"/>
  <c r="AF16" i="88" a="1"/>
  <c r="AE16" i="88" a="1"/>
  <c r="AD16" i="88" a="1"/>
  <c r="AC16" i="88" a="1"/>
  <c r="AB16" i="88" a="1"/>
  <c r="AA16" i="88" a="1"/>
  <c r="Z16" i="88" a="1"/>
  <c r="Y16" i="88" a="1"/>
  <c r="X16" i="88" a="1"/>
  <c r="W16" i="88" a="1"/>
  <c r="V16" i="88" a="1"/>
  <c r="U16" i="88" a="1"/>
  <c r="T16" i="88" a="1"/>
  <c r="S16" i="88" a="1"/>
  <c r="R16" i="88" a="1"/>
  <c r="Q16" i="88" a="1"/>
  <c r="P16" i="88" a="1"/>
  <c r="O16" i="88" a="1"/>
  <c r="N16" i="88" a="1"/>
  <c r="M16" i="88" a="1"/>
  <c r="L16" i="88" a="1"/>
  <c r="J16" i="88" a="1"/>
  <c r="G16" i="88"/>
  <c r="AK15" i="88" a="1"/>
  <c r="AJ15" i="88" a="1"/>
  <c r="AI15" i="88" a="1"/>
  <c r="AH15" i="88" a="1"/>
  <c r="AG15" i="88" a="1"/>
  <c r="AF15" i="88" a="1"/>
  <c r="AE15" i="88" a="1"/>
  <c r="AD15" i="88" a="1"/>
  <c r="AC15" i="88" a="1"/>
  <c r="AB15" i="88" a="1"/>
  <c r="AA15" i="88" a="1"/>
  <c r="Z15" i="88" a="1"/>
  <c r="Y15" i="88" a="1"/>
  <c r="X15" i="88" a="1"/>
  <c r="W15" i="88" a="1"/>
  <c r="V15" i="88" a="1"/>
  <c r="U15" i="88" a="1"/>
  <c r="T15" i="88" a="1"/>
  <c r="S15" i="88" a="1"/>
  <c r="R15" i="88" a="1"/>
  <c r="Q15" i="88" a="1"/>
  <c r="P15" i="88" a="1"/>
  <c r="O15" i="88" a="1"/>
  <c r="N15" i="88" a="1"/>
  <c r="M15" i="88" a="1"/>
  <c r="L15" i="88" a="1"/>
  <c r="J15" i="88" a="1"/>
  <c r="G15" i="88"/>
  <c r="AK14" i="88" a="1"/>
  <c r="AJ14" i="88" a="1"/>
  <c r="AI14" i="88" a="1"/>
  <c r="AH14" i="88" a="1"/>
  <c r="AG14" i="88" a="1"/>
  <c r="AF14" i="88" a="1"/>
  <c r="AE14" i="88" a="1"/>
  <c r="AD14" i="88" a="1"/>
  <c r="AC14" i="88" a="1"/>
  <c r="AB14" i="88" a="1"/>
  <c r="AA14" i="88" a="1"/>
  <c r="Z14" i="88" a="1"/>
  <c r="Y14" i="88" a="1"/>
  <c r="X14" i="88" a="1"/>
  <c r="W14" i="88" a="1"/>
  <c r="V14" i="88" a="1"/>
  <c r="U14" i="88" a="1"/>
  <c r="T14" i="88" a="1"/>
  <c r="S14" i="88" a="1"/>
  <c r="R14" i="88" a="1"/>
  <c r="Q14" i="88" a="1"/>
  <c r="P14" i="88" a="1"/>
  <c r="O14" i="88" a="1"/>
  <c r="N14" i="88" a="1"/>
  <c r="M14" i="88" a="1"/>
  <c r="L14" i="88" a="1"/>
  <c r="J14" i="88" a="1"/>
  <c r="G14" i="88"/>
  <c r="AK13" i="88" a="1"/>
  <c r="AJ13" i="88" a="1"/>
  <c r="AI13" i="88" a="1"/>
  <c r="AH13" i="88" a="1"/>
  <c r="AG13" i="88" a="1"/>
  <c r="AF13" i="88" a="1"/>
  <c r="AE13" i="88" a="1"/>
  <c r="AD13" i="88" a="1"/>
  <c r="AC13" i="88" a="1"/>
  <c r="AB13" i="88" a="1"/>
  <c r="AA13" i="88" a="1"/>
  <c r="Z13" i="88" a="1"/>
  <c r="Y13" i="88" a="1"/>
  <c r="X13" i="88" a="1"/>
  <c r="W13" i="88" a="1"/>
  <c r="V13" i="88" a="1"/>
  <c r="U13" i="88" a="1"/>
  <c r="T13" i="88" a="1"/>
  <c r="S13" i="88" a="1"/>
  <c r="R13" i="88" a="1"/>
  <c r="Q13" i="88" a="1"/>
  <c r="P13" i="88" a="1"/>
  <c r="O13" i="88" a="1"/>
  <c r="N13" i="88" a="1"/>
  <c r="M13" i="88" a="1"/>
  <c r="L13" i="88" a="1"/>
  <c r="J13" i="88" a="1"/>
  <c r="G13" i="88"/>
  <c r="AK12" i="88" a="1"/>
  <c r="AJ12" i="88" a="1"/>
  <c r="AI12" i="88" a="1"/>
  <c r="AH12" i="88" a="1"/>
  <c r="AG12" i="88" a="1"/>
  <c r="AF12" i="88" a="1"/>
  <c r="AE12" i="88" a="1"/>
  <c r="AD12" i="88" a="1"/>
  <c r="AC12" i="88" a="1"/>
  <c r="AB12" i="88" a="1"/>
  <c r="AA12" i="88" a="1"/>
  <c r="Z12" i="88" a="1"/>
  <c r="Y12" i="88" a="1"/>
  <c r="X12" i="88" a="1"/>
  <c r="W12" i="88" a="1"/>
  <c r="V12" i="88" a="1"/>
  <c r="U12" i="88" a="1"/>
  <c r="T12" i="88" a="1"/>
  <c r="S12" i="88" a="1"/>
  <c r="R12" i="88" a="1"/>
  <c r="Q12" i="88" a="1"/>
  <c r="P12" i="88" a="1"/>
  <c r="O12" i="88" a="1"/>
  <c r="N12" i="88" a="1"/>
  <c r="M12" i="88" a="1"/>
  <c r="L12" i="88" a="1"/>
  <c r="J12" i="88" a="1"/>
  <c r="G12" i="88"/>
  <c r="AK11" i="88" a="1"/>
  <c r="AJ11" i="88" a="1"/>
  <c r="AI11" i="88" a="1"/>
  <c r="AH11" i="88" a="1"/>
  <c r="AG11" i="88" a="1"/>
  <c r="AF11" i="88" a="1"/>
  <c r="AE11" i="88" a="1"/>
  <c r="AD11" i="88" a="1"/>
  <c r="AC11" i="88" a="1"/>
  <c r="AB11" i="88" a="1"/>
  <c r="AA11" i="88" a="1"/>
  <c r="Z11" i="88" a="1"/>
  <c r="Y11" i="88" a="1"/>
  <c r="X11" i="88" a="1"/>
  <c r="W11" i="88" a="1"/>
  <c r="V11" i="88" a="1"/>
  <c r="U11" i="88" a="1"/>
  <c r="T11" i="88" a="1"/>
  <c r="S11" i="88" a="1"/>
  <c r="R11" i="88" a="1"/>
  <c r="Q11" i="88" a="1"/>
  <c r="P11" i="88" a="1"/>
  <c r="O11" i="88" a="1"/>
  <c r="N11" i="88" a="1"/>
  <c r="M11" i="88" a="1"/>
  <c r="L11" i="88" a="1"/>
  <c r="J11" i="88" a="1"/>
  <c r="G11" i="88"/>
  <c r="AK10" i="88" a="1"/>
  <c r="AJ10" i="88" a="1"/>
  <c r="AI10" i="88" a="1"/>
  <c r="AH10" i="88" a="1"/>
  <c r="AG10" i="88" a="1"/>
  <c r="AF10" i="88" a="1"/>
  <c r="AE10" i="88" a="1"/>
  <c r="AD10" i="88" a="1"/>
  <c r="AC10" i="88" a="1"/>
  <c r="AB10" i="88" a="1"/>
  <c r="AA10" i="88" a="1"/>
  <c r="Z10" i="88" a="1"/>
  <c r="Y10" i="88" a="1"/>
  <c r="X10" i="88" a="1"/>
  <c r="W10" i="88" a="1"/>
  <c r="V10" i="88" a="1"/>
  <c r="U10" i="88" a="1"/>
  <c r="T10" i="88" a="1"/>
  <c r="S10" i="88" a="1"/>
  <c r="R10" i="88" a="1"/>
  <c r="Q10" i="88" a="1"/>
  <c r="P10" i="88" a="1"/>
  <c r="O10" i="88" a="1"/>
  <c r="N10" i="88" a="1"/>
  <c r="M10" i="88" a="1"/>
  <c r="L10" i="88" a="1"/>
  <c r="J10" i="88" a="1"/>
  <c r="G10" i="88"/>
  <c r="AK9" i="88" a="1"/>
  <c r="AJ9" i="88" a="1"/>
  <c r="AI9" i="88" a="1"/>
  <c r="AH9" i="88" a="1"/>
  <c r="AG9" i="88" a="1"/>
  <c r="AF9" i="88" a="1"/>
  <c r="AE9" i="88" a="1"/>
  <c r="AD9" i="88" a="1"/>
  <c r="AC9" i="88" a="1"/>
  <c r="AB9" i="88" a="1"/>
  <c r="AA9" i="88" a="1"/>
  <c r="Z9" i="88" a="1"/>
  <c r="Y9" i="88" a="1"/>
  <c r="X9" i="88" a="1"/>
  <c r="W9" i="88" a="1"/>
  <c r="V9" i="88" a="1"/>
  <c r="U9" i="88" a="1"/>
  <c r="T9" i="88" a="1"/>
  <c r="S9" i="88" a="1"/>
  <c r="R9" i="88" a="1"/>
  <c r="Q9" i="88" a="1"/>
  <c r="P9" i="88" a="1"/>
  <c r="O9" i="88" a="1"/>
  <c r="N9" i="88" a="1"/>
  <c r="M9" i="88" a="1"/>
  <c r="L9" i="88" a="1"/>
  <c r="J9" i="88" a="1"/>
  <c r="G9" i="88"/>
  <c r="AK8" i="88" a="1"/>
  <c r="AJ8" i="88" a="1"/>
  <c r="AI8" i="88" a="1"/>
  <c r="AH8" i="88" a="1"/>
  <c r="AG8" i="88" a="1"/>
  <c r="AF8" i="88" a="1"/>
  <c r="AE8" i="88" a="1"/>
  <c r="AD8" i="88" a="1"/>
  <c r="AC8" i="88" a="1"/>
  <c r="AB8" i="88" a="1"/>
  <c r="AA8" i="88" a="1"/>
  <c r="Z8" i="88" a="1"/>
  <c r="Y8" i="88" a="1"/>
  <c r="X8" i="88" a="1"/>
  <c r="W8" i="88" a="1"/>
  <c r="V8" i="88" a="1"/>
  <c r="U8" i="88" a="1"/>
  <c r="T8" i="88" a="1"/>
  <c r="S8" i="88" a="1"/>
  <c r="R8" i="88" a="1"/>
  <c r="Q8" i="88" a="1"/>
  <c r="P8" i="88" a="1"/>
  <c r="O8" i="88" a="1"/>
  <c r="N8" i="88" a="1"/>
  <c r="M8" i="88" a="1"/>
  <c r="L8" i="88" a="1"/>
  <c r="J8" i="88" a="1"/>
  <c r="G8" i="88"/>
  <c r="AK7" i="88" a="1"/>
  <c r="AJ7" i="88" a="1"/>
  <c r="AI7" i="88" a="1"/>
  <c r="AH7" i="88" a="1"/>
  <c r="AG7" i="88" a="1"/>
  <c r="AF7" i="88" a="1"/>
  <c r="AE7" i="88" a="1"/>
  <c r="AD7" i="88" a="1"/>
  <c r="AC7" i="88" a="1"/>
  <c r="AB7" i="88" a="1"/>
  <c r="AA7" i="88" a="1"/>
  <c r="Z7" i="88" a="1"/>
  <c r="Y7" i="88" a="1"/>
  <c r="X7" i="88" a="1"/>
  <c r="W7" i="88" a="1"/>
  <c r="V7" i="88" a="1"/>
  <c r="U7" i="88" a="1"/>
  <c r="T7" i="88" a="1"/>
  <c r="S7" i="88" a="1"/>
  <c r="R7" i="88" a="1"/>
  <c r="Q7" i="88" a="1"/>
  <c r="P7" i="88" a="1"/>
  <c r="O7" i="88" a="1"/>
  <c r="N7" i="88" a="1"/>
  <c r="M7" i="88" a="1"/>
  <c r="L7" i="88" a="1"/>
  <c r="J7" i="88" a="1"/>
  <c r="G7" i="88"/>
  <c r="AK6" i="88" a="1"/>
  <c r="AJ6" i="88" a="1"/>
  <c r="AI6" i="88" a="1"/>
  <c r="AH6" i="88" a="1"/>
  <c r="AG6" i="88" a="1"/>
  <c r="AF6" i="88" a="1"/>
  <c r="AE6" i="88" a="1"/>
  <c r="AD6" i="88" a="1"/>
  <c r="AC6" i="88" a="1"/>
  <c r="AB6" i="88" a="1"/>
  <c r="AA6" i="88" a="1"/>
  <c r="Z6" i="88" a="1"/>
  <c r="Y6" i="88" a="1"/>
  <c r="X6" i="88" a="1"/>
  <c r="W6" i="88" a="1"/>
  <c r="V6" i="88" a="1"/>
  <c r="U6" i="88" a="1"/>
  <c r="T6" i="88" a="1"/>
  <c r="S6" i="88" a="1"/>
  <c r="R6" i="88" a="1"/>
  <c r="Q6" i="88" a="1"/>
  <c r="P6" i="88" a="1"/>
  <c r="O6" i="88" a="1"/>
  <c r="N6" i="88" a="1"/>
  <c r="M6" i="88" a="1"/>
  <c r="L6" i="88" a="1"/>
  <c r="J6" i="88" a="1"/>
  <c r="G6" i="88"/>
  <c r="AK5" i="88" a="1"/>
  <c r="AJ5" i="88" a="1"/>
  <c r="AI5" i="88" a="1"/>
  <c r="AH5" i="88" a="1"/>
  <c r="AG5" i="88" a="1"/>
  <c r="AF5" i="88" a="1"/>
  <c r="AE5" i="88" a="1"/>
  <c r="AD5" i="88" a="1"/>
  <c r="AC5" i="88" a="1"/>
  <c r="AB5" i="88" a="1"/>
  <c r="AA5" i="88" a="1"/>
  <c r="Z5" i="88" a="1"/>
  <c r="Y5" i="88" a="1"/>
  <c r="X5" i="88" a="1"/>
  <c r="W5" i="88" a="1"/>
  <c r="V5" i="88" a="1"/>
  <c r="U5" i="88" a="1"/>
  <c r="T5" i="88" a="1"/>
  <c r="S5" i="88" a="1"/>
  <c r="R5" i="88" a="1"/>
  <c r="Q5" i="88" a="1"/>
  <c r="P5" i="88" a="1"/>
  <c r="O5" i="88" a="1"/>
  <c r="N5" i="88" a="1"/>
  <c r="M5" i="88" a="1"/>
  <c r="L5" i="88" a="1"/>
  <c r="J5" i="88" a="1"/>
  <c r="G5" i="88"/>
  <c r="AK4" i="88" a="1"/>
  <c r="AJ4" i="88" a="1"/>
  <c r="AI4" i="88" a="1"/>
  <c r="AH4" i="88" a="1"/>
  <c r="AG4" i="88" a="1"/>
  <c r="AF4" i="88" a="1"/>
  <c r="AE4" i="88" a="1"/>
  <c r="AD4" i="88" a="1"/>
  <c r="AC4" i="88" a="1"/>
  <c r="AB4" i="88" a="1"/>
  <c r="AA4" i="88" a="1"/>
  <c r="Z4" i="88" a="1"/>
  <c r="Y4" i="88" a="1"/>
  <c r="X4" i="88" a="1"/>
  <c r="W4" i="88" a="1"/>
  <c r="V4" i="88" a="1"/>
  <c r="U4" i="88" a="1"/>
  <c r="T4" i="88" a="1"/>
  <c r="S4" i="88" a="1"/>
  <c r="R4" i="88" a="1"/>
  <c r="Q4" i="88" a="1"/>
  <c r="P4" i="88" a="1"/>
  <c r="O4" i="88" a="1"/>
  <c r="N4" i="88" a="1"/>
  <c r="M4" i="88" a="1"/>
  <c r="L4" i="88" a="1"/>
  <c r="J4" i="88" a="1"/>
  <c r="G4" i="88"/>
  <c r="AK3" i="88" a="1"/>
  <c r="AJ3" i="88" a="1"/>
  <c r="AI3" i="88" a="1"/>
  <c r="AH3" i="88" a="1"/>
  <c r="AG3" i="88" a="1"/>
  <c r="AF3" i="88" a="1"/>
  <c r="AE3" i="88" a="1"/>
  <c r="AD3" i="88" a="1"/>
  <c r="AC3" i="88" a="1"/>
  <c r="AB3" i="88" a="1"/>
  <c r="AA3" i="88" a="1"/>
  <c r="Z3" i="88" a="1"/>
  <c r="Y3" i="88" a="1"/>
  <c r="X3" i="88" a="1"/>
  <c r="W3" i="88" a="1"/>
  <c r="V3" i="88" a="1"/>
  <c r="U3" i="88" a="1"/>
  <c r="T3" i="88" a="1"/>
  <c r="S3" i="88" a="1"/>
  <c r="R3" i="88" a="1"/>
  <c r="Q3" i="88" a="1"/>
  <c r="P3" i="88" a="1"/>
  <c r="O3" i="88" a="1"/>
  <c r="N3" i="88" a="1"/>
  <c r="M3" i="88" a="1"/>
  <c r="L3" i="88" a="1"/>
  <c r="J3" i="88" a="1"/>
  <c r="G3" i="88"/>
  <c r="AN33" i="87"/>
  <c r="AK32" i="87" a="1"/>
  <c r="AJ32" i="87" a="1"/>
  <c r="AI32" i="87" a="1"/>
  <c r="AH32" i="87" a="1"/>
  <c r="AG32" i="87" a="1"/>
  <c r="AF32" i="87" a="1"/>
  <c r="AE32" i="87" a="1"/>
  <c r="AD32" i="87" a="1"/>
  <c r="AC32" i="87" a="1"/>
  <c r="AB32" i="87" a="1"/>
  <c r="AA32" i="87" a="1"/>
  <c r="Z32" i="87" a="1"/>
  <c r="Y32" i="87" a="1"/>
  <c r="X32" i="87" a="1"/>
  <c r="W32" i="87" a="1"/>
  <c r="V32" i="87" a="1"/>
  <c r="U32" i="87" a="1"/>
  <c r="T32" i="87" a="1"/>
  <c r="S32" i="87" a="1"/>
  <c r="R32" i="87" a="1"/>
  <c r="Q32" i="87" a="1"/>
  <c r="P32" i="87" a="1"/>
  <c r="O32" i="87" a="1"/>
  <c r="N32" i="87" a="1"/>
  <c r="M32" i="87" a="1"/>
  <c r="L32" i="87" a="1"/>
  <c r="J32" i="87" a="1"/>
  <c r="G32" i="87"/>
  <c r="AK31" i="87" a="1"/>
  <c r="AJ31" i="87" a="1"/>
  <c r="AI31" i="87" a="1"/>
  <c r="AH31" i="87" a="1"/>
  <c r="AG31" i="87" a="1"/>
  <c r="AF31" i="87" a="1"/>
  <c r="AE31" i="87" a="1"/>
  <c r="AD31" i="87" a="1"/>
  <c r="AC31" i="87" a="1"/>
  <c r="AB31" i="87" a="1"/>
  <c r="AA31" i="87" a="1"/>
  <c r="Z31" i="87" a="1"/>
  <c r="Y31" i="87" a="1"/>
  <c r="X31" i="87" a="1"/>
  <c r="W31" i="87" a="1"/>
  <c r="V31" i="87" a="1"/>
  <c r="U31" i="87" a="1"/>
  <c r="T31" i="87" a="1"/>
  <c r="S31" i="87" a="1"/>
  <c r="R31" i="87" a="1"/>
  <c r="Q31" i="87" a="1"/>
  <c r="P31" i="87" a="1"/>
  <c r="O31" i="87" a="1"/>
  <c r="N31" i="87" a="1"/>
  <c r="M31" i="87" a="1"/>
  <c r="L31" i="87" a="1"/>
  <c r="J31" i="87" a="1"/>
  <c r="G31" i="87"/>
  <c r="AK30" i="87" a="1"/>
  <c r="AJ30" i="87" a="1"/>
  <c r="AI30" i="87" a="1"/>
  <c r="AH30" i="87" a="1"/>
  <c r="AG30" i="87" a="1"/>
  <c r="AF30" i="87" a="1"/>
  <c r="AE30" i="87" a="1"/>
  <c r="AD30" i="87" a="1"/>
  <c r="AC30" i="87" a="1"/>
  <c r="AB30" i="87" a="1"/>
  <c r="AA30" i="87" a="1"/>
  <c r="Z30" i="87" a="1"/>
  <c r="Y30" i="87" a="1"/>
  <c r="X30" i="87" a="1"/>
  <c r="W30" i="87" a="1"/>
  <c r="V30" i="87" a="1"/>
  <c r="U30" i="87" a="1"/>
  <c r="T30" i="87" a="1"/>
  <c r="S30" i="87" a="1"/>
  <c r="R30" i="87" a="1"/>
  <c r="Q30" i="87" a="1"/>
  <c r="P30" i="87" a="1"/>
  <c r="O30" i="87" a="1"/>
  <c r="N30" i="87" a="1"/>
  <c r="M30" i="87" a="1"/>
  <c r="L30" i="87" a="1"/>
  <c r="J30" i="87" a="1"/>
  <c r="G30" i="87"/>
  <c r="AK29" i="87" a="1"/>
  <c r="AJ29" i="87" a="1"/>
  <c r="AI29" i="87" a="1"/>
  <c r="AH29" i="87" a="1"/>
  <c r="AG29" i="87" a="1"/>
  <c r="AF29" i="87" a="1"/>
  <c r="AE29" i="87" a="1"/>
  <c r="AD29" i="87" a="1"/>
  <c r="AC29" i="87" a="1"/>
  <c r="AB29" i="87" a="1"/>
  <c r="AA29" i="87" a="1"/>
  <c r="Z29" i="87" a="1"/>
  <c r="Y29" i="87" a="1"/>
  <c r="X29" i="87" a="1"/>
  <c r="W29" i="87" a="1"/>
  <c r="V29" i="87" a="1"/>
  <c r="U29" i="87" a="1"/>
  <c r="T29" i="87" a="1"/>
  <c r="S29" i="87" a="1"/>
  <c r="R29" i="87" a="1"/>
  <c r="Q29" i="87" a="1"/>
  <c r="P29" i="87" a="1"/>
  <c r="O29" i="87" a="1"/>
  <c r="N29" i="87" a="1"/>
  <c r="M29" i="87" a="1"/>
  <c r="L29" i="87" a="1"/>
  <c r="J29" i="87" a="1"/>
  <c r="G29" i="87"/>
  <c r="AK28" i="87" a="1"/>
  <c r="AJ28" i="87" a="1"/>
  <c r="AI28" i="87" a="1"/>
  <c r="AH28" i="87" a="1"/>
  <c r="AG28" i="87" a="1"/>
  <c r="AF28" i="87" a="1"/>
  <c r="AE28" i="87" a="1"/>
  <c r="AD28" i="87" a="1"/>
  <c r="AC28" i="87" a="1"/>
  <c r="AB28" i="87" a="1"/>
  <c r="AA28" i="87" a="1"/>
  <c r="Z28" i="87" a="1"/>
  <c r="Y28" i="87" a="1"/>
  <c r="X28" i="87" a="1"/>
  <c r="W28" i="87" a="1"/>
  <c r="V28" i="87" a="1"/>
  <c r="U28" i="87" a="1"/>
  <c r="T28" i="87" a="1"/>
  <c r="S28" i="87" a="1"/>
  <c r="R28" i="87" a="1"/>
  <c r="Q28" i="87" a="1"/>
  <c r="P28" i="87" a="1"/>
  <c r="O28" i="87" a="1"/>
  <c r="N28" i="87" a="1"/>
  <c r="M28" i="87" a="1"/>
  <c r="L28" i="87" a="1"/>
  <c r="J28" i="87" a="1"/>
  <c r="G28" i="87"/>
  <c r="AK27" i="87" a="1"/>
  <c r="AJ27" i="87" a="1"/>
  <c r="AI27" i="87" a="1"/>
  <c r="AH27" i="87" a="1"/>
  <c r="AG27" i="87" a="1"/>
  <c r="AF27" i="87" a="1"/>
  <c r="AE27" i="87" a="1"/>
  <c r="AD27" i="87" a="1"/>
  <c r="AC27" i="87" a="1"/>
  <c r="AB27" i="87" a="1"/>
  <c r="AA27" i="87" a="1"/>
  <c r="Z27" i="87" a="1"/>
  <c r="Y27" i="87" a="1"/>
  <c r="X27" i="87" a="1"/>
  <c r="W27" i="87" a="1"/>
  <c r="V27" i="87" a="1"/>
  <c r="U27" i="87" a="1"/>
  <c r="T27" i="87" a="1"/>
  <c r="S27" i="87" a="1"/>
  <c r="R27" i="87" a="1"/>
  <c r="Q27" i="87" a="1"/>
  <c r="P27" i="87" a="1"/>
  <c r="O27" i="87" a="1"/>
  <c r="N27" i="87" a="1"/>
  <c r="M27" i="87" a="1"/>
  <c r="L27" i="87" a="1"/>
  <c r="J27" i="87" a="1"/>
  <c r="G27" i="87"/>
  <c r="AK26" i="87" a="1"/>
  <c r="AJ26" i="87" a="1"/>
  <c r="AI26" i="87" a="1"/>
  <c r="AH26" i="87" a="1"/>
  <c r="AG26" i="87" a="1"/>
  <c r="AF26" i="87" a="1"/>
  <c r="AE26" i="87" a="1"/>
  <c r="AD26" i="87" a="1"/>
  <c r="AC26" i="87" a="1"/>
  <c r="AB26" i="87" a="1"/>
  <c r="AA26" i="87" a="1"/>
  <c r="Z26" i="87" a="1"/>
  <c r="Y26" i="87" a="1"/>
  <c r="X26" i="87" a="1"/>
  <c r="W26" i="87" a="1"/>
  <c r="V26" i="87" a="1"/>
  <c r="U26" i="87" a="1"/>
  <c r="T26" i="87" a="1"/>
  <c r="S26" i="87" a="1"/>
  <c r="R26" i="87" a="1"/>
  <c r="Q26" i="87" a="1"/>
  <c r="P26" i="87" a="1"/>
  <c r="O26" i="87" a="1"/>
  <c r="N26" i="87" a="1"/>
  <c r="M26" i="87" a="1"/>
  <c r="L26" i="87" a="1"/>
  <c r="J26" i="87" a="1"/>
  <c r="G26" i="87"/>
  <c r="AK25" i="87" a="1"/>
  <c r="AJ25" i="87" a="1"/>
  <c r="AI25" i="87" a="1"/>
  <c r="AH25" i="87" a="1"/>
  <c r="AG25" i="87" a="1"/>
  <c r="AF25" i="87" a="1"/>
  <c r="AE25" i="87" a="1"/>
  <c r="AD25" i="87" a="1"/>
  <c r="AC25" i="87" a="1"/>
  <c r="AB25" i="87" a="1"/>
  <c r="AA25" i="87" a="1"/>
  <c r="Z25" i="87" a="1"/>
  <c r="Y25" i="87" a="1"/>
  <c r="X25" i="87" a="1"/>
  <c r="W25" i="87" a="1"/>
  <c r="V25" i="87" a="1"/>
  <c r="U25" i="87" a="1"/>
  <c r="T25" i="87" a="1"/>
  <c r="S25" i="87" a="1"/>
  <c r="R25" i="87" a="1"/>
  <c r="Q25" i="87" a="1"/>
  <c r="P25" i="87" a="1"/>
  <c r="O25" i="87" a="1"/>
  <c r="N25" i="87" a="1"/>
  <c r="M25" i="87" a="1"/>
  <c r="L25" i="87" a="1"/>
  <c r="J25" i="87" a="1"/>
  <c r="G25" i="87"/>
  <c r="AK24" i="87" a="1"/>
  <c r="AJ24" i="87" a="1"/>
  <c r="AI24" i="87" a="1"/>
  <c r="AH24" i="87" a="1"/>
  <c r="AG24" i="87" a="1"/>
  <c r="AF24" i="87" a="1"/>
  <c r="AE24" i="87" a="1"/>
  <c r="AD24" i="87" a="1"/>
  <c r="AC24" i="87" a="1"/>
  <c r="AB24" i="87" a="1"/>
  <c r="AA24" i="87" a="1"/>
  <c r="Z24" i="87" a="1"/>
  <c r="Y24" i="87" a="1"/>
  <c r="X24" i="87" a="1"/>
  <c r="W24" i="87" a="1"/>
  <c r="V24" i="87" a="1"/>
  <c r="U24" i="87" a="1"/>
  <c r="T24" i="87" a="1"/>
  <c r="S24" i="87" a="1"/>
  <c r="R24" i="87" a="1"/>
  <c r="Q24" i="87" a="1"/>
  <c r="P24" i="87" a="1"/>
  <c r="O24" i="87" a="1"/>
  <c r="N24" i="87" a="1"/>
  <c r="M24" i="87" a="1"/>
  <c r="L24" i="87" a="1"/>
  <c r="J24" i="87" a="1"/>
  <c r="G24" i="87"/>
  <c r="AK23" i="87" a="1"/>
  <c r="AJ23" i="87" a="1"/>
  <c r="AI23" i="87" a="1"/>
  <c r="AH23" i="87" a="1"/>
  <c r="AG23" i="87" a="1"/>
  <c r="AF23" i="87" a="1"/>
  <c r="AE23" i="87" a="1"/>
  <c r="AD23" i="87" a="1"/>
  <c r="AC23" i="87" a="1"/>
  <c r="AB23" i="87" a="1"/>
  <c r="AA23" i="87" a="1"/>
  <c r="Z23" i="87" a="1"/>
  <c r="Y23" i="87" a="1"/>
  <c r="X23" i="87" a="1"/>
  <c r="W23" i="87" a="1"/>
  <c r="V23" i="87" a="1"/>
  <c r="U23" i="87" a="1"/>
  <c r="T23" i="87" a="1"/>
  <c r="S23" i="87" a="1"/>
  <c r="R23" i="87" a="1"/>
  <c r="Q23" i="87" a="1"/>
  <c r="P23" i="87" a="1"/>
  <c r="O23" i="87" a="1"/>
  <c r="N23" i="87" a="1"/>
  <c r="M23" i="87" a="1"/>
  <c r="L23" i="87" a="1"/>
  <c r="J23" i="87" a="1"/>
  <c r="G23" i="87"/>
  <c r="AK22" i="87" a="1"/>
  <c r="AJ22" i="87" a="1"/>
  <c r="AI22" i="87" a="1"/>
  <c r="AH22" i="87" a="1"/>
  <c r="AG22" i="87" a="1"/>
  <c r="AF22" i="87" a="1"/>
  <c r="AE22" i="87" a="1"/>
  <c r="AD22" i="87" a="1"/>
  <c r="AC22" i="87" a="1"/>
  <c r="AB22" i="87" a="1"/>
  <c r="AA22" i="87" a="1"/>
  <c r="Z22" i="87" a="1"/>
  <c r="Y22" i="87" a="1"/>
  <c r="X22" i="87" a="1"/>
  <c r="W22" i="87" a="1"/>
  <c r="V22" i="87" a="1"/>
  <c r="U22" i="87" a="1"/>
  <c r="T22" i="87" a="1"/>
  <c r="S22" i="87" a="1"/>
  <c r="R22" i="87" a="1"/>
  <c r="Q22" i="87" a="1"/>
  <c r="P22" i="87" a="1"/>
  <c r="O22" i="87" a="1"/>
  <c r="N22" i="87" a="1"/>
  <c r="M22" i="87" a="1"/>
  <c r="L22" i="87" a="1"/>
  <c r="J22" i="87" a="1"/>
  <c r="G22" i="87"/>
  <c r="AK21" i="87" a="1"/>
  <c r="AJ21" i="87" a="1"/>
  <c r="AI21" i="87" a="1"/>
  <c r="AH21" i="87" a="1"/>
  <c r="AG21" i="87" a="1"/>
  <c r="AF21" i="87" a="1"/>
  <c r="AE21" i="87" a="1"/>
  <c r="AD21" i="87" a="1"/>
  <c r="AC21" i="87" a="1"/>
  <c r="AB21" i="87" a="1"/>
  <c r="AA21" i="87" a="1"/>
  <c r="Z21" i="87" a="1"/>
  <c r="Y21" i="87" a="1"/>
  <c r="X21" i="87" a="1"/>
  <c r="W21" i="87" a="1"/>
  <c r="V21" i="87" a="1"/>
  <c r="U21" i="87" a="1"/>
  <c r="T21" i="87" a="1"/>
  <c r="S21" i="87" a="1"/>
  <c r="R21" i="87" a="1"/>
  <c r="Q21" i="87" a="1"/>
  <c r="P21" i="87" a="1"/>
  <c r="O21" i="87" a="1"/>
  <c r="N21" i="87" a="1"/>
  <c r="M21" i="87" a="1"/>
  <c r="L21" i="87" a="1"/>
  <c r="J21" i="87" a="1"/>
  <c r="G21" i="87"/>
  <c r="AK20" i="87" a="1"/>
  <c r="AJ20" i="87" a="1"/>
  <c r="AI20" i="87" a="1"/>
  <c r="AH20" i="87" a="1"/>
  <c r="AG20" i="87" a="1"/>
  <c r="AF20" i="87" a="1"/>
  <c r="AE20" i="87" a="1"/>
  <c r="AD20" i="87" a="1"/>
  <c r="AC20" i="87" a="1"/>
  <c r="AB20" i="87" a="1"/>
  <c r="AA20" i="87" a="1"/>
  <c r="Z20" i="87" a="1"/>
  <c r="Y20" i="87" a="1"/>
  <c r="X20" i="87" a="1"/>
  <c r="W20" i="87" a="1"/>
  <c r="V20" i="87" a="1"/>
  <c r="U20" i="87" a="1"/>
  <c r="T20" i="87" a="1"/>
  <c r="S20" i="87" a="1"/>
  <c r="R20" i="87" a="1"/>
  <c r="Q20" i="87" a="1"/>
  <c r="P20" i="87" a="1"/>
  <c r="O20" i="87" a="1"/>
  <c r="N20" i="87" a="1"/>
  <c r="M20" i="87" a="1"/>
  <c r="L20" i="87" a="1"/>
  <c r="J20" i="87" a="1"/>
  <c r="G20" i="87"/>
  <c r="AK19" i="87" a="1"/>
  <c r="AJ19" i="87" a="1"/>
  <c r="AI19" i="87" a="1"/>
  <c r="AH19" i="87" a="1"/>
  <c r="AG19" i="87" a="1"/>
  <c r="AF19" i="87" a="1"/>
  <c r="AE19" i="87" a="1"/>
  <c r="AD19" i="87" a="1"/>
  <c r="AC19" i="87" a="1"/>
  <c r="AB19" i="87" a="1"/>
  <c r="AA19" i="87" a="1"/>
  <c r="Z19" i="87" a="1"/>
  <c r="Y19" i="87" a="1"/>
  <c r="X19" i="87" a="1"/>
  <c r="W19" i="87" a="1"/>
  <c r="V19" i="87" a="1"/>
  <c r="U19" i="87" a="1"/>
  <c r="T19" i="87" a="1"/>
  <c r="S19" i="87" a="1"/>
  <c r="R19" i="87" a="1"/>
  <c r="Q19" i="87" a="1"/>
  <c r="P19" i="87" a="1"/>
  <c r="O19" i="87" a="1"/>
  <c r="N19" i="87" a="1"/>
  <c r="M19" i="87" a="1"/>
  <c r="L19" i="87" a="1"/>
  <c r="J19" i="87" a="1"/>
  <c r="G19" i="87"/>
  <c r="AK18" i="87" a="1"/>
  <c r="AJ18" i="87" a="1"/>
  <c r="AI18" i="87" a="1"/>
  <c r="AH18" i="87" a="1"/>
  <c r="AG18" i="87" a="1"/>
  <c r="AF18" i="87" a="1"/>
  <c r="AE18" i="87" a="1"/>
  <c r="AD18" i="87" a="1"/>
  <c r="AC18" i="87" a="1"/>
  <c r="AB18" i="87" a="1"/>
  <c r="AA18" i="87" a="1"/>
  <c r="Z18" i="87" a="1"/>
  <c r="Y18" i="87" a="1"/>
  <c r="X18" i="87" a="1"/>
  <c r="W18" i="87" a="1"/>
  <c r="V18" i="87" a="1"/>
  <c r="U18" i="87" a="1"/>
  <c r="T18" i="87" a="1"/>
  <c r="S18" i="87" a="1"/>
  <c r="R18" i="87" a="1"/>
  <c r="Q18" i="87" a="1"/>
  <c r="P18" i="87" a="1"/>
  <c r="O18" i="87" a="1"/>
  <c r="N18" i="87" a="1"/>
  <c r="M18" i="87" a="1"/>
  <c r="L18" i="87" a="1"/>
  <c r="J18" i="87" a="1"/>
  <c r="G18" i="87"/>
  <c r="AK17" i="87" a="1"/>
  <c r="AJ17" i="87" a="1"/>
  <c r="AI17" i="87" a="1"/>
  <c r="AH17" i="87" a="1"/>
  <c r="AG17" i="87" a="1"/>
  <c r="AF17" i="87" a="1"/>
  <c r="AE17" i="87" a="1"/>
  <c r="AD17" i="87" a="1"/>
  <c r="AC17" i="87" a="1"/>
  <c r="AB17" i="87" a="1"/>
  <c r="AA17" i="87" a="1"/>
  <c r="Z17" i="87" a="1"/>
  <c r="Y17" i="87" a="1"/>
  <c r="X17" i="87" a="1"/>
  <c r="W17" i="87" a="1"/>
  <c r="V17" i="87" a="1"/>
  <c r="U17" i="87" a="1"/>
  <c r="T17" i="87" a="1"/>
  <c r="S17" i="87" a="1"/>
  <c r="R17" i="87" a="1"/>
  <c r="Q17" i="87" a="1"/>
  <c r="P17" i="87" a="1"/>
  <c r="O17" i="87" a="1"/>
  <c r="N17" i="87" a="1"/>
  <c r="M17" i="87" a="1"/>
  <c r="L17" i="87" a="1"/>
  <c r="J17" i="87" a="1"/>
  <c r="G17" i="87"/>
  <c r="AK16" i="87" a="1"/>
  <c r="AJ16" i="87" a="1"/>
  <c r="AI16" i="87" a="1"/>
  <c r="AH16" i="87" a="1"/>
  <c r="AG16" i="87" a="1"/>
  <c r="AF16" i="87" a="1"/>
  <c r="AE16" i="87" a="1"/>
  <c r="AD16" i="87" a="1"/>
  <c r="AC16" i="87" a="1"/>
  <c r="AB16" i="87" a="1"/>
  <c r="AA16" i="87" a="1"/>
  <c r="Z16" i="87" a="1"/>
  <c r="Y16" i="87" a="1"/>
  <c r="X16" i="87" a="1"/>
  <c r="W16" i="87" a="1"/>
  <c r="V16" i="87" a="1"/>
  <c r="U16" i="87" a="1"/>
  <c r="T16" i="87" a="1"/>
  <c r="S16" i="87" a="1"/>
  <c r="R16" i="87" a="1"/>
  <c r="Q16" i="87" a="1"/>
  <c r="P16" i="87" a="1"/>
  <c r="O16" i="87" a="1"/>
  <c r="N16" i="87" a="1"/>
  <c r="M16" i="87" a="1"/>
  <c r="L16" i="87" a="1"/>
  <c r="J16" i="87" a="1"/>
  <c r="G16" i="87"/>
  <c r="AK15" i="87" a="1"/>
  <c r="AJ15" i="87" a="1"/>
  <c r="AI15" i="87" a="1"/>
  <c r="AH15" i="87" a="1"/>
  <c r="AG15" i="87" a="1"/>
  <c r="AF15" i="87" a="1"/>
  <c r="AE15" i="87" a="1"/>
  <c r="AD15" i="87" a="1"/>
  <c r="AC15" i="87" a="1"/>
  <c r="AB15" i="87" a="1"/>
  <c r="AA15" i="87" a="1"/>
  <c r="Z15" i="87" a="1"/>
  <c r="Y15" i="87" a="1"/>
  <c r="X15" i="87" a="1"/>
  <c r="W15" i="87" a="1"/>
  <c r="V15" i="87" a="1"/>
  <c r="U15" i="87" a="1"/>
  <c r="T15" i="87" a="1"/>
  <c r="S15" i="87" a="1"/>
  <c r="R15" i="87" a="1"/>
  <c r="Q15" i="87" a="1"/>
  <c r="P15" i="87" a="1"/>
  <c r="O15" i="87" a="1"/>
  <c r="N15" i="87" a="1"/>
  <c r="M15" i="87" a="1"/>
  <c r="L15" i="87" a="1"/>
  <c r="J15" i="87" a="1"/>
  <c r="G15" i="87"/>
  <c r="AK14" i="87" a="1"/>
  <c r="AJ14" i="87" a="1"/>
  <c r="AI14" i="87" a="1"/>
  <c r="AH14" i="87" a="1"/>
  <c r="AG14" i="87" a="1"/>
  <c r="AF14" i="87" a="1"/>
  <c r="AE14" i="87" a="1"/>
  <c r="AD14" i="87" a="1"/>
  <c r="AC14" i="87" a="1"/>
  <c r="AB14" i="87" a="1"/>
  <c r="AA14" i="87" a="1"/>
  <c r="Z14" i="87" a="1"/>
  <c r="Y14" i="87" a="1"/>
  <c r="X14" i="87" a="1"/>
  <c r="W14" i="87" a="1"/>
  <c r="V14" i="87" a="1"/>
  <c r="U14" i="87" a="1"/>
  <c r="T14" i="87" a="1"/>
  <c r="S14" i="87" a="1"/>
  <c r="R14" i="87" a="1"/>
  <c r="Q14" i="87" a="1"/>
  <c r="P14" i="87" a="1"/>
  <c r="O14" i="87" a="1"/>
  <c r="N14" i="87" a="1"/>
  <c r="M14" i="87" a="1"/>
  <c r="L14" i="87" a="1"/>
  <c r="J14" i="87" a="1"/>
  <c r="G14" i="87"/>
  <c r="AK13" i="87" a="1"/>
  <c r="AJ13" i="87" a="1"/>
  <c r="AI13" i="87" a="1"/>
  <c r="AH13" i="87" a="1"/>
  <c r="AG13" i="87" a="1"/>
  <c r="AF13" i="87" a="1"/>
  <c r="AE13" i="87" a="1"/>
  <c r="AD13" i="87" a="1"/>
  <c r="AC13" i="87" a="1"/>
  <c r="AB13" i="87" a="1"/>
  <c r="AA13" i="87" a="1"/>
  <c r="Z13" i="87" a="1"/>
  <c r="Y13" i="87" a="1"/>
  <c r="X13" i="87" a="1"/>
  <c r="W13" i="87" a="1"/>
  <c r="V13" i="87" a="1"/>
  <c r="U13" i="87" a="1"/>
  <c r="T13" i="87" a="1"/>
  <c r="S13" i="87" a="1"/>
  <c r="R13" i="87" a="1"/>
  <c r="Q13" i="87" a="1"/>
  <c r="P13" i="87" a="1"/>
  <c r="O13" i="87" a="1"/>
  <c r="N13" i="87" a="1"/>
  <c r="M13" i="87" a="1"/>
  <c r="L13" i="87" a="1"/>
  <c r="J13" i="87" a="1"/>
  <c r="G13" i="87"/>
  <c r="AK12" i="87" a="1"/>
  <c r="AJ12" i="87" a="1"/>
  <c r="AI12" i="87" a="1"/>
  <c r="AH12" i="87" a="1"/>
  <c r="AG12" i="87" a="1"/>
  <c r="AF12" i="87" a="1"/>
  <c r="AE12" i="87" a="1"/>
  <c r="AD12" i="87" a="1"/>
  <c r="AC12" i="87" a="1"/>
  <c r="AB12" i="87" a="1"/>
  <c r="AA12" i="87" a="1"/>
  <c r="Z12" i="87" a="1"/>
  <c r="Y12" i="87" a="1"/>
  <c r="X12" i="87" a="1"/>
  <c r="W12" i="87" a="1"/>
  <c r="V12" i="87" a="1"/>
  <c r="U12" i="87" a="1"/>
  <c r="T12" i="87" a="1"/>
  <c r="S12" i="87" a="1"/>
  <c r="R12" i="87" a="1"/>
  <c r="Q12" i="87" a="1"/>
  <c r="P12" i="87" a="1"/>
  <c r="O12" i="87" a="1"/>
  <c r="N12" i="87" a="1"/>
  <c r="M12" i="87" a="1"/>
  <c r="L12" i="87" a="1"/>
  <c r="J12" i="87" a="1"/>
  <c r="G12" i="87"/>
  <c r="AK11" i="87" a="1"/>
  <c r="AJ11" i="87" a="1"/>
  <c r="AI11" i="87" a="1"/>
  <c r="AH11" i="87" a="1"/>
  <c r="AG11" i="87" a="1"/>
  <c r="AF11" i="87" a="1"/>
  <c r="AE11" i="87" a="1"/>
  <c r="AD11" i="87" a="1"/>
  <c r="AC11" i="87" a="1"/>
  <c r="AB11" i="87" a="1"/>
  <c r="AA11" i="87" a="1"/>
  <c r="Z11" i="87" a="1"/>
  <c r="Y11" i="87" a="1"/>
  <c r="X11" i="87" a="1"/>
  <c r="W11" i="87" a="1"/>
  <c r="V11" i="87" a="1"/>
  <c r="U11" i="87" a="1"/>
  <c r="T11" i="87" a="1"/>
  <c r="S11" i="87" a="1"/>
  <c r="R11" i="87" a="1"/>
  <c r="Q11" i="87" a="1"/>
  <c r="P11" i="87" a="1"/>
  <c r="O11" i="87" a="1"/>
  <c r="N11" i="87" a="1"/>
  <c r="M11" i="87" a="1"/>
  <c r="L11" i="87" a="1"/>
  <c r="J11" i="87" a="1"/>
  <c r="G11" i="87"/>
  <c r="AK10" i="87" a="1"/>
  <c r="AJ10" i="87" a="1"/>
  <c r="AI10" i="87" a="1"/>
  <c r="AH10" i="87" a="1"/>
  <c r="AG10" i="87" a="1"/>
  <c r="AF10" i="87" a="1"/>
  <c r="AE10" i="87" a="1"/>
  <c r="AD10" i="87" a="1"/>
  <c r="AC10" i="87" a="1"/>
  <c r="AB10" i="87" a="1"/>
  <c r="AA10" i="87" a="1"/>
  <c r="Z10" i="87" a="1"/>
  <c r="Y10" i="87" a="1"/>
  <c r="X10" i="87" a="1"/>
  <c r="W10" i="87" a="1"/>
  <c r="V10" i="87" a="1"/>
  <c r="U10" i="87" a="1"/>
  <c r="T10" i="87" a="1"/>
  <c r="S10" i="87" a="1"/>
  <c r="R10" i="87" a="1"/>
  <c r="Q10" i="87" a="1"/>
  <c r="P10" i="87" a="1"/>
  <c r="O10" i="87" a="1"/>
  <c r="N10" i="87" a="1"/>
  <c r="M10" i="87" a="1"/>
  <c r="L10" i="87" a="1"/>
  <c r="J10" i="87" a="1"/>
  <c r="G10" i="87"/>
  <c r="AK9" i="87" a="1"/>
  <c r="AJ9" i="87" a="1"/>
  <c r="AI9" i="87" a="1"/>
  <c r="AH9" i="87" a="1"/>
  <c r="AG9" i="87" a="1"/>
  <c r="AF9" i="87" a="1"/>
  <c r="AE9" i="87" a="1"/>
  <c r="AD9" i="87" a="1"/>
  <c r="AC9" i="87" a="1"/>
  <c r="AB9" i="87" a="1"/>
  <c r="AA9" i="87" a="1"/>
  <c r="Z9" i="87" a="1"/>
  <c r="Y9" i="87" a="1"/>
  <c r="X9" i="87" a="1"/>
  <c r="W9" i="87" a="1"/>
  <c r="V9" i="87" a="1"/>
  <c r="U9" i="87" a="1"/>
  <c r="T9" i="87" a="1"/>
  <c r="S9" i="87" a="1"/>
  <c r="R9" i="87" a="1"/>
  <c r="Q9" i="87" a="1"/>
  <c r="P9" i="87" a="1"/>
  <c r="O9" i="87" a="1"/>
  <c r="N9" i="87" a="1"/>
  <c r="M9" i="87" a="1"/>
  <c r="L9" i="87" a="1"/>
  <c r="J9" i="87" a="1"/>
  <c r="G9" i="87"/>
  <c r="AK8" i="87" a="1"/>
  <c r="AJ8" i="87" a="1"/>
  <c r="AI8" i="87" a="1"/>
  <c r="AH8" i="87" a="1"/>
  <c r="AG8" i="87" a="1"/>
  <c r="AF8" i="87" a="1"/>
  <c r="AE8" i="87" a="1"/>
  <c r="AD8" i="87" a="1"/>
  <c r="AC8" i="87" a="1"/>
  <c r="AB8" i="87" a="1"/>
  <c r="AA8" i="87" a="1"/>
  <c r="Z8" i="87" a="1"/>
  <c r="Y8" i="87" a="1"/>
  <c r="X8" i="87" a="1"/>
  <c r="W8" i="87" a="1"/>
  <c r="V8" i="87" a="1"/>
  <c r="U8" i="87" a="1"/>
  <c r="T8" i="87" a="1"/>
  <c r="S8" i="87" a="1"/>
  <c r="R8" i="87" a="1"/>
  <c r="Q8" i="87" a="1"/>
  <c r="P8" i="87" a="1"/>
  <c r="O8" i="87" a="1"/>
  <c r="N8" i="87" a="1"/>
  <c r="M8" i="87" a="1"/>
  <c r="L8" i="87" a="1"/>
  <c r="J8" i="87" a="1"/>
  <c r="G8" i="87"/>
  <c r="AK7" i="87" a="1"/>
  <c r="AJ7" i="87" a="1"/>
  <c r="AI7" i="87" a="1"/>
  <c r="AH7" i="87" a="1"/>
  <c r="AG7" i="87" a="1"/>
  <c r="AF7" i="87" a="1"/>
  <c r="AE7" i="87" a="1"/>
  <c r="AD7" i="87" a="1"/>
  <c r="AC7" i="87" a="1"/>
  <c r="AB7" i="87" a="1"/>
  <c r="AA7" i="87" a="1"/>
  <c r="Z7" i="87" a="1"/>
  <c r="Y7" i="87" a="1"/>
  <c r="X7" i="87" a="1"/>
  <c r="W7" i="87" a="1"/>
  <c r="V7" i="87" a="1"/>
  <c r="U7" i="87" a="1"/>
  <c r="T7" i="87" a="1"/>
  <c r="S7" i="87" a="1"/>
  <c r="R7" i="87" a="1"/>
  <c r="Q7" i="87" a="1"/>
  <c r="P7" i="87" a="1"/>
  <c r="O7" i="87" a="1"/>
  <c r="N7" i="87" a="1"/>
  <c r="M7" i="87" a="1"/>
  <c r="L7" i="87" a="1"/>
  <c r="J7" i="87" a="1"/>
  <c r="G7" i="87"/>
  <c r="AK6" i="87" a="1"/>
  <c r="AJ6" i="87" a="1"/>
  <c r="AI6" i="87" a="1"/>
  <c r="AH6" i="87" a="1"/>
  <c r="AG6" i="87" a="1"/>
  <c r="AF6" i="87" a="1"/>
  <c r="AE6" i="87" a="1"/>
  <c r="AD6" i="87" a="1"/>
  <c r="AC6" i="87" a="1"/>
  <c r="AB6" i="87" a="1"/>
  <c r="AA6" i="87" a="1"/>
  <c r="Z6" i="87" a="1"/>
  <c r="Y6" i="87" a="1"/>
  <c r="X6" i="87" a="1"/>
  <c r="W6" i="87" a="1"/>
  <c r="V6" i="87" a="1"/>
  <c r="U6" i="87" a="1"/>
  <c r="T6" i="87" a="1"/>
  <c r="S6" i="87" a="1"/>
  <c r="R6" i="87" a="1"/>
  <c r="Q6" i="87" a="1"/>
  <c r="P6" i="87" a="1"/>
  <c r="O6" i="87" a="1"/>
  <c r="N6" i="87" a="1"/>
  <c r="M6" i="87" a="1"/>
  <c r="L6" i="87" a="1"/>
  <c r="J6" i="87" a="1"/>
  <c r="G6" i="87"/>
  <c r="AK5" i="87" a="1"/>
  <c r="AJ5" i="87" a="1"/>
  <c r="AI5" i="87" a="1"/>
  <c r="AH5" i="87" a="1"/>
  <c r="AG5" i="87" a="1"/>
  <c r="AF5" i="87" a="1"/>
  <c r="AE5" i="87" a="1"/>
  <c r="AD5" i="87" a="1"/>
  <c r="AC5" i="87" a="1"/>
  <c r="AB5" i="87" a="1"/>
  <c r="AA5" i="87" a="1"/>
  <c r="Z5" i="87" a="1"/>
  <c r="Y5" i="87" a="1"/>
  <c r="X5" i="87" a="1"/>
  <c r="W5" i="87" a="1"/>
  <c r="V5" i="87" a="1"/>
  <c r="U5" i="87" a="1"/>
  <c r="T5" i="87" a="1"/>
  <c r="S5" i="87" a="1"/>
  <c r="R5" i="87" a="1"/>
  <c r="Q5" i="87" a="1"/>
  <c r="P5" i="87" a="1"/>
  <c r="O5" i="87" a="1"/>
  <c r="N5" i="87" a="1"/>
  <c r="M5" i="87" a="1"/>
  <c r="L5" i="87" a="1"/>
  <c r="J5" i="87" a="1"/>
  <c r="G5" i="87"/>
  <c r="AK4" i="87" a="1"/>
  <c r="AJ4" i="87" a="1"/>
  <c r="AI4" i="87" a="1"/>
  <c r="AH4" i="87" a="1"/>
  <c r="AG4" i="87" a="1"/>
  <c r="AF4" i="87" a="1"/>
  <c r="AE4" i="87" a="1"/>
  <c r="AD4" i="87" a="1"/>
  <c r="AC4" i="87" a="1"/>
  <c r="AB4" i="87" a="1"/>
  <c r="AA4" i="87" a="1"/>
  <c r="Z4" i="87" a="1"/>
  <c r="Y4" i="87" a="1"/>
  <c r="X4" i="87" a="1"/>
  <c r="W4" i="87" a="1"/>
  <c r="V4" i="87" a="1"/>
  <c r="U4" i="87" a="1"/>
  <c r="T4" i="87" a="1"/>
  <c r="S4" i="87" a="1"/>
  <c r="R4" i="87" a="1"/>
  <c r="Q4" i="87" a="1"/>
  <c r="P4" i="87" a="1"/>
  <c r="O4" i="87" a="1"/>
  <c r="N4" i="87" a="1"/>
  <c r="M4" i="87" a="1"/>
  <c r="L4" i="87" a="1"/>
  <c r="J4" i="87" a="1"/>
  <c r="G4" i="87"/>
  <c r="AK3" i="87" a="1"/>
  <c r="AJ3" i="87" a="1"/>
  <c r="AI3" i="87" a="1"/>
  <c r="AH3" i="87" a="1"/>
  <c r="AG3" i="87" a="1"/>
  <c r="AF3" i="87" a="1"/>
  <c r="AE3" i="87" a="1"/>
  <c r="AD3" i="87" a="1"/>
  <c r="AC3" i="87" a="1"/>
  <c r="AB3" i="87" a="1"/>
  <c r="AA3" i="87" a="1"/>
  <c r="Z3" i="87" a="1"/>
  <c r="Y3" i="87" a="1"/>
  <c r="X3" i="87" a="1"/>
  <c r="W3" i="87" a="1"/>
  <c r="V3" i="87" a="1"/>
  <c r="U3" i="87" a="1"/>
  <c r="T3" i="87" a="1"/>
  <c r="S3" i="87" a="1"/>
  <c r="R3" i="87" a="1"/>
  <c r="Q3" i="87" a="1"/>
  <c r="P3" i="87" a="1"/>
  <c r="O3" i="87" a="1"/>
  <c r="N3" i="87" a="1"/>
  <c r="M3" i="87" a="1"/>
  <c r="L3" i="87" a="1"/>
  <c r="J3" i="87" a="1"/>
  <c r="G3" i="87"/>
  <c r="AN33" i="86"/>
  <c r="AK32" i="86" a="1"/>
  <c r="AJ32" i="86" a="1"/>
  <c r="AI32" i="86" a="1"/>
  <c r="AH32" i="86" a="1"/>
  <c r="AG32" i="86" a="1"/>
  <c r="AF32" i="86" a="1"/>
  <c r="AE32" i="86" a="1"/>
  <c r="AD32" i="86" a="1"/>
  <c r="AC32" i="86" a="1"/>
  <c r="AB32" i="86" a="1"/>
  <c r="AA32" i="86" a="1"/>
  <c r="Z32" i="86" a="1"/>
  <c r="Y32" i="86" a="1"/>
  <c r="X32" i="86" a="1"/>
  <c r="W32" i="86" a="1"/>
  <c r="V32" i="86" a="1"/>
  <c r="U32" i="86" a="1"/>
  <c r="T32" i="86" a="1"/>
  <c r="S32" i="86" a="1"/>
  <c r="R32" i="86" a="1"/>
  <c r="Q32" i="86" a="1"/>
  <c r="P32" i="86" a="1"/>
  <c r="O32" i="86" a="1"/>
  <c r="N32" i="86" a="1"/>
  <c r="M32" i="86" a="1"/>
  <c r="L32" i="86" a="1"/>
  <c r="J32" i="86" a="1"/>
  <c r="G32" i="86"/>
  <c r="AK31" i="86" a="1"/>
  <c r="AJ31" i="86" a="1"/>
  <c r="AI31" i="86" a="1"/>
  <c r="AH31" i="86" a="1"/>
  <c r="AG31" i="86" a="1"/>
  <c r="AF31" i="86" a="1"/>
  <c r="AE31" i="86" a="1"/>
  <c r="AD31" i="86" a="1"/>
  <c r="AC31" i="86" a="1"/>
  <c r="AB31" i="86" a="1"/>
  <c r="AA31" i="86" a="1"/>
  <c r="Z31" i="86" a="1"/>
  <c r="Y31" i="86" a="1"/>
  <c r="X31" i="86" a="1"/>
  <c r="W31" i="86" a="1"/>
  <c r="V31" i="86" a="1"/>
  <c r="U31" i="86" a="1"/>
  <c r="T31" i="86" a="1"/>
  <c r="S31" i="86" a="1"/>
  <c r="R31" i="86" a="1"/>
  <c r="Q31" i="86" a="1"/>
  <c r="P31" i="86" a="1"/>
  <c r="O31" i="86" a="1"/>
  <c r="N31" i="86" a="1"/>
  <c r="M31" i="86" a="1"/>
  <c r="L31" i="86" a="1"/>
  <c r="J31" i="86" a="1"/>
  <c r="G31" i="86"/>
  <c r="AK30" i="86" a="1"/>
  <c r="AJ30" i="86" a="1"/>
  <c r="AI30" i="86" a="1"/>
  <c r="AH30" i="86" a="1"/>
  <c r="AG30" i="86" a="1"/>
  <c r="AF30" i="86" a="1"/>
  <c r="AE30" i="86" a="1"/>
  <c r="AD30" i="86" a="1"/>
  <c r="AC30" i="86" a="1"/>
  <c r="AB30" i="86" a="1"/>
  <c r="AA30" i="86" a="1"/>
  <c r="Z30" i="86" a="1"/>
  <c r="Y30" i="86" a="1"/>
  <c r="X30" i="86" a="1"/>
  <c r="W30" i="86" a="1"/>
  <c r="V30" i="86" a="1"/>
  <c r="U30" i="86" a="1"/>
  <c r="T30" i="86" a="1"/>
  <c r="S30" i="86" a="1"/>
  <c r="R30" i="86" a="1"/>
  <c r="Q30" i="86" a="1"/>
  <c r="P30" i="86" a="1"/>
  <c r="O30" i="86" a="1"/>
  <c r="N30" i="86" a="1"/>
  <c r="M30" i="86" a="1"/>
  <c r="L30" i="86" a="1"/>
  <c r="J30" i="86" a="1"/>
  <c r="G30" i="86"/>
  <c r="AK29" i="86" a="1"/>
  <c r="AJ29" i="86" a="1"/>
  <c r="AI29" i="86" a="1"/>
  <c r="AH29" i="86" a="1"/>
  <c r="AG29" i="86" a="1"/>
  <c r="AF29" i="86" a="1"/>
  <c r="AE29" i="86" a="1"/>
  <c r="AD29" i="86" a="1"/>
  <c r="AC29" i="86" a="1"/>
  <c r="AB29" i="86" a="1"/>
  <c r="AA29" i="86" a="1"/>
  <c r="Z29" i="86" a="1"/>
  <c r="Y29" i="86" a="1"/>
  <c r="X29" i="86" a="1"/>
  <c r="W29" i="86" a="1"/>
  <c r="V29" i="86" a="1"/>
  <c r="U29" i="86" a="1"/>
  <c r="T29" i="86" a="1"/>
  <c r="S29" i="86" a="1"/>
  <c r="R29" i="86" a="1"/>
  <c r="Q29" i="86" a="1"/>
  <c r="P29" i="86" a="1"/>
  <c r="O29" i="86" a="1"/>
  <c r="N29" i="86" a="1"/>
  <c r="M29" i="86" a="1"/>
  <c r="L29" i="86" a="1"/>
  <c r="J29" i="86" a="1"/>
  <c r="G29" i="86"/>
  <c r="AK28" i="86" a="1"/>
  <c r="AJ28" i="86" a="1"/>
  <c r="AI28" i="86" a="1"/>
  <c r="AH28" i="86" a="1"/>
  <c r="AG28" i="86" a="1"/>
  <c r="AF28" i="86" a="1"/>
  <c r="AE28" i="86" a="1"/>
  <c r="AD28" i="86" a="1"/>
  <c r="AC28" i="86" a="1"/>
  <c r="AB28" i="86" a="1"/>
  <c r="AA28" i="86" a="1"/>
  <c r="Z28" i="86" a="1"/>
  <c r="Y28" i="86" a="1"/>
  <c r="X28" i="86" a="1"/>
  <c r="W28" i="86" a="1"/>
  <c r="V28" i="86" a="1"/>
  <c r="U28" i="86" a="1"/>
  <c r="T28" i="86" a="1"/>
  <c r="S28" i="86" a="1"/>
  <c r="R28" i="86" a="1"/>
  <c r="Q28" i="86" a="1"/>
  <c r="P28" i="86" a="1"/>
  <c r="O28" i="86" a="1"/>
  <c r="N28" i="86" a="1"/>
  <c r="M28" i="86" a="1"/>
  <c r="L28" i="86" a="1"/>
  <c r="J28" i="86" a="1"/>
  <c r="G28" i="86"/>
  <c r="AK27" i="86" a="1"/>
  <c r="AJ27" i="86" a="1"/>
  <c r="AI27" i="86" a="1"/>
  <c r="AH27" i="86" a="1"/>
  <c r="AG27" i="86" a="1"/>
  <c r="AF27" i="86" a="1"/>
  <c r="AE27" i="86" a="1"/>
  <c r="AD27" i="86" a="1"/>
  <c r="AC27" i="86" a="1"/>
  <c r="AB27" i="86" a="1"/>
  <c r="AA27" i="86" a="1"/>
  <c r="Z27" i="86" a="1"/>
  <c r="Y27" i="86" a="1"/>
  <c r="X27" i="86" a="1"/>
  <c r="W27" i="86" a="1"/>
  <c r="V27" i="86" a="1"/>
  <c r="U27" i="86" a="1"/>
  <c r="T27" i="86" a="1"/>
  <c r="S27" i="86" a="1"/>
  <c r="R27" i="86" a="1"/>
  <c r="Q27" i="86" a="1"/>
  <c r="P27" i="86" a="1"/>
  <c r="O27" i="86" a="1"/>
  <c r="N27" i="86" a="1"/>
  <c r="M27" i="86" a="1"/>
  <c r="L27" i="86" a="1"/>
  <c r="J27" i="86" a="1"/>
  <c r="G27" i="86"/>
  <c r="AK26" i="86" a="1"/>
  <c r="AJ26" i="86" a="1"/>
  <c r="AI26" i="86" a="1"/>
  <c r="AH26" i="86" a="1"/>
  <c r="AG26" i="86" a="1"/>
  <c r="AF26" i="86" a="1"/>
  <c r="AE26" i="86" a="1"/>
  <c r="AD26" i="86" a="1"/>
  <c r="AC26" i="86" a="1"/>
  <c r="AB26" i="86" a="1"/>
  <c r="AA26" i="86" a="1"/>
  <c r="Z26" i="86" a="1"/>
  <c r="Y26" i="86" a="1"/>
  <c r="X26" i="86" a="1"/>
  <c r="W26" i="86" a="1"/>
  <c r="V26" i="86" a="1"/>
  <c r="U26" i="86" a="1"/>
  <c r="T26" i="86" a="1"/>
  <c r="S26" i="86" a="1"/>
  <c r="R26" i="86" a="1"/>
  <c r="Q26" i="86" a="1"/>
  <c r="P26" i="86" a="1"/>
  <c r="O26" i="86" a="1"/>
  <c r="N26" i="86" a="1"/>
  <c r="M26" i="86" a="1"/>
  <c r="L26" i="86" a="1"/>
  <c r="J26" i="86" a="1"/>
  <c r="G26" i="86"/>
  <c r="AK25" i="86" a="1"/>
  <c r="AJ25" i="86" a="1"/>
  <c r="AI25" i="86" a="1"/>
  <c r="AH25" i="86" a="1"/>
  <c r="AG25" i="86" a="1"/>
  <c r="AF25" i="86" a="1"/>
  <c r="AE25" i="86" a="1"/>
  <c r="AD25" i="86" a="1"/>
  <c r="AC25" i="86" a="1"/>
  <c r="AB25" i="86" a="1"/>
  <c r="AA25" i="86" a="1"/>
  <c r="Z25" i="86" a="1"/>
  <c r="Y25" i="86" a="1"/>
  <c r="X25" i="86" a="1"/>
  <c r="W25" i="86" a="1"/>
  <c r="V25" i="86" a="1"/>
  <c r="U25" i="86" a="1"/>
  <c r="T25" i="86" a="1"/>
  <c r="S25" i="86" a="1"/>
  <c r="R25" i="86" a="1"/>
  <c r="Q25" i="86" a="1"/>
  <c r="P25" i="86" a="1"/>
  <c r="O25" i="86" a="1"/>
  <c r="N25" i="86" a="1"/>
  <c r="M25" i="86" a="1"/>
  <c r="L25" i="86" a="1"/>
  <c r="J25" i="86" a="1"/>
  <c r="G25" i="86"/>
  <c r="AK24" i="86" a="1"/>
  <c r="AJ24" i="86" a="1"/>
  <c r="AI24" i="86" a="1"/>
  <c r="AH24" i="86" a="1"/>
  <c r="AG24" i="86" a="1"/>
  <c r="AF24" i="86" a="1"/>
  <c r="AE24" i="86" a="1"/>
  <c r="AD24" i="86" a="1"/>
  <c r="AC24" i="86" a="1"/>
  <c r="AB24" i="86" a="1"/>
  <c r="AA24" i="86" a="1"/>
  <c r="Z24" i="86" a="1"/>
  <c r="Y24" i="86" a="1"/>
  <c r="X24" i="86" a="1"/>
  <c r="W24" i="86" a="1"/>
  <c r="V24" i="86" a="1"/>
  <c r="U24" i="86" a="1"/>
  <c r="T24" i="86" a="1"/>
  <c r="S24" i="86" a="1"/>
  <c r="R24" i="86" a="1"/>
  <c r="Q24" i="86" a="1"/>
  <c r="P24" i="86" a="1"/>
  <c r="O24" i="86" a="1"/>
  <c r="N24" i="86" a="1"/>
  <c r="M24" i="86" a="1"/>
  <c r="L24" i="86" a="1"/>
  <c r="J24" i="86" a="1"/>
  <c r="G24" i="86"/>
  <c r="AK23" i="86" a="1"/>
  <c r="AJ23" i="86" a="1"/>
  <c r="AI23" i="86" a="1"/>
  <c r="AH23" i="86" a="1"/>
  <c r="AG23" i="86" a="1"/>
  <c r="AF23" i="86" a="1"/>
  <c r="AE23" i="86" a="1"/>
  <c r="AD23" i="86" a="1"/>
  <c r="AC23" i="86" a="1"/>
  <c r="AB23" i="86" a="1"/>
  <c r="AA23" i="86" a="1"/>
  <c r="Z23" i="86" a="1"/>
  <c r="Y23" i="86" a="1"/>
  <c r="X23" i="86" a="1"/>
  <c r="W23" i="86" a="1"/>
  <c r="V23" i="86" a="1"/>
  <c r="U23" i="86" a="1"/>
  <c r="T23" i="86" a="1"/>
  <c r="S23" i="86" a="1"/>
  <c r="R23" i="86" a="1"/>
  <c r="Q23" i="86" a="1"/>
  <c r="P23" i="86" a="1"/>
  <c r="O23" i="86" a="1"/>
  <c r="N23" i="86" a="1"/>
  <c r="M23" i="86" a="1"/>
  <c r="L23" i="86" a="1"/>
  <c r="J23" i="86" a="1"/>
  <c r="G23" i="86"/>
  <c r="AK22" i="86" a="1"/>
  <c r="AJ22" i="86" a="1"/>
  <c r="AI22" i="86" a="1"/>
  <c r="AH22" i="86" a="1"/>
  <c r="AG22" i="86" a="1"/>
  <c r="AF22" i="86" a="1"/>
  <c r="AE22" i="86" a="1"/>
  <c r="AD22" i="86" a="1"/>
  <c r="AC22" i="86" a="1"/>
  <c r="AB22" i="86" a="1"/>
  <c r="AA22" i="86" a="1"/>
  <c r="Z22" i="86" a="1"/>
  <c r="Y22" i="86" a="1"/>
  <c r="X22" i="86" a="1"/>
  <c r="W22" i="86" a="1"/>
  <c r="V22" i="86" a="1"/>
  <c r="U22" i="86" a="1"/>
  <c r="T22" i="86" a="1"/>
  <c r="S22" i="86" a="1"/>
  <c r="R22" i="86" a="1"/>
  <c r="Q22" i="86" a="1"/>
  <c r="P22" i="86" a="1"/>
  <c r="O22" i="86" a="1"/>
  <c r="N22" i="86" a="1"/>
  <c r="M22" i="86" a="1"/>
  <c r="L22" i="86" a="1"/>
  <c r="J22" i="86" a="1"/>
  <c r="G22" i="86"/>
  <c r="AK21" i="86" a="1"/>
  <c r="AJ21" i="86" a="1"/>
  <c r="AI21" i="86" a="1"/>
  <c r="AH21" i="86" a="1"/>
  <c r="AG21" i="86" a="1"/>
  <c r="AF21" i="86" a="1"/>
  <c r="AE21" i="86" a="1"/>
  <c r="AD21" i="86" a="1"/>
  <c r="AC21" i="86" a="1"/>
  <c r="AB21" i="86" a="1"/>
  <c r="AA21" i="86" a="1"/>
  <c r="Z21" i="86" a="1"/>
  <c r="Y21" i="86" a="1"/>
  <c r="X21" i="86" a="1"/>
  <c r="W21" i="86" a="1"/>
  <c r="V21" i="86" a="1"/>
  <c r="U21" i="86" a="1"/>
  <c r="T21" i="86" a="1"/>
  <c r="S21" i="86" a="1"/>
  <c r="R21" i="86" a="1"/>
  <c r="Q21" i="86" a="1"/>
  <c r="P21" i="86" a="1"/>
  <c r="O21" i="86" a="1"/>
  <c r="N21" i="86" a="1"/>
  <c r="M21" i="86" a="1"/>
  <c r="L21" i="86" a="1"/>
  <c r="J21" i="86" a="1"/>
  <c r="G21" i="86"/>
  <c r="AK20" i="86" a="1"/>
  <c r="AJ20" i="86" a="1"/>
  <c r="AI20" i="86" a="1"/>
  <c r="AH20" i="86" a="1"/>
  <c r="AG20" i="86" a="1"/>
  <c r="AF20" i="86" a="1"/>
  <c r="AE20" i="86" a="1"/>
  <c r="AD20" i="86" a="1"/>
  <c r="AC20" i="86" a="1"/>
  <c r="AB20" i="86" a="1"/>
  <c r="AA20" i="86" a="1"/>
  <c r="Z20" i="86" a="1"/>
  <c r="Y20" i="86" a="1"/>
  <c r="X20" i="86" a="1"/>
  <c r="W20" i="86" a="1"/>
  <c r="V20" i="86" a="1"/>
  <c r="U20" i="86" a="1"/>
  <c r="T20" i="86" a="1"/>
  <c r="S20" i="86" a="1"/>
  <c r="R20" i="86" a="1"/>
  <c r="Q20" i="86" a="1"/>
  <c r="P20" i="86" a="1"/>
  <c r="O20" i="86" a="1"/>
  <c r="N20" i="86" a="1"/>
  <c r="M20" i="86" a="1"/>
  <c r="L20" i="86" a="1"/>
  <c r="J20" i="86" a="1"/>
  <c r="G20" i="86"/>
  <c r="AK19" i="86" a="1"/>
  <c r="AJ19" i="86" a="1"/>
  <c r="AI19" i="86" a="1"/>
  <c r="AH19" i="86" a="1"/>
  <c r="AG19" i="86" a="1"/>
  <c r="AF19" i="86" a="1"/>
  <c r="AE19" i="86" a="1"/>
  <c r="AD19" i="86" a="1"/>
  <c r="AC19" i="86" a="1"/>
  <c r="AB19" i="86" a="1"/>
  <c r="AA19" i="86" a="1"/>
  <c r="Z19" i="86" a="1"/>
  <c r="Y19" i="86" a="1"/>
  <c r="X19" i="86" a="1"/>
  <c r="W19" i="86" a="1"/>
  <c r="V19" i="86" a="1"/>
  <c r="U19" i="86" a="1"/>
  <c r="T19" i="86" a="1"/>
  <c r="S19" i="86" a="1"/>
  <c r="R19" i="86" a="1"/>
  <c r="Q19" i="86" a="1"/>
  <c r="P19" i="86" a="1"/>
  <c r="O19" i="86" a="1"/>
  <c r="N19" i="86" a="1"/>
  <c r="M19" i="86" a="1"/>
  <c r="L19" i="86" a="1"/>
  <c r="J19" i="86" a="1"/>
  <c r="G19" i="86"/>
  <c r="AK18" i="86" a="1"/>
  <c r="AJ18" i="86" a="1"/>
  <c r="AI18" i="86" a="1"/>
  <c r="AH18" i="86" a="1"/>
  <c r="AG18" i="86" a="1"/>
  <c r="AF18" i="86" a="1"/>
  <c r="AE18" i="86" a="1"/>
  <c r="AD18" i="86" a="1"/>
  <c r="AC18" i="86" a="1"/>
  <c r="AB18" i="86" a="1"/>
  <c r="AA18" i="86" a="1"/>
  <c r="Z18" i="86" a="1"/>
  <c r="Y18" i="86" a="1"/>
  <c r="X18" i="86" a="1"/>
  <c r="W18" i="86" a="1"/>
  <c r="V18" i="86" a="1"/>
  <c r="U18" i="86" a="1"/>
  <c r="T18" i="86" a="1"/>
  <c r="S18" i="86" a="1"/>
  <c r="R18" i="86" a="1"/>
  <c r="Q18" i="86" a="1"/>
  <c r="P18" i="86" a="1"/>
  <c r="O18" i="86" a="1"/>
  <c r="N18" i="86" a="1"/>
  <c r="M18" i="86" a="1"/>
  <c r="L18" i="86" a="1"/>
  <c r="J18" i="86" a="1"/>
  <c r="G18" i="86"/>
  <c r="AK17" i="86" a="1"/>
  <c r="AJ17" i="86" a="1"/>
  <c r="AI17" i="86" a="1"/>
  <c r="AH17" i="86" a="1"/>
  <c r="AG17" i="86" a="1"/>
  <c r="AF17" i="86" a="1"/>
  <c r="AE17" i="86" a="1"/>
  <c r="AD17" i="86" a="1"/>
  <c r="AC17" i="86" a="1"/>
  <c r="AB17" i="86" a="1"/>
  <c r="AA17" i="86" a="1"/>
  <c r="Z17" i="86" a="1"/>
  <c r="Y17" i="86" a="1"/>
  <c r="X17" i="86" a="1"/>
  <c r="W17" i="86" a="1"/>
  <c r="V17" i="86" a="1"/>
  <c r="U17" i="86" a="1"/>
  <c r="T17" i="86" a="1"/>
  <c r="S17" i="86" a="1"/>
  <c r="R17" i="86" a="1"/>
  <c r="Q17" i="86" a="1"/>
  <c r="P17" i="86" a="1"/>
  <c r="O17" i="86" a="1"/>
  <c r="N17" i="86" a="1"/>
  <c r="M17" i="86" a="1"/>
  <c r="L17" i="86" a="1"/>
  <c r="J17" i="86" a="1"/>
  <c r="G17" i="86"/>
  <c r="AK16" i="86" a="1"/>
  <c r="AJ16" i="86" a="1"/>
  <c r="AI16" i="86" a="1"/>
  <c r="AH16" i="86" a="1"/>
  <c r="AG16" i="86" a="1"/>
  <c r="AF16" i="86" a="1"/>
  <c r="AE16" i="86" a="1"/>
  <c r="AD16" i="86" a="1"/>
  <c r="AC16" i="86" a="1"/>
  <c r="AB16" i="86" a="1"/>
  <c r="AA16" i="86" a="1"/>
  <c r="Z16" i="86" a="1"/>
  <c r="Y16" i="86" a="1"/>
  <c r="X16" i="86" a="1"/>
  <c r="W16" i="86" a="1"/>
  <c r="V16" i="86" a="1"/>
  <c r="U16" i="86" a="1"/>
  <c r="T16" i="86" a="1"/>
  <c r="S16" i="86" a="1"/>
  <c r="R16" i="86" a="1"/>
  <c r="Q16" i="86" a="1"/>
  <c r="P16" i="86" a="1"/>
  <c r="O16" i="86" a="1"/>
  <c r="N16" i="86" a="1"/>
  <c r="M16" i="86" a="1"/>
  <c r="L16" i="86" a="1"/>
  <c r="J16" i="86" a="1"/>
  <c r="G16" i="86"/>
  <c r="AK15" i="86" a="1"/>
  <c r="AJ15" i="86" a="1"/>
  <c r="AI15" i="86" a="1"/>
  <c r="AH15" i="86" a="1"/>
  <c r="AG15" i="86" a="1"/>
  <c r="AF15" i="86" a="1"/>
  <c r="AE15" i="86" a="1"/>
  <c r="AD15" i="86" a="1"/>
  <c r="AC15" i="86" a="1"/>
  <c r="AB15" i="86" a="1"/>
  <c r="AA15" i="86" a="1"/>
  <c r="Z15" i="86" a="1"/>
  <c r="Y15" i="86" a="1"/>
  <c r="X15" i="86" a="1"/>
  <c r="W15" i="86" a="1"/>
  <c r="V15" i="86" a="1"/>
  <c r="U15" i="86" a="1"/>
  <c r="T15" i="86" a="1"/>
  <c r="S15" i="86" a="1"/>
  <c r="R15" i="86" a="1"/>
  <c r="Q15" i="86" a="1"/>
  <c r="P15" i="86" a="1"/>
  <c r="O15" i="86" a="1"/>
  <c r="N15" i="86" a="1"/>
  <c r="M15" i="86" a="1"/>
  <c r="L15" i="86" a="1"/>
  <c r="J15" i="86" a="1"/>
  <c r="G15" i="86"/>
  <c r="AK14" i="86" a="1"/>
  <c r="AJ14" i="86" a="1"/>
  <c r="AI14" i="86" a="1"/>
  <c r="AH14" i="86" a="1"/>
  <c r="AG14" i="86" a="1"/>
  <c r="AF14" i="86" a="1"/>
  <c r="AE14" i="86" a="1"/>
  <c r="AD14" i="86" a="1"/>
  <c r="AC14" i="86" a="1"/>
  <c r="AB14" i="86" a="1"/>
  <c r="AA14" i="86" a="1"/>
  <c r="Z14" i="86" a="1"/>
  <c r="Y14" i="86" a="1"/>
  <c r="X14" i="86" a="1"/>
  <c r="W14" i="86" a="1"/>
  <c r="V14" i="86" a="1"/>
  <c r="U14" i="86" a="1"/>
  <c r="T14" i="86" a="1"/>
  <c r="S14" i="86" a="1"/>
  <c r="R14" i="86" a="1"/>
  <c r="Q14" i="86" a="1"/>
  <c r="P14" i="86" a="1"/>
  <c r="O14" i="86" a="1"/>
  <c r="N14" i="86" a="1"/>
  <c r="M14" i="86" a="1"/>
  <c r="L14" i="86" a="1"/>
  <c r="J14" i="86" a="1"/>
  <c r="G14" i="86"/>
  <c r="AK13" i="86" a="1"/>
  <c r="AJ13" i="86" a="1"/>
  <c r="AI13" i="86" a="1"/>
  <c r="AH13" i="86" a="1"/>
  <c r="AG13" i="86" a="1"/>
  <c r="AF13" i="86" a="1"/>
  <c r="AE13" i="86" a="1"/>
  <c r="AD13" i="86" a="1"/>
  <c r="AC13" i="86" a="1"/>
  <c r="AB13" i="86" a="1"/>
  <c r="AA13" i="86" a="1"/>
  <c r="Z13" i="86" a="1"/>
  <c r="Y13" i="86" a="1"/>
  <c r="X13" i="86" a="1"/>
  <c r="W13" i="86" a="1"/>
  <c r="V13" i="86" a="1"/>
  <c r="U13" i="86" a="1"/>
  <c r="T13" i="86" a="1"/>
  <c r="S13" i="86" a="1"/>
  <c r="R13" i="86" a="1"/>
  <c r="Q13" i="86" a="1"/>
  <c r="P13" i="86" a="1"/>
  <c r="O13" i="86" a="1"/>
  <c r="N13" i="86" a="1"/>
  <c r="M13" i="86" a="1"/>
  <c r="L13" i="86" a="1"/>
  <c r="J13" i="86" a="1"/>
  <c r="G13" i="86"/>
  <c r="AK12" i="86" a="1"/>
  <c r="AJ12" i="86" a="1"/>
  <c r="AI12" i="86" a="1"/>
  <c r="AH12" i="86" a="1"/>
  <c r="AG12" i="86" a="1"/>
  <c r="AF12" i="86" a="1"/>
  <c r="AE12" i="86" a="1"/>
  <c r="AD12" i="86" a="1"/>
  <c r="AC12" i="86" a="1"/>
  <c r="AB12" i="86" a="1"/>
  <c r="AA12" i="86" a="1"/>
  <c r="Z12" i="86" a="1"/>
  <c r="Y12" i="86" a="1"/>
  <c r="X12" i="86" a="1"/>
  <c r="W12" i="86" a="1"/>
  <c r="V12" i="86" a="1"/>
  <c r="U12" i="86" a="1"/>
  <c r="T12" i="86" a="1"/>
  <c r="S12" i="86" a="1"/>
  <c r="R12" i="86" a="1"/>
  <c r="Q12" i="86" a="1"/>
  <c r="P12" i="86" a="1"/>
  <c r="O12" i="86" a="1"/>
  <c r="N12" i="86" a="1"/>
  <c r="M12" i="86" a="1"/>
  <c r="L12" i="86" a="1"/>
  <c r="J12" i="86" a="1"/>
  <c r="G12" i="86"/>
  <c r="AK11" i="86" a="1"/>
  <c r="AJ11" i="86" a="1"/>
  <c r="AI11" i="86" a="1"/>
  <c r="AH11" i="86" a="1"/>
  <c r="AG11" i="86" a="1"/>
  <c r="AF11" i="86" a="1"/>
  <c r="AE11" i="86" a="1"/>
  <c r="AD11" i="86" a="1"/>
  <c r="AC11" i="86" a="1"/>
  <c r="AB11" i="86" a="1"/>
  <c r="AA11" i="86" a="1"/>
  <c r="Z11" i="86" a="1"/>
  <c r="Y11" i="86" a="1"/>
  <c r="X11" i="86" a="1"/>
  <c r="W11" i="86" a="1"/>
  <c r="V11" i="86" a="1"/>
  <c r="U11" i="86" a="1"/>
  <c r="T11" i="86" a="1"/>
  <c r="S11" i="86" a="1"/>
  <c r="R11" i="86" a="1"/>
  <c r="Q11" i="86" a="1"/>
  <c r="P11" i="86" a="1"/>
  <c r="O11" i="86" a="1"/>
  <c r="N11" i="86" a="1"/>
  <c r="M11" i="86" a="1"/>
  <c r="L11" i="86" a="1"/>
  <c r="J11" i="86" a="1"/>
  <c r="G11" i="86"/>
  <c r="AK10" i="86" a="1"/>
  <c r="AJ10" i="86" a="1"/>
  <c r="AI10" i="86" a="1"/>
  <c r="AH10" i="86" a="1"/>
  <c r="AG10" i="86" a="1"/>
  <c r="AF10" i="86" a="1"/>
  <c r="AE10" i="86" a="1"/>
  <c r="AD10" i="86" a="1"/>
  <c r="AC10" i="86" a="1"/>
  <c r="AB10" i="86" a="1"/>
  <c r="AA10" i="86" a="1"/>
  <c r="Z10" i="86" a="1"/>
  <c r="Y10" i="86" a="1"/>
  <c r="X10" i="86" a="1"/>
  <c r="W10" i="86" a="1"/>
  <c r="V10" i="86" a="1"/>
  <c r="U10" i="86" a="1"/>
  <c r="T10" i="86" a="1"/>
  <c r="S10" i="86" a="1"/>
  <c r="R10" i="86" a="1"/>
  <c r="Q10" i="86" a="1"/>
  <c r="P10" i="86" a="1"/>
  <c r="O10" i="86" a="1"/>
  <c r="N10" i="86" a="1"/>
  <c r="M10" i="86" a="1"/>
  <c r="L10" i="86" a="1"/>
  <c r="J10" i="86" a="1"/>
  <c r="G10" i="86"/>
  <c r="AK9" i="86" a="1"/>
  <c r="AJ9" i="86" a="1"/>
  <c r="AI9" i="86" a="1"/>
  <c r="AH9" i="86" a="1"/>
  <c r="AG9" i="86" a="1"/>
  <c r="AF9" i="86" a="1"/>
  <c r="AE9" i="86" a="1"/>
  <c r="AD9" i="86" a="1"/>
  <c r="AC9" i="86" a="1"/>
  <c r="AB9" i="86" a="1"/>
  <c r="AA9" i="86" a="1"/>
  <c r="Z9" i="86" a="1"/>
  <c r="Y9" i="86" a="1"/>
  <c r="X9" i="86" a="1"/>
  <c r="W9" i="86" a="1"/>
  <c r="V9" i="86" a="1"/>
  <c r="U9" i="86" a="1"/>
  <c r="T9" i="86" a="1"/>
  <c r="S9" i="86" a="1"/>
  <c r="R9" i="86" a="1"/>
  <c r="Q9" i="86" a="1"/>
  <c r="P9" i="86" a="1"/>
  <c r="O9" i="86" a="1"/>
  <c r="N9" i="86" a="1"/>
  <c r="M9" i="86" a="1"/>
  <c r="L9" i="86" a="1"/>
  <c r="J9" i="86" a="1"/>
  <c r="G9" i="86"/>
  <c r="AK8" i="86" a="1"/>
  <c r="AJ8" i="86" a="1"/>
  <c r="AI8" i="86" a="1"/>
  <c r="AH8" i="86" a="1"/>
  <c r="AG8" i="86" a="1"/>
  <c r="AF8" i="86" a="1"/>
  <c r="AE8" i="86" a="1"/>
  <c r="AD8" i="86" a="1"/>
  <c r="AC8" i="86" a="1"/>
  <c r="AB8" i="86" a="1"/>
  <c r="AA8" i="86" a="1"/>
  <c r="Z8" i="86" a="1"/>
  <c r="Y8" i="86" a="1"/>
  <c r="X8" i="86" a="1"/>
  <c r="W8" i="86" a="1"/>
  <c r="V8" i="86" a="1"/>
  <c r="U8" i="86" a="1"/>
  <c r="T8" i="86" a="1"/>
  <c r="S8" i="86" a="1"/>
  <c r="R8" i="86" a="1"/>
  <c r="Q8" i="86" a="1"/>
  <c r="P8" i="86" a="1"/>
  <c r="O8" i="86" a="1"/>
  <c r="N8" i="86" a="1"/>
  <c r="M8" i="86" a="1"/>
  <c r="L8" i="86" a="1"/>
  <c r="J8" i="86" a="1"/>
  <c r="G8" i="86"/>
  <c r="AK7" i="86" a="1"/>
  <c r="AJ7" i="86" a="1"/>
  <c r="AI7" i="86" a="1"/>
  <c r="AH7" i="86" a="1"/>
  <c r="AG7" i="86" a="1"/>
  <c r="AF7" i="86" a="1"/>
  <c r="AE7" i="86" a="1"/>
  <c r="AD7" i="86" a="1"/>
  <c r="AC7" i="86" a="1"/>
  <c r="AB7" i="86" a="1"/>
  <c r="AA7" i="86" a="1"/>
  <c r="Z7" i="86" a="1"/>
  <c r="Y7" i="86" a="1"/>
  <c r="X7" i="86" a="1"/>
  <c r="W7" i="86" a="1"/>
  <c r="V7" i="86" a="1"/>
  <c r="U7" i="86" a="1"/>
  <c r="T7" i="86" a="1"/>
  <c r="S7" i="86" a="1"/>
  <c r="R7" i="86" a="1"/>
  <c r="Q7" i="86" a="1"/>
  <c r="P7" i="86" a="1"/>
  <c r="O7" i="86" a="1"/>
  <c r="N7" i="86" a="1"/>
  <c r="M7" i="86" a="1"/>
  <c r="L7" i="86" a="1"/>
  <c r="J7" i="86" a="1"/>
  <c r="G7" i="86"/>
  <c r="AK6" i="86" a="1"/>
  <c r="AJ6" i="86" a="1"/>
  <c r="AI6" i="86" a="1"/>
  <c r="AH6" i="86" a="1"/>
  <c r="AG6" i="86" a="1"/>
  <c r="AF6" i="86" a="1"/>
  <c r="AE6" i="86" a="1"/>
  <c r="AD6" i="86" a="1"/>
  <c r="AC6" i="86" a="1"/>
  <c r="AB6" i="86" a="1"/>
  <c r="AA6" i="86" a="1"/>
  <c r="Z6" i="86" a="1"/>
  <c r="Y6" i="86" a="1"/>
  <c r="X6" i="86" a="1"/>
  <c r="W6" i="86" a="1"/>
  <c r="V6" i="86" a="1"/>
  <c r="U6" i="86" a="1"/>
  <c r="T6" i="86" a="1"/>
  <c r="S6" i="86" a="1"/>
  <c r="R6" i="86" a="1"/>
  <c r="Q6" i="86" a="1"/>
  <c r="P6" i="86" a="1"/>
  <c r="O6" i="86" a="1"/>
  <c r="N6" i="86" a="1"/>
  <c r="M6" i="86" a="1"/>
  <c r="L6" i="86" a="1"/>
  <c r="J6" i="86" a="1"/>
  <c r="G6" i="86"/>
  <c r="AK5" i="86" a="1"/>
  <c r="AJ5" i="86" a="1"/>
  <c r="AI5" i="86" a="1"/>
  <c r="AH5" i="86" a="1"/>
  <c r="AG5" i="86" a="1"/>
  <c r="AF5" i="86" a="1"/>
  <c r="AE5" i="86" a="1"/>
  <c r="AD5" i="86" a="1"/>
  <c r="AC5" i="86" a="1"/>
  <c r="AB5" i="86" a="1"/>
  <c r="AA5" i="86" a="1"/>
  <c r="Z5" i="86" a="1"/>
  <c r="Y5" i="86" a="1"/>
  <c r="X5" i="86" a="1"/>
  <c r="W5" i="86" a="1"/>
  <c r="V5" i="86" a="1"/>
  <c r="U5" i="86" a="1"/>
  <c r="T5" i="86" a="1"/>
  <c r="S5" i="86" a="1"/>
  <c r="R5" i="86" a="1"/>
  <c r="Q5" i="86" a="1"/>
  <c r="P5" i="86" a="1"/>
  <c r="O5" i="86" a="1"/>
  <c r="N5" i="86" a="1"/>
  <c r="M5" i="86" a="1"/>
  <c r="L5" i="86" a="1"/>
  <c r="J5" i="86" a="1"/>
  <c r="G5" i="86"/>
  <c r="AK4" i="86" a="1"/>
  <c r="AJ4" i="86" a="1"/>
  <c r="AI4" i="86" a="1"/>
  <c r="AH4" i="86" a="1"/>
  <c r="AG4" i="86" a="1"/>
  <c r="AF4" i="86" a="1"/>
  <c r="AE4" i="86" a="1"/>
  <c r="AD4" i="86" a="1"/>
  <c r="AC4" i="86" a="1"/>
  <c r="AB4" i="86" a="1"/>
  <c r="AA4" i="86" a="1"/>
  <c r="Z4" i="86" a="1"/>
  <c r="Y4" i="86" a="1"/>
  <c r="X4" i="86" a="1"/>
  <c r="W4" i="86" a="1"/>
  <c r="V4" i="86" a="1"/>
  <c r="U4" i="86" a="1"/>
  <c r="T4" i="86" a="1"/>
  <c r="S4" i="86" a="1"/>
  <c r="R4" i="86" a="1"/>
  <c r="Q4" i="86" a="1"/>
  <c r="P4" i="86" a="1"/>
  <c r="O4" i="86" a="1"/>
  <c r="N4" i="86" a="1"/>
  <c r="M4" i="86" a="1"/>
  <c r="L4" i="86" a="1"/>
  <c r="J4" i="86" a="1"/>
  <c r="G4" i="86"/>
  <c r="AK3" i="86" a="1"/>
  <c r="AJ3" i="86" a="1"/>
  <c r="AI3" i="86" a="1"/>
  <c r="AH3" i="86" a="1"/>
  <c r="AG3" i="86" a="1"/>
  <c r="AF3" i="86" a="1"/>
  <c r="AE3" i="86" a="1"/>
  <c r="AD3" i="86" a="1"/>
  <c r="AC3" i="86" a="1"/>
  <c r="AB3" i="86" a="1"/>
  <c r="AA3" i="86" a="1"/>
  <c r="Z3" i="86" a="1"/>
  <c r="Y3" i="86" a="1"/>
  <c r="X3" i="86" a="1"/>
  <c r="W3" i="86" a="1"/>
  <c r="V3" i="86" a="1"/>
  <c r="U3" i="86" a="1"/>
  <c r="T3" i="86" a="1"/>
  <c r="S3" i="86" a="1"/>
  <c r="R3" i="86" a="1"/>
  <c r="Q3" i="86" a="1"/>
  <c r="P3" i="86" a="1"/>
  <c r="O3" i="86" a="1"/>
  <c r="N3" i="86" a="1"/>
  <c r="M3" i="86" a="1"/>
  <c r="L3" i="86" a="1"/>
  <c r="J3" i="86" a="1"/>
  <c r="G3" i="86"/>
  <c r="AN33" i="85"/>
  <c r="AK32" i="85" a="1"/>
  <c r="AJ32" i="85" a="1"/>
  <c r="AI32" i="85" a="1"/>
  <c r="AH32" i="85" a="1"/>
  <c r="AG32" i="85" a="1"/>
  <c r="AF32" i="85" a="1"/>
  <c r="AE32" i="85" a="1"/>
  <c r="AD32" i="85" a="1"/>
  <c r="AC32" i="85" a="1"/>
  <c r="AB32" i="85" a="1"/>
  <c r="AA32" i="85" a="1"/>
  <c r="Z32" i="85" a="1"/>
  <c r="Y32" i="85" a="1"/>
  <c r="X32" i="85" a="1"/>
  <c r="W32" i="85" a="1"/>
  <c r="V32" i="85" a="1"/>
  <c r="U32" i="85" a="1"/>
  <c r="T32" i="85" a="1"/>
  <c r="S32" i="85" a="1"/>
  <c r="R32" i="85" a="1"/>
  <c r="Q32" i="85" a="1"/>
  <c r="P32" i="85" a="1"/>
  <c r="O32" i="85" a="1"/>
  <c r="N32" i="85" a="1"/>
  <c r="M32" i="85" a="1"/>
  <c r="L32" i="85" a="1"/>
  <c r="J32" i="85" a="1"/>
  <c r="G32" i="85"/>
  <c r="AK31" i="85" a="1"/>
  <c r="AJ31" i="85" a="1"/>
  <c r="AI31" i="85" a="1"/>
  <c r="AH31" i="85" a="1"/>
  <c r="AG31" i="85" a="1"/>
  <c r="AF31" i="85" a="1"/>
  <c r="AE31" i="85" a="1"/>
  <c r="AD31" i="85" a="1"/>
  <c r="AC31" i="85" a="1"/>
  <c r="AB31" i="85" a="1"/>
  <c r="AA31" i="85" a="1"/>
  <c r="Z31" i="85" a="1"/>
  <c r="Y31" i="85" a="1"/>
  <c r="X31" i="85" a="1"/>
  <c r="W31" i="85" a="1"/>
  <c r="V31" i="85" a="1"/>
  <c r="U31" i="85" a="1"/>
  <c r="T31" i="85" a="1"/>
  <c r="S31" i="85" a="1"/>
  <c r="R31" i="85" a="1"/>
  <c r="Q31" i="85" a="1"/>
  <c r="P31" i="85" a="1"/>
  <c r="O31" i="85" a="1"/>
  <c r="N31" i="85" a="1"/>
  <c r="M31" i="85" a="1"/>
  <c r="L31" i="85" a="1"/>
  <c r="J31" i="85" a="1"/>
  <c r="G31" i="85"/>
  <c r="AK30" i="85" a="1"/>
  <c r="AJ30" i="85" a="1"/>
  <c r="AI30" i="85" a="1"/>
  <c r="AH30" i="85" a="1"/>
  <c r="AG30" i="85" a="1"/>
  <c r="AF30" i="85" a="1"/>
  <c r="AE30" i="85" a="1"/>
  <c r="AD30" i="85" a="1"/>
  <c r="AC30" i="85" a="1"/>
  <c r="AB30" i="85" a="1"/>
  <c r="AA30" i="85" a="1"/>
  <c r="Z30" i="85" a="1"/>
  <c r="Y30" i="85" a="1"/>
  <c r="X30" i="85" a="1"/>
  <c r="W30" i="85" a="1"/>
  <c r="V30" i="85" a="1"/>
  <c r="U30" i="85" a="1"/>
  <c r="T30" i="85" a="1"/>
  <c r="S30" i="85" a="1"/>
  <c r="R30" i="85" a="1"/>
  <c r="Q30" i="85" a="1"/>
  <c r="P30" i="85" a="1"/>
  <c r="O30" i="85" a="1"/>
  <c r="N30" i="85" a="1"/>
  <c r="M30" i="85" a="1"/>
  <c r="L30" i="85" a="1"/>
  <c r="J30" i="85" a="1"/>
  <c r="G30" i="85"/>
  <c r="AK29" i="85" a="1"/>
  <c r="AJ29" i="85" a="1"/>
  <c r="AI29" i="85" a="1"/>
  <c r="AH29" i="85" a="1"/>
  <c r="AG29" i="85" a="1"/>
  <c r="AF29" i="85" a="1"/>
  <c r="AE29" i="85" a="1"/>
  <c r="AD29" i="85" a="1"/>
  <c r="AC29" i="85" a="1"/>
  <c r="AB29" i="85" a="1"/>
  <c r="AA29" i="85" a="1"/>
  <c r="Z29" i="85" a="1"/>
  <c r="Y29" i="85" a="1"/>
  <c r="X29" i="85" a="1"/>
  <c r="W29" i="85" a="1"/>
  <c r="V29" i="85" a="1"/>
  <c r="U29" i="85" a="1"/>
  <c r="T29" i="85" a="1"/>
  <c r="S29" i="85" a="1"/>
  <c r="R29" i="85" a="1"/>
  <c r="Q29" i="85" a="1"/>
  <c r="P29" i="85" a="1"/>
  <c r="O29" i="85" a="1"/>
  <c r="N29" i="85" a="1"/>
  <c r="M29" i="85" a="1"/>
  <c r="L29" i="85" a="1"/>
  <c r="J29" i="85" a="1"/>
  <c r="G29" i="85"/>
  <c r="AK28" i="85" a="1"/>
  <c r="AJ28" i="85" a="1"/>
  <c r="AI28" i="85" a="1"/>
  <c r="AH28" i="85" a="1"/>
  <c r="AG28" i="85" a="1"/>
  <c r="AF28" i="85" a="1"/>
  <c r="AE28" i="85" a="1"/>
  <c r="AD28" i="85" a="1"/>
  <c r="AC28" i="85" a="1"/>
  <c r="AB28" i="85" a="1"/>
  <c r="AA28" i="85" a="1"/>
  <c r="Z28" i="85" a="1"/>
  <c r="Y28" i="85" a="1"/>
  <c r="X28" i="85" a="1"/>
  <c r="W28" i="85" a="1"/>
  <c r="V28" i="85" a="1"/>
  <c r="U28" i="85" a="1"/>
  <c r="T28" i="85" a="1"/>
  <c r="S28" i="85" a="1"/>
  <c r="R28" i="85" a="1"/>
  <c r="Q28" i="85" a="1"/>
  <c r="P28" i="85" a="1"/>
  <c r="O28" i="85" a="1"/>
  <c r="N28" i="85" a="1"/>
  <c r="M28" i="85" a="1"/>
  <c r="L28" i="85" a="1"/>
  <c r="J28" i="85" a="1"/>
  <c r="G28" i="85"/>
  <c r="AK27" i="85" a="1"/>
  <c r="AJ27" i="85" a="1"/>
  <c r="AI27" i="85" a="1"/>
  <c r="AH27" i="85" a="1"/>
  <c r="AG27" i="85" a="1"/>
  <c r="AF27" i="85" a="1"/>
  <c r="AE27" i="85" a="1"/>
  <c r="AD27" i="85" a="1"/>
  <c r="AC27" i="85" a="1"/>
  <c r="AB27" i="85" a="1"/>
  <c r="AA27" i="85" a="1"/>
  <c r="Z27" i="85" a="1"/>
  <c r="Y27" i="85" a="1"/>
  <c r="X27" i="85" a="1"/>
  <c r="W27" i="85" a="1"/>
  <c r="V27" i="85" a="1"/>
  <c r="U27" i="85" a="1"/>
  <c r="T27" i="85" a="1"/>
  <c r="S27" i="85" a="1"/>
  <c r="R27" i="85" a="1"/>
  <c r="Q27" i="85" a="1"/>
  <c r="P27" i="85" a="1"/>
  <c r="O27" i="85" a="1"/>
  <c r="N27" i="85" a="1"/>
  <c r="M27" i="85" a="1"/>
  <c r="L27" i="85" a="1"/>
  <c r="J27" i="85" a="1"/>
  <c r="G27" i="85"/>
  <c r="AK26" i="85" a="1"/>
  <c r="AJ26" i="85" a="1"/>
  <c r="AI26" i="85" a="1"/>
  <c r="AH26" i="85" a="1"/>
  <c r="AG26" i="85" a="1"/>
  <c r="AF26" i="85" a="1"/>
  <c r="AE26" i="85" a="1"/>
  <c r="AD26" i="85" a="1"/>
  <c r="AC26" i="85" a="1"/>
  <c r="AB26" i="85" a="1"/>
  <c r="AA26" i="85" a="1"/>
  <c r="Z26" i="85" a="1"/>
  <c r="Y26" i="85" a="1"/>
  <c r="X26" i="85" a="1"/>
  <c r="W26" i="85" a="1"/>
  <c r="V26" i="85" a="1"/>
  <c r="U26" i="85" a="1"/>
  <c r="T26" i="85" a="1"/>
  <c r="S26" i="85" a="1"/>
  <c r="R26" i="85" a="1"/>
  <c r="Q26" i="85" a="1"/>
  <c r="P26" i="85" a="1"/>
  <c r="O26" i="85" a="1"/>
  <c r="N26" i="85" a="1"/>
  <c r="M26" i="85" a="1"/>
  <c r="L26" i="85" a="1"/>
  <c r="J26" i="85" a="1"/>
  <c r="G26" i="85"/>
  <c r="AK25" i="85" a="1"/>
  <c r="AJ25" i="85" a="1"/>
  <c r="AI25" i="85" a="1"/>
  <c r="AH25" i="85" a="1"/>
  <c r="AG25" i="85" a="1"/>
  <c r="AF25" i="85" a="1"/>
  <c r="AE25" i="85" a="1"/>
  <c r="AD25" i="85" a="1"/>
  <c r="AC25" i="85" a="1"/>
  <c r="AB25" i="85" a="1"/>
  <c r="AA25" i="85" a="1"/>
  <c r="Z25" i="85" a="1"/>
  <c r="Y25" i="85" a="1"/>
  <c r="X25" i="85" a="1"/>
  <c r="W25" i="85" a="1"/>
  <c r="V25" i="85" a="1"/>
  <c r="U25" i="85" a="1"/>
  <c r="T25" i="85" a="1"/>
  <c r="S25" i="85" a="1"/>
  <c r="R25" i="85" a="1"/>
  <c r="Q25" i="85" a="1"/>
  <c r="P25" i="85" a="1"/>
  <c r="O25" i="85" a="1"/>
  <c r="N25" i="85" a="1"/>
  <c r="M25" i="85" a="1"/>
  <c r="L25" i="85" a="1"/>
  <c r="J25" i="85" a="1"/>
  <c r="G25" i="85"/>
  <c r="AK24" i="85" a="1"/>
  <c r="AJ24" i="85" a="1"/>
  <c r="AI24" i="85" a="1"/>
  <c r="AH24" i="85" a="1"/>
  <c r="AG24" i="85" a="1"/>
  <c r="AF24" i="85" a="1"/>
  <c r="AE24" i="85" a="1"/>
  <c r="AD24" i="85" a="1"/>
  <c r="AC24" i="85" a="1"/>
  <c r="AB24" i="85" a="1"/>
  <c r="AA24" i="85" a="1"/>
  <c r="Z24" i="85" a="1"/>
  <c r="Y24" i="85" a="1"/>
  <c r="X24" i="85" a="1"/>
  <c r="W24" i="85" a="1"/>
  <c r="V24" i="85" a="1"/>
  <c r="U24" i="85" a="1"/>
  <c r="T24" i="85" a="1"/>
  <c r="S24" i="85" a="1"/>
  <c r="R24" i="85" a="1"/>
  <c r="Q24" i="85" a="1"/>
  <c r="P24" i="85" a="1"/>
  <c r="O24" i="85" a="1"/>
  <c r="N24" i="85" a="1"/>
  <c r="M24" i="85" a="1"/>
  <c r="L24" i="85" a="1"/>
  <c r="J24" i="85" a="1"/>
  <c r="G24" i="85"/>
  <c r="AK23" i="85" a="1"/>
  <c r="AJ23" i="85" a="1"/>
  <c r="AI23" i="85" a="1"/>
  <c r="AH23" i="85" a="1"/>
  <c r="AG23" i="85" a="1"/>
  <c r="AF23" i="85" a="1"/>
  <c r="AE23" i="85" a="1"/>
  <c r="AD23" i="85" a="1"/>
  <c r="AC23" i="85" a="1"/>
  <c r="AB23" i="85" a="1"/>
  <c r="AA23" i="85" a="1"/>
  <c r="Z23" i="85" a="1"/>
  <c r="Y23" i="85" a="1"/>
  <c r="X23" i="85" a="1"/>
  <c r="W23" i="85" a="1"/>
  <c r="V23" i="85" a="1"/>
  <c r="U23" i="85" a="1"/>
  <c r="T23" i="85" a="1"/>
  <c r="S23" i="85" a="1"/>
  <c r="R23" i="85" a="1"/>
  <c r="Q23" i="85" a="1"/>
  <c r="P23" i="85" a="1"/>
  <c r="O23" i="85" a="1"/>
  <c r="N23" i="85" a="1"/>
  <c r="M23" i="85" a="1"/>
  <c r="L23" i="85" a="1"/>
  <c r="J23" i="85" a="1"/>
  <c r="G23" i="85"/>
  <c r="AK22" i="85" a="1"/>
  <c r="AJ22" i="85" a="1"/>
  <c r="AI22" i="85" a="1"/>
  <c r="AH22" i="85" a="1"/>
  <c r="AG22" i="85" a="1"/>
  <c r="AF22" i="85" a="1"/>
  <c r="AE22" i="85" a="1"/>
  <c r="AD22" i="85" a="1"/>
  <c r="AC22" i="85" a="1"/>
  <c r="AB22" i="85" a="1"/>
  <c r="AA22" i="85" a="1"/>
  <c r="Z22" i="85" a="1"/>
  <c r="Y22" i="85" a="1"/>
  <c r="X22" i="85" a="1"/>
  <c r="W22" i="85" a="1"/>
  <c r="V22" i="85" a="1"/>
  <c r="U22" i="85" a="1"/>
  <c r="T22" i="85" a="1"/>
  <c r="S22" i="85" a="1"/>
  <c r="R22" i="85" a="1"/>
  <c r="Q22" i="85" a="1"/>
  <c r="P22" i="85" a="1"/>
  <c r="O22" i="85" a="1"/>
  <c r="N22" i="85" a="1"/>
  <c r="M22" i="85" a="1"/>
  <c r="L22" i="85" a="1"/>
  <c r="J22" i="85" a="1"/>
  <c r="G22" i="85"/>
  <c r="AK21" i="85" a="1"/>
  <c r="AJ21" i="85" a="1"/>
  <c r="AI21" i="85" a="1"/>
  <c r="AH21" i="85" a="1"/>
  <c r="AG21" i="85" a="1"/>
  <c r="AF21" i="85" a="1"/>
  <c r="AE21" i="85" a="1"/>
  <c r="AD21" i="85" a="1"/>
  <c r="AC21" i="85" a="1"/>
  <c r="AB21" i="85" a="1"/>
  <c r="AA21" i="85" a="1"/>
  <c r="Z21" i="85" a="1"/>
  <c r="Y21" i="85" a="1"/>
  <c r="X21" i="85" a="1"/>
  <c r="W21" i="85" a="1"/>
  <c r="V21" i="85" a="1"/>
  <c r="U21" i="85" a="1"/>
  <c r="T21" i="85" a="1"/>
  <c r="S21" i="85" a="1"/>
  <c r="R21" i="85" a="1"/>
  <c r="Q21" i="85" a="1"/>
  <c r="P21" i="85" a="1"/>
  <c r="O21" i="85" a="1"/>
  <c r="N21" i="85" a="1"/>
  <c r="M21" i="85" a="1"/>
  <c r="L21" i="85" a="1"/>
  <c r="J21" i="85" a="1"/>
  <c r="G21" i="85"/>
  <c r="AK20" i="85" a="1"/>
  <c r="AJ20" i="85" a="1"/>
  <c r="AI20" i="85" a="1"/>
  <c r="AH20" i="85" a="1"/>
  <c r="AG20" i="85" a="1"/>
  <c r="AF20" i="85" a="1"/>
  <c r="AE20" i="85" a="1"/>
  <c r="AD20" i="85" a="1"/>
  <c r="AC20" i="85" a="1"/>
  <c r="AB20" i="85" a="1"/>
  <c r="AA20" i="85" a="1"/>
  <c r="Z20" i="85" a="1"/>
  <c r="Y20" i="85" a="1"/>
  <c r="X20" i="85" a="1"/>
  <c r="W20" i="85" a="1"/>
  <c r="V20" i="85" a="1"/>
  <c r="U20" i="85" a="1"/>
  <c r="T20" i="85" a="1"/>
  <c r="S20" i="85" a="1"/>
  <c r="R20" i="85" a="1"/>
  <c r="Q20" i="85" a="1"/>
  <c r="P20" i="85" a="1"/>
  <c r="O20" i="85" a="1"/>
  <c r="N20" i="85" a="1"/>
  <c r="M20" i="85" a="1"/>
  <c r="L20" i="85" a="1"/>
  <c r="J20" i="85" a="1"/>
  <c r="G20" i="85"/>
  <c r="AK19" i="85" a="1"/>
  <c r="AJ19" i="85" a="1"/>
  <c r="AI19" i="85" a="1"/>
  <c r="AH19" i="85" a="1"/>
  <c r="AG19" i="85" a="1"/>
  <c r="AF19" i="85" a="1"/>
  <c r="AE19" i="85" a="1"/>
  <c r="AD19" i="85" a="1"/>
  <c r="AC19" i="85" a="1"/>
  <c r="AB19" i="85" a="1"/>
  <c r="AA19" i="85" a="1"/>
  <c r="Z19" i="85" a="1"/>
  <c r="Y19" i="85" a="1"/>
  <c r="X19" i="85" a="1"/>
  <c r="W19" i="85" a="1"/>
  <c r="V19" i="85" a="1"/>
  <c r="U19" i="85" a="1"/>
  <c r="T19" i="85" a="1"/>
  <c r="S19" i="85" a="1"/>
  <c r="R19" i="85" a="1"/>
  <c r="Q19" i="85" a="1"/>
  <c r="P19" i="85" a="1"/>
  <c r="O19" i="85" a="1"/>
  <c r="N19" i="85" a="1"/>
  <c r="M19" i="85" a="1"/>
  <c r="L19" i="85" a="1"/>
  <c r="J19" i="85" a="1"/>
  <c r="G19" i="85"/>
  <c r="AK18" i="85" a="1"/>
  <c r="AJ18" i="85" a="1"/>
  <c r="AI18" i="85" a="1"/>
  <c r="AH18" i="85" a="1"/>
  <c r="AG18" i="85" a="1"/>
  <c r="AF18" i="85" a="1"/>
  <c r="AE18" i="85" a="1"/>
  <c r="AD18" i="85" a="1"/>
  <c r="AC18" i="85" a="1"/>
  <c r="AB18" i="85" a="1"/>
  <c r="AA18" i="85" a="1"/>
  <c r="Z18" i="85" a="1"/>
  <c r="Y18" i="85" a="1"/>
  <c r="X18" i="85" a="1"/>
  <c r="W18" i="85" a="1"/>
  <c r="V18" i="85" a="1"/>
  <c r="U18" i="85" a="1"/>
  <c r="T18" i="85" a="1"/>
  <c r="S18" i="85" a="1"/>
  <c r="R18" i="85" a="1"/>
  <c r="Q18" i="85" a="1"/>
  <c r="P18" i="85" a="1"/>
  <c r="O18" i="85" a="1"/>
  <c r="N18" i="85" a="1"/>
  <c r="M18" i="85" a="1"/>
  <c r="L18" i="85" a="1"/>
  <c r="J18" i="85" a="1"/>
  <c r="G18" i="85"/>
  <c r="AK17" i="85" a="1"/>
  <c r="AJ17" i="85" a="1"/>
  <c r="AI17" i="85" a="1"/>
  <c r="AH17" i="85" a="1"/>
  <c r="AG17" i="85" a="1"/>
  <c r="AF17" i="85" a="1"/>
  <c r="AE17" i="85" a="1"/>
  <c r="AD17" i="85" a="1"/>
  <c r="AC17" i="85" a="1"/>
  <c r="AB17" i="85" a="1"/>
  <c r="AA17" i="85" a="1"/>
  <c r="Z17" i="85" a="1"/>
  <c r="Y17" i="85" a="1"/>
  <c r="X17" i="85" a="1"/>
  <c r="W17" i="85" a="1"/>
  <c r="V17" i="85" a="1"/>
  <c r="U17" i="85" a="1"/>
  <c r="T17" i="85" a="1"/>
  <c r="S17" i="85" a="1"/>
  <c r="R17" i="85" a="1"/>
  <c r="Q17" i="85" a="1"/>
  <c r="P17" i="85" a="1"/>
  <c r="O17" i="85" a="1"/>
  <c r="N17" i="85" a="1"/>
  <c r="M17" i="85" a="1"/>
  <c r="L17" i="85" a="1"/>
  <c r="J17" i="85" a="1"/>
  <c r="G17" i="85"/>
  <c r="AK16" i="85" a="1"/>
  <c r="AJ16" i="85" a="1"/>
  <c r="AI16" i="85" a="1"/>
  <c r="AH16" i="85" a="1"/>
  <c r="AG16" i="85" a="1"/>
  <c r="AF16" i="85" a="1"/>
  <c r="AE16" i="85" a="1"/>
  <c r="AD16" i="85" a="1"/>
  <c r="AC16" i="85" a="1"/>
  <c r="AB16" i="85" a="1"/>
  <c r="AA16" i="85" a="1"/>
  <c r="Z16" i="85" a="1"/>
  <c r="Y16" i="85" a="1"/>
  <c r="X16" i="85" a="1"/>
  <c r="W16" i="85" a="1"/>
  <c r="V16" i="85" a="1"/>
  <c r="U16" i="85" a="1"/>
  <c r="T16" i="85" a="1"/>
  <c r="S16" i="85" a="1"/>
  <c r="R16" i="85" a="1"/>
  <c r="Q16" i="85" a="1"/>
  <c r="P16" i="85" a="1"/>
  <c r="O16" i="85" a="1"/>
  <c r="N16" i="85" a="1"/>
  <c r="M16" i="85" a="1"/>
  <c r="L16" i="85" a="1"/>
  <c r="J16" i="85" a="1"/>
  <c r="G16" i="85"/>
  <c r="AK15" i="85" a="1"/>
  <c r="AJ15" i="85" a="1"/>
  <c r="AI15" i="85" a="1"/>
  <c r="AH15" i="85" a="1"/>
  <c r="AG15" i="85" a="1"/>
  <c r="AF15" i="85" a="1"/>
  <c r="AE15" i="85" a="1"/>
  <c r="AD15" i="85" a="1"/>
  <c r="AC15" i="85" a="1"/>
  <c r="AB15" i="85" a="1"/>
  <c r="AA15" i="85" a="1"/>
  <c r="Z15" i="85" a="1"/>
  <c r="Y15" i="85" a="1"/>
  <c r="X15" i="85" a="1"/>
  <c r="W15" i="85" a="1"/>
  <c r="V15" i="85" a="1"/>
  <c r="U15" i="85" a="1"/>
  <c r="T15" i="85" a="1"/>
  <c r="S15" i="85" a="1"/>
  <c r="R15" i="85" a="1"/>
  <c r="Q15" i="85" a="1"/>
  <c r="P15" i="85" a="1"/>
  <c r="O15" i="85" a="1"/>
  <c r="N15" i="85" a="1"/>
  <c r="M15" i="85" a="1"/>
  <c r="L15" i="85" a="1"/>
  <c r="J15" i="85" a="1"/>
  <c r="G15" i="85"/>
  <c r="AK14" i="85" a="1"/>
  <c r="AJ14" i="85" a="1"/>
  <c r="AI14" i="85" a="1"/>
  <c r="AH14" i="85" a="1"/>
  <c r="AG14" i="85" a="1"/>
  <c r="AF14" i="85" a="1"/>
  <c r="AE14" i="85" a="1"/>
  <c r="AD14" i="85" a="1"/>
  <c r="AC14" i="85" a="1"/>
  <c r="AB14" i="85" a="1"/>
  <c r="AA14" i="85" a="1"/>
  <c r="Z14" i="85" a="1"/>
  <c r="Y14" i="85" a="1"/>
  <c r="X14" i="85" a="1"/>
  <c r="W14" i="85" a="1"/>
  <c r="V14" i="85" a="1"/>
  <c r="U14" i="85" a="1"/>
  <c r="T14" i="85" a="1"/>
  <c r="S14" i="85" a="1"/>
  <c r="R14" i="85" a="1"/>
  <c r="Q14" i="85" a="1"/>
  <c r="P14" i="85" a="1"/>
  <c r="O14" i="85" a="1"/>
  <c r="N14" i="85" a="1"/>
  <c r="M14" i="85" a="1"/>
  <c r="L14" i="85" a="1"/>
  <c r="J14" i="85" a="1"/>
  <c r="G14" i="85"/>
  <c r="AK13" i="85" a="1"/>
  <c r="AJ13" i="85" a="1"/>
  <c r="AI13" i="85" a="1"/>
  <c r="AH13" i="85" a="1"/>
  <c r="AG13" i="85" a="1"/>
  <c r="AF13" i="85" a="1"/>
  <c r="AE13" i="85" a="1"/>
  <c r="AD13" i="85" a="1"/>
  <c r="AC13" i="85" a="1"/>
  <c r="AB13" i="85" a="1"/>
  <c r="AA13" i="85" a="1"/>
  <c r="Z13" i="85" a="1"/>
  <c r="Y13" i="85" a="1"/>
  <c r="X13" i="85" a="1"/>
  <c r="W13" i="85" a="1"/>
  <c r="V13" i="85" a="1"/>
  <c r="U13" i="85" a="1"/>
  <c r="T13" i="85" a="1"/>
  <c r="S13" i="85" a="1"/>
  <c r="R13" i="85" a="1"/>
  <c r="Q13" i="85" a="1"/>
  <c r="P13" i="85" a="1"/>
  <c r="O13" i="85" a="1"/>
  <c r="N13" i="85" a="1"/>
  <c r="M13" i="85" a="1"/>
  <c r="L13" i="85" a="1"/>
  <c r="J13" i="85" a="1"/>
  <c r="G13" i="85"/>
  <c r="AK12" i="85" a="1"/>
  <c r="AJ12" i="85" a="1"/>
  <c r="AI12" i="85" a="1"/>
  <c r="AH12" i="85" a="1"/>
  <c r="AG12" i="85" a="1"/>
  <c r="AF12" i="85" a="1"/>
  <c r="AE12" i="85" a="1"/>
  <c r="AD12" i="85" a="1"/>
  <c r="AC12" i="85" a="1"/>
  <c r="AB12" i="85" a="1"/>
  <c r="AA12" i="85" a="1"/>
  <c r="Z12" i="85" a="1"/>
  <c r="Y12" i="85" a="1"/>
  <c r="X12" i="85" a="1"/>
  <c r="W12" i="85" a="1"/>
  <c r="V12" i="85" a="1"/>
  <c r="U12" i="85" a="1"/>
  <c r="T12" i="85" a="1"/>
  <c r="S12" i="85" a="1"/>
  <c r="R12" i="85" a="1"/>
  <c r="Q12" i="85" a="1"/>
  <c r="P12" i="85" a="1"/>
  <c r="O12" i="85" a="1"/>
  <c r="N12" i="85" a="1"/>
  <c r="M12" i="85" a="1"/>
  <c r="L12" i="85" a="1"/>
  <c r="J12" i="85" a="1"/>
  <c r="G12" i="85"/>
  <c r="AK11" i="85" a="1"/>
  <c r="AJ11" i="85" a="1"/>
  <c r="AI11" i="85" a="1"/>
  <c r="AH11" i="85" a="1"/>
  <c r="AG11" i="85" a="1"/>
  <c r="AF11" i="85" a="1"/>
  <c r="AE11" i="85" a="1"/>
  <c r="AD11" i="85" a="1"/>
  <c r="AC11" i="85" a="1"/>
  <c r="AB11" i="85" a="1"/>
  <c r="AA11" i="85" a="1"/>
  <c r="Z11" i="85" a="1"/>
  <c r="Y11" i="85" a="1"/>
  <c r="X11" i="85" a="1"/>
  <c r="W11" i="85" a="1"/>
  <c r="V11" i="85" a="1"/>
  <c r="U11" i="85" a="1"/>
  <c r="T11" i="85" a="1"/>
  <c r="S11" i="85" a="1"/>
  <c r="R11" i="85" a="1"/>
  <c r="Q11" i="85" a="1"/>
  <c r="P11" i="85" a="1"/>
  <c r="O11" i="85" a="1"/>
  <c r="N11" i="85" a="1"/>
  <c r="M11" i="85" a="1"/>
  <c r="L11" i="85" a="1"/>
  <c r="J11" i="85" a="1"/>
  <c r="G11" i="85"/>
  <c r="AK10" i="85" a="1"/>
  <c r="AJ10" i="85" a="1"/>
  <c r="AI10" i="85" a="1"/>
  <c r="AH10" i="85" a="1"/>
  <c r="AG10" i="85" a="1"/>
  <c r="AF10" i="85" a="1"/>
  <c r="AE10" i="85" a="1"/>
  <c r="AD10" i="85" a="1"/>
  <c r="AC10" i="85" a="1"/>
  <c r="AB10" i="85" a="1"/>
  <c r="AA10" i="85" a="1"/>
  <c r="Z10" i="85" a="1"/>
  <c r="Y10" i="85" a="1"/>
  <c r="X10" i="85" a="1"/>
  <c r="W10" i="85" a="1"/>
  <c r="V10" i="85" a="1"/>
  <c r="U10" i="85" a="1"/>
  <c r="T10" i="85" a="1"/>
  <c r="S10" i="85" a="1"/>
  <c r="R10" i="85" a="1"/>
  <c r="Q10" i="85" a="1"/>
  <c r="P10" i="85" a="1"/>
  <c r="O10" i="85" a="1"/>
  <c r="N10" i="85" a="1"/>
  <c r="M10" i="85" a="1"/>
  <c r="L10" i="85" a="1"/>
  <c r="J10" i="85" a="1"/>
  <c r="G10" i="85"/>
  <c r="AK9" i="85" a="1"/>
  <c r="AJ9" i="85" a="1"/>
  <c r="AI9" i="85" a="1"/>
  <c r="AH9" i="85" a="1"/>
  <c r="AG9" i="85" a="1"/>
  <c r="AF9" i="85" a="1"/>
  <c r="AE9" i="85" a="1"/>
  <c r="AD9" i="85" a="1"/>
  <c r="AC9" i="85" a="1"/>
  <c r="AB9" i="85" a="1"/>
  <c r="AA9" i="85" a="1"/>
  <c r="Z9" i="85" a="1"/>
  <c r="Y9" i="85" a="1"/>
  <c r="X9" i="85" a="1"/>
  <c r="W9" i="85" a="1"/>
  <c r="V9" i="85" a="1"/>
  <c r="U9" i="85" a="1"/>
  <c r="T9" i="85" a="1"/>
  <c r="S9" i="85" a="1"/>
  <c r="R9" i="85" a="1"/>
  <c r="Q9" i="85" a="1"/>
  <c r="P9" i="85" a="1"/>
  <c r="O9" i="85" a="1"/>
  <c r="N9" i="85" a="1"/>
  <c r="M9" i="85" a="1"/>
  <c r="L9" i="85" a="1"/>
  <c r="J9" i="85" a="1"/>
  <c r="G9" i="85"/>
  <c r="AK8" i="85" a="1"/>
  <c r="AJ8" i="85" a="1"/>
  <c r="AI8" i="85" a="1"/>
  <c r="AH8" i="85" a="1"/>
  <c r="AG8" i="85" a="1"/>
  <c r="AF8" i="85" a="1"/>
  <c r="AE8" i="85" a="1"/>
  <c r="AD8" i="85" a="1"/>
  <c r="AC8" i="85" a="1"/>
  <c r="AB8" i="85" a="1"/>
  <c r="AA8" i="85" a="1"/>
  <c r="Z8" i="85" a="1"/>
  <c r="Y8" i="85" a="1"/>
  <c r="X8" i="85" a="1"/>
  <c r="W8" i="85" a="1"/>
  <c r="V8" i="85" a="1"/>
  <c r="U8" i="85" a="1"/>
  <c r="T8" i="85" a="1"/>
  <c r="S8" i="85" a="1"/>
  <c r="R8" i="85" a="1"/>
  <c r="Q8" i="85" a="1"/>
  <c r="P8" i="85" a="1"/>
  <c r="O8" i="85" a="1"/>
  <c r="N8" i="85" a="1"/>
  <c r="M8" i="85" a="1"/>
  <c r="L8" i="85" a="1"/>
  <c r="J8" i="85" a="1"/>
  <c r="G8" i="85"/>
  <c r="AK7" i="85" a="1"/>
  <c r="AJ7" i="85" a="1"/>
  <c r="AI7" i="85" a="1"/>
  <c r="AH7" i="85" a="1"/>
  <c r="AG7" i="85" a="1"/>
  <c r="AF7" i="85" a="1"/>
  <c r="AE7" i="85" a="1"/>
  <c r="AD7" i="85" a="1"/>
  <c r="AC7" i="85" a="1"/>
  <c r="AB7" i="85" a="1"/>
  <c r="AA7" i="85" a="1"/>
  <c r="Z7" i="85" a="1"/>
  <c r="Y7" i="85" a="1"/>
  <c r="X7" i="85" a="1"/>
  <c r="W7" i="85" a="1"/>
  <c r="V7" i="85" a="1"/>
  <c r="U7" i="85" a="1"/>
  <c r="T7" i="85" a="1"/>
  <c r="S7" i="85" a="1"/>
  <c r="R7" i="85" a="1"/>
  <c r="Q7" i="85" a="1"/>
  <c r="P7" i="85" a="1"/>
  <c r="O7" i="85" a="1"/>
  <c r="N7" i="85" a="1"/>
  <c r="M7" i="85" a="1"/>
  <c r="L7" i="85" a="1"/>
  <c r="J7" i="85" a="1"/>
  <c r="G7" i="85"/>
  <c r="AK6" i="85" a="1"/>
  <c r="AJ6" i="85" a="1"/>
  <c r="AI6" i="85" a="1"/>
  <c r="AH6" i="85" a="1"/>
  <c r="AG6" i="85" a="1"/>
  <c r="AF6" i="85" a="1"/>
  <c r="AE6" i="85" a="1"/>
  <c r="AD6" i="85" a="1"/>
  <c r="AC6" i="85" a="1"/>
  <c r="AB6" i="85" a="1"/>
  <c r="AA6" i="85" a="1"/>
  <c r="Z6" i="85" a="1"/>
  <c r="Y6" i="85" a="1"/>
  <c r="X6" i="85" a="1"/>
  <c r="W6" i="85" a="1"/>
  <c r="V6" i="85" a="1"/>
  <c r="U6" i="85" a="1"/>
  <c r="T6" i="85" a="1"/>
  <c r="S6" i="85" a="1"/>
  <c r="R6" i="85" a="1"/>
  <c r="Q6" i="85" a="1"/>
  <c r="P6" i="85" a="1"/>
  <c r="O6" i="85" a="1"/>
  <c r="N6" i="85" a="1"/>
  <c r="M6" i="85" a="1"/>
  <c r="L6" i="85" a="1"/>
  <c r="J6" i="85" a="1"/>
  <c r="G6" i="85"/>
  <c r="AK5" i="85" a="1"/>
  <c r="AJ5" i="85" a="1"/>
  <c r="AI5" i="85" a="1"/>
  <c r="AH5" i="85" a="1"/>
  <c r="AG5" i="85" a="1"/>
  <c r="AF5" i="85" a="1"/>
  <c r="AE5" i="85" a="1"/>
  <c r="AD5" i="85" a="1"/>
  <c r="AC5" i="85" a="1"/>
  <c r="AB5" i="85" a="1"/>
  <c r="AA5" i="85" a="1"/>
  <c r="Z5" i="85" a="1"/>
  <c r="Y5" i="85" a="1"/>
  <c r="X5" i="85" a="1"/>
  <c r="W5" i="85" a="1"/>
  <c r="V5" i="85" a="1"/>
  <c r="U5" i="85" a="1"/>
  <c r="T5" i="85" a="1"/>
  <c r="S5" i="85" a="1"/>
  <c r="R5" i="85" a="1"/>
  <c r="Q5" i="85" a="1"/>
  <c r="P5" i="85" a="1"/>
  <c r="O5" i="85" a="1"/>
  <c r="N5" i="85" a="1"/>
  <c r="M5" i="85" a="1"/>
  <c r="L5" i="85" a="1"/>
  <c r="J5" i="85" a="1"/>
  <c r="G5" i="85"/>
  <c r="AK4" i="85" a="1"/>
  <c r="AJ4" i="85" a="1"/>
  <c r="AI4" i="85" a="1"/>
  <c r="AH4" i="85" a="1"/>
  <c r="AG4" i="85" a="1"/>
  <c r="AF4" i="85" a="1"/>
  <c r="AE4" i="85" a="1"/>
  <c r="AD4" i="85" a="1"/>
  <c r="AC4" i="85" a="1"/>
  <c r="AB4" i="85" a="1"/>
  <c r="AA4" i="85" a="1"/>
  <c r="Z4" i="85" a="1"/>
  <c r="Y4" i="85" a="1"/>
  <c r="X4" i="85" a="1"/>
  <c r="W4" i="85" a="1"/>
  <c r="V4" i="85" a="1"/>
  <c r="U4" i="85" a="1"/>
  <c r="T4" i="85" a="1"/>
  <c r="S4" i="85" a="1"/>
  <c r="R4" i="85" a="1"/>
  <c r="Q4" i="85" a="1"/>
  <c r="P4" i="85" a="1"/>
  <c r="O4" i="85" a="1"/>
  <c r="N4" i="85" a="1"/>
  <c r="M4" i="85" a="1"/>
  <c r="L4" i="85" a="1"/>
  <c r="J4" i="85" a="1"/>
  <c r="G4" i="85"/>
  <c r="AK3" i="85" a="1"/>
  <c r="AJ3" i="85" a="1"/>
  <c r="AI3" i="85" a="1"/>
  <c r="AH3" i="85" a="1"/>
  <c r="AG3" i="85" a="1"/>
  <c r="AF3" i="85" a="1"/>
  <c r="AE3" i="85" a="1"/>
  <c r="AD3" i="85" a="1"/>
  <c r="AC3" i="85" a="1"/>
  <c r="AB3" i="85" a="1"/>
  <c r="AA3" i="85" a="1"/>
  <c r="Z3" i="85" a="1"/>
  <c r="Y3" i="85" a="1"/>
  <c r="X3" i="85" a="1"/>
  <c r="W3" i="85" a="1"/>
  <c r="V3" i="85" a="1"/>
  <c r="U3" i="85" a="1"/>
  <c r="T3" i="85" a="1"/>
  <c r="S3" i="85" a="1"/>
  <c r="R3" i="85" a="1"/>
  <c r="Q3" i="85" a="1"/>
  <c r="P3" i="85" a="1"/>
  <c r="O3" i="85" a="1"/>
  <c r="N3" i="85" a="1"/>
  <c r="M3" i="85" a="1"/>
  <c r="L3" i="85" a="1"/>
  <c r="J3" i="85" a="1"/>
  <c r="G3" i="85"/>
  <c r="AN33" i="84"/>
  <c r="AK32" i="84" a="1"/>
  <c r="AJ32" i="84" a="1"/>
  <c r="AI32" i="84" a="1"/>
  <c r="AH32" i="84" a="1"/>
  <c r="AG32" i="84" a="1"/>
  <c r="AF32" i="84" a="1"/>
  <c r="AE32" i="84" a="1"/>
  <c r="AD32" i="84" a="1"/>
  <c r="AC32" i="84" a="1"/>
  <c r="AB32" i="84" a="1"/>
  <c r="AA32" i="84" a="1"/>
  <c r="Z32" i="84" a="1"/>
  <c r="Y32" i="84" a="1"/>
  <c r="X32" i="84" a="1"/>
  <c r="W32" i="84" a="1"/>
  <c r="V32" i="84" a="1"/>
  <c r="U32" i="84" a="1"/>
  <c r="T32" i="84" a="1"/>
  <c r="S32" i="84" a="1"/>
  <c r="R32" i="84" a="1"/>
  <c r="Q32" i="84" a="1"/>
  <c r="P32" i="84" a="1"/>
  <c r="O32" i="84" a="1"/>
  <c r="N32" i="84" a="1"/>
  <c r="M32" i="84" a="1"/>
  <c r="L32" i="84" a="1"/>
  <c r="J32" i="84" a="1"/>
  <c r="G32" i="84"/>
  <c r="AK31" i="84" a="1"/>
  <c r="AJ31" i="84" a="1"/>
  <c r="AI31" i="84" a="1"/>
  <c r="AH31" i="84" a="1"/>
  <c r="AG31" i="84" a="1"/>
  <c r="AF31" i="84" a="1"/>
  <c r="AE31" i="84" a="1"/>
  <c r="AD31" i="84" a="1"/>
  <c r="AC31" i="84" a="1"/>
  <c r="AB31" i="84" a="1"/>
  <c r="AA31" i="84" a="1"/>
  <c r="Z31" i="84" a="1"/>
  <c r="Y31" i="84" a="1"/>
  <c r="X31" i="84" a="1"/>
  <c r="W31" i="84" a="1"/>
  <c r="V31" i="84" a="1"/>
  <c r="U31" i="84" a="1"/>
  <c r="T31" i="84" a="1"/>
  <c r="S31" i="84" a="1"/>
  <c r="R31" i="84" a="1"/>
  <c r="Q31" i="84" a="1"/>
  <c r="P31" i="84" a="1"/>
  <c r="O31" i="84" a="1"/>
  <c r="N31" i="84" a="1"/>
  <c r="M31" i="84" a="1"/>
  <c r="L31" i="84" a="1"/>
  <c r="J31" i="84" a="1"/>
  <c r="G31" i="84"/>
  <c r="AK30" i="84" a="1"/>
  <c r="AJ30" i="84" a="1"/>
  <c r="AI30" i="84" a="1"/>
  <c r="AH30" i="84" a="1"/>
  <c r="AG30" i="84" a="1"/>
  <c r="AF30" i="84" a="1"/>
  <c r="AE30" i="84" a="1"/>
  <c r="AD30" i="84" a="1"/>
  <c r="AC30" i="84" a="1"/>
  <c r="AB30" i="84" a="1"/>
  <c r="AA30" i="84" a="1"/>
  <c r="Z30" i="84" a="1"/>
  <c r="Y30" i="84" a="1"/>
  <c r="X30" i="84" a="1"/>
  <c r="W30" i="84" a="1"/>
  <c r="V30" i="84" a="1"/>
  <c r="U30" i="84" a="1"/>
  <c r="T30" i="84" a="1"/>
  <c r="S30" i="84" a="1"/>
  <c r="R30" i="84" a="1"/>
  <c r="Q30" i="84" a="1"/>
  <c r="P30" i="84" a="1"/>
  <c r="O30" i="84" a="1"/>
  <c r="N30" i="84" a="1"/>
  <c r="M30" i="84" a="1"/>
  <c r="L30" i="84" a="1"/>
  <c r="J30" i="84" a="1"/>
  <c r="G30" i="84"/>
  <c r="AK29" i="84" a="1"/>
  <c r="AJ29" i="84" a="1"/>
  <c r="AI29" i="84" a="1"/>
  <c r="AH29" i="84" a="1"/>
  <c r="AG29" i="84" a="1"/>
  <c r="AF29" i="84" a="1"/>
  <c r="AE29" i="84" a="1"/>
  <c r="AD29" i="84" a="1"/>
  <c r="AC29" i="84" a="1"/>
  <c r="AB29" i="84" a="1"/>
  <c r="AA29" i="84" a="1"/>
  <c r="Z29" i="84" a="1"/>
  <c r="Y29" i="84" a="1"/>
  <c r="X29" i="84" a="1"/>
  <c r="W29" i="84" a="1"/>
  <c r="V29" i="84" a="1"/>
  <c r="U29" i="84" a="1"/>
  <c r="T29" i="84" a="1"/>
  <c r="S29" i="84" a="1"/>
  <c r="R29" i="84" a="1"/>
  <c r="Q29" i="84" a="1"/>
  <c r="P29" i="84" a="1"/>
  <c r="O29" i="84" a="1"/>
  <c r="N29" i="84" a="1"/>
  <c r="M29" i="84" a="1"/>
  <c r="L29" i="84" a="1"/>
  <c r="J29" i="84" a="1"/>
  <c r="G29" i="84"/>
  <c r="AK28" i="84" a="1"/>
  <c r="AJ28" i="84" a="1"/>
  <c r="AI28" i="84" a="1"/>
  <c r="AH28" i="84" a="1"/>
  <c r="AG28" i="84" a="1"/>
  <c r="AF28" i="84" a="1"/>
  <c r="AE28" i="84" a="1"/>
  <c r="AD28" i="84" a="1"/>
  <c r="AC28" i="84" a="1"/>
  <c r="AB28" i="84" a="1"/>
  <c r="AA28" i="84" a="1"/>
  <c r="Z28" i="84" a="1"/>
  <c r="Y28" i="84" a="1"/>
  <c r="X28" i="84" a="1"/>
  <c r="W28" i="84" a="1"/>
  <c r="V28" i="84" a="1"/>
  <c r="U28" i="84" a="1"/>
  <c r="T28" i="84" a="1"/>
  <c r="S28" i="84" a="1"/>
  <c r="R28" i="84" a="1"/>
  <c r="Q28" i="84" a="1"/>
  <c r="P28" i="84" a="1"/>
  <c r="O28" i="84" a="1"/>
  <c r="N28" i="84" a="1"/>
  <c r="M28" i="84" a="1"/>
  <c r="L28" i="84" a="1"/>
  <c r="J28" i="84" a="1"/>
  <c r="G28" i="84"/>
  <c r="AK27" i="84" a="1"/>
  <c r="AJ27" i="84" a="1"/>
  <c r="AI27" i="84" a="1"/>
  <c r="AH27" i="84" a="1"/>
  <c r="AG27" i="84" a="1"/>
  <c r="AF27" i="84" a="1"/>
  <c r="AE27" i="84" a="1"/>
  <c r="AD27" i="84" a="1"/>
  <c r="AC27" i="84" a="1"/>
  <c r="AB27" i="84" a="1"/>
  <c r="AA27" i="84" a="1"/>
  <c r="Z27" i="84" a="1"/>
  <c r="Y27" i="84" a="1"/>
  <c r="X27" i="84" a="1"/>
  <c r="W27" i="84" a="1"/>
  <c r="V27" i="84" a="1"/>
  <c r="U27" i="84" a="1"/>
  <c r="T27" i="84" a="1"/>
  <c r="S27" i="84" a="1"/>
  <c r="R27" i="84" a="1"/>
  <c r="Q27" i="84" a="1"/>
  <c r="P27" i="84" a="1"/>
  <c r="O27" i="84" a="1"/>
  <c r="N27" i="84" a="1"/>
  <c r="M27" i="84" a="1"/>
  <c r="L27" i="84" a="1"/>
  <c r="J27" i="84" a="1"/>
  <c r="G27" i="84"/>
  <c r="AK26" i="84" a="1"/>
  <c r="AJ26" i="84" a="1"/>
  <c r="AI26" i="84" a="1"/>
  <c r="AH26" i="84" a="1"/>
  <c r="AG26" i="84" a="1"/>
  <c r="AF26" i="84" a="1"/>
  <c r="AE26" i="84" a="1"/>
  <c r="AD26" i="84" a="1"/>
  <c r="AC26" i="84" a="1"/>
  <c r="AB26" i="84" a="1"/>
  <c r="AA26" i="84" a="1"/>
  <c r="Z26" i="84" a="1"/>
  <c r="Y26" i="84" a="1"/>
  <c r="X26" i="84" a="1"/>
  <c r="W26" i="84" a="1"/>
  <c r="V26" i="84" a="1"/>
  <c r="U26" i="84" a="1"/>
  <c r="T26" i="84" a="1"/>
  <c r="S26" i="84" a="1"/>
  <c r="R26" i="84" a="1"/>
  <c r="Q26" i="84" a="1"/>
  <c r="P26" i="84" a="1"/>
  <c r="O26" i="84" a="1"/>
  <c r="N26" i="84" a="1"/>
  <c r="M26" i="84" a="1"/>
  <c r="L26" i="84" a="1"/>
  <c r="J26" i="84" a="1"/>
  <c r="G26" i="84"/>
  <c r="AK25" i="84" a="1"/>
  <c r="AJ25" i="84" a="1"/>
  <c r="AI25" i="84" a="1"/>
  <c r="AH25" i="84" a="1"/>
  <c r="AG25" i="84" a="1"/>
  <c r="AF25" i="84" a="1"/>
  <c r="AE25" i="84" a="1"/>
  <c r="AD25" i="84" a="1"/>
  <c r="AC25" i="84" a="1"/>
  <c r="AB25" i="84" a="1"/>
  <c r="AA25" i="84" a="1"/>
  <c r="Z25" i="84" a="1"/>
  <c r="Y25" i="84" a="1"/>
  <c r="X25" i="84" a="1"/>
  <c r="W25" i="84" a="1"/>
  <c r="V25" i="84" a="1"/>
  <c r="U25" i="84" a="1"/>
  <c r="T25" i="84" a="1"/>
  <c r="S25" i="84" a="1"/>
  <c r="R25" i="84" a="1"/>
  <c r="Q25" i="84" a="1"/>
  <c r="P25" i="84" a="1"/>
  <c r="O25" i="84" a="1"/>
  <c r="N25" i="84" a="1"/>
  <c r="M25" i="84" a="1"/>
  <c r="L25" i="84" a="1"/>
  <c r="J25" i="84" a="1"/>
  <c r="G25" i="84"/>
  <c r="AK24" i="84" a="1"/>
  <c r="AJ24" i="84" a="1"/>
  <c r="AI24" i="84" a="1"/>
  <c r="AH24" i="84" a="1"/>
  <c r="AG24" i="84" a="1"/>
  <c r="AF24" i="84" a="1"/>
  <c r="AE24" i="84" a="1"/>
  <c r="AD24" i="84" a="1"/>
  <c r="AC24" i="84" a="1"/>
  <c r="AB24" i="84" a="1"/>
  <c r="AA24" i="84" a="1"/>
  <c r="Z24" i="84" a="1"/>
  <c r="Y24" i="84" a="1"/>
  <c r="X24" i="84" a="1"/>
  <c r="W24" i="84" a="1"/>
  <c r="V24" i="84" a="1"/>
  <c r="U24" i="84" a="1"/>
  <c r="T24" i="84" a="1"/>
  <c r="S24" i="84" a="1"/>
  <c r="R24" i="84" a="1"/>
  <c r="Q24" i="84" a="1"/>
  <c r="P24" i="84" a="1"/>
  <c r="O24" i="84" a="1"/>
  <c r="N24" i="84" a="1"/>
  <c r="M24" i="84" a="1"/>
  <c r="L24" i="84" a="1"/>
  <c r="J24" i="84" a="1"/>
  <c r="G24" i="84"/>
  <c r="AK23" i="84" a="1"/>
  <c r="AJ23" i="84" a="1"/>
  <c r="AI23" i="84" a="1"/>
  <c r="AH23" i="84" a="1"/>
  <c r="AG23" i="84" a="1"/>
  <c r="AF23" i="84" a="1"/>
  <c r="AE23" i="84" a="1"/>
  <c r="AD23" i="84" a="1"/>
  <c r="AC23" i="84" a="1"/>
  <c r="AB23" i="84" a="1"/>
  <c r="AA23" i="84" a="1"/>
  <c r="Z23" i="84" a="1"/>
  <c r="Y23" i="84" a="1"/>
  <c r="X23" i="84" a="1"/>
  <c r="W23" i="84" a="1"/>
  <c r="V23" i="84" a="1"/>
  <c r="U23" i="84" a="1"/>
  <c r="T23" i="84" a="1"/>
  <c r="S23" i="84" a="1"/>
  <c r="R23" i="84" a="1"/>
  <c r="Q23" i="84" a="1"/>
  <c r="P23" i="84" a="1"/>
  <c r="O23" i="84" a="1"/>
  <c r="N23" i="84" a="1"/>
  <c r="M23" i="84" a="1"/>
  <c r="L23" i="84" a="1"/>
  <c r="J23" i="84" a="1"/>
  <c r="G23" i="84"/>
  <c r="AK22" i="84" a="1"/>
  <c r="AJ22" i="84" a="1"/>
  <c r="AI22" i="84" a="1"/>
  <c r="AH22" i="84" a="1"/>
  <c r="AG22" i="84" a="1"/>
  <c r="AF22" i="84" a="1"/>
  <c r="AE22" i="84" a="1"/>
  <c r="AD22" i="84" a="1"/>
  <c r="AC22" i="84" a="1"/>
  <c r="AB22" i="84" a="1"/>
  <c r="AA22" i="84" a="1"/>
  <c r="Z22" i="84" a="1"/>
  <c r="Y22" i="84" a="1"/>
  <c r="X22" i="84" a="1"/>
  <c r="W22" i="84" a="1"/>
  <c r="V22" i="84" a="1"/>
  <c r="U22" i="84" a="1"/>
  <c r="T22" i="84" a="1"/>
  <c r="S22" i="84" a="1"/>
  <c r="R22" i="84" a="1"/>
  <c r="Q22" i="84" a="1"/>
  <c r="P22" i="84" a="1"/>
  <c r="O22" i="84" a="1"/>
  <c r="N22" i="84" a="1"/>
  <c r="M22" i="84" a="1"/>
  <c r="L22" i="84" a="1"/>
  <c r="J22" i="84" a="1"/>
  <c r="G22" i="84"/>
  <c r="AK21" i="84" a="1"/>
  <c r="AJ21" i="84" a="1"/>
  <c r="AI21" i="84" a="1"/>
  <c r="AH21" i="84" a="1"/>
  <c r="AG21" i="84" a="1"/>
  <c r="AF21" i="84" a="1"/>
  <c r="AE21" i="84" a="1"/>
  <c r="AD21" i="84" a="1"/>
  <c r="AC21" i="84" a="1"/>
  <c r="AB21" i="84" a="1"/>
  <c r="AA21" i="84" a="1"/>
  <c r="Z21" i="84" a="1"/>
  <c r="Y21" i="84" a="1"/>
  <c r="X21" i="84" a="1"/>
  <c r="W21" i="84" a="1"/>
  <c r="V21" i="84" a="1"/>
  <c r="U21" i="84" a="1"/>
  <c r="T21" i="84" a="1"/>
  <c r="S21" i="84" a="1"/>
  <c r="R21" i="84" a="1"/>
  <c r="Q21" i="84" a="1"/>
  <c r="P21" i="84" a="1"/>
  <c r="O21" i="84" a="1"/>
  <c r="N21" i="84" a="1"/>
  <c r="M21" i="84" a="1"/>
  <c r="L21" i="84" a="1"/>
  <c r="J21" i="84" a="1"/>
  <c r="G21" i="84"/>
  <c r="AK20" i="84" a="1"/>
  <c r="AJ20" i="84" a="1"/>
  <c r="AI20" i="84" a="1"/>
  <c r="AH20" i="84" a="1"/>
  <c r="AG20" i="84" a="1"/>
  <c r="AF20" i="84" a="1"/>
  <c r="AE20" i="84" a="1"/>
  <c r="AD20" i="84" a="1"/>
  <c r="AC20" i="84" a="1"/>
  <c r="AB20" i="84" a="1"/>
  <c r="AA20" i="84" a="1"/>
  <c r="Z20" i="84" a="1"/>
  <c r="Y20" i="84" a="1"/>
  <c r="X20" i="84" a="1"/>
  <c r="W20" i="84" a="1"/>
  <c r="V20" i="84" a="1"/>
  <c r="U20" i="84" a="1"/>
  <c r="T20" i="84" a="1"/>
  <c r="S20" i="84" a="1"/>
  <c r="R20" i="84" a="1"/>
  <c r="Q20" i="84" a="1"/>
  <c r="P20" i="84" a="1"/>
  <c r="O20" i="84" a="1"/>
  <c r="N20" i="84" a="1"/>
  <c r="M20" i="84" a="1"/>
  <c r="L20" i="84" a="1"/>
  <c r="J20" i="84" a="1"/>
  <c r="G20" i="84"/>
  <c r="AK19" i="84" a="1"/>
  <c r="AJ19" i="84" a="1"/>
  <c r="AI19" i="84" a="1"/>
  <c r="AH19" i="84" a="1"/>
  <c r="AG19" i="84" a="1"/>
  <c r="AF19" i="84" a="1"/>
  <c r="AE19" i="84" a="1"/>
  <c r="AD19" i="84" a="1"/>
  <c r="AC19" i="84" a="1"/>
  <c r="AB19" i="84" a="1"/>
  <c r="AA19" i="84" a="1"/>
  <c r="Z19" i="84" a="1"/>
  <c r="Y19" i="84" a="1"/>
  <c r="X19" i="84" a="1"/>
  <c r="W19" i="84" a="1"/>
  <c r="V19" i="84" a="1"/>
  <c r="U19" i="84" a="1"/>
  <c r="T19" i="84" a="1"/>
  <c r="S19" i="84" a="1"/>
  <c r="R19" i="84" a="1"/>
  <c r="Q19" i="84" a="1"/>
  <c r="P19" i="84" a="1"/>
  <c r="O19" i="84" a="1"/>
  <c r="N19" i="84" a="1"/>
  <c r="M19" i="84" a="1"/>
  <c r="L19" i="84" a="1"/>
  <c r="J19" i="84" a="1"/>
  <c r="G19" i="84"/>
  <c r="AK18" i="84" a="1"/>
  <c r="AJ18" i="84" a="1"/>
  <c r="AI18" i="84" a="1"/>
  <c r="AH18" i="84" a="1"/>
  <c r="AG18" i="84" a="1"/>
  <c r="AF18" i="84" a="1"/>
  <c r="AE18" i="84" a="1"/>
  <c r="AD18" i="84" a="1"/>
  <c r="AC18" i="84" a="1"/>
  <c r="AB18" i="84" a="1"/>
  <c r="AA18" i="84" a="1"/>
  <c r="Z18" i="84" a="1"/>
  <c r="Y18" i="84" a="1"/>
  <c r="X18" i="84" a="1"/>
  <c r="W18" i="84" a="1"/>
  <c r="V18" i="84" a="1"/>
  <c r="U18" i="84" a="1"/>
  <c r="T18" i="84" a="1"/>
  <c r="S18" i="84" a="1"/>
  <c r="R18" i="84" a="1"/>
  <c r="Q18" i="84" a="1"/>
  <c r="P18" i="84" a="1"/>
  <c r="O18" i="84" a="1"/>
  <c r="N18" i="84" a="1"/>
  <c r="M18" i="84" a="1"/>
  <c r="L18" i="84" a="1"/>
  <c r="J18" i="84" a="1"/>
  <c r="G18" i="84"/>
  <c r="AK17" i="84" a="1"/>
  <c r="AJ17" i="84" a="1"/>
  <c r="AI17" i="84" a="1"/>
  <c r="AH17" i="84" a="1"/>
  <c r="AG17" i="84" a="1"/>
  <c r="AF17" i="84" a="1"/>
  <c r="AE17" i="84" a="1"/>
  <c r="AD17" i="84" a="1"/>
  <c r="AC17" i="84" a="1"/>
  <c r="AB17" i="84" a="1"/>
  <c r="AA17" i="84" a="1"/>
  <c r="Z17" i="84" a="1"/>
  <c r="Y17" i="84" a="1"/>
  <c r="X17" i="84" a="1"/>
  <c r="W17" i="84" a="1"/>
  <c r="V17" i="84" a="1"/>
  <c r="U17" i="84" a="1"/>
  <c r="T17" i="84" a="1"/>
  <c r="S17" i="84" a="1"/>
  <c r="R17" i="84" a="1"/>
  <c r="Q17" i="84" a="1"/>
  <c r="P17" i="84" a="1"/>
  <c r="O17" i="84" a="1"/>
  <c r="N17" i="84" a="1"/>
  <c r="M17" i="84" a="1"/>
  <c r="L17" i="84" a="1"/>
  <c r="J17" i="84" a="1"/>
  <c r="G17" i="84"/>
  <c r="AK16" i="84" a="1"/>
  <c r="AJ16" i="84" a="1"/>
  <c r="AI16" i="84" a="1"/>
  <c r="AH16" i="84" a="1"/>
  <c r="AG16" i="84" a="1"/>
  <c r="AF16" i="84" a="1"/>
  <c r="AE16" i="84" a="1"/>
  <c r="AD16" i="84" a="1"/>
  <c r="AC16" i="84" a="1"/>
  <c r="AB16" i="84" a="1"/>
  <c r="AA16" i="84" a="1"/>
  <c r="Z16" i="84" a="1"/>
  <c r="Y16" i="84" a="1"/>
  <c r="X16" i="84" a="1"/>
  <c r="W16" i="84" a="1"/>
  <c r="V16" i="84" a="1"/>
  <c r="U16" i="84" a="1"/>
  <c r="T16" i="84" a="1"/>
  <c r="S16" i="84" a="1"/>
  <c r="R16" i="84" a="1"/>
  <c r="Q16" i="84" a="1"/>
  <c r="P16" i="84" a="1"/>
  <c r="O16" i="84" a="1"/>
  <c r="N16" i="84" a="1"/>
  <c r="M16" i="84" a="1"/>
  <c r="L16" i="84" a="1"/>
  <c r="J16" i="84" a="1"/>
  <c r="G16" i="84"/>
  <c r="AK15" i="84" a="1"/>
  <c r="AJ15" i="84" a="1"/>
  <c r="AI15" i="84" a="1"/>
  <c r="AH15" i="84" a="1"/>
  <c r="AG15" i="84" a="1"/>
  <c r="AF15" i="84" a="1"/>
  <c r="AE15" i="84" a="1"/>
  <c r="AD15" i="84" a="1"/>
  <c r="AC15" i="84" a="1"/>
  <c r="AB15" i="84" a="1"/>
  <c r="AA15" i="84" a="1"/>
  <c r="Z15" i="84" a="1"/>
  <c r="Y15" i="84" a="1"/>
  <c r="X15" i="84" a="1"/>
  <c r="W15" i="84" a="1"/>
  <c r="V15" i="84" a="1"/>
  <c r="U15" i="84" a="1"/>
  <c r="T15" i="84" a="1"/>
  <c r="S15" i="84" a="1"/>
  <c r="R15" i="84" a="1"/>
  <c r="Q15" i="84" a="1"/>
  <c r="P15" i="84" a="1"/>
  <c r="O15" i="84" a="1"/>
  <c r="N15" i="84" a="1"/>
  <c r="M15" i="84" a="1"/>
  <c r="L15" i="84" a="1"/>
  <c r="J15" i="84" a="1"/>
  <c r="G15" i="84"/>
  <c r="AK14" i="84" a="1"/>
  <c r="AJ14" i="84" a="1"/>
  <c r="AI14" i="84" a="1"/>
  <c r="AH14" i="84" a="1"/>
  <c r="AG14" i="84" a="1"/>
  <c r="AF14" i="84" a="1"/>
  <c r="AE14" i="84" a="1"/>
  <c r="AD14" i="84" a="1"/>
  <c r="AC14" i="84" a="1"/>
  <c r="AB14" i="84" a="1"/>
  <c r="AA14" i="84" a="1"/>
  <c r="Z14" i="84" a="1"/>
  <c r="Y14" i="84" a="1"/>
  <c r="X14" i="84" a="1"/>
  <c r="W14" i="84" a="1"/>
  <c r="V14" i="84" a="1"/>
  <c r="U14" i="84" a="1"/>
  <c r="T14" i="84" a="1"/>
  <c r="S14" i="84" a="1"/>
  <c r="R14" i="84" a="1"/>
  <c r="Q14" i="84" a="1"/>
  <c r="P14" i="84" a="1"/>
  <c r="O14" i="84" a="1"/>
  <c r="N14" i="84" a="1"/>
  <c r="M14" i="84" a="1"/>
  <c r="L14" i="84" a="1"/>
  <c r="J14" i="84" a="1"/>
  <c r="G14" i="84"/>
  <c r="AK13" i="84" a="1"/>
  <c r="AJ13" i="84" a="1"/>
  <c r="AI13" i="84" a="1"/>
  <c r="AH13" i="84" a="1"/>
  <c r="AG13" i="84" a="1"/>
  <c r="AF13" i="84" a="1"/>
  <c r="AE13" i="84" a="1"/>
  <c r="AD13" i="84" a="1"/>
  <c r="AC13" i="84" a="1"/>
  <c r="AB13" i="84" a="1"/>
  <c r="AA13" i="84" a="1"/>
  <c r="Z13" i="84" a="1"/>
  <c r="Y13" i="84" a="1"/>
  <c r="X13" i="84" a="1"/>
  <c r="W13" i="84" a="1"/>
  <c r="V13" i="84" a="1"/>
  <c r="U13" i="84" a="1"/>
  <c r="T13" i="84" a="1"/>
  <c r="S13" i="84" a="1"/>
  <c r="R13" i="84" a="1"/>
  <c r="Q13" i="84" a="1"/>
  <c r="P13" i="84" a="1"/>
  <c r="O13" i="84" a="1"/>
  <c r="N13" i="84" a="1"/>
  <c r="M13" i="84" a="1"/>
  <c r="L13" i="84" a="1"/>
  <c r="J13" i="84" a="1"/>
  <c r="G13" i="84"/>
  <c r="AK12" i="84" a="1"/>
  <c r="AJ12" i="84" a="1"/>
  <c r="AI12" i="84" a="1"/>
  <c r="AH12" i="84" a="1"/>
  <c r="AG12" i="84" a="1"/>
  <c r="AF12" i="84" a="1"/>
  <c r="AE12" i="84" a="1"/>
  <c r="AD12" i="84" a="1"/>
  <c r="AC12" i="84" a="1"/>
  <c r="AB12" i="84" a="1"/>
  <c r="AA12" i="84" a="1"/>
  <c r="Z12" i="84" a="1"/>
  <c r="Y12" i="84" a="1"/>
  <c r="X12" i="84" a="1"/>
  <c r="W12" i="84" a="1"/>
  <c r="V12" i="84" a="1"/>
  <c r="U12" i="84" a="1"/>
  <c r="T12" i="84" a="1"/>
  <c r="S12" i="84" a="1"/>
  <c r="R12" i="84" a="1"/>
  <c r="Q12" i="84" a="1"/>
  <c r="P12" i="84" a="1"/>
  <c r="O12" i="84" a="1"/>
  <c r="N12" i="84" a="1"/>
  <c r="M12" i="84" a="1"/>
  <c r="L12" i="84" a="1"/>
  <c r="J12" i="84" a="1"/>
  <c r="G12" i="84"/>
  <c r="AK11" i="84" a="1"/>
  <c r="AJ11" i="84" a="1"/>
  <c r="AI11" i="84" a="1"/>
  <c r="AH11" i="84" a="1"/>
  <c r="AG11" i="84" a="1"/>
  <c r="AF11" i="84" a="1"/>
  <c r="AE11" i="84" a="1"/>
  <c r="AD11" i="84" a="1"/>
  <c r="AC11" i="84" a="1"/>
  <c r="AB11" i="84" a="1"/>
  <c r="AA11" i="84" a="1"/>
  <c r="Z11" i="84" a="1"/>
  <c r="Y11" i="84" a="1"/>
  <c r="X11" i="84" a="1"/>
  <c r="W11" i="84" a="1"/>
  <c r="V11" i="84" a="1"/>
  <c r="U11" i="84" a="1"/>
  <c r="T11" i="84" a="1"/>
  <c r="S11" i="84" a="1"/>
  <c r="R11" i="84" a="1"/>
  <c r="Q11" i="84" a="1"/>
  <c r="P11" i="84" a="1"/>
  <c r="O11" i="84" a="1"/>
  <c r="N11" i="84" a="1"/>
  <c r="M11" i="84" a="1"/>
  <c r="L11" i="84" a="1"/>
  <c r="J11" i="84" a="1"/>
  <c r="G11" i="84"/>
  <c r="AK10" i="84" a="1"/>
  <c r="AJ10" i="84" a="1"/>
  <c r="AI10" i="84" a="1"/>
  <c r="AH10" i="84" a="1"/>
  <c r="AG10" i="84" a="1"/>
  <c r="AF10" i="84" a="1"/>
  <c r="AE10" i="84" a="1"/>
  <c r="AD10" i="84" a="1"/>
  <c r="AC10" i="84" a="1"/>
  <c r="AB10" i="84" a="1"/>
  <c r="AA10" i="84" a="1"/>
  <c r="Z10" i="84" a="1"/>
  <c r="Y10" i="84" a="1"/>
  <c r="X10" i="84" a="1"/>
  <c r="W10" i="84" a="1"/>
  <c r="V10" i="84" a="1"/>
  <c r="U10" i="84" a="1"/>
  <c r="T10" i="84" a="1"/>
  <c r="S10" i="84" a="1"/>
  <c r="R10" i="84" a="1"/>
  <c r="Q10" i="84" a="1"/>
  <c r="P10" i="84" a="1"/>
  <c r="O10" i="84" a="1"/>
  <c r="N10" i="84" a="1"/>
  <c r="M10" i="84" a="1"/>
  <c r="L10" i="84" a="1"/>
  <c r="J10" i="84" a="1"/>
  <c r="G10" i="84"/>
  <c r="AK9" i="84" a="1"/>
  <c r="AJ9" i="84" a="1"/>
  <c r="AI9" i="84" a="1"/>
  <c r="AH9" i="84" a="1"/>
  <c r="AG9" i="84" a="1"/>
  <c r="AF9" i="84" a="1"/>
  <c r="AE9" i="84" a="1"/>
  <c r="AD9" i="84" a="1"/>
  <c r="AC9" i="84" a="1"/>
  <c r="AB9" i="84" a="1"/>
  <c r="AA9" i="84" a="1"/>
  <c r="Z9" i="84" a="1"/>
  <c r="Y9" i="84" a="1"/>
  <c r="X9" i="84" a="1"/>
  <c r="W9" i="84" a="1"/>
  <c r="V9" i="84" a="1"/>
  <c r="U9" i="84" a="1"/>
  <c r="T9" i="84" a="1"/>
  <c r="S9" i="84" a="1"/>
  <c r="R9" i="84" a="1"/>
  <c r="Q9" i="84" a="1"/>
  <c r="P9" i="84" a="1"/>
  <c r="O9" i="84" a="1"/>
  <c r="N9" i="84" a="1"/>
  <c r="M9" i="84" a="1"/>
  <c r="L9" i="84" a="1"/>
  <c r="J9" i="84" a="1"/>
  <c r="G9" i="84"/>
  <c r="AK8" i="84" a="1"/>
  <c r="AJ8" i="84" a="1"/>
  <c r="AI8" i="84" a="1"/>
  <c r="AH8" i="84" a="1"/>
  <c r="AG8" i="84" a="1"/>
  <c r="AF8" i="84" a="1"/>
  <c r="AE8" i="84" a="1"/>
  <c r="AD8" i="84" a="1"/>
  <c r="AC8" i="84" a="1"/>
  <c r="AB8" i="84" a="1"/>
  <c r="AA8" i="84" a="1"/>
  <c r="Z8" i="84" a="1"/>
  <c r="Y8" i="84" a="1"/>
  <c r="X8" i="84" a="1"/>
  <c r="W8" i="84" a="1"/>
  <c r="V8" i="84" a="1"/>
  <c r="U8" i="84" a="1"/>
  <c r="T8" i="84" a="1"/>
  <c r="S8" i="84" a="1"/>
  <c r="R8" i="84" a="1"/>
  <c r="Q8" i="84" a="1"/>
  <c r="P8" i="84" a="1"/>
  <c r="O8" i="84" a="1"/>
  <c r="N8" i="84" a="1"/>
  <c r="M8" i="84" a="1"/>
  <c r="L8" i="84" a="1"/>
  <c r="J8" i="84" a="1"/>
  <c r="G8" i="84"/>
  <c r="AK7" i="84" a="1"/>
  <c r="AJ7" i="84" a="1"/>
  <c r="AI7" i="84" a="1"/>
  <c r="AH7" i="84" a="1"/>
  <c r="AG7" i="84" a="1"/>
  <c r="AF7" i="84" a="1"/>
  <c r="AE7" i="84" a="1"/>
  <c r="AD7" i="84" a="1"/>
  <c r="AC7" i="84" a="1"/>
  <c r="AB7" i="84" a="1"/>
  <c r="AA7" i="84" a="1"/>
  <c r="Z7" i="84" a="1"/>
  <c r="Y7" i="84" a="1"/>
  <c r="X7" i="84" a="1"/>
  <c r="W7" i="84" a="1"/>
  <c r="V7" i="84" a="1"/>
  <c r="U7" i="84" a="1"/>
  <c r="T7" i="84" a="1"/>
  <c r="S7" i="84" a="1"/>
  <c r="R7" i="84" a="1"/>
  <c r="Q7" i="84" a="1"/>
  <c r="P7" i="84" a="1"/>
  <c r="O7" i="84" a="1"/>
  <c r="N7" i="84" a="1"/>
  <c r="M7" i="84" a="1"/>
  <c r="L7" i="84" a="1"/>
  <c r="J7" i="84" a="1"/>
  <c r="G7" i="84"/>
  <c r="AK6" i="84" a="1"/>
  <c r="AJ6" i="84" a="1"/>
  <c r="AI6" i="84" a="1"/>
  <c r="AH6" i="84" a="1"/>
  <c r="AG6" i="84" a="1"/>
  <c r="AF6" i="84" a="1"/>
  <c r="AE6" i="84" a="1"/>
  <c r="AD6" i="84" a="1"/>
  <c r="AC6" i="84" a="1"/>
  <c r="AB6" i="84" a="1"/>
  <c r="AA6" i="84" a="1"/>
  <c r="Z6" i="84" a="1"/>
  <c r="Y6" i="84" a="1"/>
  <c r="X6" i="84" a="1"/>
  <c r="W6" i="84" a="1"/>
  <c r="V6" i="84" a="1"/>
  <c r="U6" i="84" a="1"/>
  <c r="T6" i="84" a="1"/>
  <c r="S6" i="84" a="1"/>
  <c r="R6" i="84" a="1"/>
  <c r="Q6" i="84" a="1"/>
  <c r="P6" i="84" a="1"/>
  <c r="O6" i="84" a="1"/>
  <c r="N6" i="84" a="1"/>
  <c r="M6" i="84" a="1"/>
  <c r="L6" i="84" a="1"/>
  <c r="J6" i="84" a="1"/>
  <c r="G6" i="84"/>
  <c r="AK5" i="84" a="1"/>
  <c r="AJ5" i="84" a="1"/>
  <c r="AI5" i="84" a="1"/>
  <c r="AH5" i="84" a="1"/>
  <c r="AG5" i="84" a="1"/>
  <c r="AF5" i="84" a="1"/>
  <c r="AE5" i="84" a="1"/>
  <c r="AD5" i="84" a="1"/>
  <c r="AC5" i="84" a="1"/>
  <c r="AB5" i="84" a="1"/>
  <c r="AA5" i="84" a="1"/>
  <c r="Z5" i="84" a="1"/>
  <c r="Y5" i="84" a="1"/>
  <c r="X5" i="84" a="1"/>
  <c r="W5" i="84" a="1"/>
  <c r="V5" i="84" a="1"/>
  <c r="U5" i="84" a="1"/>
  <c r="T5" i="84" a="1"/>
  <c r="S5" i="84" a="1"/>
  <c r="R5" i="84" a="1"/>
  <c r="Q5" i="84" a="1"/>
  <c r="P5" i="84" a="1"/>
  <c r="O5" i="84" a="1"/>
  <c r="N5" i="84" a="1"/>
  <c r="M5" i="84" a="1"/>
  <c r="L5" i="84" a="1"/>
  <c r="J5" i="84" a="1"/>
  <c r="G5" i="84"/>
  <c r="AK4" i="84" a="1"/>
  <c r="AJ4" i="84" a="1"/>
  <c r="AI4" i="84" a="1"/>
  <c r="AH4" i="84" a="1"/>
  <c r="AG4" i="84" a="1"/>
  <c r="AF4" i="84" a="1"/>
  <c r="AE4" i="84" a="1"/>
  <c r="AD4" i="84" a="1"/>
  <c r="AC4" i="84" a="1"/>
  <c r="AB4" i="84" a="1"/>
  <c r="AA4" i="84" a="1"/>
  <c r="Z4" i="84" a="1"/>
  <c r="Y4" i="84" a="1"/>
  <c r="X4" i="84" a="1"/>
  <c r="W4" i="84" a="1"/>
  <c r="V4" i="84" a="1"/>
  <c r="U4" i="84" a="1"/>
  <c r="T4" i="84" a="1"/>
  <c r="S4" i="84" a="1"/>
  <c r="R4" i="84" a="1"/>
  <c r="Q4" i="84" a="1"/>
  <c r="P4" i="84" a="1"/>
  <c r="O4" i="84" a="1"/>
  <c r="N4" i="84" a="1"/>
  <c r="M4" i="84" a="1"/>
  <c r="L4" i="84" a="1"/>
  <c r="J4" i="84" a="1"/>
  <c r="G4" i="84"/>
  <c r="AK3" i="84" a="1"/>
  <c r="AJ3" i="84" a="1"/>
  <c r="AI3" i="84" a="1"/>
  <c r="AH3" i="84" a="1"/>
  <c r="AG3" i="84" a="1"/>
  <c r="AF3" i="84" a="1"/>
  <c r="AE3" i="84" a="1"/>
  <c r="AD3" i="84" a="1"/>
  <c r="AC3" i="84" a="1"/>
  <c r="AB3" i="84" a="1"/>
  <c r="AA3" i="84" a="1"/>
  <c r="Z3" i="84" a="1"/>
  <c r="Y3" i="84" a="1"/>
  <c r="X3" i="84" a="1"/>
  <c r="W3" i="84" a="1"/>
  <c r="V3" i="84" a="1"/>
  <c r="U3" i="84" a="1"/>
  <c r="T3" i="84" a="1"/>
  <c r="S3" i="84" a="1"/>
  <c r="R3" i="84" a="1"/>
  <c r="Q3" i="84" a="1"/>
  <c r="P3" i="84" a="1"/>
  <c r="O3" i="84" a="1"/>
  <c r="N3" i="84" a="1"/>
  <c r="M3" i="84" a="1"/>
  <c r="L3" i="84" a="1"/>
  <c r="J3" i="84" a="1"/>
  <c r="G3" i="84"/>
  <c r="AN33" i="83"/>
  <c r="AK32" i="83" a="1"/>
  <c r="AJ32" i="83" a="1"/>
  <c r="AI32" i="83" a="1"/>
  <c r="AH32" i="83" a="1"/>
  <c r="AG32" i="83" a="1"/>
  <c r="AF32" i="83" a="1"/>
  <c r="AE32" i="83" a="1"/>
  <c r="AD32" i="83" a="1"/>
  <c r="AC32" i="83" a="1"/>
  <c r="AB32" i="83" a="1"/>
  <c r="AA32" i="83" a="1"/>
  <c r="Z32" i="83" a="1"/>
  <c r="Y32" i="83" a="1"/>
  <c r="X32" i="83" a="1"/>
  <c r="W32" i="83" a="1"/>
  <c r="V32" i="83" a="1"/>
  <c r="U32" i="83" a="1"/>
  <c r="T32" i="83" a="1"/>
  <c r="S32" i="83" a="1"/>
  <c r="R32" i="83" a="1"/>
  <c r="Q32" i="83" a="1"/>
  <c r="P32" i="83" a="1"/>
  <c r="O32" i="83" a="1"/>
  <c r="N32" i="83" a="1"/>
  <c r="M32" i="83" a="1"/>
  <c r="L32" i="83" a="1"/>
  <c r="J32" i="83" a="1"/>
  <c r="G32" i="83"/>
  <c r="AK31" i="83" a="1"/>
  <c r="AJ31" i="83" a="1"/>
  <c r="AI31" i="83" a="1"/>
  <c r="AH31" i="83" a="1"/>
  <c r="AG31" i="83" a="1"/>
  <c r="AF31" i="83" a="1"/>
  <c r="AE31" i="83" a="1"/>
  <c r="AD31" i="83" a="1"/>
  <c r="AC31" i="83" a="1"/>
  <c r="AB31" i="83" a="1"/>
  <c r="AA31" i="83" a="1"/>
  <c r="Z31" i="83" a="1"/>
  <c r="Y31" i="83" a="1"/>
  <c r="X31" i="83" a="1"/>
  <c r="W31" i="83" a="1"/>
  <c r="V31" i="83" a="1"/>
  <c r="U31" i="83" a="1"/>
  <c r="T31" i="83" a="1"/>
  <c r="S31" i="83" a="1"/>
  <c r="R31" i="83" a="1"/>
  <c r="Q31" i="83" a="1"/>
  <c r="P31" i="83" a="1"/>
  <c r="O31" i="83" a="1"/>
  <c r="N31" i="83" a="1"/>
  <c r="M31" i="83" a="1"/>
  <c r="L31" i="83" a="1"/>
  <c r="J31" i="83" a="1"/>
  <c r="G31" i="83"/>
  <c r="AK30" i="83" a="1"/>
  <c r="AJ30" i="83" a="1"/>
  <c r="AI30" i="83" a="1"/>
  <c r="AH30" i="83" a="1"/>
  <c r="AG30" i="83" a="1"/>
  <c r="AF30" i="83" a="1"/>
  <c r="AE30" i="83" a="1"/>
  <c r="AD30" i="83" a="1"/>
  <c r="AC30" i="83" a="1"/>
  <c r="AB30" i="83" a="1"/>
  <c r="AA30" i="83" a="1"/>
  <c r="Z30" i="83" a="1"/>
  <c r="Y30" i="83" a="1"/>
  <c r="X30" i="83" a="1"/>
  <c r="W30" i="83" a="1"/>
  <c r="V30" i="83" a="1"/>
  <c r="U30" i="83" a="1"/>
  <c r="T30" i="83" a="1"/>
  <c r="S30" i="83" a="1"/>
  <c r="R30" i="83" a="1"/>
  <c r="Q30" i="83" a="1"/>
  <c r="P30" i="83" a="1"/>
  <c r="O30" i="83" a="1"/>
  <c r="N30" i="83" a="1"/>
  <c r="M30" i="83" a="1"/>
  <c r="L30" i="83" a="1"/>
  <c r="J30" i="83" a="1"/>
  <c r="G30" i="83"/>
  <c r="AK29" i="83" a="1"/>
  <c r="AJ29" i="83" a="1"/>
  <c r="AI29" i="83" a="1"/>
  <c r="AH29" i="83" a="1"/>
  <c r="AG29" i="83" a="1"/>
  <c r="AF29" i="83" a="1"/>
  <c r="AE29" i="83" a="1"/>
  <c r="AD29" i="83" a="1"/>
  <c r="AC29" i="83" a="1"/>
  <c r="AB29" i="83" a="1"/>
  <c r="AA29" i="83" a="1"/>
  <c r="Z29" i="83" a="1"/>
  <c r="Y29" i="83" a="1"/>
  <c r="X29" i="83" a="1"/>
  <c r="W29" i="83" a="1"/>
  <c r="V29" i="83" a="1"/>
  <c r="U29" i="83" a="1"/>
  <c r="T29" i="83" a="1"/>
  <c r="S29" i="83" a="1"/>
  <c r="R29" i="83" a="1"/>
  <c r="Q29" i="83" a="1"/>
  <c r="P29" i="83" a="1"/>
  <c r="O29" i="83" a="1"/>
  <c r="N29" i="83" a="1"/>
  <c r="M29" i="83" a="1"/>
  <c r="L29" i="83" a="1"/>
  <c r="J29" i="83" a="1"/>
  <c r="G29" i="83"/>
  <c r="AK28" i="83" a="1"/>
  <c r="AJ28" i="83" a="1"/>
  <c r="AI28" i="83" a="1"/>
  <c r="AH28" i="83" a="1"/>
  <c r="AG28" i="83" a="1"/>
  <c r="AF28" i="83" a="1"/>
  <c r="AE28" i="83" a="1"/>
  <c r="AD28" i="83" a="1"/>
  <c r="AC28" i="83" a="1"/>
  <c r="AB28" i="83" a="1"/>
  <c r="AA28" i="83" a="1"/>
  <c r="Z28" i="83" a="1"/>
  <c r="Y28" i="83" a="1"/>
  <c r="X28" i="83" a="1"/>
  <c r="W28" i="83" a="1"/>
  <c r="V28" i="83" a="1"/>
  <c r="U28" i="83" a="1"/>
  <c r="T28" i="83" a="1"/>
  <c r="S28" i="83" a="1"/>
  <c r="R28" i="83" a="1"/>
  <c r="Q28" i="83" a="1"/>
  <c r="P28" i="83" a="1"/>
  <c r="O28" i="83" a="1"/>
  <c r="N28" i="83" a="1"/>
  <c r="M28" i="83" a="1"/>
  <c r="L28" i="83" a="1"/>
  <c r="J28" i="83" a="1"/>
  <c r="G28" i="83"/>
  <c r="AK27" i="83" a="1"/>
  <c r="AJ27" i="83" a="1"/>
  <c r="AI27" i="83" a="1"/>
  <c r="AH27" i="83" a="1"/>
  <c r="AG27" i="83" a="1"/>
  <c r="AF27" i="83" a="1"/>
  <c r="AE27" i="83" a="1"/>
  <c r="AD27" i="83" a="1"/>
  <c r="AC27" i="83" a="1"/>
  <c r="AB27" i="83" a="1"/>
  <c r="AA27" i="83" a="1"/>
  <c r="Z27" i="83" a="1"/>
  <c r="Y27" i="83" a="1"/>
  <c r="X27" i="83" a="1"/>
  <c r="W27" i="83" a="1"/>
  <c r="V27" i="83" a="1"/>
  <c r="U27" i="83" a="1"/>
  <c r="T27" i="83" a="1"/>
  <c r="S27" i="83" a="1"/>
  <c r="R27" i="83" a="1"/>
  <c r="Q27" i="83" a="1"/>
  <c r="P27" i="83" a="1"/>
  <c r="O27" i="83" a="1"/>
  <c r="N27" i="83" a="1"/>
  <c r="M27" i="83" a="1"/>
  <c r="L27" i="83" a="1"/>
  <c r="J27" i="83" a="1"/>
  <c r="G27" i="83"/>
  <c r="AK26" i="83" a="1"/>
  <c r="AJ26" i="83" a="1"/>
  <c r="AI26" i="83" a="1"/>
  <c r="AH26" i="83" a="1"/>
  <c r="AG26" i="83" a="1"/>
  <c r="AF26" i="83" a="1"/>
  <c r="AE26" i="83" a="1"/>
  <c r="AD26" i="83" a="1"/>
  <c r="AC26" i="83" a="1"/>
  <c r="AB26" i="83" a="1"/>
  <c r="AA26" i="83" a="1"/>
  <c r="Z26" i="83" a="1"/>
  <c r="Y26" i="83" a="1"/>
  <c r="X26" i="83" a="1"/>
  <c r="W26" i="83" a="1"/>
  <c r="V26" i="83" a="1"/>
  <c r="U26" i="83" a="1"/>
  <c r="T26" i="83" a="1"/>
  <c r="S26" i="83" a="1"/>
  <c r="R26" i="83" a="1"/>
  <c r="Q26" i="83" a="1"/>
  <c r="P26" i="83" a="1"/>
  <c r="O26" i="83" a="1"/>
  <c r="N26" i="83" a="1"/>
  <c r="M26" i="83" a="1"/>
  <c r="L26" i="83" a="1"/>
  <c r="J26" i="83" a="1"/>
  <c r="G26" i="83"/>
  <c r="AK25" i="83" a="1"/>
  <c r="AJ25" i="83" a="1"/>
  <c r="AI25" i="83" a="1"/>
  <c r="AH25" i="83" a="1"/>
  <c r="AG25" i="83" a="1"/>
  <c r="AF25" i="83" a="1"/>
  <c r="AE25" i="83" a="1"/>
  <c r="AD25" i="83" a="1"/>
  <c r="AC25" i="83" a="1"/>
  <c r="AB25" i="83" a="1"/>
  <c r="AA25" i="83" a="1"/>
  <c r="Z25" i="83" a="1"/>
  <c r="Y25" i="83" a="1"/>
  <c r="X25" i="83" a="1"/>
  <c r="W25" i="83" a="1"/>
  <c r="V25" i="83" a="1"/>
  <c r="U25" i="83" a="1"/>
  <c r="T25" i="83" a="1"/>
  <c r="S25" i="83" a="1"/>
  <c r="R25" i="83" a="1"/>
  <c r="Q25" i="83" a="1"/>
  <c r="P25" i="83" a="1"/>
  <c r="O25" i="83" a="1"/>
  <c r="N25" i="83" a="1"/>
  <c r="M25" i="83" a="1"/>
  <c r="L25" i="83" a="1"/>
  <c r="J25" i="83" a="1"/>
  <c r="G25" i="83"/>
  <c r="AK24" i="83" a="1"/>
  <c r="AJ24" i="83" a="1"/>
  <c r="AI24" i="83" a="1"/>
  <c r="AH24" i="83" a="1"/>
  <c r="AG24" i="83" a="1"/>
  <c r="AF24" i="83" a="1"/>
  <c r="AE24" i="83" a="1"/>
  <c r="AD24" i="83" a="1"/>
  <c r="AC24" i="83" a="1"/>
  <c r="AB24" i="83" a="1"/>
  <c r="AA24" i="83" a="1"/>
  <c r="Z24" i="83" a="1"/>
  <c r="Y24" i="83" a="1"/>
  <c r="X24" i="83" a="1"/>
  <c r="W24" i="83" a="1"/>
  <c r="V24" i="83" a="1"/>
  <c r="U24" i="83" a="1"/>
  <c r="T24" i="83" a="1"/>
  <c r="S24" i="83" a="1"/>
  <c r="R24" i="83" a="1"/>
  <c r="Q24" i="83" a="1"/>
  <c r="P24" i="83" a="1"/>
  <c r="O24" i="83" a="1"/>
  <c r="N24" i="83" a="1"/>
  <c r="M24" i="83" a="1"/>
  <c r="L24" i="83" a="1"/>
  <c r="J24" i="83" a="1"/>
  <c r="G24" i="83"/>
  <c r="AK23" i="83" a="1"/>
  <c r="AJ23" i="83" a="1"/>
  <c r="AI23" i="83" a="1"/>
  <c r="AH23" i="83" a="1"/>
  <c r="AG23" i="83" a="1"/>
  <c r="AF23" i="83" a="1"/>
  <c r="AE23" i="83" a="1"/>
  <c r="AD23" i="83" a="1"/>
  <c r="AC23" i="83" a="1"/>
  <c r="AB23" i="83" a="1"/>
  <c r="AA23" i="83" a="1"/>
  <c r="Z23" i="83" a="1"/>
  <c r="Y23" i="83" a="1"/>
  <c r="X23" i="83" a="1"/>
  <c r="W23" i="83" a="1"/>
  <c r="V23" i="83" a="1"/>
  <c r="U23" i="83" a="1"/>
  <c r="T23" i="83" a="1"/>
  <c r="S23" i="83" a="1"/>
  <c r="R23" i="83" a="1"/>
  <c r="Q23" i="83" a="1"/>
  <c r="P23" i="83" a="1"/>
  <c r="O23" i="83" a="1"/>
  <c r="N23" i="83" a="1"/>
  <c r="M23" i="83" a="1"/>
  <c r="L23" i="83" a="1"/>
  <c r="J23" i="83" a="1"/>
  <c r="G23" i="83"/>
  <c r="AK22" i="83" a="1"/>
  <c r="AJ22" i="83" a="1"/>
  <c r="AI22" i="83" a="1"/>
  <c r="AH22" i="83" a="1"/>
  <c r="AG22" i="83" a="1"/>
  <c r="AF22" i="83" a="1"/>
  <c r="AE22" i="83" a="1"/>
  <c r="AD22" i="83" a="1"/>
  <c r="AC22" i="83" a="1"/>
  <c r="AB22" i="83" a="1"/>
  <c r="AA22" i="83" a="1"/>
  <c r="Z22" i="83" a="1"/>
  <c r="Y22" i="83" a="1"/>
  <c r="X22" i="83" a="1"/>
  <c r="W22" i="83" a="1"/>
  <c r="V22" i="83" a="1"/>
  <c r="U22" i="83" a="1"/>
  <c r="T22" i="83" a="1"/>
  <c r="S22" i="83" a="1"/>
  <c r="R22" i="83" a="1"/>
  <c r="Q22" i="83" a="1"/>
  <c r="P22" i="83" a="1"/>
  <c r="O22" i="83" a="1"/>
  <c r="N22" i="83" a="1"/>
  <c r="M22" i="83" a="1"/>
  <c r="L22" i="83" a="1"/>
  <c r="J22" i="83" a="1"/>
  <c r="G22" i="83"/>
  <c r="AK21" i="83" a="1"/>
  <c r="AJ21" i="83" a="1"/>
  <c r="AI21" i="83" a="1"/>
  <c r="AH21" i="83" a="1"/>
  <c r="AG21" i="83" a="1"/>
  <c r="AF21" i="83" a="1"/>
  <c r="AE21" i="83" a="1"/>
  <c r="AD21" i="83" a="1"/>
  <c r="AC21" i="83" a="1"/>
  <c r="AB21" i="83" a="1"/>
  <c r="AA21" i="83" a="1"/>
  <c r="Z21" i="83" a="1"/>
  <c r="Y21" i="83" a="1"/>
  <c r="X21" i="83" a="1"/>
  <c r="W21" i="83" a="1"/>
  <c r="V21" i="83" a="1"/>
  <c r="U21" i="83" a="1"/>
  <c r="T21" i="83" a="1"/>
  <c r="S21" i="83" a="1"/>
  <c r="R21" i="83" a="1"/>
  <c r="Q21" i="83" a="1"/>
  <c r="P21" i="83" a="1"/>
  <c r="O21" i="83" a="1"/>
  <c r="N21" i="83" a="1"/>
  <c r="M21" i="83" a="1"/>
  <c r="L21" i="83" a="1"/>
  <c r="J21" i="83" a="1"/>
  <c r="G21" i="83"/>
  <c r="AK20" i="83" a="1"/>
  <c r="AJ20" i="83" a="1"/>
  <c r="AI20" i="83" a="1"/>
  <c r="AH20" i="83" a="1"/>
  <c r="AG20" i="83" a="1"/>
  <c r="AF20" i="83" a="1"/>
  <c r="AE20" i="83" a="1"/>
  <c r="AD20" i="83" a="1"/>
  <c r="AC20" i="83" a="1"/>
  <c r="AB20" i="83" a="1"/>
  <c r="AA20" i="83" a="1"/>
  <c r="Z20" i="83" a="1"/>
  <c r="Y20" i="83" a="1"/>
  <c r="X20" i="83" a="1"/>
  <c r="W20" i="83" a="1"/>
  <c r="V20" i="83" a="1"/>
  <c r="U20" i="83" a="1"/>
  <c r="T20" i="83" a="1"/>
  <c r="S20" i="83" a="1"/>
  <c r="R20" i="83" a="1"/>
  <c r="Q20" i="83" a="1"/>
  <c r="P20" i="83" a="1"/>
  <c r="O20" i="83" a="1"/>
  <c r="N20" i="83" a="1"/>
  <c r="M20" i="83" a="1"/>
  <c r="L20" i="83" a="1"/>
  <c r="J20" i="83" a="1"/>
  <c r="G20" i="83"/>
  <c r="AK19" i="83" a="1"/>
  <c r="AJ19" i="83" a="1"/>
  <c r="AI19" i="83" a="1"/>
  <c r="AH19" i="83" a="1"/>
  <c r="AG19" i="83" a="1"/>
  <c r="AF19" i="83" a="1"/>
  <c r="AE19" i="83" a="1"/>
  <c r="AD19" i="83" a="1"/>
  <c r="AC19" i="83" a="1"/>
  <c r="AB19" i="83" a="1"/>
  <c r="AA19" i="83" a="1"/>
  <c r="Z19" i="83" a="1"/>
  <c r="Y19" i="83" a="1"/>
  <c r="X19" i="83" a="1"/>
  <c r="W19" i="83" a="1"/>
  <c r="V19" i="83" a="1"/>
  <c r="U19" i="83" a="1"/>
  <c r="T19" i="83" a="1"/>
  <c r="S19" i="83" a="1"/>
  <c r="R19" i="83" a="1"/>
  <c r="Q19" i="83" a="1"/>
  <c r="P19" i="83" a="1"/>
  <c r="O19" i="83" a="1"/>
  <c r="N19" i="83" a="1"/>
  <c r="M19" i="83" a="1"/>
  <c r="L19" i="83" a="1"/>
  <c r="J19" i="83" a="1"/>
  <c r="G19" i="83"/>
  <c r="AK18" i="83" a="1"/>
  <c r="AJ18" i="83" a="1"/>
  <c r="AI18" i="83" a="1"/>
  <c r="AH18" i="83" a="1"/>
  <c r="AG18" i="83" a="1"/>
  <c r="AF18" i="83" a="1"/>
  <c r="AE18" i="83" a="1"/>
  <c r="AD18" i="83" a="1"/>
  <c r="AC18" i="83" a="1"/>
  <c r="AB18" i="83" a="1"/>
  <c r="AA18" i="83" a="1"/>
  <c r="Z18" i="83" a="1"/>
  <c r="Y18" i="83" a="1"/>
  <c r="X18" i="83" a="1"/>
  <c r="W18" i="83" a="1"/>
  <c r="V18" i="83" a="1"/>
  <c r="U18" i="83" a="1"/>
  <c r="T18" i="83" a="1"/>
  <c r="S18" i="83" a="1"/>
  <c r="R18" i="83" a="1"/>
  <c r="Q18" i="83" a="1"/>
  <c r="P18" i="83" a="1"/>
  <c r="O18" i="83" a="1"/>
  <c r="N18" i="83" a="1"/>
  <c r="M18" i="83" a="1"/>
  <c r="L18" i="83" a="1"/>
  <c r="J18" i="83" a="1"/>
  <c r="G18" i="83"/>
  <c r="AK17" i="83" a="1"/>
  <c r="AJ17" i="83" a="1"/>
  <c r="AI17" i="83" a="1"/>
  <c r="AH17" i="83" a="1"/>
  <c r="AG17" i="83" a="1"/>
  <c r="AF17" i="83" a="1"/>
  <c r="AE17" i="83" a="1"/>
  <c r="AD17" i="83" a="1"/>
  <c r="AC17" i="83" a="1"/>
  <c r="AB17" i="83" a="1"/>
  <c r="AA17" i="83" a="1"/>
  <c r="Z17" i="83" a="1"/>
  <c r="Y17" i="83" a="1"/>
  <c r="X17" i="83" a="1"/>
  <c r="W17" i="83" a="1"/>
  <c r="V17" i="83" a="1"/>
  <c r="U17" i="83" a="1"/>
  <c r="T17" i="83" a="1"/>
  <c r="S17" i="83" a="1"/>
  <c r="R17" i="83" a="1"/>
  <c r="Q17" i="83" a="1"/>
  <c r="P17" i="83" a="1"/>
  <c r="O17" i="83" a="1"/>
  <c r="N17" i="83" a="1"/>
  <c r="M17" i="83" a="1"/>
  <c r="L17" i="83" a="1"/>
  <c r="J17" i="83" a="1"/>
  <c r="G17" i="83"/>
  <c r="AK16" i="83" a="1"/>
  <c r="AJ16" i="83" a="1"/>
  <c r="AI16" i="83" a="1"/>
  <c r="AH16" i="83" a="1"/>
  <c r="AG16" i="83" a="1"/>
  <c r="AF16" i="83" a="1"/>
  <c r="AE16" i="83" a="1"/>
  <c r="AD16" i="83" a="1"/>
  <c r="AC16" i="83" a="1"/>
  <c r="AB16" i="83" a="1"/>
  <c r="AA16" i="83" a="1"/>
  <c r="Z16" i="83" a="1"/>
  <c r="Y16" i="83" a="1"/>
  <c r="X16" i="83" a="1"/>
  <c r="W16" i="83" a="1"/>
  <c r="V16" i="83" a="1"/>
  <c r="U16" i="83" a="1"/>
  <c r="T16" i="83" a="1"/>
  <c r="S16" i="83" a="1"/>
  <c r="R16" i="83" a="1"/>
  <c r="Q16" i="83" a="1"/>
  <c r="P16" i="83" a="1"/>
  <c r="O16" i="83" a="1"/>
  <c r="N16" i="83" a="1"/>
  <c r="M16" i="83" a="1"/>
  <c r="L16" i="83" a="1"/>
  <c r="J16" i="83" a="1"/>
  <c r="G16" i="83"/>
  <c r="AK15" i="83" a="1"/>
  <c r="AJ15" i="83" a="1"/>
  <c r="AI15" i="83" a="1"/>
  <c r="AH15" i="83" a="1"/>
  <c r="AG15" i="83" a="1"/>
  <c r="AF15" i="83" a="1"/>
  <c r="AE15" i="83" a="1"/>
  <c r="AD15" i="83" a="1"/>
  <c r="AC15" i="83" a="1"/>
  <c r="AB15" i="83" a="1"/>
  <c r="AA15" i="83" a="1"/>
  <c r="Z15" i="83" a="1"/>
  <c r="Y15" i="83" a="1"/>
  <c r="X15" i="83" a="1"/>
  <c r="W15" i="83" a="1"/>
  <c r="V15" i="83" a="1"/>
  <c r="U15" i="83" a="1"/>
  <c r="T15" i="83" a="1"/>
  <c r="S15" i="83" a="1"/>
  <c r="R15" i="83" a="1"/>
  <c r="Q15" i="83" a="1"/>
  <c r="P15" i="83" a="1"/>
  <c r="O15" i="83" a="1"/>
  <c r="N15" i="83" a="1"/>
  <c r="M15" i="83" a="1"/>
  <c r="L15" i="83" a="1"/>
  <c r="J15" i="83" a="1"/>
  <c r="G15" i="83"/>
  <c r="AK14" i="83" a="1"/>
  <c r="AJ14" i="83" a="1"/>
  <c r="AI14" i="83" a="1"/>
  <c r="AH14" i="83" a="1"/>
  <c r="AG14" i="83" a="1"/>
  <c r="AF14" i="83" a="1"/>
  <c r="AE14" i="83" a="1"/>
  <c r="AD14" i="83" a="1"/>
  <c r="AC14" i="83" a="1"/>
  <c r="AB14" i="83" a="1"/>
  <c r="AA14" i="83" a="1"/>
  <c r="Z14" i="83" a="1"/>
  <c r="Y14" i="83" a="1"/>
  <c r="X14" i="83" a="1"/>
  <c r="W14" i="83" a="1"/>
  <c r="V14" i="83" a="1"/>
  <c r="U14" i="83" a="1"/>
  <c r="T14" i="83" a="1"/>
  <c r="S14" i="83" a="1"/>
  <c r="R14" i="83" a="1"/>
  <c r="Q14" i="83" a="1"/>
  <c r="P14" i="83" a="1"/>
  <c r="O14" i="83" a="1"/>
  <c r="N14" i="83" a="1"/>
  <c r="M14" i="83" a="1"/>
  <c r="L14" i="83" a="1"/>
  <c r="J14" i="83" a="1"/>
  <c r="G14" i="83"/>
  <c r="AK13" i="83" a="1"/>
  <c r="AJ13" i="83" a="1"/>
  <c r="AI13" i="83" a="1"/>
  <c r="AH13" i="83" a="1"/>
  <c r="AG13" i="83" a="1"/>
  <c r="AF13" i="83" a="1"/>
  <c r="AE13" i="83" a="1"/>
  <c r="AD13" i="83" a="1"/>
  <c r="AC13" i="83" a="1"/>
  <c r="AB13" i="83" a="1"/>
  <c r="AA13" i="83" a="1"/>
  <c r="Z13" i="83" a="1"/>
  <c r="Y13" i="83" a="1"/>
  <c r="X13" i="83" a="1"/>
  <c r="W13" i="83" a="1"/>
  <c r="V13" i="83" a="1"/>
  <c r="U13" i="83" a="1"/>
  <c r="T13" i="83" a="1"/>
  <c r="S13" i="83" a="1"/>
  <c r="R13" i="83" a="1"/>
  <c r="Q13" i="83" a="1"/>
  <c r="P13" i="83" a="1"/>
  <c r="O13" i="83" a="1"/>
  <c r="N13" i="83" a="1"/>
  <c r="M13" i="83" a="1"/>
  <c r="L13" i="83" a="1"/>
  <c r="J13" i="83" a="1"/>
  <c r="G13" i="83"/>
  <c r="AK12" i="83" a="1"/>
  <c r="AJ12" i="83" a="1"/>
  <c r="AI12" i="83" a="1"/>
  <c r="AH12" i="83" a="1"/>
  <c r="AG12" i="83" a="1"/>
  <c r="AF12" i="83" a="1"/>
  <c r="AE12" i="83" a="1"/>
  <c r="AD12" i="83" a="1"/>
  <c r="AC12" i="83" a="1"/>
  <c r="AB12" i="83" a="1"/>
  <c r="AA12" i="83" a="1"/>
  <c r="Z12" i="83" a="1"/>
  <c r="Y12" i="83" a="1"/>
  <c r="X12" i="83" a="1"/>
  <c r="W12" i="83" a="1"/>
  <c r="V12" i="83" a="1"/>
  <c r="U12" i="83" a="1"/>
  <c r="T12" i="83" a="1"/>
  <c r="S12" i="83" a="1"/>
  <c r="R12" i="83" a="1"/>
  <c r="Q12" i="83" a="1"/>
  <c r="P12" i="83" a="1"/>
  <c r="O12" i="83" a="1"/>
  <c r="N12" i="83" a="1"/>
  <c r="M12" i="83" a="1"/>
  <c r="L12" i="83" a="1"/>
  <c r="J12" i="83" a="1"/>
  <c r="G12" i="83"/>
  <c r="AK11" i="83" a="1"/>
  <c r="AJ11" i="83" a="1"/>
  <c r="AI11" i="83" a="1"/>
  <c r="AH11" i="83" a="1"/>
  <c r="AG11" i="83" a="1"/>
  <c r="AF11" i="83" a="1"/>
  <c r="AE11" i="83" a="1"/>
  <c r="AD11" i="83" a="1"/>
  <c r="AC11" i="83" a="1"/>
  <c r="AB11" i="83" a="1"/>
  <c r="AA11" i="83" a="1"/>
  <c r="Z11" i="83" a="1"/>
  <c r="Y11" i="83" a="1"/>
  <c r="X11" i="83" a="1"/>
  <c r="W11" i="83" a="1"/>
  <c r="V11" i="83" a="1"/>
  <c r="U11" i="83" a="1"/>
  <c r="T11" i="83" a="1"/>
  <c r="S11" i="83" a="1"/>
  <c r="R11" i="83" a="1"/>
  <c r="Q11" i="83" a="1"/>
  <c r="P11" i="83" a="1"/>
  <c r="O11" i="83" a="1"/>
  <c r="N11" i="83" a="1"/>
  <c r="M11" i="83" a="1"/>
  <c r="L11" i="83" a="1"/>
  <c r="J11" i="83" a="1"/>
  <c r="G11" i="83"/>
  <c r="AK10" i="83" a="1"/>
  <c r="AJ10" i="83" a="1"/>
  <c r="AI10" i="83" a="1"/>
  <c r="AH10" i="83" a="1"/>
  <c r="AG10" i="83" a="1"/>
  <c r="AF10" i="83" a="1"/>
  <c r="AE10" i="83" a="1"/>
  <c r="AD10" i="83" a="1"/>
  <c r="AC10" i="83" a="1"/>
  <c r="AB10" i="83" a="1"/>
  <c r="AA10" i="83" a="1"/>
  <c r="Z10" i="83" a="1"/>
  <c r="Y10" i="83" a="1"/>
  <c r="X10" i="83" a="1"/>
  <c r="W10" i="83" a="1"/>
  <c r="V10" i="83" a="1"/>
  <c r="U10" i="83" a="1"/>
  <c r="T10" i="83" a="1"/>
  <c r="S10" i="83" a="1"/>
  <c r="R10" i="83" a="1"/>
  <c r="Q10" i="83" a="1"/>
  <c r="P10" i="83" a="1"/>
  <c r="O10" i="83" a="1"/>
  <c r="N10" i="83" a="1"/>
  <c r="M10" i="83" a="1"/>
  <c r="L10" i="83" a="1"/>
  <c r="J10" i="83" a="1"/>
  <c r="G10" i="83"/>
  <c r="AK9" i="83" a="1"/>
  <c r="AJ9" i="83" a="1"/>
  <c r="AI9" i="83" a="1"/>
  <c r="AH9" i="83" a="1"/>
  <c r="AG9" i="83" a="1"/>
  <c r="AF9" i="83" a="1"/>
  <c r="AE9" i="83" a="1"/>
  <c r="AD9" i="83" a="1"/>
  <c r="AC9" i="83" a="1"/>
  <c r="AB9" i="83" a="1"/>
  <c r="AA9" i="83" a="1"/>
  <c r="Z9" i="83" a="1"/>
  <c r="Y9" i="83" a="1"/>
  <c r="X9" i="83" a="1"/>
  <c r="W9" i="83" a="1"/>
  <c r="V9" i="83" a="1"/>
  <c r="U9" i="83" a="1"/>
  <c r="T9" i="83" a="1"/>
  <c r="S9" i="83" a="1"/>
  <c r="R9" i="83" a="1"/>
  <c r="Q9" i="83" a="1"/>
  <c r="P9" i="83" a="1"/>
  <c r="O9" i="83" a="1"/>
  <c r="N9" i="83" a="1"/>
  <c r="M9" i="83" a="1"/>
  <c r="L9" i="83" a="1"/>
  <c r="J9" i="83" a="1"/>
  <c r="G9" i="83"/>
  <c r="AK8" i="83" a="1"/>
  <c r="AJ8" i="83" a="1"/>
  <c r="AI8" i="83" a="1"/>
  <c r="AH8" i="83" a="1"/>
  <c r="AG8" i="83" a="1"/>
  <c r="AF8" i="83" a="1"/>
  <c r="AE8" i="83" a="1"/>
  <c r="AD8" i="83" a="1"/>
  <c r="AC8" i="83" a="1"/>
  <c r="AB8" i="83" a="1"/>
  <c r="AA8" i="83" a="1"/>
  <c r="Z8" i="83" a="1"/>
  <c r="Y8" i="83" a="1"/>
  <c r="X8" i="83" a="1"/>
  <c r="W8" i="83" a="1"/>
  <c r="V8" i="83" a="1"/>
  <c r="U8" i="83" a="1"/>
  <c r="T8" i="83" a="1"/>
  <c r="S8" i="83" a="1"/>
  <c r="R8" i="83" a="1"/>
  <c r="Q8" i="83" a="1"/>
  <c r="P8" i="83" a="1"/>
  <c r="O8" i="83" a="1"/>
  <c r="N8" i="83" a="1"/>
  <c r="M8" i="83" a="1"/>
  <c r="L8" i="83" a="1"/>
  <c r="J8" i="83" a="1"/>
  <c r="G8" i="83"/>
  <c r="AK7" i="83" a="1"/>
  <c r="AJ7" i="83" a="1"/>
  <c r="AI7" i="83" a="1"/>
  <c r="AH7" i="83" a="1"/>
  <c r="AG7" i="83" a="1"/>
  <c r="AF7" i="83" a="1"/>
  <c r="AE7" i="83" a="1"/>
  <c r="AD7" i="83" a="1"/>
  <c r="AC7" i="83" a="1"/>
  <c r="AB7" i="83" a="1"/>
  <c r="AA7" i="83" a="1"/>
  <c r="Z7" i="83" a="1"/>
  <c r="Y7" i="83" a="1"/>
  <c r="X7" i="83" a="1"/>
  <c r="W7" i="83" a="1"/>
  <c r="V7" i="83" a="1"/>
  <c r="U7" i="83" a="1"/>
  <c r="T7" i="83" a="1"/>
  <c r="S7" i="83" a="1"/>
  <c r="R7" i="83" a="1"/>
  <c r="Q7" i="83" a="1"/>
  <c r="P7" i="83" a="1"/>
  <c r="O7" i="83" a="1"/>
  <c r="N7" i="83" a="1"/>
  <c r="M7" i="83" a="1"/>
  <c r="L7" i="83" a="1"/>
  <c r="J7" i="83" a="1"/>
  <c r="G7" i="83"/>
  <c r="AK6" i="83" a="1"/>
  <c r="AJ6" i="83" a="1"/>
  <c r="AI6" i="83" a="1"/>
  <c r="AH6" i="83" a="1"/>
  <c r="AG6" i="83" a="1"/>
  <c r="AF6" i="83" a="1"/>
  <c r="AE6" i="83" a="1"/>
  <c r="AD6" i="83" a="1"/>
  <c r="AC6" i="83" a="1"/>
  <c r="AB6" i="83" a="1"/>
  <c r="AA6" i="83" a="1"/>
  <c r="Z6" i="83" a="1"/>
  <c r="Y6" i="83" a="1"/>
  <c r="X6" i="83" a="1"/>
  <c r="W6" i="83" a="1"/>
  <c r="V6" i="83" a="1"/>
  <c r="U6" i="83" a="1"/>
  <c r="T6" i="83" a="1"/>
  <c r="S6" i="83" a="1"/>
  <c r="R6" i="83" a="1"/>
  <c r="Q6" i="83" a="1"/>
  <c r="P6" i="83" a="1"/>
  <c r="O6" i="83" a="1"/>
  <c r="N6" i="83" a="1"/>
  <c r="M6" i="83" a="1"/>
  <c r="L6" i="83" a="1"/>
  <c r="J6" i="83" a="1"/>
  <c r="G6" i="83"/>
  <c r="AK5" i="83" a="1"/>
  <c r="AJ5" i="83" a="1"/>
  <c r="AI5" i="83" a="1"/>
  <c r="AH5" i="83" a="1"/>
  <c r="AG5" i="83" a="1"/>
  <c r="AF5" i="83" a="1"/>
  <c r="AE5" i="83" a="1"/>
  <c r="AD5" i="83" a="1"/>
  <c r="AC5" i="83" a="1"/>
  <c r="AB5" i="83" a="1"/>
  <c r="AA5" i="83" a="1"/>
  <c r="Z5" i="83" a="1"/>
  <c r="Y5" i="83" a="1"/>
  <c r="X5" i="83" a="1"/>
  <c r="W5" i="83" a="1"/>
  <c r="V5" i="83" a="1"/>
  <c r="U5" i="83" a="1"/>
  <c r="T5" i="83" a="1"/>
  <c r="S5" i="83" a="1"/>
  <c r="R5" i="83" a="1"/>
  <c r="Q5" i="83" a="1"/>
  <c r="P5" i="83" a="1"/>
  <c r="O5" i="83" a="1"/>
  <c r="N5" i="83" a="1"/>
  <c r="M5" i="83" a="1"/>
  <c r="L5" i="83" a="1"/>
  <c r="J5" i="83" a="1"/>
  <c r="G5" i="83"/>
  <c r="AK4" i="83" a="1"/>
  <c r="AJ4" i="83" a="1"/>
  <c r="AI4" i="83" a="1"/>
  <c r="AH4" i="83" a="1"/>
  <c r="AG4" i="83" a="1"/>
  <c r="AF4" i="83" a="1"/>
  <c r="AE4" i="83" a="1"/>
  <c r="AD4" i="83" a="1"/>
  <c r="AC4" i="83" a="1"/>
  <c r="AB4" i="83" a="1"/>
  <c r="AA4" i="83" a="1"/>
  <c r="Z4" i="83" a="1"/>
  <c r="Y4" i="83" a="1"/>
  <c r="X4" i="83" a="1"/>
  <c r="W4" i="83" a="1"/>
  <c r="V4" i="83" a="1"/>
  <c r="U4" i="83" a="1"/>
  <c r="T4" i="83" a="1"/>
  <c r="S4" i="83" a="1"/>
  <c r="R4" i="83" a="1"/>
  <c r="Q4" i="83" a="1"/>
  <c r="P4" i="83" a="1"/>
  <c r="O4" i="83" a="1"/>
  <c r="N4" i="83" a="1"/>
  <c r="M4" i="83" a="1"/>
  <c r="L4" i="83" a="1"/>
  <c r="J4" i="83" a="1"/>
  <c r="G4" i="83"/>
  <c r="AK3" i="83" a="1"/>
  <c r="AJ3" i="83" a="1"/>
  <c r="AI3" i="83" a="1"/>
  <c r="AH3" i="83" a="1"/>
  <c r="AG3" i="83" a="1"/>
  <c r="AF3" i="83" a="1"/>
  <c r="AE3" i="83" a="1"/>
  <c r="AD3" i="83" a="1"/>
  <c r="AC3" i="83" a="1"/>
  <c r="AB3" i="83" a="1"/>
  <c r="AA3" i="83" a="1"/>
  <c r="Z3" i="83" a="1"/>
  <c r="Y3" i="83" a="1"/>
  <c r="X3" i="83" a="1"/>
  <c r="W3" i="83" a="1"/>
  <c r="V3" i="83" a="1"/>
  <c r="U3" i="83" a="1"/>
  <c r="T3" i="83" a="1"/>
  <c r="S3" i="83" a="1"/>
  <c r="R3" i="83" a="1"/>
  <c r="Q3" i="83" a="1"/>
  <c r="P3" i="83" a="1"/>
  <c r="O3" i="83" a="1"/>
  <c r="N3" i="83" a="1"/>
  <c r="M3" i="83" a="1"/>
  <c r="L3" i="83" a="1"/>
  <c r="J3" i="83" a="1"/>
  <c r="G3" i="83"/>
  <c r="AN33" i="82"/>
  <c r="AK32" i="82" a="1"/>
  <c r="AJ32" i="82" a="1"/>
  <c r="AI32" i="82" a="1"/>
  <c r="AH32" i="82" a="1"/>
  <c r="AG32" i="82" a="1"/>
  <c r="AF32" i="82" a="1"/>
  <c r="AE32" i="82" a="1"/>
  <c r="AD32" i="82" a="1"/>
  <c r="AC32" i="82" a="1"/>
  <c r="AB32" i="82" a="1"/>
  <c r="AA32" i="82" a="1"/>
  <c r="Z32" i="82" a="1"/>
  <c r="Y32" i="82" a="1"/>
  <c r="X32" i="82" a="1"/>
  <c r="W32" i="82" a="1"/>
  <c r="V32" i="82" a="1"/>
  <c r="U32" i="82" a="1"/>
  <c r="T32" i="82" a="1"/>
  <c r="S32" i="82" a="1"/>
  <c r="R32" i="82" a="1"/>
  <c r="Q32" i="82" a="1"/>
  <c r="P32" i="82" a="1"/>
  <c r="O32" i="82" a="1"/>
  <c r="N32" i="82" a="1"/>
  <c r="M32" i="82" a="1"/>
  <c r="L32" i="82" a="1"/>
  <c r="J32" i="82" a="1"/>
  <c r="G32" i="82"/>
  <c r="AK31" i="82" a="1"/>
  <c r="AJ31" i="82" a="1"/>
  <c r="AI31" i="82" a="1"/>
  <c r="AH31" i="82" a="1"/>
  <c r="AG31" i="82" a="1"/>
  <c r="AF31" i="82" a="1"/>
  <c r="AE31" i="82" a="1"/>
  <c r="AD31" i="82" a="1"/>
  <c r="AC31" i="82" a="1"/>
  <c r="AB31" i="82" a="1"/>
  <c r="AA31" i="82" a="1"/>
  <c r="Z31" i="82" a="1"/>
  <c r="Y31" i="82" a="1"/>
  <c r="X31" i="82" a="1"/>
  <c r="W31" i="82" a="1"/>
  <c r="V31" i="82" a="1"/>
  <c r="U31" i="82" a="1"/>
  <c r="T31" i="82" a="1"/>
  <c r="S31" i="82" a="1"/>
  <c r="R31" i="82" a="1"/>
  <c r="Q31" i="82" a="1"/>
  <c r="P31" i="82" a="1"/>
  <c r="O31" i="82" a="1"/>
  <c r="N31" i="82" a="1"/>
  <c r="M31" i="82" a="1"/>
  <c r="L31" i="82" a="1"/>
  <c r="J31" i="82" a="1"/>
  <c r="G31" i="82"/>
  <c r="AK30" i="82" a="1"/>
  <c r="AJ30" i="82" a="1"/>
  <c r="AI30" i="82" a="1"/>
  <c r="AH30" i="82" a="1"/>
  <c r="AG30" i="82" a="1"/>
  <c r="AF30" i="82" a="1"/>
  <c r="AE30" i="82" a="1"/>
  <c r="AD30" i="82" a="1"/>
  <c r="AC30" i="82" a="1"/>
  <c r="AB30" i="82" a="1"/>
  <c r="AA30" i="82" a="1"/>
  <c r="Z30" i="82" a="1"/>
  <c r="Y30" i="82" a="1"/>
  <c r="X30" i="82" a="1"/>
  <c r="W30" i="82" a="1"/>
  <c r="V30" i="82" a="1"/>
  <c r="U30" i="82" a="1"/>
  <c r="T30" i="82" a="1"/>
  <c r="S30" i="82" a="1"/>
  <c r="R30" i="82" a="1"/>
  <c r="Q30" i="82" a="1"/>
  <c r="P30" i="82" a="1"/>
  <c r="O30" i="82" a="1"/>
  <c r="N30" i="82" a="1"/>
  <c r="M30" i="82" a="1"/>
  <c r="L30" i="82" a="1"/>
  <c r="J30" i="82" a="1"/>
  <c r="G30" i="82"/>
  <c r="AK29" i="82" a="1"/>
  <c r="AJ29" i="82" a="1"/>
  <c r="AI29" i="82" a="1"/>
  <c r="AH29" i="82" a="1"/>
  <c r="AG29" i="82" a="1"/>
  <c r="AF29" i="82" a="1"/>
  <c r="AE29" i="82" a="1"/>
  <c r="AD29" i="82" a="1"/>
  <c r="AC29" i="82" a="1"/>
  <c r="AB29" i="82" a="1"/>
  <c r="AA29" i="82" a="1"/>
  <c r="Z29" i="82" a="1"/>
  <c r="Y29" i="82" a="1"/>
  <c r="X29" i="82" a="1"/>
  <c r="W29" i="82" a="1"/>
  <c r="V29" i="82" a="1"/>
  <c r="U29" i="82" a="1"/>
  <c r="T29" i="82" a="1"/>
  <c r="S29" i="82" a="1"/>
  <c r="R29" i="82" a="1"/>
  <c r="Q29" i="82" a="1"/>
  <c r="P29" i="82" a="1"/>
  <c r="O29" i="82" a="1"/>
  <c r="N29" i="82" a="1"/>
  <c r="M29" i="82" a="1"/>
  <c r="L29" i="82" a="1"/>
  <c r="J29" i="82" a="1"/>
  <c r="G29" i="82"/>
  <c r="AK28" i="82" a="1"/>
  <c r="AJ28" i="82" a="1"/>
  <c r="AI28" i="82" a="1"/>
  <c r="AH28" i="82" a="1"/>
  <c r="AG28" i="82" a="1"/>
  <c r="AF28" i="82" a="1"/>
  <c r="AE28" i="82" a="1"/>
  <c r="AD28" i="82" a="1"/>
  <c r="AC28" i="82" a="1"/>
  <c r="AB28" i="82" a="1"/>
  <c r="AA28" i="82" a="1"/>
  <c r="Z28" i="82" a="1"/>
  <c r="Y28" i="82" a="1"/>
  <c r="X28" i="82" a="1"/>
  <c r="W28" i="82" a="1"/>
  <c r="V28" i="82" a="1"/>
  <c r="U28" i="82" a="1"/>
  <c r="T28" i="82" a="1"/>
  <c r="S28" i="82" a="1"/>
  <c r="R28" i="82" a="1"/>
  <c r="Q28" i="82" a="1"/>
  <c r="P28" i="82" a="1"/>
  <c r="O28" i="82" a="1"/>
  <c r="N28" i="82" a="1"/>
  <c r="M28" i="82" a="1"/>
  <c r="L28" i="82" a="1"/>
  <c r="J28" i="82" a="1"/>
  <c r="G28" i="82"/>
  <c r="AK27" i="82" a="1"/>
  <c r="AJ27" i="82" a="1"/>
  <c r="AI27" i="82" a="1"/>
  <c r="AH27" i="82" a="1"/>
  <c r="AG27" i="82" a="1"/>
  <c r="AF27" i="82" a="1"/>
  <c r="AE27" i="82" a="1"/>
  <c r="AD27" i="82" a="1"/>
  <c r="AC27" i="82" a="1"/>
  <c r="AB27" i="82" a="1"/>
  <c r="AA27" i="82" a="1"/>
  <c r="Z27" i="82" a="1"/>
  <c r="Y27" i="82" a="1"/>
  <c r="X27" i="82" a="1"/>
  <c r="W27" i="82" a="1"/>
  <c r="V27" i="82" a="1"/>
  <c r="U27" i="82" a="1"/>
  <c r="T27" i="82" a="1"/>
  <c r="S27" i="82" a="1"/>
  <c r="R27" i="82" a="1"/>
  <c r="Q27" i="82" a="1"/>
  <c r="P27" i="82" a="1"/>
  <c r="O27" i="82" a="1"/>
  <c r="N27" i="82" a="1"/>
  <c r="M27" i="82" a="1"/>
  <c r="L27" i="82" a="1"/>
  <c r="J27" i="82" a="1"/>
  <c r="G27" i="82"/>
  <c r="AK26" i="82" a="1"/>
  <c r="AJ26" i="82" a="1"/>
  <c r="AI26" i="82" a="1"/>
  <c r="AH26" i="82" a="1"/>
  <c r="AG26" i="82" a="1"/>
  <c r="AF26" i="82" a="1"/>
  <c r="AE26" i="82" a="1"/>
  <c r="AD26" i="82" a="1"/>
  <c r="AC26" i="82" a="1"/>
  <c r="AB26" i="82" a="1"/>
  <c r="AA26" i="82" a="1"/>
  <c r="Z26" i="82" a="1"/>
  <c r="Y26" i="82" a="1"/>
  <c r="X26" i="82" a="1"/>
  <c r="W26" i="82" a="1"/>
  <c r="V26" i="82" a="1"/>
  <c r="U26" i="82" a="1"/>
  <c r="T26" i="82" a="1"/>
  <c r="S26" i="82" a="1"/>
  <c r="R26" i="82" a="1"/>
  <c r="Q26" i="82" a="1"/>
  <c r="P26" i="82" a="1"/>
  <c r="O26" i="82" a="1"/>
  <c r="N26" i="82" a="1"/>
  <c r="M26" i="82" a="1"/>
  <c r="L26" i="82" a="1"/>
  <c r="J26" i="82" a="1"/>
  <c r="G26" i="82"/>
  <c r="AK25" i="82" a="1"/>
  <c r="AJ25" i="82" a="1"/>
  <c r="AI25" i="82" a="1"/>
  <c r="AH25" i="82" a="1"/>
  <c r="AG25" i="82" a="1"/>
  <c r="AF25" i="82" a="1"/>
  <c r="AE25" i="82" a="1"/>
  <c r="AD25" i="82" a="1"/>
  <c r="AC25" i="82" a="1"/>
  <c r="AB25" i="82" a="1"/>
  <c r="AA25" i="82" a="1"/>
  <c r="Z25" i="82" a="1"/>
  <c r="Y25" i="82" a="1"/>
  <c r="X25" i="82" a="1"/>
  <c r="W25" i="82" a="1"/>
  <c r="V25" i="82" a="1"/>
  <c r="U25" i="82" a="1"/>
  <c r="T25" i="82" a="1"/>
  <c r="S25" i="82" a="1"/>
  <c r="R25" i="82" a="1"/>
  <c r="Q25" i="82" a="1"/>
  <c r="P25" i="82" a="1"/>
  <c r="O25" i="82" a="1"/>
  <c r="N25" i="82" a="1"/>
  <c r="M25" i="82" a="1"/>
  <c r="L25" i="82" a="1"/>
  <c r="J25" i="82" a="1"/>
  <c r="G25" i="82"/>
  <c r="AK24" i="82" a="1"/>
  <c r="AJ24" i="82" a="1"/>
  <c r="AI24" i="82" a="1"/>
  <c r="AH24" i="82" a="1"/>
  <c r="AG24" i="82" a="1"/>
  <c r="AF24" i="82" a="1"/>
  <c r="AE24" i="82" a="1"/>
  <c r="AD24" i="82" a="1"/>
  <c r="AC24" i="82" a="1"/>
  <c r="AB24" i="82" a="1"/>
  <c r="AA24" i="82" a="1"/>
  <c r="Z24" i="82" a="1"/>
  <c r="Y24" i="82" a="1"/>
  <c r="X24" i="82" a="1"/>
  <c r="W24" i="82" a="1"/>
  <c r="V24" i="82" a="1"/>
  <c r="U24" i="82" a="1"/>
  <c r="T24" i="82" a="1"/>
  <c r="S24" i="82" a="1"/>
  <c r="R24" i="82" a="1"/>
  <c r="Q24" i="82" a="1"/>
  <c r="P24" i="82" a="1"/>
  <c r="O24" i="82" a="1"/>
  <c r="N24" i="82" a="1"/>
  <c r="M24" i="82" a="1"/>
  <c r="L24" i="82" a="1"/>
  <c r="J24" i="82" a="1"/>
  <c r="G24" i="82"/>
  <c r="AK23" i="82" a="1"/>
  <c r="AJ23" i="82" a="1"/>
  <c r="AI23" i="82" a="1"/>
  <c r="AH23" i="82" a="1"/>
  <c r="AG23" i="82" a="1"/>
  <c r="AF23" i="82" a="1"/>
  <c r="AE23" i="82" a="1"/>
  <c r="AD23" i="82" a="1"/>
  <c r="AC23" i="82" a="1"/>
  <c r="AB23" i="82" a="1"/>
  <c r="AA23" i="82" a="1"/>
  <c r="Z23" i="82" a="1"/>
  <c r="Y23" i="82" a="1"/>
  <c r="X23" i="82" a="1"/>
  <c r="W23" i="82" a="1"/>
  <c r="V23" i="82" a="1"/>
  <c r="U23" i="82" a="1"/>
  <c r="T23" i="82" a="1"/>
  <c r="S23" i="82" a="1"/>
  <c r="R23" i="82" a="1"/>
  <c r="Q23" i="82" a="1"/>
  <c r="P23" i="82" a="1"/>
  <c r="O23" i="82" a="1"/>
  <c r="N23" i="82" a="1"/>
  <c r="M23" i="82" a="1"/>
  <c r="L23" i="82" a="1"/>
  <c r="J23" i="82" a="1"/>
  <c r="G23" i="82"/>
  <c r="AK22" i="82" a="1"/>
  <c r="AJ22" i="82" a="1"/>
  <c r="AI22" i="82" a="1"/>
  <c r="AH22" i="82" a="1"/>
  <c r="AG22" i="82" a="1"/>
  <c r="AF22" i="82" a="1"/>
  <c r="AE22" i="82" a="1"/>
  <c r="AD22" i="82" a="1"/>
  <c r="AC22" i="82" a="1"/>
  <c r="AB22" i="82" a="1"/>
  <c r="AA22" i="82" a="1"/>
  <c r="Z22" i="82" a="1"/>
  <c r="Y22" i="82" a="1"/>
  <c r="X22" i="82" a="1"/>
  <c r="W22" i="82" a="1"/>
  <c r="V22" i="82" a="1"/>
  <c r="U22" i="82" a="1"/>
  <c r="T22" i="82" a="1"/>
  <c r="S22" i="82" a="1"/>
  <c r="R22" i="82" a="1"/>
  <c r="Q22" i="82" a="1"/>
  <c r="P22" i="82" a="1"/>
  <c r="O22" i="82" a="1"/>
  <c r="N22" i="82" a="1"/>
  <c r="M22" i="82" a="1"/>
  <c r="L22" i="82" a="1"/>
  <c r="J22" i="82" a="1"/>
  <c r="G22" i="82"/>
  <c r="AK21" i="82" a="1"/>
  <c r="AJ21" i="82" a="1"/>
  <c r="AI21" i="82" a="1"/>
  <c r="AH21" i="82" a="1"/>
  <c r="AG21" i="82" a="1"/>
  <c r="AF21" i="82" a="1"/>
  <c r="AE21" i="82" a="1"/>
  <c r="AD21" i="82" a="1"/>
  <c r="AC21" i="82" a="1"/>
  <c r="AB21" i="82" a="1"/>
  <c r="AA21" i="82" a="1"/>
  <c r="Z21" i="82" a="1"/>
  <c r="Y21" i="82" a="1"/>
  <c r="X21" i="82" a="1"/>
  <c r="W21" i="82" a="1"/>
  <c r="V21" i="82" a="1"/>
  <c r="U21" i="82" a="1"/>
  <c r="T21" i="82" a="1"/>
  <c r="S21" i="82" a="1"/>
  <c r="R21" i="82" a="1"/>
  <c r="Q21" i="82" a="1"/>
  <c r="P21" i="82" a="1"/>
  <c r="O21" i="82" a="1"/>
  <c r="N21" i="82" a="1"/>
  <c r="M21" i="82" a="1"/>
  <c r="L21" i="82" a="1"/>
  <c r="J21" i="82" a="1"/>
  <c r="G21" i="82"/>
  <c r="AK20" i="82" a="1"/>
  <c r="AJ20" i="82" a="1"/>
  <c r="AI20" i="82" a="1"/>
  <c r="AH20" i="82" a="1"/>
  <c r="AG20" i="82" a="1"/>
  <c r="AF20" i="82" a="1"/>
  <c r="AE20" i="82" a="1"/>
  <c r="AD20" i="82" a="1"/>
  <c r="AC20" i="82" a="1"/>
  <c r="AB20" i="82" a="1"/>
  <c r="AA20" i="82" a="1"/>
  <c r="Z20" i="82" a="1"/>
  <c r="Y20" i="82" a="1"/>
  <c r="X20" i="82" a="1"/>
  <c r="W20" i="82" a="1"/>
  <c r="V20" i="82" a="1"/>
  <c r="U20" i="82" a="1"/>
  <c r="T20" i="82" a="1"/>
  <c r="S20" i="82" a="1"/>
  <c r="R20" i="82" a="1"/>
  <c r="Q20" i="82" a="1"/>
  <c r="P20" i="82" a="1"/>
  <c r="O20" i="82" a="1"/>
  <c r="N20" i="82" a="1"/>
  <c r="M20" i="82" a="1"/>
  <c r="L20" i="82" a="1"/>
  <c r="J20" i="82" a="1"/>
  <c r="G20" i="82"/>
  <c r="AK19" i="82" a="1"/>
  <c r="AJ19" i="82" a="1"/>
  <c r="AI19" i="82" a="1"/>
  <c r="AH19" i="82" a="1"/>
  <c r="AG19" i="82" a="1"/>
  <c r="AF19" i="82" a="1"/>
  <c r="AE19" i="82" a="1"/>
  <c r="AD19" i="82" a="1"/>
  <c r="AC19" i="82" a="1"/>
  <c r="AB19" i="82" a="1"/>
  <c r="AA19" i="82" a="1"/>
  <c r="Z19" i="82" a="1"/>
  <c r="Y19" i="82" a="1"/>
  <c r="X19" i="82" a="1"/>
  <c r="W19" i="82" a="1"/>
  <c r="V19" i="82" a="1"/>
  <c r="U19" i="82" a="1"/>
  <c r="T19" i="82" a="1"/>
  <c r="S19" i="82" a="1"/>
  <c r="R19" i="82" a="1"/>
  <c r="Q19" i="82" a="1"/>
  <c r="P19" i="82" a="1"/>
  <c r="O19" i="82" a="1"/>
  <c r="N19" i="82" a="1"/>
  <c r="M19" i="82" a="1"/>
  <c r="L19" i="82" a="1"/>
  <c r="J19" i="82" a="1"/>
  <c r="G19" i="82"/>
  <c r="AK18" i="82" a="1"/>
  <c r="AJ18" i="82" a="1"/>
  <c r="AI18" i="82" a="1"/>
  <c r="AH18" i="82" a="1"/>
  <c r="AG18" i="82" a="1"/>
  <c r="AF18" i="82" a="1"/>
  <c r="AE18" i="82" a="1"/>
  <c r="AD18" i="82" a="1"/>
  <c r="AC18" i="82" a="1"/>
  <c r="AB18" i="82" a="1"/>
  <c r="AA18" i="82" a="1"/>
  <c r="Z18" i="82" a="1"/>
  <c r="Y18" i="82" a="1"/>
  <c r="X18" i="82" a="1"/>
  <c r="W18" i="82" a="1"/>
  <c r="V18" i="82" a="1"/>
  <c r="U18" i="82" a="1"/>
  <c r="T18" i="82" a="1"/>
  <c r="S18" i="82" a="1"/>
  <c r="R18" i="82" a="1"/>
  <c r="Q18" i="82" a="1"/>
  <c r="P18" i="82" a="1"/>
  <c r="O18" i="82" a="1"/>
  <c r="N18" i="82" a="1"/>
  <c r="M18" i="82" a="1"/>
  <c r="L18" i="82" a="1"/>
  <c r="J18" i="82" a="1"/>
  <c r="G18" i="82"/>
  <c r="AK17" i="82" a="1"/>
  <c r="AJ17" i="82" a="1"/>
  <c r="AI17" i="82" a="1"/>
  <c r="AH17" i="82" a="1"/>
  <c r="AG17" i="82" a="1"/>
  <c r="AF17" i="82" a="1"/>
  <c r="AE17" i="82" a="1"/>
  <c r="AD17" i="82" a="1"/>
  <c r="AC17" i="82" a="1"/>
  <c r="AB17" i="82" a="1"/>
  <c r="AA17" i="82" a="1"/>
  <c r="Z17" i="82" a="1"/>
  <c r="Y17" i="82" a="1"/>
  <c r="X17" i="82" a="1"/>
  <c r="W17" i="82" a="1"/>
  <c r="V17" i="82" a="1"/>
  <c r="U17" i="82" a="1"/>
  <c r="T17" i="82" a="1"/>
  <c r="S17" i="82" a="1"/>
  <c r="R17" i="82" a="1"/>
  <c r="Q17" i="82" a="1"/>
  <c r="P17" i="82" a="1"/>
  <c r="O17" i="82" a="1"/>
  <c r="N17" i="82" a="1"/>
  <c r="M17" i="82" a="1"/>
  <c r="L17" i="82" a="1"/>
  <c r="J17" i="82" a="1"/>
  <c r="G17" i="82"/>
  <c r="AK16" i="82" a="1"/>
  <c r="AJ16" i="82" a="1"/>
  <c r="AI16" i="82" a="1"/>
  <c r="AH16" i="82" a="1"/>
  <c r="AG16" i="82" a="1"/>
  <c r="AF16" i="82" a="1"/>
  <c r="AE16" i="82" a="1"/>
  <c r="AD16" i="82" a="1"/>
  <c r="AC16" i="82" a="1"/>
  <c r="AB16" i="82" a="1"/>
  <c r="AA16" i="82" a="1"/>
  <c r="Z16" i="82" a="1"/>
  <c r="Y16" i="82" a="1"/>
  <c r="X16" i="82" a="1"/>
  <c r="W16" i="82" a="1"/>
  <c r="V16" i="82" a="1"/>
  <c r="U16" i="82" a="1"/>
  <c r="T16" i="82" a="1"/>
  <c r="S16" i="82" a="1"/>
  <c r="R16" i="82" a="1"/>
  <c r="Q16" i="82" a="1"/>
  <c r="P16" i="82" a="1"/>
  <c r="O16" i="82" a="1"/>
  <c r="N16" i="82" a="1"/>
  <c r="M16" i="82" a="1"/>
  <c r="L16" i="82" a="1"/>
  <c r="J16" i="82" a="1"/>
  <c r="G16" i="82"/>
  <c r="AK15" i="82" a="1"/>
  <c r="AJ15" i="82" a="1"/>
  <c r="AI15" i="82" a="1"/>
  <c r="AH15" i="82" a="1"/>
  <c r="AG15" i="82" a="1"/>
  <c r="AF15" i="82" a="1"/>
  <c r="AE15" i="82" a="1"/>
  <c r="AD15" i="82" a="1"/>
  <c r="AC15" i="82" a="1"/>
  <c r="AB15" i="82" a="1"/>
  <c r="AA15" i="82" a="1"/>
  <c r="Z15" i="82" a="1"/>
  <c r="Y15" i="82" a="1"/>
  <c r="X15" i="82" a="1"/>
  <c r="W15" i="82" a="1"/>
  <c r="V15" i="82" a="1"/>
  <c r="U15" i="82" a="1"/>
  <c r="T15" i="82" a="1"/>
  <c r="S15" i="82" a="1"/>
  <c r="R15" i="82" a="1"/>
  <c r="Q15" i="82" a="1"/>
  <c r="P15" i="82" a="1"/>
  <c r="O15" i="82" a="1"/>
  <c r="N15" i="82" a="1"/>
  <c r="M15" i="82" a="1"/>
  <c r="L15" i="82" a="1"/>
  <c r="J15" i="82" a="1"/>
  <c r="G15" i="82"/>
  <c r="AK14" i="82" a="1"/>
  <c r="AJ14" i="82" a="1"/>
  <c r="AI14" i="82" a="1"/>
  <c r="AH14" i="82" a="1"/>
  <c r="AG14" i="82" a="1"/>
  <c r="AF14" i="82" a="1"/>
  <c r="AE14" i="82" a="1"/>
  <c r="AD14" i="82" a="1"/>
  <c r="AC14" i="82" a="1"/>
  <c r="AB14" i="82" a="1"/>
  <c r="AA14" i="82" a="1"/>
  <c r="Z14" i="82" a="1"/>
  <c r="Y14" i="82" a="1"/>
  <c r="X14" i="82" a="1"/>
  <c r="W14" i="82" a="1"/>
  <c r="V14" i="82" a="1"/>
  <c r="U14" i="82" a="1"/>
  <c r="T14" i="82" a="1"/>
  <c r="S14" i="82" a="1"/>
  <c r="R14" i="82" a="1"/>
  <c r="Q14" i="82" a="1"/>
  <c r="P14" i="82" a="1"/>
  <c r="O14" i="82" a="1"/>
  <c r="N14" i="82" a="1"/>
  <c r="M14" i="82" a="1"/>
  <c r="L14" i="82" a="1"/>
  <c r="J14" i="82" a="1"/>
  <c r="G14" i="82"/>
  <c r="AK13" i="82" a="1"/>
  <c r="AJ13" i="82" a="1"/>
  <c r="AI13" i="82" a="1"/>
  <c r="AH13" i="82" a="1"/>
  <c r="AG13" i="82" a="1"/>
  <c r="AF13" i="82" a="1"/>
  <c r="AE13" i="82" a="1"/>
  <c r="AD13" i="82" a="1"/>
  <c r="AC13" i="82" a="1"/>
  <c r="AB13" i="82" a="1"/>
  <c r="AA13" i="82" a="1"/>
  <c r="Z13" i="82" a="1"/>
  <c r="Y13" i="82" a="1"/>
  <c r="X13" i="82" a="1"/>
  <c r="W13" i="82" a="1"/>
  <c r="V13" i="82" a="1"/>
  <c r="U13" i="82" a="1"/>
  <c r="T13" i="82" a="1"/>
  <c r="S13" i="82" a="1"/>
  <c r="R13" i="82" a="1"/>
  <c r="Q13" i="82" a="1"/>
  <c r="P13" i="82" a="1"/>
  <c r="O13" i="82" a="1"/>
  <c r="N13" i="82" a="1"/>
  <c r="M13" i="82" a="1"/>
  <c r="L13" i="82" a="1"/>
  <c r="J13" i="82" a="1"/>
  <c r="G13" i="82"/>
  <c r="AK12" i="82" a="1"/>
  <c r="AJ12" i="82" a="1"/>
  <c r="AI12" i="82" a="1"/>
  <c r="AH12" i="82" a="1"/>
  <c r="AG12" i="82" a="1"/>
  <c r="AF12" i="82" a="1"/>
  <c r="AE12" i="82" a="1"/>
  <c r="AD12" i="82" a="1"/>
  <c r="AC12" i="82" a="1"/>
  <c r="AB12" i="82" a="1"/>
  <c r="AA12" i="82" a="1"/>
  <c r="Z12" i="82" a="1"/>
  <c r="Y12" i="82" a="1"/>
  <c r="X12" i="82" a="1"/>
  <c r="W12" i="82" a="1"/>
  <c r="V12" i="82" a="1"/>
  <c r="U12" i="82" a="1"/>
  <c r="T12" i="82" a="1"/>
  <c r="S12" i="82" a="1"/>
  <c r="R12" i="82" a="1"/>
  <c r="Q12" i="82" a="1"/>
  <c r="P12" i="82" a="1"/>
  <c r="O12" i="82" a="1"/>
  <c r="N12" i="82" a="1"/>
  <c r="M12" i="82" a="1"/>
  <c r="L12" i="82" a="1"/>
  <c r="J12" i="82" a="1"/>
  <c r="G12" i="82"/>
  <c r="AK11" i="82" a="1"/>
  <c r="AJ11" i="82" a="1"/>
  <c r="AI11" i="82" a="1"/>
  <c r="AH11" i="82" a="1"/>
  <c r="AG11" i="82" a="1"/>
  <c r="AF11" i="82" a="1"/>
  <c r="AE11" i="82" a="1"/>
  <c r="AD11" i="82" a="1"/>
  <c r="AC11" i="82" a="1"/>
  <c r="AB11" i="82" a="1"/>
  <c r="AA11" i="82" a="1"/>
  <c r="Z11" i="82" a="1"/>
  <c r="Y11" i="82" a="1"/>
  <c r="X11" i="82" a="1"/>
  <c r="W11" i="82" a="1"/>
  <c r="V11" i="82" a="1"/>
  <c r="U11" i="82" a="1"/>
  <c r="T11" i="82" a="1"/>
  <c r="S11" i="82" a="1"/>
  <c r="R11" i="82" a="1"/>
  <c r="Q11" i="82" a="1"/>
  <c r="P11" i="82" a="1"/>
  <c r="O11" i="82" a="1"/>
  <c r="N11" i="82" a="1"/>
  <c r="M11" i="82" a="1"/>
  <c r="L11" i="82" a="1"/>
  <c r="J11" i="82" a="1"/>
  <c r="G11" i="82"/>
  <c r="AK10" i="82" a="1"/>
  <c r="AJ10" i="82" a="1"/>
  <c r="AI10" i="82" a="1"/>
  <c r="AH10" i="82" a="1"/>
  <c r="AG10" i="82" a="1"/>
  <c r="AF10" i="82" a="1"/>
  <c r="AE10" i="82" a="1"/>
  <c r="AD10" i="82" a="1"/>
  <c r="AC10" i="82" a="1"/>
  <c r="AB10" i="82" a="1"/>
  <c r="AA10" i="82" a="1"/>
  <c r="Z10" i="82" a="1"/>
  <c r="Y10" i="82" a="1"/>
  <c r="X10" i="82" a="1"/>
  <c r="W10" i="82" a="1"/>
  <c r="V10" i="82" a="1"/>
  <c r="U10" i="82" a="1"/>
  <c r="T10" i="82" a="1"/>
  <c r="S10" i="82" a="1"/>
  <c r="R10" i="82" a="1"/>
  <c r="Q10" i="82" a="1"/>
  <c r="P10" i="82" a="1"/>
  <c r="O10" i="82" a="1"/>
  <c r="N10" i="82" a="1"/>
  <c r="M10" i="82" a="1"/>
  <c r="L10" i="82" a="1"/>
  <c r="J10" i="82" a="1"/>
  <c r="G10" i="82"/>
  <c r="AK9" i="82" a="1"/>
  <c r="AJ9" i="82" a="1"/>
  <c r="AI9" i="82" a="1"/>
  <c r="AH9" i="82" a="1"/>
  <c r="AG9" i="82" a="1"/>
  <c r="AF9" i="82" a="1"/>
  <c r="AE9" i="82" a="1"/>
  <c r="AD9" i="82" a="1"/>
  <c r="AC9" i="82" a="1"/>
  <c r="AB9" i="82" a="1"/>
  <c r="AA9" i="82" a="1"/>
  <c r="Z9" i="82" a="1"/>
  <c r="Y9" i="82" a="1"/>
  <c r="X9" i="82" a="1"/>
  <c r="W9" i="82" a="1"/>
  <c r="V9" i="82" a="1"/>
  <c r="U9" i="82" a="1"/>
  <c r="T9" i="82" a="1"/>
  <c r="S9" i="82" a="1"/>
  <c r="R9" i="82" a="1"/>
  <c r="Q9" i="82" a="1"/>
  <c r="P9" i="82" a="1"/>
  <c r="O9" i="82" a="1"/>
  <c r="N9" i="82" a="1"/>
  <c r="M9" i="82" a="1"/>
  <c r="L9" i="82" a="1"/>
  <c r="J9" i="82" a="1"/>
  <c r="G9" i="82"/>
  <c r="AK8" i="82" a="1"/>
  <c r="AJ8" i="82" a="1"/>
  <c r="AI8" i="82" a="1"/>
  <c r="AH8" i="82" a="1"/>
  <c r="AG8" i="82" a="1"/>
  <c r="AF8" i="82" a="1"/>
  <c r="AE8" i="82" a="1"/>
  <c r="AD8" i="82" a="1"/>
  <c r="AC8" i="82" a="1"/>
  <c r="AB8" i="82" a="1"/>
  <c r="AA8" i="82" a="1"/>
  <c r="Z8" i="82" a="1"/>
  <c r="Y8" i="82" a="1"/>
  <c r="X8" i="82" a="1"/>
  <c r="W8" i="82" a="1"/>
  <c r="V8" i="82" a="1"/>
  <c r="U8" i="82" a="1"/>
  <c r="T8" i="82" a="1"/>
  <c r="S8" i="82" a="1"/>
  <c r="R8" i="82" a="1"/>
  <c r="Q8" i="82" a="1"/>
  <c r="P8" i="82" a="1"/>
  <c r="O8" i="82" a="1"/>
  <c r="N8" i="82" a="1"/>
  <c r="M8" i="82" a="1"/>
  <c r="L8" i="82" a="1"/>
  <c r="J8" i="82" a="1"/>
  <c r="G8" i="82"/>
  <c r="AK7" i="82" a="1"/>
  <c r="AJ7" i="82" a="1"/>
  <c r="AI7" i="82" a="1"/>
  <c r="AH7" i="82" a="1"/>
  <c r="AG7" i="82" a="1"/>
  <c r="AF7" i="82" a="1"/>
  <c r="AE7" i="82" a="1"/>
  <c r="AD7" i="82" a="1"/>
  <c r="AC7" i="82" a="1"/>
  <c r="AB7" i="82" a="1"/>
  <c r="AA7" i="82" a="1"/>
  <c r="Z7" i="82" a="1"/>
  <c r="Y7" i="82" a="1"/>
  <c r="X7" i="82" a="1"/>
  <c r="W7" i="82" a="1"/>
  <c r="V7" i="82" a="1"/>
  <c r="U7" i="82" a="1"/>
  <c r="T7" i="82" a="1"/>
  <c r="S7" i="82" a="1"/>
  <c r="R7" i="82" a="1"/>
  <c r="Q7" i="82" a="1"/>
  <c r="P7" i="82" a="1"/>
  <c r="O7" i="82" a="1"/>
  <c r="N7" i="82" a="1"/>
  <c r="M7" i="82" a="1"/>
  <c r="L7" i="82" a="1"/>
  <c r="J7" i="82" a="1"/>
  <c r="G7" i="82"/>
  <c r="AK6" i="82" a="1"/>
  <c r="AJ6" i="82" a="1"/>
  <c r="AI6" i="82" a="1"/>
  <c r="AH6" i="82" a="1"/>
  <c r="AG6" i="82" a="1"/>
  <c r="AF6" i="82" a="1"/>
  <c r="AE6" i="82" a="1"/>
  <c r="AD6" i="82" a="1"/>
  <c r="AC6" i="82" a="1"/>
  <c r="AB6" i="82" a="1"/>
  <c r="AA6" i="82" a="1"/>
  <c r="Z6" i="82" a="1"/>
  <c r="Y6" i="82" a="1"/>
  <c r="X6" i="82" a="1"/>
  <c r="W6" i="82" a="1"/>
  <c r="V6" i="82" a="1"/>
  <c r="U6" i="82" a="1"/>
  <c r="T6" i="82" a="1"/>
  <c r="S6" i="82" a="1"/>
  <c r="R6" i="82" a="1"/>
  <c r="Q6" i="82" a="1"/>
  <c r="P6" i="82" a="1"/>
  <c r="O6" i="82" a="1"/>
  <c r="N6" i="82" a="1"/>
  <c r="M6" i="82" a="1"/>
  <c r="L6" i="82" a="1"/>
  <c r="J6" i="82" a="1"/>
  <c r="G6" i="82"/>
  <c r="AK5" i="82" a="1"/>
  <c r="AJ5" i="82" a="1"/>
  <c r="AI5" i="82" a="1"/>
  <c r="AH5" i="82" a="1"/>
  <c r="AG5" i="82" a="1"/>
  <c r="AF5" i="82" a="1"/>
  <c r="AE5" i="82" a="1"/>
  <c r="AD5" i="82" a="1"/>
  <c r="AC5" i="82" a="1"/>
  <c r="AB5" i="82" a="1"/>
  <c r="AA5" i="82" a="1"/>
  <c r="Z5" i="82" a="1"/>
  <c r="Y5" i="82" a="1"/>
  <c r="X5" i="82" a="1"/>
  <c r="W5" i="82" a="1"/>
  <c r="V5" i="82" a="1"/>
  <c r="U5" i="82" a="1"/>
  <c r="T5" i="82" a="1"/>
  <c r="S5" i="82" a="1"/>
  <c r="R5" i="82" a="1"/>
  <c r="Q5" i="82" a="1"/>
  <c r="P5" i="82" a="1"/>
  <c r="O5" i="82" a="1"/>
  <c r="N5" i="82" a="1"/>
  <c r="M5" i="82" a="1"/>
  <c r="L5" i="82" a="1"/>
  <c r="J5" i="82" a="1"/>
  <c r="G5" i="82"/>
  <c r="AK4" i="82" a="1"/>
  <c r="AJ4" i="82" a="1"/>
  <c r="AI4" i="82" a="1"/>
  <c r="AH4" i="82" a="1"/>
  <c r="AG4" i="82" a="1"/>
  <c r="AF4" i="82" a="1"/>
  <c r="AE4" i="82" a="1"/>
  <c r="AD4" i="82" a="1"/>
  <c r="AC4" i="82" a="1"/>
  <c r="AB4" i="82" a="1"/>
  <c r="AA4" i="82" a="1"/>
  <c r="Z4" i="82" a="1"/>
  <c r="Y4" i="82" a="1"/>
  <c r="X4" i="82" a="1"/>
  <c r="W4" i="82" a="1"/>
  <c r="V4" i="82" a="1"/>
  <c r="U4" i="82" a="1"/>
  <c r="T4" i="82" a="1"/>
  <c r="S4" i="82" a="1"/>
  <c r="R4" i="82" a="1"/>
  <c r="Q4" i="82" a="1"/>
  <c r="P4" i="82" a="1"/>
  <c r="O4" i="82" a="1"/>
  <c r="N4" i="82" a="1"/>
  <c r="M4" i="82" a="1"/>
  <c r="L4" i="82" a="1"/>
  <c r="J4" i="82" a="1"/>
  <c r="G4" i="82"/>
  <c r="AK3" i="82" a="1"/>
  <c r="AJ3" i="82" a="1"/>
  <c r="AI3" i="82" a="1"/>
  <c r="AH3" i="82" a="1"/>
  <c r="AG3" i="82" a="1"/>
  <c r="AF3" i="82" a="1"/>
  <c r="AE3" i="82" a="1"/>
  <c r="AD3" i="82" a="1"/>
  <c r="AC3" i="82" a="1"/>
  <c r="AB3" i="82" a="1"/>
  <c r="AA3" i="82" a="1"/>
  <c r="Z3" i="82" a="1"/>
  <c r="Y3" i="82" a="1"/>
  <c r="X3" i="82" a="1"/>
  <c r="W3" i="82" a="1"/>
  <c r="V3" i="82" a="1"/>
  <c r="U3" i="82" a="1"/>
  <c r="T3" i="82" a="1"/>
  <c r="S3" i="82" a="1"/>
  <c r="R3" i="82" a="1"/>
  <c r="Q3" i="82" a="1"/>
  <c r="P3" i="82" a="1"/>
  <c r="O3" i="82" a="1"/>
  <c r="N3" i="82" a="1"/>
  <c r="M3" i="82" a="1"/>
  <c r="L3" i="82" a="1"/>
  <c r="J3" i="82" a="1"/>
  <c r="G3" i="82"/>
  <c r="H6" i="90" l="1"/>
  <c r="I6" i="90" s="1"/>
  <c r="H19" i="90"/>
  <c r="I19" i="90" s="1"/>
  <c r="H20" i="90"/>
  <c r="I20" i="90" s="1"/>
  <c r="H7" i="90"/>
  <c r="I7" i="90" s="1"/>
  <c r="H31" i="89"/>
  <c r="I31" i="89" s="1"/>
  <c r="H25" i="89"/>
  <c r="I25" i="89" s="1"/>
  <c r="H23" i="89"/>
  <c r="I23" i="89" s="1"/>
  <c r="H29" i="89"/>
  <c r="I29" i="89" s="1"/>
  <c r="H24" i="89"/>
  <c r="I24" i="89" s="1"/>
  <c r="H13" i="88"/>
  <c r="I13" i="88" s="1"/>
  <c r="H32" i="87"/>
  <c r="I32" i="87" s="1"/>
  <c r="H7" i="87"/>
  <c r="I7" i="87" s="1"/>
  <c r="H25" i="87"/>
  <c r="I25" i="87" s="1"/>
  <c r="H6" i="87"/>
  <c r="I6" i="87" s="1"/>
  <c r="H31" i="87"/>
  <c r="I31" i="87" s="1"/>
  <c r="H14" i="86"/>
  <c r="I14" i="86" s="1"/>
  <c r="H32" i="86"/>
  <c r="I32" i="86" s="1"/>
  <c r="H6" i="86"/>
  <c r="I6" i="86" s="1"/>
  <c r="H26" i="86"/>
  <c r="I26" i="86" s="1"/>
  <c r="H20" i="85"/>
  <c r="I20" i="85" s="1"/>
  <c r="H32" i="85"/>
  <c r="I32" i="85" s="1"/>
  <c r="H12" i="85"/>
  <c r="I12" i="85" s="1"/>
  <c r="H13" i="85"/>
  <c r="I13" i="85" s="1"/>
  <c r="H25" i="85"/>
  <c r="I25" i="85" s="1"/>
  <c r="H32" i="84"/>
  <c r="H20" i="84"/>
  <c r="H7" i="84"/>
  <c r="H19" i="84"/>
  <c r="H25" i="84"/>
  <c r="H6" i="84"/>
  <c r="H32" i="83"/>
  <c r="H13" i="83"/>
  <c r="H14" i="83"/>
  <c r="H6" i="83"/>
  <c r="H32" i="82"/>
  <c r="H31" i="82"/>
  <c r="H25" i="82"/>
  <c r="H6" i="91"/>
  <c r="I6" i="91" s="1"/>
  <c r="H13" i="91"/>
  <c r="I13" i="91" s="1"/>
  <c r="H20" i="91"/>
  <c r="I20" i="91" s="1"/>
  <c r="H7" i="91"/>
  <c r="I7" i="91" s="1"/>
  <c r="H14" i="91"/>
  <c r="I14" i="91" s="1"/>
  <c r="H15" i="91"/>
  <c r="I15" i="91" s="1"/>
  <c r="H29" i="91"/>
  <c r="I29" i="91" s="1"/>
  <c r="H8" i="91"/>
  <c r="I8" i="91" s="1"/>
  <c r="H16" i="91"/>
  <c r="I16" i="91" s="1"/>
  <c r="H9" i="91"/>
  <c r="I9" i="91" s="1"/>
  <c r="H23" i="91"/>
  <c r="I23" i="91" s="1"/>
  <c r="H17" i="91"/>
  <c r="I17" i="91" s="1"/>
  <c r="H3" i="91"/>
  <c r="I3" i="91" s="1"/>
  <c r="H10" i="91"/>
  <c r="I10" i="91" s="1"/>
  <c r="H25" i="91"/>
  <c r="I25" i="91" s="1"/>
  <c r="H11" i="91"/>
  <c r="I11" i="91" s="1"/>
  <c r="H4" i="91"/>
  <c r="I4" i="91" s="1"/>
  <c r="H18" i="91"/>
  <c r="I18" i="91" s="1"/>
  <c r="H5" i="91"/>
  <c r="I5" i="91" s="1"/>
  <c r="H19" i="91"/>
  <c r="I19" i="91" s="1"/>
  <c r="H12" i="91"/>
  <c r="I12" i="91" s="1"/>
  <c r="H13" i="90"/>
  <c r="I13" i="90" s="1"/>
  <c r="H14" i="90"/>
  <c r="I14" i="90" s="1"/>
  <c r="H12" i="90"/>
  <c r="I12" i="90" s="1"/>
  <c r="H23" i="90"/>
  <c r="I23" i="90" s="1"/>
  <c r="H16" i="90"/>
  <c r="I16" i="90" s="1"/>
  <c r="H5" i="90"/>
  <c r="I5" i="90" s="1"/>
  <c r="H9" i="90"/>
  <c r="I9" i="90" s="1"/>
  <c r="H17" i="90"/>
  <c r="I17" i="90" s="1"/>
  <c r="H11" i="90"/>
  <c r="I11" i="90" s="1"/>
  <c r="H4" i="90"/>
  <c r="I4" i="90" s="1"/>
  <c r="H10" i="90"/>
  <c r="I10" i="90" s="1"/>
  <c r="H3" i="90"/>
  <c r="I3" i="90" s="1"/>
  <c r="H25" i="90"/>
  <c r="I25" i="90" s="1"/>
  <c r="H8" i="90"/>
  <c r="I8" i="90" s="1"/>
  <c r="H18" i="90"/>
  <c r="I18" i="90" s="1"/>
  <c r="H29" i="90"/>
  <c r="I29" i="90" s="1"/>
  <c r="H15" i="90"/>
  <c r="I15" i="90" s="1"/>
  <c r="H19" i="89"/>
  <c r="I19" i="89" s="1"/>
  <c r="H16" i="89"/>
  <c r="I16" i="89" s="1"/>
  <c r="H18" i="89"/>
  <c r="I18" i="89" s="1"/>
  <c r="H11" i="89"/>
  <c r="I11" i="89" s="1"/>
  <c r="H6" i="89"/>
  <c r="I6" i="89" s="1"/>
  <c r="H14" i="89"/>
  <c r="I14" i="89" s="1"/>
  <c r="H20" i="89"/>
  <c r="I20" i="89" s="1"/>
  <c r="H7" i="89"/>
  <c r="I7" i="89" s="1"/>
  <c r="H27" i="89"/>
  <c r="I27" i="89" s="1"/>
  <c r="H17" i="89"/>
  <c r="I17" i="89" s="1"/>
  <c r="H12" i="89"/>
  <c r="I12" i="89" s="1"/>
  <c r="H4" i="89"/>
  <c r="I4" i="89" s="1"/>
  <c r="H21" i="89"/>
  <c r="I21" i="89" s="1"/>
  <c r="H10" i="89"/>
  <c r="I10" i="89" s="1"/>
  <c r="H5" i="89"/>
  <c r="I5" i="89" s="1"/>
  <c r="H13" i="89"/>
  <c r="I13" i="89" s="1"/>
  <c r="H26" i="89"/>
  <c r="I26" i="89" s="1"/>
  <c r="H32" i="89"/>
  <c r="I32" i="89" s="1"/>
  <c r="H3" i="89"/>
  <c r="I3" i="89" s="1"/>
  <c r="H28" i="89"/>
  <c r="I28" i="89" s="1"/>
  <c r="H22" i="89"/>
  <c r="I22" i="89" s="1"/>
  <c r="H8" i="89"/>
  <c r="I8" i="89" s="1"/>
  <c r="H9" i="89"/>
  <c r="I9" i="89" s="1"/>
  <c r="H30" i="89"/>
  <c r="I30" i="89" s="1"/>
  <c r="H15" i="89"/>
  <c r="I15" i="89" s="1"/>
  <c r="H6" i="88"/>
  <c r="I6" i="88" s="1"/>
  <c r="H17" i="88"/>
  <c r="I17" i="88" s="1"/>
  <c r="H22" i="88"/>
  <c r="I22" i="88" s="1"/>
  <c r="H12" i="88"/>
  <c r="I12" i="88" s="1"/>
  <c r="H28" i="88"/>
  <c r="I28" i="88" s="1"/>
  <c r="H23" i="88"/>
  <c r="I23" i="88" s="1"/>
  <c r="H7" i="88"/>
  <c r="I7" i="88" s="1"/>
  <c r="H29" i="88"/>
  <c r="I29" i="88" s="1"/>
  <c r="H14" i="88"/>
  <c r="I14" i="88" s="1"/>
  <c r="H30" i="88"/>
  <c r="I30" i="88" s="1"/>
  <c r="H9" i="88"/>
  <c r="I9" i="88" s="1"/>
  <c r="H19" i="88"/>
  <c r="I19" i="88" s="1"/>
  <c r="H25" i="88"/>
  <c r="I25" i="88" s="1"/>
  <c r="H31" i="88"/>
  <c r="I31" i="88" s="1"/>
  <c r="H3" i="88"/>
  <c r="I3" i="88" s="1"/>
  <c r="H15" i="88"/>
  <c r="I15" i="88" s="1"/>
  <c r="H24" i="88"/>
  <c r="I24" i="88" s="1"/>
  <c r="H10" i="88"/>
  <c r="I10" i="88" s="1"/>
  <c r="H20" i="88"/>
  <c r="I20" i="88" s="1"/>
  <c r="H18" i="88"/>
  <c r="I18" i="88" s="1"/>
  <c r="H8" i="88"/>
  <c r="I8" i="88" s="1"/>
  <c r="H4" i="88"/>
  <c r="I4" i="88" s="1"/>
  <c r="H26" i="88"/>
  <c r="I26" i="88" s="1"/>
  <c r="H32" i="88"/>
  <c r="I32" i="88" s="1"/>
  <c r="H16" i="88"/>
  <c r="I16" i="88" s="1"/>
  <c r="H21" i="88"/>
  <c r="I21" i="88" s="1"/>
  <c r="H11" i="88"/>
  <c r="I11" i="88" s="1"/>
  <c r="H5" i="88"/>
  <c r="I5" i="88" s="1"/>
  <c r="H27" i="88"/>
  <c r="I27" i="88" s="1"/>
  <c r="H5" i="87"/>
  <c r="I5" i="87" s="1"/>
  <c r="H24" i="87"/>
  <c r="I24" i="87" s="1"/>
  <c r="H26" i="87"/>
  <c r="I26" i="87" s="1"/>
  <c r="H19" i="87"/>
  <c r="I19" i="87" s="1"/>
  <c r="H18" i="87"/>
  <c r="I18" i="87" s="1"/>
  <c r="H12" i="87"/>
  <c r="I12" i="87" s="1"/>
  <c r="H20" i="87"/>
  <c r="I20" i="87" s="1"/>
  <c r="H14" i="87"/>
  <c r="I14" i="87" s="1"/>
  <c r="H13" i="87"/>
  <c r="I13" i="87" s="1"/>
  <c r="H28" i="87"/>
  <c r="I28" i="87" s="1"/>
  <c r="H29" i="87"/>
  <c r="I29" i="87" s="1"/>
  <c r="H15" i="87"/>
  <c r="I15" i="87" s="1"/>
  <c r="H22" i="87"/>
  <c r="I22" i="87" s="1"/>
  <c r="H10" i="87"/>
  <c r="I10" i="87" s="1"/>
  <c r="H27" i="87"/>
  <c r="I27" i="87" s="1"/>
  <c r="H4" i="87"/>
  <c r="I4" i="87" s="1"/>
  <c r="H8" i="87"/>
  <c r="I8" i="87" s="1"/>
  <c r="H11" i="87"/>
  <c r="I11" i="87" s="1"/>
  <c r="H23" i="87"/>
  <c r="I23" i="87" s="1"/>
  <c r="H16" i="87"/>
  <c r="I16" i="87" s="1"/>
  <c r="H21" i="87"/>
  <c r="I21" i="87" s="1"/>
  <c r="H3" i="87"/>
  <c r="I3" i="87" s="1"/>
  <c r="H9" i="87"/>
  <c r="I9" i="87" s="1"/>
  <c r="H17" i="87"/>
  <c r="I17" i="87" s="1"/>
  <c r="H30" i="87"/>
  <c r="I30" i="87" s="1"/>
  <c r="H20" i="86"/>
  <c r="I20" i="86" s="1"/>
  <c r="H7" i="86"/>
  <c r="I7" i="86" s="1"/>
  <c r="H19" i="86"/>
  <c r="I19" i="86" s="1"/>
  <c r="H13" i="86"/>
  <c r="I13" i="86" s="1"/>
  <c r="H25" i="86"/>
  <c r="I25" i="86" s="1"/>
  <c r="H29" i="86"/>
  <c r="I29" i="86" s="1"/>
  <c r="H30" i="86"/>
  <c r="I30" i="86" s="1"/>
  <c r="H15" i="86"/>
  <c r="I15" i="86" s="1"/>
  <c r="H27" i="86"/>
  <c r="I27" i="86" s="1"/>
  <c r="H11" i="86"/>
  <c r="I11" i="86" s="1"/>
  <c r="H31" i="86"/>
  <c r="I31" i="86" s="1"/>
  <c r="H16" i="86"/>
  <c r="I16" i="86" s="1"/>
  <c r="H9" i="86"/>
  <c r="I9" i="86" s="1"/>
  <c r="H5" i="86"/>
  <c r="I5" i="86" s="1"/>
  <c r="H24" i="86"/>
  <c r="I24" i="86" s="1"/>
  <c r="H28" i="86"/>
  <c r="I28" i="86" s="1"/>
  <c r="H3" i="86"/>
  <c r="I3" i="86" s="1"/>
  <c r="H8" i="86"/>
  <c r="I8" i="86" s="1"/>
  <c r="H17" i="86"/>
  <c r="I17" i="86" s="1"/>
  <c r="H18" i="86"/>
  <c r="I18" i="86" s="1"/>
  <c r="H12" i="86"/>
  <c r="I12" i="86" s="1"/>
  <c r="H21" i="86"/>
  <c r="I21" i="86" s="1"/>
  <c r="H22" i="86"/>
  <c r="I22" i="86" s="1"/>
  <c r="H10" i="86"/>
  <c r="I10" i="86" s="1"/>
  <c r="H23" i="86"/>
  <c r="I23" i="86" s="1"/>
  <c r="H4" i="86"/>
  <c r="I4" i="86" s="1"/>
  <c r="H14" i="85"/>
  <c r="I14" i="85" s="1"/>
  <c r="H26" i="85"/>
  <c r="I26" i="85" s="1"/>
  <c r="H7" i="85"/>
  <c r="I7" i="85" s="1"/>
  <c r="H6" i="85"/>
  <c r="I6" i="85" s="1"/>
  <c r="H19" i="85"/>
  <c r="I19" i="85" s="1"/>
  <c r="H9" i="85"/>
  <c r="I9" i="85" s="1"/>
  <c r="H18" i="85"/>
  <c r="I18" i="85" s="1"/>
  <c r="H24" i="85"/>
  <c r="I24" i="85" s="1"/>
  <c r="H31" i="85"/>
  <c r="I31" i="85" s="1"/>
  <c r="H15" i="85"/>
  <c r="I15" i="85" s="1"/>
  <c r="H30" i="85"/>
  <c r="I30" i="85" s="1"/>
  <c r="H28" i="85"/>
  <c r="I28" i="85" s="1"/>
  <c r="H3" i="85"/>
  <c r="I3" i="85" s="1"/>
  <c r="H22" i="85"/>
  <c r="I22" i="85" s="1"/>
  <c r="H16" i="85"/>
  <c r="I16" i="85" s="1"/>
  <c r="H29" i="85"/>
  <c r="I29" i="85" s="1"/>
  <c r="H17" i="85"/>
  <c r="I17" i="85" s="1"/>
  <c r="H11" i="85"/>
  <c r="I11" i="85" s="1"/>
  <c r="H21" i="85"/>
  <c r="I21" i="85" s="1"/>
  <c r="H10" i="85"/>
  <c r="I10" i="85" s="1"/>
  <c r="H23" i="85"/>
  <c r="I23" i="85" s="1"/>
  <c r="H4" i="85"/>
  <c r="I4" i="85" s="1"/>
  <c r="H8" i="85"/>
  <c r="I8" i="85" s="1"/>
  <c r="H27" i="85"/>
  <c r="I27" i="85" s="1"/>
  <c r="H5" i="85"/>
  <c r="I5" i="85" s="1"/>
  <c r="H26" i="84"/>
  <c r="H13" i="84"/>
  <c r="H12" i="84"/>
  <c r="H31" i="84"/>
  <c r="H14" i="84"/>
  <c r="H8" i="84"/>
  <c r="H10" i="84"/>
  <c r="H11" i="84"/>
  <c r="H18" i="84"/>
  <c r="H15" i="84"/>
  <c r="H28" i="84"/>
  <c r="H17" i="84"/>
  <c r="H4" i="84"/>
  <c r="H24" i="84"/>
  <c r="H9" i="84"/>
  <c r="H27" i="84"/>
  <c r="H5" i="84"/>
  <c r="H29" i="84"/>
  <c r="H16" i="84"/>
  <c r="H23" i="84"/>
  <c r="H22" i="84"/>
  <c r="H3" i="84"/>
  <c r="H30" i="84"/>
  <c r="H21" i="84"/>
  <c r="H19" i="83"/>
  <c r="H26" i="83"/>
  <c r="H20" i="83"/>
  <c r="H7" i="83"/>
  <c r="H16" i="83"/>
  <c r="H30" i="83"/>
  <c r="H24" i="83"/>
  <c r="H29" i="83"/>
  <c r="H28" i="83"/>
  <c r="H8" i="83"/>
  <c r="H22" i="83"/>
  <c r="H18" i="83"/>
  <c r="H31" i="83"/>
  <c r="H23" i="83"/>
  <c r="H25" i="83"/>
  <c r="H3" i="83"/>
  <c r="H9" i="83"/>
  <c r="H10" i="83"/>
  <c r="H27" i="83"/>
  <c r="H4" i="83"/>
  <c r="H5" i="83"/>
  <c r="H11" i="83"/>
  <c r="H15" i="83"/>
  <c r="H17" i="83"/>
  <c r="H12" i="83"/>
  <c r="H21" i="83"/>
  <c r="H13" i="82"/>
  <c r="H26" i="82"/>
  <c r="H20" i="82"/>
  <c r="H14" i="82"/>
  <c r="H19" i="82"/>
  <c r="H12" i="82"/>
  <c r="H6" i="82"/>
  <c r="H7" i="82"/>
  <c r="H8" i="82"/>
  <c r="H18" i="82"/>
  <c r="H16" i="82"/>
  <c r="H11" i="82"/>
  <c r="H30" i="82"/>
  <c r="H24" i="82"/>
  <c r="H15" i="82"/>
  <c r="H10" i="82"/>
  <c r="H5" i="82"/>
  <c r="H22" i="82"/>
  <c r="H29" i="82"/>
  <c r="H28" i="82"/>
  <c r="H23" i="82"/>
  <c r="H9" i="82"/>
  <c r="H27" i="82"/>
  <c r="H21" i="82"/>
  <c r="H3" i="82"/>
  <c r="H4" i="82"/>
  <c r="H17" i="82"/>
  <c r="AS33" i="80"/>
  <c r="AK32" i="80" a="1"/>
  <c r="AJ32" i="80" a="1"/>
  <c r="AI32" i="80" a="1"/>
  <c r="AH32" i="80" a="1"/>
  <c r="AG32" i="80" a="1"/>
  <c r="AF32" i="80" a="1"/>
  <c r="AE32" i="80" a="1"/>
  <c r="AD32" i="80" a="1"/>
  <c r="AC32" i="80" a="1"/>
  <c r="AB32" i="80" a="1"/>
  <c r="AA32" i="80" a="1"/>
  <c r="Z32" i="80" a="1"/>
  <c r="Y32" i="80" a="1"/>
  <c r="X32" i="80" a="1"/>
  <c r="W32" i="80" a="1"/>
  <c r="V32" i="80" a="1"/>
  <c r="U32" i="80" a="1"/>
  <c r="T32" i="80" a="1"/>
  <c r="S32" i="80" a="1"/>
  <c r="R32" i="80" a="1"/>
  <c r="Q32" i="80" a="1"/>
  <c r="P32" i="80" a="1"/>
  <c r="O32" i="80" a="1"/>
  <c r="N32" i="80" a="1"/>
  <c r="M32" i="80" a="1"/>
  <c r="L32" i="80" a="1"/>
  <c r="K32" i="80" a="1"/>
  <c r="J32" i="80" a="1"/>
  <c r="G32" i="80"/>
  <c r="AK31" i="80" a="1"/>
  <c r="AJ31" i="80" a="1"/>
  <c r="AI31" i="80" a="1"/>
  <c r="AH31" i="80" a="1"/>
  <c r="AG31" i="80" a="1"/>
  <c r="AF31" i="80" a="1"/>
  <c r="AE31" i="80" a="1"/>
  <c r="AD31" i="80" a="1"/>
  <c r="AC31" i="80" a="1"/>
  <c r="AB31" i="80" a="1"/>
  <c r="AA31" i="80" a="1"/>
  <c r="Z31" i="80" a="1"/>
  <c r="Y31" i="80" a="1"/>
  <c r="X31" i="80" a="1"/>
  <c r="W31" i="80" a="1"/>
  <c r="V31" i="80" a="1"/>
  <c r="U31" i="80" a="1"/>
  <c r="T31" i="80" a="1"/>
  <c r="S31" i="80" a="1"/>
  <c r="R31" i="80" a="1"/>
  <c r="Q31" i="80" a="1"/>
  <c r="P31" i="80" a="1"/>
  <c r="O31" i="80" a="1"/>
  <c r="N31" i="80" a="1"/>
  <c r="M31" i="80" a="1"/>
  <c r="L31" i="80" a="1"/>
  <c r="K31" i="80" a="1"/>
  <c r="J31" i="80" a="1"/>
  <c r="G31" i="80"/>
  <c r="AK30" i="80" a="1"/>
  <c r="AJ30" i="80" a="1"/>
  <c r="AI30" i="80" a="1"/>
  <c r="AH30" i="80" a="1"/>
  <c r="AG30" i="80" a="1"/>
  <c r="AF30" i="80" a="1"/>
  <c r="AE30" i="80" a="1"/>
  <c r="AD30" i="80" a="1"/>
  <c r="AC30" i="80" a="1"/>
  <c r="AB30" i="80" a="1"/>
  <c r="AA30" i="80" a="1"/>
  <c r="Z30" i="80" a="1"/>
  <c r="Y30" i="80" a="1"/>
  <c r="X30" i="80" a="1"/>
  <c r="W30" i="80" a="1"/>
  <c r="V30" i="80" a="1"/>
  <c r="U30" i="80" a="1"/>
  <c r="T30" i="80" a="1"/>
  <c r="S30" i="80" a="1"/>
  <c r="R30" i="80" a="1"/>
  <c r="Q30" i="80" a="1"/>
  <c r="P30" i="80" a="1"/>
  <c r="O30" i="80" a="1"/>
  <c r="N30" i="80" a="1"/>
  <c r="M30" i="80" a="1"/>
  <c r="L30" i="80" a="1"/>
  <c r="K30" i="80" a="1"/>
  <c r="J30" i="80" a="1"/>
  <c r="G30" i="80"/>
  <c r="AK29" i="80" a="1"/>
  <c r="AJ29" i="80" a="1"/>
  <c r="AI29" i="80" a="1"/>
  <c r="AH29" i="80" a="1"/>
  <c r="AG29" i="80" a="1"/>
  <c r="AF29" i="80" a="1"/>
  <c r="AE29" i="80" a="1"/>
  <c r="AD29" i="80" a="1"/>
  <c r="AC29" i="80" a="1"/>
  <c r="AB29" i="80" a="1"/>
  <c r="AA29" i="80" a="1"/>
  <c r="Z29" i="80" a="1"/>
  <c r="Y29" i="80" a="1"/>
  <c r="X29" i="80" a="1"/>
  <c r="W29" i="80" a="1"/>
  <c r="V29" i="80" a="1"/>
  <c r="U29" i="80" a="1"/>
  <c r="T29" i="80" a="1"/>
  <c r="S29" i="80" a="1"/>
  <c r="R29" i="80" a="1"/>
  <c r="Q29" i="80" a="1"/>
  <c r="P29" i="80" a="1"/>
  <c r="O29" i="80" a="1"/>
  <c r="N29" i="80" a="1"/>
  <c r="M29" i="80" a="1"/>
  <c r="L29" i="80" a="1"/>
  <c r="K29" i="80" a="1"/>
  <c r="J29" i="80" a="1"/>
  <c r="G29" i="80"/>
  <c r="AK28" i="80" a="1"/>
  <c r="AJ28" i="80" a="1"/>
  <c r="AI28" i="80" a="1"/>
  <c r="AH28" i="80" a="1"/>
  <c r="AG28" i="80" a="1"/>
  <c r="AF28" i="80" a="1"/>
  <c r="AE28" i="80" a="1"/>
  <c r="AD28" i="80" a="1"/>
  <c r="AC28" i="80" a="1"/>
  <c r="AB28" i="80" a="1"/>
  <c r="AA28" i="80" a="1"/>
  <c r="Z28" i="80" a="1"/>
  <c r="Y28" i="80" a="1"/>
  <c r="X28" i="80" a="1"/>
  <c r="W28" i="80" a="1"/>
  <c r="V28" i="80" a="1"/>
  <c r="U28" i="80" a="1"/>
  <c r="T28" i="80" a="1"/>
  <c r="S28" i="80" a="1"/>
  <c r="R28" i="80" a="1"/>
  <c r="Q28" i="80" a="1"/>
  <c r="P28" i="80" a="1"/>
  <c r="O28" i="80" a="1"/>
  <c r="N28" i="80" a="1"/>
  <c r="M28" i="80" a="1"/>
  <c r="L28" i="80" a="1"/>
  <c r="K28" i="80" a="1"/>
  <c r="J28" i="80" a="1"/>
  <c r="G28" i="80"/>
  <c r="AK27" i="80" a="1"/>
  <c r="AJ27" i="80" a="1"/>
  <c r="AI27" i="80" a="1"/>
  <c r="AH27" i="80" a="1"/>
  <c r="AG27" i="80" a="1"/>
  <c r="AF27" i="80" a="1"/>
  <c r="AE27" i="80" a="1"/>
  <c r="AD27" i="80" a="1"/>
  <c r="AC27" i="80" a="1"/>
  <c r="AB27" i="80" a="1"/>
  <c r="AA27" i="80" a="1"/>
  <c r="Z27" i="80" a="1"/>
  <c r="Y27" i="80" a="1"/>
  <c r="X27" i="80" a="1"/>
  <c r="W27" i="80" a="1"/>
  <c r="V27" i="80" a="1"/>
  <c r="U27" i="80" a="1"/>
  <c r="T27" i="80" a="1"/>
  <c r="S27" i="80" a="1"/>
  <c r="R27" i="80" a="1"/>
  <c r="Q27" i="80" a="1"/>
  <c r="P27" i="80" a="1"/>
  <c r="O27" i="80" a="1"/>
  <c r="N27" i="80" a="1"/>
  <c r="M27" i="80" a="1"/>
  <c r="L27" i="80" a="1"/>
  <c r="K27" i="80" a="1"/>
  <c r="J27" i="80" a="1"/>
  <c r="G27" i="80"/>
  <c r="AK26" i="80" a="1"/>
  <c r="AJ26" i="80" a="1"/>
  <c r="AI26" i="80" a="1"/>
  <c r="AH26" i="80" a="1"/>
  <c r="AG26" i="80" a="1"/>
  <c r="AF26" i="80" a="1"/>
  <c r="AE26" i="80" a="1"/>
  <c r="AD26" i="80" a="1"/>
  <c r="AC26" i="80" a="1"/>
  <c r="AB26" i="80" a="1"/>
  <c r="AA26" i="80" a="1"/>
  <c r="Z26" i="80" a="1"/>
  <c r="Y26" i="80" a="1"/>
  <c r="X26" i="80" a="1"/>
  <c r="W26" i="80" a="1"/>
  <c r="V26" i="80" a="1"/>
  <c r="U26" i="80" a="1"/>
  <c r="T26" i="80" a="1"/>
  <c r="S26" i="80" a="1"/>
  <c r="R26" i="80" a="1"/>
  <c r="Q26" i="80" a="1"/>
  <c r="P26" i="80" a="1"/>
  <c r="O26" i="80" a="1"/>
  <c r="N26" i="80" a="1"/>
  <c r="M26" i="80" a="1"/>
  <c r="L26" i="80" a="1"/>
  <c r="K26" i="80" a="1"/>
  <c r="J26" i="80" a="1"/>
  <c r="G26" i="80"/>
  <c r="AK25" i="80" a="1"/>
  <c r="AJ25" i="80" a="1"/>
  <c r="AI25" i="80" a="1"/>
  <c r="AH25" i="80" a="1"/>
  <c r="AG25" i="80" a="1"/>
  <c r="AF25" i="80" a="1"/>
  <c r="AE25" i="80" a="1"/>
  <c r="AD25" i="80" a="1"/>
  <c r="AC25" i="80" a="1"/>
  <c r="AB25" i="80" a="1"/>
  <c r="AA25" i="80" a="1"/>
  <c r="Z25" i="80" a="1"/>
  <c r="Y25" i="80" a="1"/>
  <c r="X25" i="80" a="1"/>
  <c r="W25" i="80" a="1"/>
  <c r="V25" i="80" a="1"/>
  <c r="U25" i="80" a="1"/>
  <c r="T25" i="80" a="1"/>
  <c r="S25" i="80" a="1"/>
  <c r="R25" i="80" a="1"/>
  <c r="Q25" i="80" a="1"/>
  <c r="P25" i="80" a="1"/>
  <c r="O25" i="80" a="1"/>
  <c r="N25" i="80" a="1"/>
  <c r="M25" i="80" a="1"/>
  <c r="L25" i="80" a="1"/>
  <c r="K25" i="80" a="1"/>
  <c r="J25" i="80" a="1"/>
  <c r="G25" i="80"/>
  <c r="AK24" i="80" a="1"/>
  <c r="AJ24" i="80" a="1"/>
  <c r="AI24" i="80" a="1"/>
  <c r="AH24" i="80" a="1"/>
  <c r="AG24" i="80" a="1"/>
  <c r="AF24" i="80" a="1"/>
  <c r="AE24" i="80" a="1"/>
  <c r="AD24" i="80" a="1"/>
  <c r="AC24" i="80" a="1"/>
  <c r="AB24" i="80" a="1"/>
  <c r="AA24" i="80" a="1"/>
  <c r="Z24" i="80" a="1"/>
  <c r="Y24" i="80" a="1"/>
  <c r="X24" i="80" a="1"/>
  <c r="W24" i="80" a="1"/>
  <c r="V24" i="80" a="1"/>
  <c r="U24" i="80" a="1"/>
  <c r="T24" i="80" a="1"/>
  <c r="S24" i="80" a="1"/>
  <c r="R24" i="80" a="1"/>
  <c r="Q24" i="80" a="1"/>
  <c r="P24" i="80" a="1"/>
  <c r="O24" i="80" a="1"/>
  <c r="N24" i="80" a="1"/>
  <c r="M24" i="80" a="1"/>
  <c r="L24" i="80" a="1"/>
  <c r="K24" i="80" a="1"/>
  <c r="J24" i="80" a="1"/>
  <c r="G24" i="80"/>
  <c r="AK23" i="80" a="1"/>
  <c r="AJ23" i="80" a="1"/>
  <c r="AI23" i="80" a="1"/>
  <c r="AH23" i="80" a="1"/>
  <c r="AG23" i="80" a="1"/>
  <c r="AF23" i="80" a="1"/>
  <c r="AE23" i="80" a="1"/>
  <c r="AD23" i="80" a="1"/>
  <c r="AC23" i="80" a="1"/>
  <c r="AB23" i="80" a="1"/>
  <c r="AA23" i="80" a="1"/>
  <c r="Z23" i="80" a="1"/>
  <c r="Y23" i="80" a="1"/>
  <c r="X23" i="80" a="1"/>
  <c r="W23" i="80" a="1"/>
  <c r="V23" i="80" a="1"/>
  <c r="U23" i="80" a="1"/>
  <c r="T23" i="80" a="1"/>
  <c r="S23" i="80" a="1"/>
  <c r="R23" i="80" a="1"/>
  <c r="Q23" i="80" a="1"/>
  <c r="P23" i="80" a="1"/>
  <c r="O23" i="80" a="1"/>
  <c r="N23" i="80" a="1"/>
  <c r="M23" i="80" a="1"/>
  <c r="L23" i="80" a="1"/>
  <c r="K23" i="80" a="1"/>
  <c r="J23" i="80" a="1"/>
  <c r="G23" i="80"/>
  <c r="AK22" i="80" a="1"/>
  <c r="AJ22" i="80" a="1"/>
  <c r="AI22" i="80" a="1"/>
  <c r="AH22" i="80" a="1"/>
  <c r="AG22" i="80" a="1"/>
  <c r="AF22" i="80" a="1"/>
  <c r="AE22" i="80" a="1"/>
  <c r="AD22" i="80" a="1"/>
  <c r="AC22" i="80" a="1"/>
  <c r="AB22" i="80" a="1"/>
  <c r="AA22" i="80" a="1"/>
  <c r="Z22" i="80" a="1"/>
  <c r="Y22" i="80" a="1"/>
  <c r="X22" i="80" a="1"/>
  <c r="W22" i="80" a="1"/>
  <c r="V22" i="80" a="1"/>
  <c r="U22" i="80" a="1"/>
  <c r="T22" i="80" a="1"/>
  <c r="S22" i="80" a="1"/>
  <c r="R22" i="80" a="1"/>
  <c r="Q22" i="80" a="1"/>
  <c r="P22" i="80" a="1"/>
  <c r="O22" i="80" a="1"/>
  <c r="N22" i="80" a="1"/>
  <c r="M22" i="80" a="1"/>
  <c r="L22" i="80" a="1"/>
  <c r="K22" i="80" a="1"/>
  <c r="J22" i="80" a="1"/>
  <c r="G22" i="80"/>
  <c r="AK21" i="80" a="1"/>
  <c r="AJ21" i="80" a="1"/>
  <c r="AI21" i="80" a="1"/>
  <c r="AH21" i="80" a="1"/>
  <c r="AG21" i="80" a="1"/>
  <c r="AF21" i="80" a="1"/>
  <c r="AE21" i="80" a="1"/>
  <c r="AD21" i="80" a="1"/>
  <c r="AC21" i="80" a="1"/>
  <c r="AB21" i="80" a="1"/>
  <c r="AA21" i="80" a="1"/>
  <c r="Z21" i="80" a="1"/>
  <c r="Y21" i="80" a="1"/>
  <c r="X21" i="80" a="1"/>
  <c r="W21" i="80" a="1"/>
  <c r="V21" i="80" a="1"/>
  <c r="U21" i="80" a="1"/>
  <c r="T21" i="80" a="1"/>
  <c r="S21" i="80" a="1"/>
  <c r="R21" i="80" a="1"/>
  <c r="Q21" i="80" a="1"/>
  <c r="P21" i="80" a="1"/>
  <c r="O21" i="80" a="1"/>
  <c r="N21" i="80" a="1"/>
  <c r="M21" i="80" a="1"/>
  <c r="L21" i="80" a="1"/>
  <c r="K21" i="80" a="1"/>
  <c r="J21" i="80" a="1"/>
  <c r="G21" i="80"/>
  <c r="AK20" i="80" a="1"/>
  <c r="AJ20" i="80" a="1"/>
  <c r="AI20" i="80" a="1"/>
  <c r="AH20" i="80" a="1"/>
  <c r="AG20" i="80" a="1"/>
  <c r="AF20" i="80" a="1"/>
  <c r="AE20" i="80" a="1"/>
  <c r="AD20" i="80" a="1"/>
  <c r="AC20" i="80" a="1"/>
  <c r="AB20" i="80" a="1"/>
  <c r="AA20" i="80" a="1"/>
  <c r="Z20" i="80" a="1"/>
  <c r="Y20" i="80" a="1"/>
  <c r="X20" i="80" a="1"/>
  <c r="W20" i="80" a="1"/>
  <c r="V20" i="80" a="1"/>
  <c r="U20" i="80" a="1"/>
  <c r="T20" i="80" a="1"/>
  <c r="S20" i="80" a="1"/>
  <c r="R20" i="80" a="1"/>
  <c r="Q20" i="80" a="1"/>
  <c r="P20" i="80" a="1"/>
  <c r="O20" i="80" a="1"/>
  <c r="N20" i="80" a="1"/>
  <c r="M20" i="80" a="1"/>
  <c r="L20" i="80" a="1"/>
  <c r="K20" i="80" a="1"/>
  <c r="J20" i="80" a="1"/>
  <c r="G20" i="80"/>
  <c r="AK19" i="80" a="1"/>
  <c r="AJ19" i="80" a="1"/>
  <c r="AI19" i="80" a="1"/>
  <c r="AH19" i="80" a="1"/>
  <c r="AG19" i="80" a="1"/>
  <c r="AF19" i="80" a="1"/>
  <c r="AE19" i="80" a="1"/>
  <c r="AD19" i="80" a="1"/>
  <c r="AC19" i="80" a="1"/>
  <c r="AB19" i="80" a="1"/>
  <c r="AA19" i="80" a="1"/>
  <c r="Z19" i="80" a="1"/>
  <c r="Y19" i="80" a="1"/>
  <c r="X19" i="80" a="1"/>
  <c r="W19" i="80" a="1"/>
  <c r="V19" i="80" a="1"/>
  <c r="U19" i="80" a="1"/>
  <c r="T19" i="80" a="1"/>
  <c r="S19" i="80" a="1"/>
  <c r="R19" i="80" a="1"/>
  <c r="Q19" i="80" a="1"/>
  <c r="P19" i="80" a="1"/>
  <c r="O19" i="80" a="1"/>
  <c r="N19" i="80" a="1"/>
  <c r="M19" i="80" a="1"/>
  <c r="L19" i="80" a="1"/>
  <c r="K19" i="80" a="1"/>
  <c r="J19" i="80" a="1"/>
  <c r="G19" i="80"/>
  <c r="AK18" i="80" a="1"/>
  <c r="AJ18" i="80" a="1"/>
  <c r="AI18" i="80" a="1"/>
  <c r="AH18" i="80" a="1"/>
  <c r="AG18" i="80" a="1"/>
  <c r="AF18" i="80" a="1"/>
  <c r="AE18" i="80" a="1"/>
  <c r="AD18" i="80" a="1"/>
  <c r="AC18" i="80" a="1"/>
  <c r="AB18" i="80" a="1"/>
  <c r="AA18" i="80" a="1"/>
  <c r="Z18" i="80" a="1"/>
  <c r="Y18" i="80" a="1"/>
  <c r="X18" i="80" a="1"/>
  <c r="W18" i="80" a="1"/>
  <c r="V18" i="80" a="1"/>
  <c r="U18" i="80" a="1"/>
  <c r="T18" i="80" a="1"/>
  <c r="S18" i="80" a="1"/>
  <c r="R18" i="80" a="1"/>
  <c r="Q18" i="80" a="1"/>
  <c r="P18" i="80" a="1"/>
  <c r="O18" i="80" a="1"/>
  <c r="N18" i="80" a="1"/>
  <c r="M18" i="80" a="1"/>
  <c r="L18" i="80" a="1"/>
  <c r="K18" i="80" a="1"/>
  <c r="J18" i="80" a="1"/>
  <c r="G18" i="80"/>
  <c r="AK17" i="80" a="1"/>
  <c r="AJ17" i="80" a="1"/>
  <c r="AI17" i="80" a="1"/>
  <c r="AH17" i="80" a="1"/>
  <c r="AG17" i="80" a="1"/>
  <c r="AF17" i="80" a="1"/>
  <c r="AE17" i="80" a="1"/>
  <c r="AD17" i="80" a="1"/>
  <c r="AC17" i="80" a="1"/>
  <c r="AB17" i="80" a="1"/>
  <c r="AA17" i="80" a="1"/>
  <c r="Z17" i="80" a="1"/>
  <c r="Y17" i="80" a="1"/>
  <c r="X17" i="80" a="1"/>
  <c r="W17" i="80" a="1"/>
  <c r="V17" i="80" a="1"/>
  <c r="U17" i="80" a="1"/>
  <c r="T17" i="80" a="1"/>
  <c r="S17" i="80" a="1"/>
  <c r="R17" i="80" a="1"/>
  <c r="Q17" i="80" a="1"/>
  <c r="P17" i="80" a="1"/>
  <c r="O17" i="80" a="1"/>
  <c r="N17" i="80" a="1"/>
  <c r="M17" i="80" a="1"/>
  <c r="L17" i="80" a="1"/>
  <c r="K17" i="80" a="1"/>
  <c r="J17" i="80" a="1"/>
  <c r="G17" i="80"/>
  <c r="AK16" i="80" a="1"/>
  <c r="AJ16" i="80" a="1"/>
  <c r="AI16" i="80" a="1"/>
  <c r="AH16" i="80" a="1"/>
  <c r="AG16" i="80" a="1"/>
  <c r="AF16" i="80" a="1"/>
  <c r="AE16" i="80" a="1"/>
  <c r="AD16" i="80" a="1"/>
  <c r="AC16" i="80" a="1"/>
  <c r="AB16" i="80" a="1"/>
  <c r="AA16" i="80" a="1"/>
  <c r="Z16" i="80" a="1"/>
  <c r="Y16" i="80" a="1"/>
  <c r="X16" i="80" a="1"/>
  <c r="W16" i="80" a="1"/>
  <c r="V16" i="80" a="1"/>
  <c r="U16" i="80" a="1"/>
  <c r="T16" i="80" a="1"/>
  <c r="S16" i="80" a="1"/>
  <c r="R16" i="80" a="1"/>
  <c r="Q16" i="80" a="1"/>
  <c r="P16" i="80" a="1"/>
  <c r="O16" i="80" a="1"/>
  <c r="N16" i="80" a="1"/>
  <c r="M16" i="80" a="1"/>
  <c r="L16" i="80" a="1"/>
  <c r="K16" i="80" a="1"/>
  <c r="J16" i="80" a="1"/>
  <c r="G16" i="80"/>
  <c r="AK15" i="80" a="1"/>
  <c r="AJ15" i="80" a="1"/>
  <c r="AI15" i="80" a="1"/>
  <c r="AH15" i="80" a="1"/>
  <c r="AG15" i="80" a="1"/>
  <c r="AF15" i="80" a="1"/>
  <c r="AE15" i="80" a="1"/>
  <c r="AD15" i="80" a="1"/>
  <c r="AC15" i="80" a="1"/>
  <c r="AB15" i="80" a="1"/>
  <c r="AA15" i="80" a="1"/>
  <c r="Z15" i="80" a="1"/>
  <c r="Y15" i="80" a="1"/>
  <c r="X15" i="80" a="1"/>
  <c r="W15" i="80" a="1"/>
  <c r="V15" i="80" a="1"/>
  <c r="U15" i="80" a="1"/>
  <c r="T15" i="80" a="1"/>
  <c r="S15" i="80" a="1"/>
  <c r="R15" i="80" a="1"/>
  <c r="Q15" i="80" a="1"/>
  <c r="P15" i="80" a="1"/>
  <c r="O15" i="80" a="1"/>
  <c r="N15" i="80" a="1"/>
  <c r="M15" i="80" a="1"/>
  <c r="L15" i="80" a="1"/>
  <c r="K15" i="80" a="1"/>
  <c r="J15" i="80" a="1"/>
  <c r="G15" i="80"/>
  <c r="AK14" i="80" a="1"/>
  <c r="AJ14" i="80" a="1"/>
  <c r="AI14" i="80" a="1"/>
  <c r="AH14" i="80" a="1"/>
  <c r="AG14" i="80" a="1"/>
  <c r="AF14" i="80" a="1"/>
  <c r="AE14" i="80" a="1"/>
  <c r="AD14" i="80" a="1"/>
  <c r="AC14" i="80" a="1"/>
  <c r="AB14" i="80" a="1"/>
  <c r="AA14" i="80" a="1"/>
  <c r="Z14" i="80" a="1"/>
  <c r="Y14" i="80" a="1"/>
  <c r="X14" i="80" a="1"/>
  <c r="W14" i="80" a="1"/>
  <c r="V14" i="80" a="1"/>
  <c r="U14" i="80" a="1"/>
  <c r="T14" i="80" a="1"/>
  <c r="S14" i="80" a="1"/>
  <c r="R14" i="80" a="1"/>
  <c r="Q14" i="80" a="1"/>
  <c r="P14" i="80" a="1"/>
  <c r="O14" i="80" a="1"/>
  <c r="N14" i="80" a="1"/>
  <c r="M14" i="80" a="1"/>
  <c r="L14" i="80" a="1"/>
  <c r="K14" i="80" a="1"/>
  <c r="J14" i="80" a="1"/>
  <c r="G14" i="80"/>
  <c r="AK13" i="80" a="1"/>
  <c r="AJ13" i="80" a="1"/>
  <c r="AI13" i="80" a="1"/>
  <c r="AH13" i="80" a="1"/>
  <c r="AG13" i="80" a="1"/>
  <c r="AF13" i="80" a="1"/>
  <c r="AE13" i="80" a="1"/>
  <c r="AD13" i="80" a="1"/>
  <c r="AC13" i="80" a="1"/>
  <c r="AB13" i="80" a="1"/>
  <c r="AA13" i="80" a="1"/>
  <c r="Z13" i="80" a="1"/>
  <c r="Y13" i="80" a="1"/>
  <c r="X13" i="80" a="1"/>
  <c r="W13" i="80" a="1"/>
  <c r="V13" i="80" a="1"/>
  <c r="U13" i="80" a="1"/>
  <c r="T13" i="80" a="1"/>
  <c r="S13" i="80" a="1"/>
  <c r="R13" i="80" a="1"/>
  <c r="Q13" i="80" a="1"/>
  <c r="P13" i="80" a="1"/>
  <c r="O13" i="80" a="1"/>
  <c r="N13" i="80" a="1"/>
  <c r="M13" i="80" a="1"/>
  <c r="L13" i="80" a="1"/>
  <c r="K13" i="80" a="1"/>
  <c r="J13" i="80" a="1"/>
  <c r="G13" i="80"/>
  <c r="AK12" i="80" a="1"/>
  <c r="AJ12" i="80" a="1"/>
  <c r="AI12" i="80" a="1"/>
  <c r="AH12" i="80" a="1"/>
  <c r="AG12" i="80" a="1"/>
  <c r="AF12" i="80" a="1"/>
  <c r="AE12" i="80" a="1"/>
  <c r="AD12" i="80" a="1"/>
  <c r="AC12" i="80" a="1"/>
  <c r="AB12" i="80" a="1"/>
  <c r="AA12" i="80" a="1"/>
  <c r="Z12" i="80" a="1"/>
  <c r="Y12" i="80" a="1"/>
  <c r="X12" i="80" a="1"/>
  <c r="W12" i="80" a="1"/>
  <c r="V12" i="80" a="1"/>
  <c r="U12" i="80" a="1"/>
  <c r="T12" i="80" a="1"/>
  <c r="S12" i="80" a="1"/>
  <c r="R12" i="80" a="1"/>
  <c r="Q12" i="80" a="1"/>
  <c r="P12" i="80" a="1"/>
  <c r="O12" i="80" a="1"/>
  <c r="N12" i="80" a="1"/>
  <c r="M12" i="80" a="1"/>
  <c r="L12" i="80" a="1"/>
  <c r="K12" i="80" a="1"/>
  <c r="J12" i="80" a="1"/>
  <c r="G12" i="80"/>
  <c r="AK11" i="80" a="1"/>
  <c r="AJ11" i="80" a="1"/>
  <c r="AI11" i="80" a="1"/>
  <c r="AH11" i="80" a="1"/>
  <c r="AG11" i="80" a="1"/>
  <c r="AF11" i="80" a="1"/>
  <c r="AE11" i="80" a="1"/>
  <c r="AD11" i="80" a="1"/>
  <c r="AC11" i="80" a="1"/>
  <c r="AB11" i="80" a="1"/>
  <c r="AA11" i="80" a="1"/>
  <c r="Z11" i="80" a="1"/>
  <c r="Y11" i="80" a="1"/>
  <c r="X11" i="80" a="1"/>
  <c r="W11" i="80" a="1"/>
  <c r="V11" i="80" a="1"/>
  <c r="U11" i="80" a="1"/>
  <c r="T11" i="80" a="1"/>
  <c r="S11" i="80" a="1"/>
  <c r="R11" i="80" a="1"/>
  <c r="Q11" i="80" a="1"/>
  <c r="P11" i="80" a="1"/>
  <c r="O11" i="80" a="1"/>
  <c r="N11" i="80" a="1"/>
  <c r="M11" i="80" a="1"/>
  <c r="L11" i="80" a="1"/>
  <c r="K11" i="80" a="1"/>
  <c r="J11" i="80" a="1"/>
  <c r="G11" i="80"/>
  <c r="AK10" i="80" a="1"/>
  <c r="AJ10" i="80" a="1"/>
  <c r="AI10" i="80" a="1"/>
  <c r="AH10" i="80" a="1"/>
  <c r="AG10" i="80" a="1"/>
  <c r="AF10" i="80" a="1"/>
  <c r="AE10" i="80" a="1"/>
  <c r="AD10" i="80" a="1"/>
  <c r="AC10" i="80" a="1"/>
  <c r="AB10" i="80" a="1"/>
  <c r="AA10" i="80" a="1"/>
  <c r="Z10" i="80" a="1"/>
  <c r="Y10" i="80" a="1"/>
  <c r="X10" i="80" a="1"/>
  <c r="W10" i="80" a="1"/>
  <c r="V10" i="80" a="1"/>
  <c r="U10" i="80" a="1"/>
  <c r="T10" i="80" a="1"/>
  <c r="S10" i="80" a="1"/>
  <c r="R10" i="80" a="1"/>
  <c r="Q10" i="80" a="1"/>
  <c r="P10" i="80" a="1"/>
  <c r="O10" i="80" a="1"/>
  <c r="N10" i="80" a="1"/>
  <c r="M10" i="80" a="1"/>
  <c r="L10" i="80" a="1"/>
  <c r="K10" i="80" a="1"/>
  <c r="J10" i="80" a="1"/>
  <c r="G10" i="80"/>
  <c r="AK9" i="80" a="1"/>
  <c r="AJ9" i="80" a="1"/>
  <c r="AI9" i="80" a="1"/>
  <c r="AH9" i="80" a="1"/>
  <c r="AG9" i="80" a="1"/>
  <c r="AF9" i="80" a="1"/>
  <c r="AE9" i="80" a="1"/>
  <c r="AD9" i="80" a="1"/>
  <c r="AC9" i="80" a="1"/>
  <c r="AB9" i="80" a="1"/>
  <c r="AA9" i="80" a="1"/>
  <c r="Z9" i="80" a="1"/>
  <c r="Y9" i="80" a="1"/>
  <c r="X9" i="80" a="1"/>
  <c r="W9" i="80" a="1"/>
  <c r="V9" i="80" a="1"/>
  <c r="U9" i="80" a="1"/>
  <c r="T9" i="80" a="1"/>
  <c r="S9" i="80" a="1"/>
  <c r="R9" i="80" a="1"/>
  <c r="Q9" i="80" a="1"/>
  <c r="P9" i="80" a="1"/>
  <c r="O9" i="80" a="1"/>
  <c r="N9" i="80" a="1"/>
  <c r="M9" i="80" a="1"/>
  <c r="L9" i="80" a="1"/>
  <c r="K9" i="80" a="1"/>
  <c r="J9" i="80" a="1"/>
  <c r="G9" i="80"/>
  <c r="AK8" i="80" a="1"/>
  <c r="AJ8" i="80" a="1"/>
  <c r="AI8" i="80" a="1"/>
  <c r="AH8" i="80" a="1"/>
  <c r="AG8" i="80" a="1"/>
  <c r="AF8" i="80" a="1"/>
  <c r="AE8" i="80" a="1"/>
  <c r="AD8" i="80" a="1"/>
  <c r="AC8" i="80" a="1"/>
  <c r="AB8" i="80" a="1"/>
  <c r="AA8" i="80" a="1"/>
  <c r="Z8" i="80" a="1"/>
  <c r="Y8" i="80" a="1"/>
  <c r="X8" i="80" a="1"/>
  <c r="W8" i="80" a="1"/>
  <c r="V8" i="80" a="1"/>
  <c r="U8" i="80" a="1"/>
  <c r="T8" i="80" a="1"/>
  <c r="S8" i="80" a="1"/>
  <c r="R8" i="80" a="1"/>
  <c r="Q8" i="80" a="1"/>
  <c r="P8" i="80" a="1"/>
  <c r="O8" i="80" a="1"/>
  <c r="N8" i="80" a="1"/>
  <c r="M8" i="80" a="1"/>
  <c r="L8" i="80" a="1"/>
  <c r="K8" i="80" a="1"/>
  <c r="J8" i="80" a="1"/>
  <c r="G8" i="80"/>
  <c r="AK7" i="80" a="1"/>
  <c r="AJ7" i="80" a="1"/>
  <c r="AI7" i="80" a="1"/>
  <c r="AH7" i="80" a="1"/>
  <c r="AG7" i="80" a="1"/>
  <c r="AF7" i="80" a="1"/>
  <c r="AE7" i="80" a="1"/>
  <c r="AD7" i="80" a="1"/>
  <c r="AC7" i="80" a="1"/>
  <c r="AB7" i="80" a="1"/>
  <c r="AA7" i="80" a="1"/>
  <c r="Z7" i="80" a="1"/>
  <c r="Y7" i="80" a="1"/>
  <c r="X7" i="80" a="1"/>
  <c r="W7" i="80" a="1"/>
  <c r="V7" i="80" a="1"/>
  <c r="U7" i="80" a="1"/>
  <c r="T7" i="80" a="1"/>
  <c r="S7" i="80" a="1"/>
  <c r="R7" i="80" a="1"/>
  <c r="Q7" i="80" a="1"/>
  <c r="P7" i="80" a="1"/>
  <c r="O7" i="80" a="1"/>
  <c r="N7" i="80" a="1"/>
  <c r="M7" i="80" a="1"/>
  <c r="L7" i="80" a="1"/>
  <c r="K7" i="80" a="1"/>
  <c r="J7" i="80" a="1"/>
  <c r="G7" i="80"/>
  <c r="AK6" i="80" a="1"/>
  <c r="AJ6" i="80" a="1"/>
  <c r="AI6" i="80" a="1"/>
  <c r="AH6" i="80" a="1"/>
  <c r="AG6" i="80" a="1"/>
  <c r="AF6" i="80" a="1"/>
  <c r="AE6" i="80" a="1"/>
  <c r="AD6" i="80" a="1"/>
  <c r="AC6" i="80" a="1"/>
  <c r="AB6" i="80" a="1"/>
  <c r="AA6" i="80" a="1"/>
  <c r="Z6" i="80" a="1"/>
  <c r="Y6" i="80" a="1"/>
  <c r="X6" i="80" a="1"/>
  <c r="W6" i="80" a="1"/>
  <c r="V6" i="80" a="1"/>
  <c r="U6" i="80" a="1"/>
  <c r="T6" i="80" a="1"/>
  <c r="S6" i="80" a="1"/>
  <c r="R6" i="80" a="1"/>
  <c r="Q6" i="80" a="1"/>
  <c r="P6" i="80" a="1"/>
  <c r="O6" i="80" a="1"/>
  <c r="N6" i="80" a="1"/>
  <c r="M6" i="80" a="1"/>
  <c r="L6" i="80" a="1"/>
  <c r="K6" i="80" a="1"/>
  <c r="J6" i="80" a="1"/>
  <c r="G6" i="80"/>
  <c r="AK5" i="80" a="1"/>
  <c r="AJ5" i="80" a="1"/>
  <c r="AI5" i="80" a="1"/>
  <c r="AH5" i="80" a="1"/>
  <c r="AG5" i="80" a="1"/>
  <c r="AF5" i="80" a="1"/>
  <c r="AE5" i="80" a="1"/>
  <c r="AD5" i="80" a="1"/>
  <c r="AC5" i="80" a="1"/>
  <c r="AB5" i="80" a="1"/>
  <c r="AA5" i="80" a="1"/>
  <c r="Z5" i="80" a="1"/>
  <c r="Y5" i="80" a="1"/>
  <c r="X5" i="80" a="1"/>
  <c r="W5" i="80" a="1"/>
  <c r="V5" i="80" a="1"/>
  <c r="U5" i="80" a="1"/>
  <c r="T5" i="80" a="1"/>
  <c r="S5" i="80" a="1"/>
  <c r="R5" i="80" a="1"/>
  <c r="Q5" i="80" a="1"/>
  <c r="P5" i="80" a="1"/>
  <c r="O5" i="80" a="1"/>
  <c r="N5" i="80" a="1"/>
  <c r="M5" i="80" a="1"/>
  <c r="L5" i="80" a="1"/>
  <c r="K5" i="80" a="1"/>
  <c r="J5" i="80" a="1"/>
  <c r="G5" i="80"/>
  <c r="AK4" i="80" a="1"/>
  <c r="AJ4" i="80" a="1"/>
  <c r="AI4" i="80" a="1"/>
  <c r="AH4" i="80" a="1"/>
  <c r="AG4" i="80" a="1"/>
  <c r="AF4" i="80" a="1"/>
  <c r="AE4" i="80" a="1"/>
  <c r="AD4" i="80" a="1"/>
  <c r="AC4" i="80" a="1"/>
  <c r="AB4" i="80" a="1"/>
  <c r="AA4" i="80" a="1"/>
  <c r="Z4" i="80" a="1"/>
  <c r="Y4" i="80" a="1"/>
  <c r="X4" i="80" a="1"/>
  <c r="W4" i="80" a="1"/>
  <c r="V4" i="80" a="1"/>
  <c r="U4" i="80" a="1"/>
  <c r="T4" i="80" a="1"/>
  <c r="S4" i="80" a="1"/>
  <c r="R4" i="80" a="1"/>
  <c r="Q4" i="80" a="1"/>
  <c r="P4" i="80" a="1"/>
  <c r="O4" i="80" a="1"/>
  <c r="N4" i="80" a="1"/>
  <c r="M4" i="80" a="1"/>
  <c r="L4" i="80" a="1"/>
  <c r="K4" i="80" a="1"/>
  <c r="J4" i="80" a="1"/>
  <c r="G4" i="80"/>
  <c r="AK3" i="80" a="1"/>
  <c r="AJ3" i="80" a="1"/>
  <c r="AI3" i="80" a="1"/>
  <c r="AH3" i="80" a="1"/>
  <c r="AG3" i="80" a="1"/>
  <c r="AF3" i="80" a="1"/>
  <c r="AE3" i="80" a="1"/>
  <c r="AD3" i="80" a="1"/>
  <c r="AC3" i="80" a="1"/>
  <c r="AB3" i="80" a="1"/>
  <c r="AA3" i="80" a="1"/>
  <c r="Z3" i="80" a="1"/>
  <c r="Y3" i="80" a="1"/>
  <c r="X3" i="80" a="1"/>
  <c r="W3" i="80" a="1"/>
  <c r="V3" i="80" a="1"/>
  <c r="U3" i="80" a="1"/>
  <c r="T3" i="80" a="1"/>
  <c r="S3" i="80" a="1"/>
  <c r="R3" i="80" a="1"/>
  <c r="Q3" i="80" a="1"/>
  <c r="P3" i="80" a="1"/>
  <c r="O3" i="80" a="1"/>
  <c r="N3" i="80" a="1"/>
  <c r="M3" i="80" a="1"/>
  <c r="L3" i="80" a="1"/>
  <c r="K3" i="80" a="1"/>
  <c r="J3" i="80" a="1"/>
  <c r="G3" i="80"/>
  <c r="AS33" i="79"/>
  <c r="AK32" i="79" a="1"/>
  <c r="AJ32" i="79" a="1"/>
  <c r="AI32" i="79" a="1"/>
  <c r="AH32" i="79" a="1"/>
  <c r="AG32" i="79" a="1"/>
  <c r="AF32" i="79" a="1"/>
  <c r="AE32" i="79" a="1"/>
  <c r="AD32" i="79" a="1"/>
  <c r="AC32" i="79" a="1"/>
  <c r="AB32" i="79" a="1"/>
  <c r="AA32" i="79" a="1"/>
  <c r="Z32" i="79" a="1"/>
  <c r="Y32" i="79" a="1"/>
  <c r="X32" i="79" a="1"/>
  <c r="W32" i="79" a="1"/>
  <c r="V32" i="79" a="1"/>
  <c r="U32" i="79" a="1"/>
  <c r="T32" i="79" a="1"/>
  <c r="S32" i="79" a="1"/>
  <c r="R32" i="79" a="1"/>
  <c r="Q32" i="79" a="1"/>
  <c r="P32" i="79" a="1"/>
  <c r="O32" i="79" a="1"/>
  <c r="N32" i="79" a="1"/>
  <c r="M32" i="79" a="1"/>
  <c r="L32" i="79" a="1"/>
  <c r="K32" i="79" a="1"/>
  <c r="J32" i="79" a="1"/>
  <c r="G32" i="79"/>
  <c r="AK31" i="79" a="1"/>
  <c r="AJ31" i="79" a="1"/>
  <c r="AI31" i="79" a="1"/>
  <c r="AH31" i="79" a="1"/>
  <c r="AG31" i="79" a="1"/>
  <c r="AF31" i="79" a="1"/>
  <c r="AE31" i="79" a="1"/>
  <c r="AD31" i="79" a="1"/>
  <c r="AC31" i="79" a="1"/>
  <c r="AB31" i="79" a="1"/>
  <c r="AA31" i="79" a="1"/>
  <c r="Z31" i="79" a="1"/>
  <c r="Y31" i="79" a="1"/>
  <c r="X31" i="79" a="1"/>
  <c r="W31" i="79" a="1"/>
  <c r="V31" i="79" a="1"/>
  <c r="U31" i="79" a="1"/>
  <c r="T31" i="79" a="1"/>
  <c r="S31" i="79" a="1"/>
  <c r="R31" i="79" a="1"/>
  <c r="Q31" i="79" a="1"/>
  <c r="P31" i="79" a="1"/>
  <c r="O31" i="79" a="1"/>
  <c r="N31" i="79" a="1"/>
  <c r="M31" i="79" a="1"/>
  <c r="L31" i="79" a="1"/>
  <c r="K31" i="79" a="1"/>
  <c r="J31" i="79" a="1"/>
  <c r="G31" i="79"/>
  <c r="AK30" i="79" a="1"/>
  <c r="AJ30" i="79" a="1"/>
  <c r="AI30" i="79" a="1"/>
  <c r="AH30" i="79" a="1"/>
  <c r="AG30" i="79" a="1"/>
  <c r="AF30" i="79" a="1"/>
  <c r="AE30" i="79" a="1"/>
  <c r="AD30" i="79" a="1"/>
  <c r="AC30" i="79" a="1"/>
  <c r="AB30" i="79" a="1"/>
  <c r="AA30" i="79" a="1"/>
  <c r="Z30" i="79" a="1"/>
  <c r="Y30" i="79" a="1"/>
  <c r="X30" i="79" a="1"/>
  <c r="W30" i="79" a="1"/>
  <c r="V30" i="79" a="1"/>
  <c r="U30" i="79" a="1"/>
  <c r="T30" i="79" a="1"/>
  <c r="S30" i="79" a="1"/>
  <c r="R30" i="79" a="1"/>
  <c r="Q30" i="79" a="1"/>
  <c r="P30" i="79" a="1"/>
  <c r="O30" i="79" a="1"/>
  <c r="N30" i="79" a="1"/>
  <c r="M30" i="79" a="1"/>
  <c r="L30" i="79" a="1"/>
  <c r="K30" i="79" a="1"/>
  <c r="J30" i="79" a="1"/>
  <c r="G30" i="79"/>
  <c r="AK29" i="79" a="1"/>
  <c r="AJ29" i="79" a="1"/>
  <c r="AI29" i="79" a="1"/>
  <c r="AH29" i="79" a="1"/>
  <c r="AG29" i="79" a="1"/>
  <c r="AF29" i="79" a="1"/>
  <c r="AE29" i="79" a="1"/>
  <c r="AD29" i="79" a="1"/>
  <c r="AC29" i="79" a="1"/>
  <c r="AB29" i="79" a="1"/>
  <c r="AA29" i="79" a="1"/>
  <c r="Z29" i="79" a="1"/>
  <c r="Y29" i="79" a="1"/>
  <c r="X29" i="79" a="1"/>
  <c r="W29" i="79" a="1"/>
  <c r="V29" i="79" a="1"/>
  <c r="U29" i="79" a="1"/>
  <c r="T29" i="79" a="1"/>
  <c r="S29" i="79" a="1"/>
  <c r="R29" i="79" a="1"/>
  <c r="Q29" i="79" a="1"/>
  <c r="P29" i="79" a="1"/>
  <c r="O29" i="79" a="1"/>
  <c r="N29" i="79" a="1"/>
  <c r="M29" i="79" a="1"/>
  <c r="L29" i="79" a="1"/>
  <c r="K29" i="79" a="1"/>
  <c r="J29" i="79" a="1"/>
  <c r="G29" i="79"/>
  <c r="AK28" i="79" a="1"/>
  <c r="AJ28" i="79" a="1"/>
  <c r="AI28" i="79" a="1"/>
  <c r="AH28" i="79" a="1"/>
  <c r="AG28" i="79" a="1"/>
  <c r="AF28" i="79" a="1"/>
  <c r="AE28" i="79" a="1"/>
  <c r="AD28" i="79" a="1"/>
  <c r="AC28" i="79" a="1"/>
  <c r="AB28" i="79" a="1"/>
  <c r="AA28" i="79" a="1"/>
  <c r="Z28" i="79" a="1"/>
  <c r="Y28" i="79" a="1"/>
  <c r="X28" i="79" a="1"/>
  <c r="W28" i="79" a="1"/>
  <c r="V28" i="79" a="1"/>
  <c r="U28" i="79" a="1"/>
  <c r="T28" i="79" a="1"/>
  <c r="S28" i="79" a="1"/>
  <c r="R28" i="79" a="1"/>
  <c r="Q28" i="79" a="1"/>
  <c r="P28" i="79" a="1"/>
  <c r="O28" i="79" a="1"/>
  <c r="N28" i="79" a="1"/>
  <c r="M28" i="79" a="1"/>
  <c r="L28" i="79" a="1"/>
  <c r="K28" i="79" a="1"/>
  <c r="J28" i="79" a="1"/>
  <c r="G28" i="79"/>
  <c r="AK27" i="79" a="1"/>
  <c r="AJ27" i="79" a="1"/>
  <c r="AI27" i="79" a="1"/>
  <c r="AH27" i="79" a="1"/>
  <c r="AG27" i="79" a="1"/>
  <c r="AF27" i="79" a="1"/>
  <c r="AE27" i="79" a="1"/>
  <c r="AD27" i="79" a="1"/>
  <c r="AC27" i="79" a="1"/>
  <c r="AB27" i="79" a="1"/>
  <c r="AA27" i="79" a="1"/>
  <c r="Z27" i="79" a="1"/>
  <c r="Y27" i="79" a="1"/>
  <c r="X27" i="79" a="1"/>
  <c r="W27" i="79" a="1"/>
  <c r="V27" i="79" a="1"/>
  <c r="U27" i="79" a="1"/>
  <c r="T27" i="79" a="1"/>
  <c r="S27" i="79" a="1"/>
  <c r="R27" i="79" a="1"/>
  <c r="Q27" i="79" a="1"/>
  <c r="P27" i="79" a="1"/>
  <c r="O27" i="79" a="1"/>
  <c r="N27" i="79" a="1"/>
  <c r="M27" i="79" a="1"/>
  <c r="L27" i="79" a="1"/>
  <c r="K27" i="79" a="1"/>
  <c r="J27" i="79" a="1"/>
  <c r="G27" i="79"/>
  <c r="AK26" i="79" a="1"/>
  <c r="AJ26" i="79" a="1"/>
  <c r="AI26" i="79" a="1"/>
  <c r="AH26" i="79" a="1"/>
  <c r="AG26" i="79" a="1"/>
  <c r="AF26" i="79" a="1"/>
  <c r="AE26" i="79" a="1"/>
  <c r="AD26" i="79" a="1"/>
  <c r="AC26" i="79" a="1"/>
  <c r="AB26" i="79" a="1"/>
  <c r="AA26" i="79" a="1"/>
  <c r="Z26" i="79" a="1"/>
  <c r="Y26" i="79" a="1"/>
  <c r="X26" i="79" a="1"/>
  <c r="W26" i="79" a="1"/>
  <c r="V26" i="79" a="1"/>
  <c r="U26" i="79" a="1"/>
  <c r="T26" i="79" a="1"/>
  <c r="S26" i="79" a="1"/>
  <c r="R26" i="79" a="1"/>
  <c r="Q26" i="79" a="1"/>
  <c r="P26" i="79" a="1"/>
  <c r="O26" i="79" a="1"/>
  <c r="N26" i="79" a="1"/>
  <c r="M26" i="79" a="1"/>
  <c r="L26" i="79" a="1"/>
  <c r="K26" i="79" a="1"/>
  <c r="J26" i="79" a="1"/>
  <c r="G26" i="79"/>
  <c r="AK25" i="79" a="1"/>
  <c r="AJ25" i="79" a="1"/>
  <c r="AI25" i="79" a="1"/>
  <c r="AH25" i="79" a="1"/>
  <c r="AG25" i="79" a="1"/>
  <c r="AF25" i="79" a="1"/>
  <c r="AE25" i="79" a="1"/>
  <c r="AD25" i="79" a="1"/>
  <c r="AC25" i="79" a="1"/>
  <c r="AB25" i="79" a="1"/>
  <c r="AA25" i="79" a="1"/>
  <c r="Z25" i="79" a="1"/>
  <c r="Y25" i="79" a="1"/>
  <c r="X25" i="79" a="1"/>
  <c r="W25" i="79" a="1"/>
  <c r="V25" i="79" a="1"/>
  <c r="U25" i="79" a="1"/>
  <c r="T25" i="79" a="1"/>
  <c r="S25" i="79" a="1"/>
  <c r="R25" i="79" a="1"/>
  <c r="Q25" i="79" a="1"/>
  <c r="P25" i="79" a="1"/>
  <c r="O25" i="79" a="1"/>
  <c r="N25" i="79" a="1"/>
  <c r="M25" i="79" a="1"/>
  <c r="L25" i="79" a="1"/>
  <c r="K25" i="79" a="1"/>
  <c r="J25" i="79" a="1"/>
  <c r="G25" i="79"/>
  <c r="AK24" i="79" a="1"/>
  <c r="AJ24" i="79" a="1"/>
  <c r="AI24" i="79" a="1"/>
  <c r="AH24" i="79" a="1"/>
  <c r="AG24" i="79" a="1"/>
  <c r="AF24" i="79" a="1"/>
  <c r="AE24" i="79" a="1"/>
  <c r="AD24" i="79" a="1"/>
  <c r="AC24" i="79" a="1"/>
  <c r="AB24" i="79" a="1"/>
  <c r="AA24" i="79" a="1"/>
  <c r="Z24" i="79" a="1"/>
  <c r="Y24" i="79" a="1"/>
  <c r="X24" i="79" a="1"/>
  <c r="W24" i="79" a="1"/>
  <c r="V24" i="79" a="1"/>
  <c r="U24" i="79" a="1"/>
  <c r="T24" i="79" a="1"/>
  <c r="S24" i="79" a="1"/>
  <c r="R24" i="79" a="1"/>
  <c r="Q24" i="79" a="1"/>
  <c r="P24" i="79" a="1"/>
  <c r="O24" i="79" a="1"/>
  <c r="N24" i="79" a="1"/>
  <c r="M24" i="79" a="1"/>
  <c r="L24" i="79" a="1"/>
  <c r="K24" i="79" a="1"/>
  <c r="J24" i="79" a="1"/>
  <c r="G24" i="79"/>
  <c r="AK23" i="79" a="1"/>
  <c r="AJ23" i="79" a="1"/>
  <c r="AI23" i="79" a="1"/>
  <c r="AH23" i="79" a="1"/>
  <c r="AG23" i="79" a="1"/>
  <c r="AF23" i="79" a="1"/>
  <c r="AE23" i="79" a="1"/>
  <c r="AD23" i="79" a="1"/>
  <c r="AC23" i="79" a="1"/>
  <c r="AB23" i="79" a="1"/>
  <c r="AA23" i="79" a="1"/>
  <c r="Z23" i="79" a="1"/>
  <c r="Y23" i="79" a="1"/>
  <c r="X23" i="79" a="1"/>
  <c r="W23" i="79" a="1"/>
  <c r="V23" i="79" a="1"/>
  <c r="U23" i="79" a="1"/>
  <c r="T23" i="79" a="1"/>
  <c r="S23" i="79" a="1"/>
  <c r="R23" i="79" a="1"/>
  <c r="Q23" i="79" a="1"/>
  <c r="P23" i="79" a="1"/>
  <c r="O23" i="79" a="1"/>
  <c r="N23" i="79" a="1"/>
  <c r="M23" i="79" a="1"/>
  <c r="L23" i="79" a="1"/>
  <c r="K23" i="79" a="1"/>
  <c r="J23" i="79" a="1"/>
  <c r="G23" i="79"/>
  <c r="AK22" i="79" a="1"/>
  <c r="AJ22" i="79" a="1"/>
  <c r="AI22" i="79" a="1"/>
  <c r="AH22" i="79" a="1"/>
  <c r="AG22" i="79" a="1"/>
  <c r="AF22" i="79" a="1"/>
  <c r="AE22" i="79" a="1"/>
  <c r="AD22" i="79" a="1"/>
  <c r="AC22" i="79" a="1"/>
  <c r="AB22" i="79" a="1"/>
  <c r="AA22" i="79" a="1"/>
  <c r="Z22" i="79" a="1"/>
  <c r="Y22" i="79" a="1"/>
  <c r="X22" i="79" a="1"/>
  <c r="W22" i="79" a="1"/>
  <c r="V22" i="79" a="1"/>
  <c r="U22" i="79" a="1"/>
  <c r="T22" i="79" a="1"/>
  <c r="S22" i="79" a="1"/>
  <c r="R22" i="79" a="1"/>
  <c r="Q22" i="79" a="1"/>
  <c r="P22" i="79" a="1"/>
  <c r="O22" i="79" a="1"/>
  <c r="N22" i="79" a="1"/>
  <c r="M22" i="79" a="1"/>
  <c r="L22" i="79" a="1"/>
  <c r="K22" i="79" a="1"/>
  <c r="J22" i="79" a="1"/>
  <c r="G22" i="79"/>
  <c r="AK21" i="79" a="1"/>
  <c r="AJ21" i="79" a="1"/>
  <c r="AI21" i="79" a="1"/>
  <c r="AH21" i="79" a="1"/>
  <c r="AG21" i="79" a="1"/>
  <c r="AF21" i="79" a="1"/>
  <c r="AE21" i="79" a="1"/>
  <c r="AD21" i="79" a="1"/>
  <c r="AC21" i="79" a="1"/>
  <c r="AB21" i="79" a="1"/>
  <c r="AA21" i="79" a="1"/>
  <c r="Z21" i="79" a="1"/>
  <c r="Y21" i="79" a="1"/>
  <c r="X21" i="79" a="1"/>
  <c r="W21" i="79" a="1"/>
  <c r="V21" i="79" a="1"/>
  <c r="U21" i="79" a="1"/>
  <c r="T21" i="79" a="1"/>
  <c r="S21" i="79" a="1"/>
  <c r="R21" i="79" a="1"/>
  <c r="Q21" i="79" a="1"/>
  <c r="P21" i="79" a="1"/>
  <c r="O21" i="79" a="1"/>
  <c r="N21" i="79" a="1"/>
  <c r="M21" i="79" a="1"/>
  <c r="L21" i="79" a="1"/>
  <c r="K21" i="79" a="1"/>
  <c r="J21" i="79" a="1"/>
  <c r="G21" i="79"/>
  <c r="AK20" i="79" a="1"/>
  <c r="AJ20" i="79" a="1"/>
  <c r="AI20" i="79" a="1"/>
  <c r="AH20" i="79" a="1"/>
  <c r="AG20" i="79" a="1"/>
  <c r="AF20" i="79" a="1"/>
  <c r="AE20" i="79" a="1"/>
  <c r="AD20" i="79" a="1"/>
  <c r="AC20" i="79" a="1"/>
  <c r="AB20" i="79" a="1"/>
  <c r="AA20" i="79" a="1"/>
  <c r="Z20" i="79" a="1"/>
  <c r="Y20" i="79" a="1"/>
  <c r="X20" i="79" a="1"/>
  <c r="W20" i="79" a="1"/>
  <c r="V20" i="79" a="1"/>
  <c r="U20" i="79" a="1"/>
  <c r="T20" i="79" a="1"/>
  <c r="S20" i="79" a="1"/>
  <c r="R20" i="79" a="1"/>
  <c r="Q20" i="79" a="1"/>
  <c r="P20" i="79" a="1"/>
  <c r="O20" i="79" a="1"/>
  <c r="N20" i="79" a="1"/>
  <c r="M20" i="79" a="1"/>
  <c r="L20" i="79" a="1"/>
  <c r="K20" i="79" a="1"/>
  <c r="J20" i="79" a="1"/>
  <c r="G20" i="79"/>
  <c r="AK19" i="79" a="1"/>
  <c r="AJ19" i="79" a="1"/>
  <c r="AI19" i="79" a="1"/>
  <c r="AH19" i="79" a="1"/>
  <c r="AG19" i="79" a="1"/>
  <c r="AF19" i="79" a="1"/>
  <c r="AE19" i="79" a="1"/>
  <c r="AD19" i="79" a="1"/>
  <c r="AC19" i="79" a="1"/>
  <c r="AB19" i="79" a="1"/>
  <c r="AA19" i="79" a="1"/>
  <c r="Z19" i="79" a="1"/>
  <c r="Y19" i="79" a="1"/>
  <c r="X19" i="79" a="1"/>
  <c r="W19" i="79" a="1"/>
  <c r="V19" i="79" a="1"/>
  <c r="U19" i="79" a="1"/>
  <c r="T19" i="79" a="1"/>
  <c r="S19" i="79" a="1"/>
  <c r="R19" i="79" a="1"/>
  <c r="Q19" i="79" a="1"/>
  <c r="P19" i="79" a="1"/>
  <c r="O19" i="79" a="1"/>
  <c r="N19" i="79" a="1"/>
  <c r="M19" i="79" a="1"/>
  <c r="L19" i="79" a="1"/>
  <c r="K19" i="79" a="1"/>
  <c r="J19" i="79" a="1"/>
  <c r="G19" i="79"/>
  <c r="AK18" i="79" a="1"/>
  <c r="AJ18" i="79" a="1"/>
  <c r="AI18" i="79" a="1"/>
  <c r="AH18" i="79" a="1"/>
  <c r="AG18" i="79" a="1"/>
  <c r="AF18" i="79" a="1"/>
  <c r="AE18" i="79" a="1"/>
  <c r="AD18" i="79" a="1"/>
  <c r="AC18" i="79" a="1"/>
  <c r="AB18" i="79" a="1"/>
  <c r="AA18" i="79" a="1"/>
  <c r="Z18" i="79" a="1"/>
  <c r="Y18" i="79" a="1"/>
  <c r="X18" i="79" a="1"/>
  <c r="W18" i="79" a="1"/>
  <c r="V18" i="79" a="1"/>
  <c r="U18" i="79" a="1"/>
  <c r="T18" i="79" a="1"/>
  <c r="S18" i="79" a="1"/>
  <c r="R18" i="79" a="1"/>
  <c r="Q18" i="79" a="1"/>
  <c r="P18" i="79" a="1"/>
  <c r="O18" i="79" a="1"/>
  <c r="N18" i="79" a="1"/>
  <c r="M18" i="79" a="1"/>
  <c r="L18" i="79" a="1"/>
  <c r="K18" i="79" a="1"/>
  <c r="J18" i="79" a="1"/>
  <c r="G18" i="79"/>
  <c r="AK17" i="79" a="1"/>
  <c r="AJ17" i="79" a="1"/>
  <c r="AI17" i="79" a="1"/>
  <c r="AH17" i="79" a="1"/>
  <c r="AG17" i="79" a="1"/>
  <c r="AF17" i="79" a="1"/>
  <c r="AE17" i="79" a="1"/>
  <c r="AD17" i="79" a="1"/>
  <c r="AC17" i="79" a="1"/>
  <c r="AB17" i="79" a="1"/>
  <c r="AA17" i="79" a="1"/>
  <c r="Z17" i="79" a="1"/>
  <c r="Y17" i="79" a="1"/>
  <c r="X17" i="79" a="1"/>
  <c r="W17" i="79" a="1"/>
  <c r="V17" i="79" a="1"/>
  <c r="U17" i="79" a="1"/>
  <c r="T17" i="79" a="1"/>
  <c r="S17" i="79" a="1"/>
  <c r="R17" i="79" a="1"/>
  <c r="Q17" i="79" a="1"/>
  <c r="P17" i="79" a="1"/>
  <c r="O17" i="79" a="1"/>
  <c r="N17" i="79" a="1"/>
  <c r="M17" i="79" a="1"/>
  <c r="L17" i="79" a="1"/>
  <c r="K17" i="79" a="1"/>
  <c r="J17" i="79" a="1"/>
  <c r="G17" i="79"/>
  <c r="AK16" i="79" a="1"/>
  <c r="AJ16" i="79" a="1"/>
  <c r="AI16" i="79" a="1"/>
  <c r="AH16" i="79" a="1"/>
  <c r="AG16" i="79" a="1"/>
  <c r="AF16" i="79" a="1"/>
  <c r="AE16" i="79" a="1"/>
  <c r="AD16" i="79" a="1"/>
  <c r="AC16" i="79" a="1"/>
  <c r="AB16" i="79" a="1"/>
  <c r="AA16" i="79" a="1"/>
  <c r="Z16" i="79" a="1"/>
  <c r="Y16" i="79" a="1"/>
  <c r="X16" i="79" a="1"/>
  <c r="W16" i="79" a="1"/>
  <c r="V16" i="79" a="1"/>
  <c r="U16" i="79" a="1"/>
  <c r="T16" i="79" a="1"/>
  <c r="S16" i="79" a="1"/>
  <c r="R16" i="79" a="1"/>
  <c r="Q16" i="79" a="1"/>
  <c r="P16" i="79" a="1"/>
  <c r="O16" i="79" a="1"/>
  <c r="N16" i="79" a="1"/>
  <c r="M16" i="79" a="1"/>
  <c r="L16" i="79" a="1"/>
  <c r="K16" i="79" a="1"/>
  <c r="J16" i="79" a="1"/>
  <c r="G16" i="79"/>
  <c r="AK15" i="79" a="1"/>
  <c r="AJ15" i="79" a="1"/>
  <c r="AI15" i="79" a="1"/>
  <c r="AH15" i="79" a="1"/>
  <c r="AG15" i="79" a="1"/>
  <c r="AF15" i="79" a="1"/>
  <c r="AE15" i="79" a="1"/>
  <c r="AD15" i="79" a="1"/>
  <c r="AC15" i="79" a="1"/>
  <c r="AB15" i="79" a="1"/>
  <c r="AA15" i="79" a="1"/>
  <c r="Z15" i="79" a="1"/>
  <c r="Y15" i="79" a="1"/>
  <c r="X15" i="79" a="1"/>
  <c r="W15" i="79" a="1"/>
  <c r="V15" i="79" a="1"/>
  <c r="U15" i="79" a="1"/>
  <c r="T15" i="79" a="1"/>
  <c r="S15" i="79" a="1"/>
  <c r="R15" i="79" a="1"/>
  <c r="Q15" i="79" a="1"/>
  <c r="P15" i="79" a="1"/>
  <c r="O15" i="79" a="1"/>
  <c r="N15" i="79" a="1"/>
  <c r="M15" i="79" a="1"/>
  <c r="L15" i="79" a="1"/>
  <c r="K15" i="79" a="1"/>
  <c r="J15" i="79" a="1"/>
  <c r="G15" i="79"/>
  <c r="AK14" i="79" a="1"/>
  <c r="AJ14" i="79" a="1"/>
  <c r="AI14" i="79" a="1"/>
  <c r="AH14" i="79" a="1"/>
  <c r="AG14" i="79" a="1"/>
  <c r="AF14" i="79" a="1"/>
  <c r="AE14" i="79" a="1"/>
  <c r="AD14" i="79" a="1"/>
  <c r="AC14" i="79" a="1"/>
  <c r="AB14" i="79" a="1"/>
  <c r="AA14" i="79" a="1"/>
  <c r="Z14" i="79" a="1"/>
  <c r="Y14" i="79" a="1"/>
  <c r="X14" i="79" a="1"/>
  <c r="W14" i="79" a="1"/>
  <c r="V14" i="79" a="1"/>
  <c r="U14" i="79" a="1"/>
  <c r="T14" i="79" a="1"/>
  <c r="S14" i="79" a="1"/>
  <c r="R14" i="79" a="1"/>
  <c r="Q14" i="79" a="1"/>
  <c r="P14" i="79" a="1"/>
  <c r="O14" i="79" a="1"/>
  <c r="N14" i="79" a="1"/>
  <c r="M14" i="79" a="1"/>
  <c r="L14" i="79" a="1"/>
  <c r="K14" i="79" a="1"/>
  <c r="J14" i="79" a="1"/>
  <c r="G14" i="79"/>
  <c r="AK13" i="79" a="1"/>
  <c r="AJ13" i="79" a="1"/>
  <c r="AI13" i="79" a="1"/>
  <c r="AH13" i="79" a="1"/>
  <c r="AG13" i="79" a="1"/>
  <c r="AF13" i="79" a="1"/>
  <c r="AE13" i="79" a="1"/>
  <c r="AD13" i="79" a="1"/>
  <c r="AC13" i="79" a="1"/>
  <c r="AB13" i="79" a="1"/>
  <c r="AA13" i="79" a="1"/>
  <c r="Z13" i="79" a="1"/>
  <c r="Y13" i="79" a="1"/>
  <c r="X13" i="79" a="1"/>
  <c r="W13" i="79" a="1"/>
  <c r="V13" i="79" a="1"/>
  <c r="U13" i="79" a="1"/>
  <c r="T13" i="79" a="1"/>
  <c r="S13" i="79" a="1"/>
  <c r="R13" i="79" a="1"/>
  <c r="Q13" i="79" a="1"/>
  <c r="P13" i="79" a="1"/>
  <c r="O13" i="79" a="1"/>
  <c r="N13" i="79" a="1"/>
  <c r="M13" i="79" a="1"/>
  <c r="L13" i="79" a="1"/>
  <c r="K13" i="79" a="1"/>
  <c r="J13" i="79" a="1"/>
  <c r="G13" i="79"/>
  <c r="AK12" i="79" a="1"/>
  <c r="AJ12" i="79" a="1"/>
  <c r="AI12" i="79" a="1"/>
  <c r="AH12" i="79" a="1"/>
  <c r="AG12" i="79" a="1"/>
  <c r="AF12" i="79" a="1"/>
  <c r="AE12" i="79" a="1"/>
  <c r="AD12" i="79" a="1"/>
  <c r="AC12" i="79" a="1"/>
  <c r="AB12" i="79" a="1"/>
  <c r="AA12" i="79" a="1"/>
  <c r="Z12" i="79" a="1"/>
  <c r="Y12" i="79" a="1"/>
  <c r="X12" i="79" a="1"/>
  <c r="W12" i="79" a="1"/>
  <c r="V12" i="79" a="1"/>
  <c r="U12" i="79" a="1"/>
  <c r="T12" i="79" a="1"/>
  <c r="S12" i="79" a="1"/>
  <c r="R12" i="79" a="1"/>
  <c r="Q12" i="79" a="1"/>
  <c r="P12" i="79" a="1"/>
  <c r="O12" i="79" a="1"/>
  <c r="N12" i="79" a="1"/>
  <c r="M12" i="79" a="1"/>
  <c r="L12" i="79" a="1"/>
  <c r="K12" i="79" a="1"/>
  <c r="J12" i="79" a="1"/>
  <c r="G12" i="79"/>
  <c r="AK11" i="79" a="1"/>
  <c r="AJ11" i="79" a="1"/>
  <c r="AI11" i="79" a="1"/>
  <c r="AH11" i="79" a="1"/>
  <c r="AG11" i="79" a="1"/>
  <c r="AF11" i="79" a="1"/>
  <c r="AE11" i="79" a="1"/>
  <c r="AD11" i="79" a="1"/>
  <c r="AC11" i="79" a="1"/>
  <c r="AB11" i="79" a="1"/>
  <c r="AA11" i="79" a="1"/>
  <c r="Z11" i="79" a="1"/>
  <c r="Y11" i="79" a="1"/>
  <c r="X11" i="79" a="1"/>
  <c r="W11" i="79" a="1"/>
  <c r="V11" i="79" a="1"/>
  <c r="U11" i="79" a="1"/>
  <c r="T11" i="79" a="1"/>
  <c r="S11" i="79" a="1"/>
  <c r="R11" i="79" a="1"/>
  <c r="Q11" i="79" a="1"/>
  <c r="P11" i="79" a="1"/>
  <c r="O11" i="79" a="1"/>
  <c r="N11" i="79" a="1"/>
  <c r="M11" i="79" a="1"/>
  <c r="L11" i="79" a="1"/>
  <c r="K11" i="79" a="1"/>
  <c r="J11" i="79" a="1"/>
  <c r="G11" i="79"/>
  <c r="AK10" i="79" a="1"/>
  <c r="AJ10" i="79" a="1"/>
  <c r="AI10" i="79" a="1"/>
  <c r="AH10" i="79" a="1"/>
  <c r="AG10" i="79" a="1"/>
  <c r="AF10" i="79" a="1"/>
  <c r="AE10" i="79" a="1"/>
  <c r="AD10" i="79" a="1"/>
  <c r="AC10" i="79" a="1"/>
  <c r="AB10" i="79" a="1"/>
  <c r="AA10" i="79" a="1"/>
  <c r="Z10" i="79" a="1"/>
  <c r="Y10" i="79" a="1"/>
  <c r="X10" i="79" a="1"/>
  <c r="W10" i="79" a="1"/>
  <c r="V10" i="79" a="1"/>
  <c r="U10" i="79" a="1"/>
  <c r="T10" i="79" a="1"/>
  <c r="S10" i="79" a="1"/>
  <c r="R10" i="79" a="1"/>
  <c r="Q10" i="79" a="1"/>
  <c r="P10" i="79" a="1"/>
  <c r="O10" i="79" a="1"/>
  <c r="N10" i="79" a="1"/>
  <c r="M10" i="79" a="1"/>
  <c r="L10" i="79" a="1"/>
  <c r="K10" i="79" a="1"/>
  <c r="J10" i="79" a="1"/>
  <c r="G10" i="79"/>
  <c r="AK9" i="79" a="1"/>
  <c r="AJ9" i="79" a="1"/>
  <c r="AI9" i="79" a="1"/>
  <c r="AH9" i="79" a="1"/>
  <c r="AG9" i="79" a="1"/>
  <c r="AF9" i="79" a="1"/>
  <c r="AE9" i="79" a="1"/>
  <c r="AD9" i="79" a="1"/>
  <c r="AC9" i="79" a="1"/>
  <c r="AB9" i="79" a="1"/>
  <c r="AA9" i="79" a="1"/>
  <c r="Z9" i="79" a="1"/>
  <c r="Y9" i="79" a="1"/>
  <c r="X9" i="79" a="1"/>
  <c r="W9" i="79" a="1"/>
  <c r="V9" i="79" a="1"/>
  <c r="U9" i="79" a="1"/>
  <c r="T9" i="79" a="1"/>
  <c r="S9" i="79" a="1"/>
  <c r="R9" i="79" a="1"/>
  <c r="Q9" i="79" a="1"/>
  <c r="P9" i="79" a="1"/>
  <c r="O9" i="79" a="1"/>
  <c r="N9" i="79" a="1"/>
  <c r="M9" i="79" a="1"/>
  <c r="L9" i="79" a="1"/>
  <c r="K9" i="79" a="1"/>
  <c r="J9" i="79" a="1"/>
  <c r="G9" i="79"/>
  <c r="AK8" i="79" a="1"/>
  <c r="AJ8" i="79" a="1"/>
  <c r="AI8" i="79" a="1"/>
  <c r="AH8" i="79" a="1"/>
  <c r="AG8" i="79" a="1"/>
  <c r="AF8" i="79" a="1"/>
  <c r="AE8" i="79" a="1"/>
  <c r="AD8" i="79" a="1"/>
  <c r="AC8" i="79" a="1"/>
  <c r="AB8" i="79" a="1"/>
  <c r="AA8" i="79" a="1"/>
  <c r="Z8" i="79" a="1"/>
  <c r="Y8" i="79" a="1"/>
  <c r="X8" i="79" a="1"/>
  <c r="W8" i="79" a="1"/>
  <c r="V8" i="79" a="1"/>
  <c r="U8" i="79" a="1"/>
  <c r="T8" i="79" a="1"/>
  <c r="S8" i="79" a="1"/>
  <c r="R8" i="79" a="1"/>
  <c r="Q8" i="79" a="1"/>
  <c r="P8" i="79" a="1"/>
  <c r="O8" i="79" a="1"/>
  <c r="N8" i="79" a="1"/>
  <c r="M8" i="79" a="1"/>
  <c r="L8" i="79" a="1"/>
  <c r="K8" i="79" a="1"/>
  <c r="J8" i="79" a="1"/>
  <c r="G8" i="79"/>
  <c r="AK7" i="79" a="1"/>
  <c r="AJ7" i="79" a="1"/>
  <c r="AI7" i="79" a="1"/>
  <c r="AH7" i="79" a="1"/>
  <c r="AG7" i="79" a="1"/>
  <c r="AF7" i="79" a="1"/>
  <c r="AE7" i="79" a="1"/>
  <c r="AD7" i="79" a="1"/>
  <c r="AC7" i="79" a="1"/>
  <c r="AB7" i="79" a="1"/>
  <c r="AA7" i="79" a="1"/>
  <c r="Z7" i="79" a="1"/>
  <c r="Y7" i="79" a="1"/>
  <c r="X7" i="79" a="1"/>
  <c r="W7" i="79" a="1"/>
  <c r="V7" i="79" a="1"/>
  <c r="U7" i="79" a="1"/>
  <c r="T7" i="79" a="1"/>
  <c r="S7" i="79" a="1"/>
  <c r="R7" i="79" a="1"/>
  <c r="Q7" i="79" a="1"/>
  <c r="P7" i="79" a="1"/>
  <c r="O7" i="79" a="1"/>
  <c r="N7" i="79" a="1"/>
  <c r="M7" i="79" a="1"/>
  <c r="L7" i="79" a="1"/>
  <c r="K7" i="79" a="1"/>
  <c r="J7" i="79" a="1"/>
  <c r="G7" i="79"/>
  <c r="AK6" i="79" a="1"/>
  <c r="AJ6" i="79" a="1"/>
  <c r="AI6" i="79" a="1"/>
  <c r="AH6" i="79" a="1"/>
  <c r="AG6" i="79" a="1"/>
  <c r="AF6" i="79" a="1"/>
  <c r="AE6" i="79" a="1"/>
  <c r="AD6" i="79" a="1"/>
  <c r="AC6" i="79" a="1"/>
  <c r="AB6" i="79" a="1"/>
  <c r="AA6" i="79" a="1"/>
  <c r="Z6" i="79" a="1"/>
  <c r="Y6" i="79" a="1"/>
  <c r="X6" i="79" a="1"/>
  <c r="W6" i="79" a="1"/>
  <c r="V6" i="79" a="1"/>
  <c r="U6" i="79" a="1"/>
  <c r="T6" i="79" a="1"/>
  <c r="S6" i="79" a="1"/>
  <c r="R6" i="79" a="1"/>
  <c r="Q6" i="79" a="1"/>
  <c r="P6" i="79" a="1"/>
  <c r="O6" i="79" a="1"/>
  <c r="N6" i="79" a="1"/>
  <c r="M6" i="79" a="1"/>
  <c r="L6" i="79" a="1"/>
  <c r="K6" i="79" a="1"/>
  <c r="J6" i="79" a="1"/>
  <c r="G6" i="79"/>
  <c r="AK5" i="79" a="1"/>
  <c r="AJ5" i="79" a="1"/>
  <c r="AI5" i="79" a="1"/>
  <c r="AH5" i="79" a="1"/>
  <c r="AG5" i="79" a="1"/>
  <c r="AF5" i="79" a="1"/>
  <c r="AE5" i="79" a="1"/>
  <c r="AD5" i="79" a="1"/>
  <c r="AC5" i="79" a="1"/>
  <c r="AB5" i="79" a="1"/>
  <c r="AA5" i="79" a="1"/>
  <c r="Z5" i="79" a="1"/>
  <c r="Y5" i="79" a="1"/>
  <c r="X5" i="79" a="1"/>
  <c r="W5" i="79" a="1"/>
  <c r="V5" i="79" a="1"/>
  <c r="U5" i="79" a="1"/>
  <c r="T5" i="79" a="1"/>
  <c r="S5" i="79" a="1"/>
  <c r="R5" i="79" a="1"/>
  <c r="Q5" i="79" a="1"/>
  <c r="P5" i="79" a="1"/>
  <c r="O5" i="79" a="1"/>
  <c r="N5" i="79" a="1"/>
  <c r="M5" i="79" a="1"/>
  <c r="L5" i="79" a="1"/>
  <c r="K5" i="79" a="1"/>
  <c r="J5" i="79" a="1"/>
  <c r="G5" i="79"/>
  <c r="AK4" i="79" a="1"/>
  <c r="AJ4" i="79" a="1"/>
  <c r="AI4" i="79" a="1"/>
  <c r="AH4" i="79" a="1"/>
  <c r="AG4" i="79" a="1"/>
  <c r="AF4" i="79" a="1"/>
  <c r="AE4" i="79" a="1"/>
  <c r="AD4" i="79" a="1"/>
  <c r="AC4" i="79" a="1"/>
  <c r="AB4" i="79" a="1"/>
  <c r="AA4" i="79" a="1"/>
  <c r="Z4" i="79" a="1"/>
  <c r="Y4" i="79" a="1"/>
  <c r="X4" i="79" a="1"/>
  <c r="W4" i="79" a="1"/>
  <c r="V4" i="79" a="1"/>
  <c r="U4" i="79" a="1"/>
  <c r="T4" i="79" a="1"/>
  <c r="S4" i="79" a="1"/>
  <c r="R4" i="79" a="1"/>
  <c r="Q4" i="79" a="1"/>
  <c r="P4" i="79" a="1"/>
  <c r="O4" i="79" a="1"/>
  <c r="N4" i="79" a="1"/>
  <c r="M4" i="79" a="1"/>
  <c r="L4" i="79" a="1"/>
  <c r="K4" i="79" a="1"/>
  <c r="J4" i="79" a="1"/>
  <c r="G4" i="79"/>
  <c r="AK3" i="79" a="1"/>
  <c r="AJ3" i="79" a="1"/>
  <c r="AI3" i="79" a="1"/>
  <c r="AH3" i="79" a="1"/>
  <c r="AG3" i="79" a="1"/>
  <c r="AF3" i="79" a="1"/>
  <c r="AE3" i="79" a="1"/>
  <c r="AD3" i="79" a="1"/>
  <c r="AC3" i="79" a="1"/>
  <c r="AB3" i="79" a="1"/>
  <c r="AA3" i="79" a="1"/>
  <c r="Z3" i="79" a="1"/>
  <c r="Y3" i="79" a="1"/>
  <c r="X3" i="79" a="1"/>
  <c r="W3" i="79" a="1"/>
  <c r="V3" i="79" a="1"/>
  <c r="U3" i="79" a="1"/>
  <c r="T3" i="79" a="1"/>
  <c r="S3" i="79" a="1"/>
  <c r="R3" i="79" a="1"/>
  <c r="Q3" i="79" a="1"/>
  <c r="P3" i="79" a="1"/>
  <c r="O3" i="79" a="1"/>
  <c r="N3" i="79" a="1"/>
  <c r="M3" i="79" a="1"/>
  <c r="L3" i="79" a="1"/>
  <c r="K3" i="79" a="1"/>
  <c r="J3" i="79" a="1"/>
  <c r="G3" i="79"/>
  <c r="AS33" i="78"/>
  <c r="AK32" i="78" a="1"/>
  <c r="AJ32" i="78" a="1"/>
  <c r="AI32" i="78" a="1"/>
  <c r="AH32" i="78" a="1"/>
  <c r="AG32" i="78" a="1"/>
  <c r="AF32" i="78" a="1"/>
  <c r="AE32" i="78" a="1"/>
  <c r="AD32" i="78" a="1"/>
  <c r="AC32" i="78" a="1"/>
  <c r="AB32" i="78" a="1"/>
  <c r="AA32" i="78" a="1"/>
  <c r="Z32" i="78" a="1"/>
  <c r="Y32" i="78" a="1"/>
  <c r="X32" i="78" a="1"/>
  <c r="W32" i="78" a="1"/>
  <c r="V32" i="78" a="1"/>
  <c r="U32" i="78" a="1"/>
  <c r="T32" i="78" a="1"/>
  <c r="S32" i="78" a="1"/>
  <c r="R32" i="78" a="1"/>
  <c r="Q32" i="78" a="1"/>
  <c r="P32" i="78" a="1"/>
  <c r="O32" i="78" a="1"/>
  <c r="N32" i="78" a="1"/>
  <c r="M32" i="78" a="1"/>
  <c r="L32" i="78" a="1"/>
  <c r="K32" i="78" a="1"/>
  <c r="J32" i="78" a="1"/>
  <c r="G32" i="78"/>
  <c r="AK31" i="78" a="1"/>
  <c r="AJ31" i="78" a="1"/>
  <c r="AI31" i="78" a="1"/>
  <c r="AH31" i="78" a="1"/>
  <c r="AG31" i="78" a="1"/>
  <c r="AF31" i="78" a="1"/>
  <c r="AE31" i="78" a="1"/>
  <c r="AD31" i="78" a="1"/>
  <c r="AC31" i="78" a="1"/>
  <c r="AB31" i="78" a="1"/>
  <c r="AA31" i="78" a="1"/>
  <c r="Z31" i="78" a="1"/>
  <c r="Y31" i="78" a="1"/>
  <c r="X31" i="78" a="1"/>
  <c r="W31" i="78" a="1"/>
  <c r="V31" i="78" a="1"/>
  <c r="U31" i="78" a="1"/>
  <c r="T31" i="78" a="1"/>
  <c r="S31" i="78" a="1"/>
  <c r="R31" i="78" a="1"/>
  <c r="Q31" i="78" a="1"/>
  <c r="P31" i="78" a="1"/>
  <c r="O31" i="78" a="1"/>
  <c r="N31" i="78" a="1"/>
  <c r="M31" i="78" a="1"/>
  <c r="L31" i="78" a="1"/>
  <c r="K31" i="78" a="1"/>
  <c r="J31" i="78" a="1"/>
  <c r="G31" i="78"/>
  <c r="AK30" i="78" a="1"/>
  <c r="AJ30" i="78" a="1"/>
  <c r="AI30" i="78" a="1"/>
  <c r="AH30" i="78" a="1"/>
  <c r="AG30" i="78" a="1"/>
  <c r="AF30" i="78" a="1"/>
  <c r="AE30" i="78" a="1"/>
  <c r="AD30" i="78" a="1"/>
  <c r="AC30" i="78" a="1"/>
  <c r="AB30" i="78" a="1"/>
  <c r="AA30" i="78" a="1"/>
  <c r="Z30" i="78" a="1"/>
  <c r="Y30" i="78" a="1"/>
  <c r="X30" i="78" a="1"/>
  <c r="W30" i="78" a="1"/>
  <c r="V30" i="78" a="1"/>
  <c r="U30" i="78" a="1"/>
  <c r="T30" i="78" a="1"/>
  <c r="S30" i="78" a="1"/>
  <c r="R30" i="78" a="1"/>
  <c r="Q30" i="78" a="1"/>
  <c r="P30" i="78" a="1"/>
  <c r="O30" i="78" a="1"/>
  <c r="N30" i="78" a="1"/>
  <c r="M30" i="78" a="1"/>
  <c r="L30" i="78" a="1"/>
  <c r="K30" i="78" a="1"/>
  <c r="J30" i="78" a="1"/>
  <c r="G30" i="78"/>
  <c r="AK29" i="78" a="1"/>
  <c r="AJ29" i="78" a="1"/>
  <c r="AI29" i="78" a="1"/>
  <c r="AH29" i="78" a="1"/>
  <c r="AG29" i="78" a="1"/>
  <c r="AF29" i="78" a="1"/>
  <c r="AE29" i="78" a="1"/>
  <c r="AD29" i="78" a="1"/>
  <c r="AC29" i="78" a="1"/>
  <c r="AB29" i="78" a="1"/>
  <c r="AA29" i="78" a="1"/>
  <c r="Z29" i="78" a="1"/>
  <c r="Y29" i="78" a="1"/>
  <c r="X29" i="78" a="1"/>
  <c r="W29" i="78" a="1"/>
  <c r="V29" i="78" a="1"/>
  <c r="U29" i="78" a="1"/>
  <c r="T29" i="78" a="1"/>
  <c r="S29" i="78" a="1"/>
  <c r="R29" i="78" a="1"/>
  <c r="Q29" i="78" a="1"/>
  <c r="P29" i="78" a="1"/>
  <c r="O29" i="78" a="1"/>
  <c r="N29" i="78" a="1"/>
  <c r="M29" i="78" a="1"/>
  <c r="L29" i="78" a="1"/>
  <c r="K29" i="78" a="1"/>
  <c r="J29" i="78" a="1"/>
  <c r="G29" i="78"/>
  <c r="AK28" i="78" a="1"/>
  <c r="AJ28" i="78" a="1"/>
  <c r="AI28" i="78" a="1"/>
  <c r="AH28" i="78" a="1"/>
  <c r="AG28" i="78" a="1"/>
  <c r="AF28" i="78" a="1"/>
  <c r="AE28" i="78" a="1"/>
  <c r="AD28" i="78" a="1"/>
  <c r="AC28" i="78" a="1"/>
  <c r="AB28" i="78" a="1"/>
  <c r="AA28" i="78" a="1"/>
  <c r="Z28" i="78" a="1"/>
  <c r="Y28" i="78" a="1"/>
  <c r="X28" i="78" a="1"/>
  <c r="W28" i="78" a="1"/>
  <c r="V28" i="78" a="1"/>
  <c r="U28" i="78" a="1"/>
  <c r="T28" i="78" a="1"/>
  <c r="S28" i="78" a="1"/>
  <c r="R28" i="78" a="1"/>
  <c r="Q28" i="78" a="1"/>
  <c r="P28" i="78" a="1"/>
  <c r="O28" i="78" a="1"/>
  <c r="N28" i="78" a="1"/>
  <c r="M28" i="78" a="1"/>
  <c r="L28" i="78" a="1"/>
  <c r="K28" i="78" a="1"/>
  <c r="J28" i="78" a="1"/>
  <c r="G28" i="78"/>
  <c r="AK27" i="78" a="1"/>
  <c r="AJ27" i="78" a="1"/>
  <c r="AI27" i="78" a="1"/>
  <c r="AH27" i="78" a="1"/>
  <c r="AG27" i="78" a="1"/>
  <c r="AF27" i="78" a="1"/>
  <c r="AE27" i="78" a="1"/>
  <c r="AD27" i="78" a="1"/>
  <c r="AC27" i="78" a="1"/>
  <c r="AB27" i="78" a="1"/>
  <c r="AA27" i="78" a="1"/>
  <c r="Z27" i="78" a="1"/>
  <c r="Y27" i="78" a="1"/>
  <c r="X27" i="78" a="1"/>
  <c r="W27" i="78" a="1"/>
  <c r="V27" i="78" a="1"/>
  <c r="U27" i="78" a="1"/>
  <c r="T27" i="78" a="1"/>
  <c r="S27" i="78" a="1"/>
  <c r="R27" i="78" a="1"/>
  <c r="Q27" i="78" a="1"/>
  <c r="P27" i="78" a="1"/>
  <c r="O27" i="78" a="1"/>
  <c r="N27" i="78" a="1"/>
  <c r="M27" i="78" a="1"/>
  <c r="L27" i="78" a="1"/>
  <c r="K27" i="78" a="1"/>
  <c r="J27" i="78" a="1"/>
  <c r="G27" i="78"/>
  <c r="AK26" i="78" a="1"/>
  <c r="AJ26" i="78" a="1"/>
  <c r="AI26" i="78" a="1"/>
  <c r="AH26" i="78" a="1"/>
  <c r="AG26" i="78" a="1"/>
  <c r="AF26" i="78" a="1"/>
  <c r="AE26" i="78" a="1"/>
  <c r="AD26" i="78" a="1"/>
  <c r="AC26" i="78" a="1"/>
  <c r="AB26" i="78" a="1"/>
  <c r="AA26" i="78" a="1"/>
  <c r="Z26" i="78" a="1"/>
  <c r="Y26" i="78" a="1"/>
  <c r="X26" i="78" a="1"/>
  <c r="W26" i="78" a="1"/>
  <c r="V26" i="78" a="1"/>
  <c r="U26" i="78" a="1"/>
  <c r="T26" i="78" a="1"/>
  <c r="S26" i="78" a="1"/>
  <c r="R26" i="78" a="1"/>
  <c r="Q26" i="78" a="1"/>
  <c r="P26" i="78" a="1"/>
  <c r="O26" i="78" a="1"/>
  <c r="N26" i="78" a="1"/>
  <c r="M26" i="78" a="1"/>
  <c r="L26" i="78" a="1"/>
  <c r="K26" i="78" a="1"/>
  <c r="J26" i="78" a="1"/>
  <c r="G26" i="78"/>
  <c r="AK25" i="78" a="1"/>
  <c r="AJ25" i="78" a="1"/>
  <c r="AI25" i="78" a="1"/>
  <c r="AH25" i="78" a="1"/>
  <c r="AG25" i="78" a="1"/>
  <c r="AF25" i="78" a="1"/>
  <c r="AE25" i="78" a="1"/>
  <c r="AD25" i="78" a="1"/>
  <c r="AC25" i="78" a="1"/>
  <c r="AB25" i="78" a="1"/>
  <c r="AA25" i="78" a="1"/>
  <c r="Z25" i="78" a="1"/>
  <c r="Y25" i="78" a="1"/>
  <c r="X25" i="78" a="1"/>
  <c r="W25" i="78" a="1"/>
  <c r="V25" i="78" a="1"/>
  <c r="U25" i="78" a="1"/>
  <c r="T25" i="78" a="1"/>
  <c r="S25" i="78" a="1"/>
  <c r="R25" i="78" a="1"/>
  <c r="Q25" i="78" a="1"/>
  <c r="P25" i="78" a="1"/>
  <c r="O25" i="78" a="1"/>
  <c r="N25" i="78" a="1"/>
  <c r="M25" i="78" a="1"/>
  <c r="L25" i="78" a="1"/>
  <c r="K25" i="78" a="1"/>
  <c r="J25" i="78" a="1"/>
  <c r="G25" i="78"/>
  <c r="AK24" i="78" a="1"/>
  <c r="AJ24" i="78" a="1"/>
  <c r="AI24" i="78" a="1"/>
  <c r="AH24" i="78" a="1"/>
  <c r="AG24" i="78" a="1"/>
  <c r="AF24" i="78" a="1"/>
  <c r="AE24" i="78" a="1"/>
  <c r="AD24" i="78" a="1"/>
  <c r="AC24" i="78" a="1"/>
  <c r="AB24" i="78" a="1"/>
  <c r="AA24" i="78" a="1"/>
  <c r="Z24" i="78" a="1"/>
  <c r="Y24" i="78" a="1"/>
  <c r="X24" i="78" a="1"/>
  <c r="W24" i="78" a="1"/>
  <c r="V24" i="78" a="1"/>
  <c r="U24" i="78" a="1"/>
  <c r="T24" i="78" a="1"/>
  <c r="S24" i="78" a="1"/>
  <c r="R24" i="78" a="1"/>
  <c r="Q24" i="78" a="1"/>
  <c r="P24" i="78" a="1"/>
  <c r="O24" i="78" a="1"/>
  <c r="N24" i="78" a="1"/>
  <c r="M24" i="78" a="1"/>
  <c r="L24" i="78" a="1"/>
  <c r="K24" i="78" a="1"/>
  <c r="J24" i="78" a="1"/>
  <c r="G24" i="78"/>
  <c r="AK23" i="78" a="1"/>
  <c r="AJ23" i="78" a="1"/>
  <c r="AI23" i="78" a="1"/>
  <c r="AH23" i="78" a="1"/>
  <c r="AG23" i="78" a="1"/>
  <c r="AF23" i="78" a="1"/>
  <c r="AE23" i="78" a="1"/>
  <c r="AD23" i="78" a="1"/>
  <c r="AC23" i="78" a="1"/>
  <c r="AB23" i="78" a="1"/>
  <c r="AA23" i="78" a="1"/>
  <c r="Z23" i="78" a="1"/>
  <c r="Y23" i="78" a="1"/>
  <c r="X23" i="78" a="1"/>
  <c r="W23" i="78" a="1"/>
  <c r="V23" i="78" a="1"/>
  <c r="U23" i="78" a="1"/>
  <c r="T23" i="78" a="1"/>
  <c r="S23" i="78" a="1"/>
  <c r="R23" i="78" a="1"/>
  <c r="Q23" i="78" a="1"/>
  <c r="P23" i="78" a="1"/>
  <c r="O23" i="78" a="1"/>
  <c r="N23" i="78" a="1"/>
  <c r="M23" i="78" a="1"/>
  <c r="L23" i="78" a="1"/>
  <c r="K23" i="78" a="1"/>
  <c r="J23" i="78" a="1"/>
  <c r="G23" i="78"/>
  <c r="AK22" i="78" a="1"/>
  <c r="AJ22" i="78" a="1"/>
  <c r="AI22" i="78" a="1"/>
  <c r="AH22" i="78" a="1"/>
  <c r="AG22" i="78" a="1"/>
  <c r="AF22" i="78" a="1"/>
  <c r="AE22" i="78" a="1"/>
  <c r="AD22" i="78" a="1"/>
  <c r="AC22" i="78" a="1"/>
  <c r="AB22" i="78" a="1"/>
  <c r="AA22" i="78" a="1"/>
  <c r="Z22" i="78" a="1"/>
  <c r="Y22" i="78" a="1"/>
  <c r="X22" i="78" a="1"/>
  <c r="W22" i="78" a="1"/>
  <c r="V22" i="78" a="1"/>
  <c r="U22" i="78" a="1"/>
  <c r="T22" i="78" a="1"/>
  <c r="S22" i="78" a="1"/>
  <c r="R22" i="78" a="1"/>
  <c r="Q22" i="78" a="1"/>
  <c r="P22" i="78" a="1"/>
  <c r="O22" i="78" a="1"/>
  <c r="N22" i="78" a="1"/>
  <c r="M22" i="78" a="1"/>
  <c r="L22" i="78" a="1"/>
  <c r="K22" i="78" a="1"/>
  <c r="J22" i="78" a="1"/>
  <c r="G22" i="78"/>
  <c r="AK21" i="78" a="1"/>
  <c r="AJ21" i="78" a="1"/>
  <c r="AI21" i="78" a="1"/>
  <c r="AH21" i="78" a="1"/>
  <c r="AG21" i="78" a="1"/>
  <c r="AF21" i="78" a="1"/>
  <c r="AE21" i="78" a="1"/>
  <c r="AD21" i="78" a="1"/>
  <c r="AC21" i="78" a="1"/>
  <c r="AB21" i="78" a="1"/>
  <c r="AA21" i="78" a="1"/>
  <c r="Z21" i="78" a="1"/>
  <c r="Y21" i="78" a="1"/>
  <c r="X21" i="78" a="1"/>
  <c r="W21" i="78" a="1"/>
  <c r="V21" i="78" a="1"/>
  <c r="U21" i="78" a="1"/>
  <c r="T21" i="78" a="1"/>
  <c r="S21" i="78" a="1"/>
  <c r="R21" i="78" a="1"/>
  <c r="Q21" i="78" a="1"/>
  <c r="P21" i="78" a="1"/>
  <c r="O21" i="78" a="1"/>
  <c r="N21" i="78" a="1"/>
  <c r="M21" i="78" a="1"/>
  <c r="L21" i="78" a="1"/>
  <c r="K21" i="78" a="1"/>
  <c r="J21" i="78" a="1"/>
  <c r="G21" i="78"/>
  <c r="AK20" i="78" a="1"/>
  <c r="AJ20" i="78" a="1"/>
  <c r="AI20" i="78" a="1"/>
  <c r="AH20" i="78" a="1"/>
  <c r="AG20" i="78" a="1"/>
  <c r="AF20" i="78" a="1"/>
  <c r="AE20" i="78" a="1"/>
  <c r="AD20" i="78" a="1"/>
  <c r="AC20" i="78" a="1"/>
  <c r="AB20" i="78" a="1"/>
  <c r="AA20" i="78" a="1"/>
  <c r="Z20" i="78" a="1"/>
  <c r="Y20" i="78" a="1"/>
  <c r="X20" i="78" a="1"/>
  <c r="W20" i="78" a="1"/>
  <c r="V20" i="78" a="1"/>
  <c r="U20" i="78" a="1"/>
  <c r="T20" i="78" a="1"/>
  <c r="S20" i="78" a="1"/>
  <c r="R20" i="78" a="1"/>
  <c r="Q20" i="78" a="1"/>
  <c r="P20" i="78" a="1"/>
  <c r="O20" i="78" a="1"/>
  <c r="N20" i="78" a="1"/>
  <c r="M20" i="78" a="1"/>
  <c r="L20" i="78" a="1"/>
  <c r="K20" i="78" a="1"/>
  <c r="J20" i="78" a="1"/>
  <c r="G20" i="78"/>
  <c r="AK19" i="78" a="1"/>
  <c r="AJ19" i="78" a="1"/>
  <c r="AI19" i="78" a="1"/>
  <c r="AH19" i="78" a="1"/>
  <c r="AG19" i="78" a="1"/>
  <c r="AF19" i="78" a="1"/>
  <c r="AE19" i="78" a="1"/>
  <c r="AD19" i="78" a="1"/>
  <c r="AC19" i="78" a="1"/>
  <c r="AB19" i="78" a="1"/>
  <c r="AA19" i="78" a="1"/>
  <c r="Z19" i="78" a="1"/>
  <c r="Y19" i="78" a="1"/>
  <c r="X19" i="78" a="1"/>
  <c r="W19" i="78" a="1"/>
  <c r="V19" i="78" a="1"/>
  <c r="U19" i="78" a="1"/>
  <c r="T19" i="78" a="1"/>
  <c r="S19" i="78" a="1"/>
  <c r="R19" i="78" a="1"/>
  <c r="Q19" i="78" a="1"/>
  <c r="P19" i="78" a="1"/>
  <c r="O19" i="78" a="1"/>
  <c r="N19" i="78" a="1"/>
  <c r="M19" i="78" a="1"/>
  <c r="L19" i="78" a="1"/>
  <c r="K19" i="78" a="1"/>
  <c r="J19" i="78" a="1"/>
  <c r="G19" i="78"/>
  <c r="AK18" i="78" a="1"/>
  <c r="AJ18" i="78" a="1"/>
  <c r="AI18" i="78" a="1"/>
  <c r="AH18" i="78" a="1"/>
  <c r="AG18" i="78" a="1"/>
  <c r="AF18" i="78" a="1"/>
  <c r="AE18" i="78" a="1"/>
  <c r="AD18" i="78" a="1"/>
  <c r="AC18" i="78" a="1"/>
  <c r="AB18" i="78" a="1"/>
  <c r="AA18" i="78" a="1"/>
  <c r="Z18" i="78" a="1"/>
  <c r="Y18" i="78" a="1"/>
  <c r="X18" i="78" a="1"/>
  <c r="W18" i="78" a="1"/>
  <c r="V18" i="78" a="1"/>
  <c r="U18" i="78" a="1"/>
  <c r="T18" i="78" a="1"/>
  <c r="S18" i="78" a="1"/>
  <c r="R18" i="78" a="1"/>
  <c r="Q18" i="78" a="1"/>
  <c r="P18" i="78" a="1"/>
  <c r="O18" i="78" a="1"/>
  <c r="N18" i="78" a="1"/>
  <c r="M18" i="78" a="1"/>
  <c r="L18" i="78" a="1"/>
  <c r="K18" i="78" a="1"/>
  <c r="J18" i="78" a="1"/>
  <c r="G18" i="78"/>
  <c r="AK17" i="78" a="1"/>
  <c r="AJ17" i="78" a="1"/>
  <c r="AI17" i="78" a="1"/>
  <c r="AH17" i="78" a="1"/>
  <c r="AG17" i="78" a="1"/>
  <c r="AF17" i="78" a="1"/>
  <c r="AE17" i="78" a="1"/>
  <c r="AD17" i="78" a="1"/>
  <c r="AC17" i="78" a="1"/>
  <c r="AB17" i="78" a="1"/>
  <c r="AA17" i="78" a="1"/>
  <c r="Z17" i="78" a="1"/>
  <c r="Y17" i="78" a="1"/>
  <c r="X17" i="78" a="1"/>
  <c r="W17" i="78" a="1"/>
  <c r="V17" i="78" a="1"/>
  <c r="U17" i="78" a="1"/>
  <c r="T17" i="78" a="1"/>
  <c r="S17" i="78" a="1"/>
  <c r="R17" i="78" a="1"/>
  <c r="Q17" i="78" a="1"/>
  <c r="P17" i="78" a="1"/>
  <c r="O17" i="78" a="1"/>
  <c r="N17" i="78" a="1"/>
  <c r="M17" i="78" a="1"/>
  <c r="L17" i="78" a="1"/>
  <c r="K17" i="78" a="1"/>
  <c r="J17" i="78" a="1"/>
  <c r="G17" i="78"/>
  <c r="AK16" i="78" a="1"/>
  <c r="AJ16" i="78" a="1"/>
  <c r="AI16" i="78" a="1"/>
  <c r="AH16" i="78" a="1"/>
  <c r="AG16" i="78" a="1"/>
  <c r="AF16" i="78" a="1"/>
  <c r="AE16" i="78" a="1"/>
  <c r="AD16" i="78" a="1"/>
  <c r="AC16" i="78" a="1"/>
  <c r="AB16" i="78" a="1"/>
  <c r="AA16" i="78" a="1"/>
  <c r="Z16" i="78" a="1"/>
  <c r="Y16" i="78" a="1"/>
  <c r="X16" i="78" a="1"/>
  <c r="W16" i="78" a="1"/>
  <c r="V16" i="78" a="1"/>
  <c r="U16" i="78" a="1"/>
  <c r="T16" i="78" a="1"/>
  <c r="S16" i="78" a="1"/>
  <c r="R16" i="78" a="1"/>
  <c r="Q16" i="78" a="1"/>
  <c r="P16" i="78" a="1"/>
  <c r="O16" i="78" a="1"/>
  <c r="N16" i="78" a="1"/>
  <c r="M16" i="78" a="1"/>
  <c r="L16" i="78" a="1"/>
  <c r="K16" i="78" a="1"/>
  <c r="J16" i="78" a="1"/>
  <c r="G16" i="78"/>
  <c r="AK15" i="78" a="1"/>
  <c r="AJ15" i="78" a="1"/>
  <c r="AI15" i="78" a="1"/>
  <c r="AH15" i="78" a="1"/>
  <c r="AG15" i="78" a="1"/>
  <c r="AF15" i="78" a="1"/>
  <c r="AE15" i="78" a="1"/>
  <c r="AD15" i="78" a="1"/>
  <c r="AC15" i="78" a="1"/>
  <c r="AB15" i="78" a="1"/>
  <c r="AA15" i="78" a="1"/>
  <c r="Z15" i="78" a="1"/>
  <c r="Y15" i="78" a="1"/>
  <c r="X15" i="78" a="1"/>
  <c r="W15" i="78" a="1"/>
  <c r="V15" i="78" a="1"/>
  <c r="U15" i="78" a="1"/>
  <c r="T15" i="78" a="1"/>
  <c r="S15" i="78" a="1"/>
  <c r="R15" i="78" a="1"/>
  <c r="Q15" i="78" a="1"/>
  <c r="P15" i="78" a="1"/>
  <c r="O15" i="78" a="1"/>
  <c r="N15" i="78" a="1"/>
  <c r="M15" i="78" a="1"/>
  <c r="L15" i="78" a="1"/>
  <c r="K15" i="78" a="1"/>
  <c r="J15" i="78" a="1"/>
  <c r="G15" i="78"/>
  <c r="AK14" i="78" a="1"/>
  <c r="AJ14" i="78" a="1"/>
  <c r="AI14" i="78" a="1"/>
  <c r="AH14" i="78" a="1"/>
  <c r="AG14" i="78" a="1"/>
  <c r="AF14" i="78" a="1"/>
  <c r="AE14" i="78" a="1"/>
  <c r="AD14" i="78" a="1"/>
  <c r="AC14" i="78" a="1"/>
  <c r="AB14" i="78" a="1"/>
  <c r="AA14" i="78" a="1"/>
  <c r="Z14" i="78" a="1"/>
  <c r="Y14" i="78" a="1"/>
  <c r="X14" i="78" a="1"/>
  <c r="W14" i="78" a="1"/>
  <c r="V14" i="78" a="1"/>
  <c r="U14" i="78" a="1"/>
  <c r="T14" i="78" a="1"/>
  <c r="S14" i="78" a="1"/>
  <c r="R14" i="78" a="1"/>
  <c r="Q14" i="78" a="1"/>
  <c r="P14" i="78" a="1"/>
  <c r="O14" i="78" a="1"/>
  <c r="N14" i="78" a="1"/>
  <c r="M14" i="78" a="1"/>
  <c r="L14" i="78" a="1"/>
  <c r="K14" i="78" a="1"/>
  <c r="J14" i="78" a="1"/>
  <c r="G14" i="78"/>
  <c r="AK13" i="78" a="1"/>
  <c r="AJ13" i="78" a="1"/>
  <c r="AI13" i="78" a="1"/>
  <c r="AH13" i="78" a="1"/>
  <c r="AG13" i="78" a="1"/>
  <c r="AF13" i="78" a="1"/>
  <c r="AE13" i="78" a="1"/>
  <c r="AD13" i="78" a="1"/>
  <c r="AC13" i="78" a="1"/>
  <c r="AB13" i="78" a="1"/>
  <c r="AA13" i="78" a="1"/>
  <c r="Z13" i="78" a="1"/>
  <c r="Y13" i="78" a="1"/>
  <c r="X13" i="78" a="1"/>
  <c r="W13" i="78" a="1"/>
  <c r="V13" i="78" a="1"/>
  <c r="U13" i="78" a="1"/>
  <c r="T13" i="78" a="1"/>
  <c r="S13" i="78" a="1"/>
  <c r="R13" i="78" a="1"/>
  <c r="Q13" i="78" a="1"/>
  <c r="P13" i="78" a="1"/>
  <c r="O13" i="78" a="1"/>
  <c r="N13" i="78" a="1"/>
  <c r="M13" i="78" a="1"/>
  <c r="L13" i="78" a="1"/>
  <c r="K13" i="78" a="1"/>
  <c r="J13" i="78" a="1"/>
  <c r="G13" i="78"/>
  <c r="AK12" i="78" a="1"/>
  <c r="AJ12" i="78" a="1"/>
  <c r="AI12" i="78" a="1"/>
  <c r="AH12" i="78" a="1"/>
  <c r="AG12" i="78" a="1"/>
  <c r="AF12" i="78" a="1"/>
  <c r="AE12" i="78" a="1"/>
  <c r="AD12" i="78" a="1"/>
  <c r="AC12" i="78" a="1"/>
  <c r="AB12" i="78" a="1"/>
  <c r="AA12" i="78" a="1"/>
  <c r="Z12" i="78" a="1"/>
  <c r="Y12" i="78" a="1"/>
  <c r="X12" i="78" a="1"/>
  <c r="W12" i="78" a="1"/>
  <c r="V12" i="78" a="1"/>
  <c r="U12" i="78" a="1"/>
  <c r="T12" i="78" a="1"/>
  <c r="S12" i="78" a="1"/>
  <c r="R12" i="78" a="1"/>
  <c r="Q12" i="78" a="1"/>
  <c r="P12" i="78" a="1"/>
  <c r="O12" i="78" a="1"/>
  <c r="N12" i="78" a="1"/>
  <c r="M12" i="78" a="1"/>
  <c r="L12" i="78" a="1"/>
  <c r="K12" i="78" a="1"/>
  <c r="J12" i="78" a="1"/>
  <c r="G12" i="78"/>
  <c r="AK11" i="78" a="1"/>
  <c r="AJ11" i="78" a="1"/>
  <c r="AI11" i="78" a="1"/>
  <c r="AH11" i="78" a="1"/>
  <c r="AG11" i="78" a="1"/>
  <c r="AF11" i="78" a="1"/>
  <c r="AE11" i="78" a="1"/>
  <c r="AD11" i="78" a="1"/>
  <c r="AC11" i="78" a="1"/>
  <c r="AB11" i="78" a="1"/>
  <c r="AA11" i="78" a="1"/>
  <c r="Z11" i="78" a="1"/>
  <c r="Y11" i="78" a="1"/>
  <c r="X11" i="78" a="1"/>
  <c r="W11" i="78" a="1"/>
  <c r="V11" i="78" a="1"/>
  <c r="U11" i="78" a="1"/>
  <c r="T11" i="78" a="1"/>
  <c r="S11" i="78" a="1"/>
  <c r="R11" i="78" a="1"/>
  <c r="Q11" i="78" a="1"/>
  <c r="P11" i="78" a="1"/>
  <c r="O11" i="78" a="1"/>
  <c r="N11" i="78" a="1"/>
  <c r="M11" i="78" a="1"/>
  <c r="L11" i="78" a="1"/>
  <c r="K11" i="78" a="1"/>
  <c r="J11" i="78" a="1"/>
  <c r="G11" i="78"/>
  <c r="AK10" i="78" a="1"/>
  <c r="AJ10" i="78" a="1"/>
  <c r="AI10" i="78" a="1"/>
  <c r="AH10" i="78" a="1"/>
  <c r="AG10" i="78" a="1"/>
  <c r="AF10" i="78" a="1"/>
  <c r="AE10" i="78" a="1"/>
  <c r="AD10" i="78" a="1"/>
  <c r="AC10" i="78" a="1"/>
  <c r="AB10" i="78" a="1"/>
  <c r="AA10" i="78" a="1"/>
  <c r="Z10" i="78" a="1"/>
  <c r="Y10" i="78" a="1"/>
  <c r="X10" i="78" a="1"/>
  <c r="W10" i="78" a="1"/>
  <c r="V10" i="78" a="1"/>
  <c r="U10" i="78" a="1"/>
  <c r="T10" i="78" a="1"/>
  <c r="S10" i="78" a="1"/>
  <c r="R10" i="78" a="1"/>
  <c r="Q10" i="78" a="1"/>
  <c r="P10" i="78" a="1"/>
  <c r="O10" i="78" a="1"/>
  <c r="N10" i="78" a="1"/>
  <c r="M10" i="78" a="1"/>
  <c r="L10" i="78" a="1"/>
  <c r="K10" i="78" a="1"/>
  <c r="J10" i="78" a="1"/>
  <c r="G10" i="78"/>
  <c r="AK9" i="78" a="1"/>
  <c r="AJ9" i="78" a="1"/>
  <c r="AI9" i="78" a="1"/>
  <c r="AH9" i="78" a="1"/>
  <c r="AG9" i="78" a="1"/>
  <c r="AF9" i="78" a="1"/>
  <c r="AE9" i="78" a="1"/>
  <c r="AD9" i="78" a="1"/>
  <c r="AC9" i="78" a="1"/>
  <c r="AB9" i="78" a="1"/>
  <c r="AA9" i="78" a="1"/>
  <c r="Z9" i="78" a="1"/>
  <c r="Y9" i="78" a="1"/>
  <c r="X9" i="78" a="1"/>
  <c r="W9" i="78" a="1"/>
  <c r="V9" i="78" a="1"/>
  <c r="U9" i="78" a="1"/>
  <c r="T9" i="78" a="1"/>
  <c r="S9" i="78" a="1"/>
  <c r="R9" i="78" a="1"/>
  <c r="Q9" i="78" a="1"/>
  <c r="P9" i="78" a="1"/>
  <c r="O9" i="78" a="1"/>
  <c r="N9" i="78" a="1"/>
  <c r="M9" i="78" a="1"/>
  <c r="L9" i="78" a="1"/>
  <c r="K9" i="78" a="1"/>
  <c r="J9" i="78" a="1"/>
  <c r="G9" i="78"/>
  <c r="AK8" i="78" a="1"/>
  <c r="AJ8" i="78" a="1"/>
  <c r="AI8" i="78" a="1"/>
  <c r="AH8" i="78" a="1"/>
  <c r="AG8" i="78" a="1"/>
  <c r="AF8" i="78" a="1"/>
  <c r="AE8" i="78" a="1"/>
  <c r="AD8" i="78" a="1"/>
  <c r="AC8" i="78" a="1"/>
  <c r="AB8" i="78" a="1"/>
  <c r="AA8" i="78" a="1"/>
  <c r="Z8" i="78" a="1"/>
  <c r="Y8" i="78" a="1"/>
  <c r="X8" i="78" a="1"/>
  <c r="W8" i="78" a="1"/>
  <c r="V8" i="78" a="1"/>
  <c r="U8" i="78" a="1"/>
  <c r="T8" i="78" a="1"/>
  <c r="S8" i="78" a="1"/>
  <c r="R8" i="78" a="1"/>
  <c r="Q8" i="78" a="1"/>
  <c r="P8" i="78" a="1"/>
  <c r="O8" i="78" a="1"/>
  <c r="N8" i="78" a="1"/>
  <c r="M8" i="78" a="1"/>
  <c r="L8" i="78" a="1"/>
  <c r="K8" i="78" a="1"/>
  <c r="J8" i="78" a="1"/>
  <c r="G8" i="78"/>
  <c r="AK7" i="78" a="1"/>
  <c r="AJ7" i="78" a="1"/>
  <c r="AI7" i="78" a="1"/>
  <c r="AH7" i="78" a="1"/>
  <c r="AG7" i="78" a="1"/>
  <c r="AF7" i="78" a="1"/>
  <c r="AE7" i="78" a="1"/>
  <c r="AD7" i="78" a="1"/>
  <c r="AC7" i="78" a="1"/>
  <c r="AB7" i="78" a="1"/>
  <c r="AA7" i="78" a="1"/>
  <c r="Z7" i="78" a="1"/>
  <c r="Y7" i="78" a="1"/>
  <c r="X7" i="78" a="1"/>
  <c r="W7" i="78" a="1"/>
  <c r="V7" i="78" a="1"/>
  <c r="U7" i="78" a="1"/>
  <c r="T7" i="78" a="1"/>
  <c r="S7" i="78" a="1"/>
  <c r="R7" i="78" a="1"/>
  <c r="Q7" i="78" a="1"/>
  <c r="P7" i="78" a="1"/>
  <c r="O7" i="78" a="1"/>
  <c r="N7" i="78" a="1"/>
  <c r="M7" i="78" a="1"/>
  <c r="L7" i="78" a="1"/>
  <c r="K7" i="78" a="1"/>
  <c r="J7" i="78" a="1"/>
  <c r="G7" i="78"/>
  <c r="AK6" i="78" a="1"/>
  <c r="AJ6" i="78" a="1"/>
  <c r="AI6" i="78" a="1"/>
  <c r="AH6" i="78" a="1"/>
  <c r="AG6" i="78" a="1"/>
  <c r="AF6" i="78" a="1"/>
  <c r="AE6" i="78" a="1"/>
  <c r="AD6" i="78" a="1"/>
  <c r="AC6" i="78" a="1"/>
  <c r="AB6" i="78" a="1"/>
  <c r="AA6" i="78" a="1"/>
  <c r="Z6" i="78" a="1"/>
  <c r="Y6" i="78" a="1"/>
  <c r="X6" i="78" a="1"/>
  <c r="W6" i="78" a="1"/>
  <c r="V6" i="78" a="1"/>
  <c r="U6" i="78" a="1"/>
  <c r="T6" i="78" a="1"/>
  <c r="S6" i="78" a="1"/>
  <c r="R6" i="78" a="1"/>
  <c r="Q6" i="78" a="1"/>
  <c r="P6" i="78" a="1"/>
  <c r="O6" i="78" a="1"/>
  <c r="N6" i="78" a="1"/>
  <c r="M6" i="78" a="1"/>
  <c r="L6" i="78" a="1"/>
  <c r="K6" i="78" a="1"/>
  <c r="J6" i="78" a="1"/>
  <c r="G6" i="78"/>
  <c r="AK5" i="78" a="1"/>
  <c r="AJ5" i="78" a="1"/>
  <c r="AI5" i="78" a="1"/>
  <c r="AH5" i="78" a="1"/>
  <c r="AG5" i="78" a="1"/>
  <c r="AF5" i="78" a="1"/>
  <c r="AE5" i="78" a="1"/>
  <c r="AD5" i="78" a="1"/>
  <c r="AC5" i="78" a="1"/>
  <c r="AB5" i="78" a="1"/>
  <c r="AA5" i="78" a="1"/>
  <c r="Z5" i="78" a="1"/>
  <c r="Y5" i="78" a="1"/>
  <c r="X5" i="78" a="1"/>
  <c r="W5" i="78" a="1"/>
  <c r="V5" i="78" a="1"/>
  <c r="U5" i="78" a="1"/>
  <c r="T5" i="78" a="1"/>
  <c r="S5" i="78" a="1"/>
  <c r="R5" i="78" a="1"/>
  <c r="Q5" i="78" a="1"/>
  <c r="P5" i="78" a="1"/>
  <c r="O5" i="78" a="1"/>
  <c r="N5" i="78" a="1"/>
  <c r="M5" i="78" a="1"/>
  <c r="L5" i="78" a="1"/>
  <c r="K5" i="78" a="1"/>
  <c r="J5" i="78" a="1"/>
  <c r="G5" i="78"/>
  <c r="AK4" i="78" a="1"/>
  <c r="AJ4" i="78" a="1"/>
  <c r="AI4" i="78" a="1"/>
  <c r="AH4" i="78" a="1"/>
  <c r="AG4" i="78" a="1"/>
  <c r="AF4" i="78" a="1"/>
  <c r="AE4" i="78" a="1"/>
  <c r="AD4" i="78" a="1"/>
  <c r="AC4" i="78" a="1"/>
  <c r="AB4" i="78" a="1"/>
  <c r="AA4" i="78" a="1"/>
  <c r="Z4" i="78" a="1"/>
  <c r="Y4" i="78" a="1"/>
  <c r="X4" i="78" a="1"/>
  <c r="W4" i="78" a="1"/>
  <c r="V4" i="78" a="1"/>
  <c r="U4" i="78" a="1"/>
  <c r="T4" i="78" a="1"/>
  <c r="S4" i="78" a="1"/>
  <c r="R4" i="78" a="1"/>
  <c r="Q4" i="78" a="1"/>
  <c r="P4" i="78" a="1"/>
  <c r="O4" i="78" a="1"/>
  <c r="N4" i="78" a="1"/>
  <c r="M4" i="78" a="1"/>
  <c r="L4" i="78" a="1"/>
  <c r="K4" i="78" a="1"/>
  <c r="J4" i="78" a="1"/>
  <c r="G4" i="78"/>
  <c r="AK3" i="78" a="1"/>
  <c r="AJ3" i="78" a="1"/>
  <c r="AI3" i="78" a="1"/>
  <c r="AH3" i="78" a="1"/>
  <c r="AG3" i="78" a="1"/>
  <c r="AF3" i="78" a="1"/>
  <c r="AE3" i="78" a="1"/>
  <c r="AD3" i="78" a="1"/>
  <c r="AC3" i="78" a="1"/>
  <c r="AB3" i="78" a="1"/>
  <c r="AA3" i="78" a="1"/>
  <c r="Z3" i="78" a="1"/>
  <c r="Y3" i="78" a="1"/>
  <c r="X3" i="78" a="1"/>
  <c r="W3" i="78" a="1"/>
  <c r="V3" i="78" a="1"/>
  <c r="U3" i="78" a="1"/>
  <c r="T3" i="78" a="1"/>
  <c r="S3" i="78" a="1"/>
  <c r="R3" i="78" a="1"/>
  <c r="Q3" i="78" a="1"/>
  <c r="P3" i="78" a="1"/>
  <c r="O3" i="78" a="1"/>
  <c r="N3" i="78" a="1"/>
  <c r="M3" i="78" a="1"/>
  <c r="L3" i="78" a="1"/>
  <c r="K3" i="78" a="1"/>
  <c r="J3" i="78" a="1"/>
  <c r="G3" i="78"/>
  <c r="AS33" i="77"/>
  <c r="AK32" i="77" a="1"/>
  <c r="AJ32" i="77" a="1"/>
  <c r="AI32" i="77" a="1"/>
  <c r="AH32" i="77" a="1"/>
  <c r="AG32" i="77" a="1"/>
  <c r="AF32" i="77" a="1"/>
  <c r="AE32" i="77" a="1"/>
  <c r="AD32" i="77" a="1"/>
  <c r="AC32" i="77" a="1"/>
  <c r="AB32" i="77" a="1"/>
  <c r="AA32" i="77" a="1"/>
  <c r="Z32" i="77" a="1"/>
  <c r="Y32" i="77" a="1"/>
  <c r="X32" i="77" a="1"/>
  <c r="W32" i="77" a="1"/>
  <c r="V32" i="77" a="1"/>
  <c r="U32" i="77" a="1"/>
  <c r="T32" i="77" a="1"/>
  <c r="S32" i="77" a="1"/>
  <c r="R32" i="77" a="1"/>
  <c r="Q32" i="77" a="1"/>
  <c r="P32" i="77" a="1"/>
  <c r="O32" i="77" a="1"/>
  <c r="N32" i="77" a="1"/>
  <c r="M32" i="77" a="1"/>
  <c r="L32" i="77" a="1"/>
  <c r="K32" i="77" a="1"/>
  <c r="J32" i="77" a="1"/>
  <c r="G32" i="77"/>
  <c r="AK31" i="77" a="1"/>
  <c r="AJ31" i="77" a="1"/>
  <c r="AI31" i="77" a="1"/>
  <c r="AH31" i="77" a="1"/>
  <c r="AG31" i="77" a="1"/>
  <c r="AF31" i="77" a="1"/>
  <c r="AE31" i="77" a="1"/>
  <c r="AD31" i="77" a="1"/>
  <c r="AC31" i="77" a="1"/>
  <c r="AB31" i="77" a="1"/>
  <c r="AA31" i="77" a="1"/>
  <c r="Z31" i="77" a="1"/>
  <c r="Y31" i="77" a="1"/>
  <c r="X31" i="77" a="1"/>
  <c r="W31" i="77" a="1"/>
  <c r="V31" i="77" a="1"/>
  <c r="U31" i="77" a="1"/>
  <c r="T31" i="77" a="1"/>
  <c r="S31" i="77" a="1"/>
  <c r="R31" i="77" a="1"/>
  <c r="Q31" i="77" a="1"/>
  <c r="P31" i="77" a="1"/>
  <c r="O31" i="77" a="1"/>
  <c r="N31" i="77" a="1"/>
  <c r="M31" i="77" a="1"/>
  <c r="L31" i="77" a="1"/>
  <c r="K31" i="77" a="1"/>
  <c r="J31" i="77" a="1"/>
  <c r="G31" i="77"/>
  <c r="AK30" i="77" a="1"/>
  <c r="AJ30" i="77" a="1"/>
  <c r="AI30" i="77" a="1"/>
  <c r="AH30" i="77" a="1"/>
  <c r="AG30" i="77" a="1"/>
  <c r="AF30" i="77" a="1"/>
  <c r="AE30" i="77" a="1"/>
  <c r="AD30" i="77" a="1"/>
  <c r="AC30" i="77" a="1"/>
  <c r="AB30" i="77" a="1"/>
  <c r="AA30" i="77" a="1"/>
  <c r="Z30" i="77" a="1"/>
  <c r="Y30" i="77" a="1"/>
  <c r="X30" i="77" a="1"/>
  <c r="W30" i="77" a="1"/>
  <c r="V30" i="77" a="1"/>
  <c r="U30" i="77" a="1"/>
  <c r="T30" i="77" a="1"/>
  <c r="S30" i="77" a="1"/>
  <c r="R30" i="77" a="1"/>
  <c r="Q30" i="77" a="1"/>
  <c r="P30" i="77" a="1"/>
  <c r="O30" i="77" a="1"/>
  <c r="N30" i="77" a="1"/>
  <c r="M30" i="77" a="1"/>
  <c r="L30" i="77" a="1"/>
  <c r="K30" i="77" a="1"/>
  <c r="J30" i="77" a="1"/>
  <c r="G30" i="77"/>
  <c r="AK29" i="77" a="1"/>
  <c r="AJ29" i="77" a="1"/>
  <c r="AI29" i="77" a="1"/>
  <c r="AH29" i="77" a="1"/>
  <c r="AG29" i="77" a="1"/>
  <c r="AF29" i="77" a="1"/>
  <c r="AE29" i="77" a="1"/>
  <c r="AD29" i="77" a="1"/>
  <c r="AC29" i="77" a="1"/>
  <c r="AB29" i="77" a="1"/>
  <c r="AA29" i="77" a="1"/>
  <c r="Z29" i="77" a="1"/>
  <c r="Y29" i="77" a="1"/>
  <c r="X29" i="77" a="1"/>
  <c r="W29" i="77" a="1"/>
  <c r="V29" i="77" a="1"/>
  <c r="U29" i="77" a="1"/>
  <c r="T29" i="77" a="1"/>
  <c r="S29" i="77" a="1"/>
  <c r="R29" i="77" a="1"/>
  <c r="Q29" i="77" a="1"/>
  <c r="P29" i="77" a="1"/>
  <c r="O29" i="77" a="1"/>
  <c r="N29" i="77" a="1"/>
  <c r="M29" i="77" a="1"/>
  <c r="L29" i="77" a="1"/>
  <c r="K29" i="77" a="1"/>
  <c r="J29" i="77" a="1"/>
  <c r="G29" i="77"/>
  <c r="AK28" i="77" a="1"/>
  <c r="AJ28" i="77" a="1"/>
  <c r="AI28" i="77" a="1"/>
  <c r="AH28" i="77" a="1"/>
  <c r="AG28" i="77" a="1"/>
  <c r="AF28" i="77" a="1"/>
  <c r="AE28" i="77" a="1"/>
  <c r="AD28" i="77" a="1"/>
  <c r="AC28" i="77" a="1"/>
  <c r="AB28" i="77" a="1"/>
  <c r="AA28" i="77" a="1"/>
  <c r="Z28" i="77" a="1"/>
  <c r="Y28" i="77" a="1"/>
  <c r="X28" i="77" a="1"/>
  <c r="W28" i="77" a="1"/>
  <c r="V28" i="77" a="1"/>
  <c r="U28" i="77" a="1"/>
  <c r="T28" i="77" a="1"/>
  <c r="S28" i="77" a="1"/>
  <c r="R28" i="77" a="1"/>
  <c r="Q28" i="77" a="1"/>
  <c r="P28" i="77" a="1"/>
  <c r="O28" i="77" a="1"/>
  <c r="N28" i="77" a="1"/>
  <c r="M28" i="77" a="1"/>
  <c r="L28" i="77" a="1"/>
  <c r="K28" i="77" a="1"/>
  <c r="J28" i="77" a="1"/>
  <c r="G28" i="77"/>
  <c r="AK27" i="77" a="1"/>
  <c r="AJ27" i="77" a="1"/>
  <c r="AI27" i="77" a="1"/>
  <c r="AH27" i="77" a="1"/>
  <c r="AG27" i="77" a="1"/>
  <c r="AF27" i="77" a="1"/>
  <c r="AE27" i="77" a="1"/>
  <c r="AD27" i="77" a="1"/>
  <c r="AC27" i="77" a="1"/>
  <c r="AB27" i="77" a="1"/>
  <c r="AA27" i="77" a="1"/>
  <c r="Z27" i="77" a="1"/>
  <c r="Y27" i="77" a="1"/>
  <c r="X27" i="77" a="1"/>
  <c r="W27" i="77" a="1"/>
  <c r="V27" i="77" a="1"/>
  <c r="U27" i="77" a="1"/>
  <c r="T27" i="77" a="1"/>
  <c r="S27" i="77" a="1"/>
  <c r="R27" i="77" a="1"/>
  <c r="Q27" i="77" a="1"/>
  <c r="P27" i="77" a="1"/>
  <c r="O27" i="77" a="1"/>
  <c r="N27" i="77" a="1"/>
  <c r="M27" i="77" a="1"/>
  <c r="L27" i="77" a="1"/>
  <c r="K27" i="77" a="1"/>
  <c r="J27" i="77" a="1"/>
  <c r="G27" i="77"/>
  <c r="AK26" i="77" a="1"/>
  <c r="AJ26" i="77" a="1"/>
  <c r="AI26" i="77" a="1"/>
  <c r="AH26" i="77" a="1"/>
  <c r="AG26" i="77" a="1"/>
  <c r="AF26" i="77" a="1"/>
  <c r="AE26" i="77" a="1"/>
  <c r="AD26" i="77" a="1"/>
  <c r="AC26" i="77" a="1"/>
  <c r="AB26" i="77" a="1"/>
  <c r="AA26" i="77" a="1"/>
  <c r="Z26" i="77" a="1"/>
  <c r="Y26" i="77" a="1"/>
  <c r="X26" i="77" a="1"/>
  <c r="W26" i="77" a="1"/>
  <c r="V26" i="77" a="1"/>
  <c r="U26" i="77" a="1"/>
  <c r="T26" i="77" a="1"/>
  <c r="S26" i="77" a="1"/>
  <c r="R26" i="77" a="1"/>
  <c r="Q26" i="77" a="1"/>
  <c r="P26" i="77" a="1"/>
  <c r="O26" i="77" a="1"/>
  <c r="N26" i="77" a="1"/>
  <c r="M26" i="77" a="1"/>
  <c r="L26" i="77" a="1"/>
  <c r="K26" i="77" a="1"/>
  <c r="J26" i="77" a="1"/>
  <c r="G26" i="77"/>
  <c r="AK25" i="77" a="1"/>
  <c r="AJ25" i="77" a="1"/>
  <c r="AI25" i="77" a="1"/>
  <c r="AH25" i="77" a="1"/>
  <c r="AG25" i="77" a="1"/>
  <c r="AF25" i="77" a="1"/>
  <c r="AE25" i="77" a="1"/>
  <c r="AD25" i="77" a="1"/>
  <c r="AC25" i="77" a="1"/>
  <c r="AB25" i="77" a="1"/>
  <c r="AA25" i="77" a="1"/>
  <c r="Z25" i="77" a="1"/>
  <c r="Y25" i="77" a="1"/>
  <c r="X25" i="77" a="1"/>
  <c r="W25" i="77" a="1"/>
  <c r="V25" i="77" a="1"/>
  <c r="U25" i="77" a="1"/>
  <c r="T25" i="77" a="1"/>
  <c r="S25" i="77" a="1"/>
  <c r="R25" i="77" a="1"/>
  <c r="Q25" i="77" a="1"/>
  <c r="P25" i="77" a="1"/>
  <c r="O25" i="77" a="1"/>
  <c r="N25" i="77" a="1"/>
  <c r="M25" i="77" a="1"/>
  <c r="L25" i="77" a="1"/>
  <c r="K25" i="77" a="1"/>
  <c r="J25" i="77" a="1"/>
  <c r="G25" i="77"/>
  <c r="AK24" i="77" a="1"/>
  <c r="AJ24" i="77" a="1"/>
  <c r="AI24" i="77" a="1"/>
  <c r="AH24" i="77" a="1"/>
  <c r="AG24" i="77" a="1"/>
  <c r="AF24" i="77" a="1"/>
  <c r="AE24" i="77" a="1"/>
  <c r="AD24" i="77" a="1"/>
  <c r="AC24" i="77" a="1"/>
  <c r="AB24" i="77" a="1"/>
  <c r="AA24" i="77" a="1"/>
  <c r="Z24" i="77" a="1"/>
  <c r="Y24" i="77" a="1"/>
  <c r="X24" i="77" a="1"/>
  <c r="W24" i="77" a="1"/>
  <c r="V24" i="77" a="1"/>
  <c r="U24" i="77" a="1"/>
  <c r="T24" i="77" a="1"/>
  <c r="S24" i="77" a="1"/>
  <c r="R24" i="77" a="1"/>
  <c r="Q24" i="77" a="1"/>
  <c r="P24" i="77" a="1"/>
  <c r="O24" i="77" a="1"/>
  <c r="N24" i="77" a="1"/>
  <c r="M24" i="77" a="1"/>
  <c r="L24" i="77" a="1"/>
  <c r="K24" i="77" a="1"/>
  <c r="J24" i="77" a="1"/>
  <c r="G24" i="77"/>
  <c r="AK23" i="77" a="1"/>
  <c r="AJ23" i="77" a="1"/>
  <c r="AI23" i="77" a="1"/>
  <c r="AH23" i="77" a="1"/>
  <c r="AG23" i="77" a="1"/>
  <c r="AF23" i="77" a="1"/>
  <c r="AE23" i="77" a="1"/>
  <c r="AD23" i="77" a="1"/>
  <c r="AC23" i="77" a="1"/>
  <c r="AB23" i="77" a="1"/>
  <c r="AA23" i="77" a="1"/>
  <c r="Z23" i="77" a="1"/>
  <c r="Y23" i="77" a="1"/>
  <c r="X23" i="77" a="1"/>
  <c r="W23" i="77" a="1"/>
  <c r="V23" i="77" a="1"/>
  <c r="U23" i="77" a="1"/>
  <c r="T23" i="77" a="1"/>
  <c r="S23" i="77" a="1"/>
  <c r="R23" i="77" a="1"/>
  <c r="Q23" i="77" a="1"/>
  <c r="P23" i="77" a="1"/>
  <c r="O23" i="77" a="1"/>
  <c r="N23" i="77" a="1"/>
  <c r="M23" i="77" a="1"/>
  <c r="L23" i="77" a="1"/>
  <c r="K23" i="77" a="1"/>
  <c r="J23" i="77" a="1"/>
  <c r="G23" i="77"/>
  <c r="AK22" i="77" a="1"/>
  <c r="AJ22" i="77" a="1"/>
  <c r="AI22" i="77" a="1"/>
  <c r="AH22" i="77" a="1"/>
  <c r="AG22" i="77" a="1"/>
  <c r="AF22" i="77" a="1"/>
  <c r="AE22" i="77" a="1"/>
  <c r="AD22" i="77" a="1"/>
  <c r="AC22" i="77" a="1"/>
  <c r="AB22" i="77" a="1"/>
  <c r="AA22" i="77" a="1"/>
  <c r="Z22" i="77" a="1"/>
  <c r="Y22" i="77" a="1"/>
  <c r="X22" i="77" a="1"/>
  <c r="W22" i="77" a="1"/>
  <c r="V22" i="77" a="1"/>
  <c r="U22" i="77" a="1"/>
  <c r="T22" i="77" a="1"/>
  <c r="S22" i="77" a="1"/>
  <c r="R22" i="77" a="1"/>
  <c r="Q22" i="77" a="1"/>
  <c r="P22" i="77" a="1"/>
  <c r="O22" i="77" a="1"/>
  <c r="N22" i="77" a="1"/>
  <c r="M22" i="77" a="1"/>
  <c r="L22" i="77" a="1"/>
  <c r="K22" i="77" a="1"/>
  <c r="J22" i="77" a="1"/>
  <c r="G22" i="77"/>
  <c r="AK21" i="77" a="1"/>
  <c r="AJ21" i="77" a="1"/>
  <c r="AI21" i="77" a="1"/>
  <c r="AH21" i="77" a="1"/>
  <c r="AG21" i="77" a="1"/>
  <c r="AF21" i="77" a="1"/>
  <c r="AE21" i="77" a="1"/>
  <c r="AD21" i="77" a="1"/>
  <c r="AC21" i="77" a="1"/>
  <c r="AB21" i="77" a="1"/>
  <c r="AA21" i="77" a="1"/>
  <c r="Z21" i="77" a="1"/>
  <c r="Y21" i="77" a="1"/>
  <c r="X21" i="77" a="1"/>
  <c r="W21" i="77" a="1"/>
  <c r="V21" i="77" a="1"/>
  <c r="U21" i="77" a="1"/>
  <c r="T21" i="77" a="1"/>
  <c r="S21" i="77" a="1"/>
  <c r="R21" i="77" a="1"/>
  <c r="Q21" i="77" a="1"/>
  <c r="P21" i="77" a="1"/>
  <c r="O21" i="77" a="1"/>
  <c r="N21" i="77" a="1"/>
  <c r="M21" i="77" a="1"/>
  <c r="L21" i="77" a="1"/>
  <c r="K21" i="77" a="1"/>
  <c r="J21" i="77" a="1"/>
  <c r="G21" i="77"/>
  <c r="AK20" i="77" a="1"/>
  <c r="AJ20" i="77" a="1"/>
  <c r="AI20" i="77" a="1"/>
  <c r="AH20" i="77" a="1"/>
  <c r="AG20" i="77" a="1"/>
  <c r="AF20" i="77" a="1"/>
  <c r="AE20" i="77" a="1"/>
  <c r="AD20" i="77" a="1"/>
  <c r="AC20" i="77" a="1"/>
  <c r="AB20" i="77" a="1"/>
  <c r="AA20" i="77" a="1"/>
  <c r="Z20" i="77" a="1"/>
  <c r="Y20" i="77" a="1"/>
  <c r="X20" i="77" a="1"/>
  <c r="W20" i="77" a="1"/>
  <c r="V20" i="77" a="1"/>
  <c r="U20" i="77" a="1"/>
  <c r="T20" i="77" a="1"/>
  <c r="S20" i="77" a="1"/>
  <c r="R20" i="77" a="1"/>
  <c r="Q20" i="77" a="1"/>
  <c r="P20" i="77" a="1"/>
  <c r="O20" i="77" a="1"/>
  <c r="N20" i="77" a="1"/>
  <c r="M20" i="77" a="1"/>
  <c r="L20" i="77" a="1"/>
  <c r="K20" i="77" a="1"/>
  <c r="J20" i="77" a="1"/>
  <c r="G20" i="77"/>
  <c r="AK19" i="77" a="1"/>
  <c r="AJ19" i="77" a="1"/>
  <c r="AI19" i="77" a="1"/>
  <c r="AH19" i="77" a="1"/>
  <c r="AG19" i="77" a="1"/>
  <c r="AF19" i="77" a="1"/>
  <c r="AE19" i="77" a="1"/>
  <c r="AD19" i="77" a="1"/>
  <c r="AC19" i="77" a="1"/>
  <c r="AB19" i="77" a="1"/>
  <c r="AA19" i="77" a="1"/>
  <c r="Z19" i="77" a="1"/>
  <c r="Y19" i="77" a="1"/>
  <c r="X19" i="77" a="1"/>
  <c r="W19" i="77" a="1"/>
  <c r="V19" i="77" a="1"/>
  <c r="U19" i="77" a="1"/>
  <c r="T19" i="77" a="1"/>
  <c r="S19" i="77" a="1"/>
  <c r="R19" i="77" a="1"/>
  <c r="Q19" i="77" a="1"/>
  <c r="P19" i="77" a="1"/>
  <c r="O19" i="77" a="1"/>
  <c r="N19" i="77" a="1"/>
  <c r="M19" i="77" a="1"/>
  <c r="L19" i="77" a="1"/>
  <c r="K19" i="77" a="1"/>
  <c r="J19" i="77" a="1"/>
  <c r="G19" i="77"/>
  <c r="AK18" i="77" a="1"/>
  <c r="AJ18" i="77" a="1"/>
  <c r="AI18" i="77" a="1"/>
  <c r="AH18" i="77" a="1"/>
  <c r="AG18" i="77" a="1"/>
  <c r="AF18" i="77" a="1"/>
  <c r="AE18" i="77" a="1"/>
  <c r="AD18" i="77" a="1"/>
  <c r="AC18" i="77" a="1"/>
  <c r="AB18" i="77" a="1"/>
  <c r="AA18" i="77" a="1"/>
  <c r="Z18" i="77" a="1"/>
  <c r="Y18" i="77" a="1"/>
  <c r="X18" i="77" a="1"/>
  <c r="W18" i="77" a="1"/>
  <c r="V18" i="77" a="1"/>
  <c r="U18" i="77" a="1"/>
  <c r="T18" i="77" a="1"/>
  <c r="S18" i="77" a="1"/>
  <c r="R18" i="77" a="1"/>
  <c r="Q18" i="77" a="1"/>
  <c r="P18" i="77" a="1"/>
  <c r="O18" i="77" a="1"/>
  <c r="N18" i="77" a="1"/>
  <c r="M18" i="77" a="1"/>
  <c r="L18" i="77" a="1"/>
  <c r="K18" i="77" a="1"/>
  <c r="J18" i="77" a="1"/>
  <c r="G18" i="77"/>
  <c r="AK17" i="77" a="1"/>
  <c r="AJ17" i="77" a="1"/>
  <c r="AI17" i="77" a="1"/>
  <c r="AH17" i="77" a="1"/>
  <c r="AG17" i="77" a="1"/>
  <c r="AF17" i="77" a="1"/>
  <c r="AE17" i="77" a="1"/>
  <c r="AD17" i="77" a="1"/>
  <c r="AC17" i="77" a="1"/>
  <c r="AB17" i="77" a="1"/>
  <c r="AA17" i="77" a="1"/>
  <c r="Z17" i="77" a="1"/>
  <c r="Y17" i="77" a="1"/>
  <c r="X17" i="77" a="1"/>
  <c r="W17" i="77" a="1"/>
  <c r="V17" i="77" a="1"/>
  <c r="U17" i="77" a="1"/>
  <c r="T17" i="77" a="1"/>
  <c r="S17" i="77" a="1"/>
  <c r="R17" i="77" a="1"/>
  <c r="Q17" i="77" a="1"/>
  <c r="P17" i="77" a="1"/>
  <c r="O17" i="77" a="1"/>
  <c r="N17" i="77" a="1"/>
  <c r="M17" i="77" a="1"/>
  <c r="L17" i="77" a="1"/>
  <c r="K17" i="77" a="1"/>
  <c r="J17" i="77" a="1"/>
  <c r="G17" i="77"/>
  <c r="AK16" i="77" a="1"/>
  <c r="AJ16" i="77" a="1"/>
  <c r="AI16" i="77" a="1"/>
  <c r="AH16" i="77" a="1"/>
  <c r="AG16" i="77" a="1"/>
  <c r="AF16" i="77" a="1"/>
  <c r="AE16" i="77" a="1"/>
  <c r="AD16" i="77" a="1"/>
  <c r="AC16" i="77" a="1"/>
  <c r="AB16" i="77" a="1"/>
  <c r="AA16" i="77" a="1"/>
  <c r="Z16" i="77" a="1"/>
  <c r="Y16" i="77" a="1"/>
  <c r="X16" i="77" a="1"/>
  <c r="W16" i="77" a="1"/>
  <c r="V16" i="77" a="1"/>
  <c r="U16" i="77" a="1"/>
  <c r="T16" i="77" a="1"/>
  <c r="S16" i="77" a="1"/>
  <c r="R16" i="77" a="1"/>
  <c r="Q16" i="77" a="1"/>
  <c r="P16" i="77" a="1"/>
  <c r="O16" i="77" a="1"/>
  <c r="N16" i="77" a="1"/>
  <c r="M16" i="77" a="1"/>
  <c r="L16" i="77" a="1"/>
  <c r="K16" i="77" a="1"/>
  <c r="J16" i="77" a="1"/>
  <c r="G16" i="77"/>
  <c r="AK15" i="77" a="1"/>
  <c r="AJ15" i="77" a="1"/>
  <c r="AI15" i="77" a="1"/>
  <c r="AH15" i="77" a="1"/>
  <c r="AG15" i="77" a="1"/>
  <c r="AF15" i="77" a="1"/>
  <c r="AE15" i="77" a="1"/>
  <c r="AD15" i="77" a="1"/>
  <c r="AC15" i="77" a="1"/>
  <c r="AB15" i="77" a="1"/>
  <c r="AA15" i="77" a="1"/>
  <c r="Z15" i="77" a="1"/>
  <c r="Y15" i="77" a="1"/>
  <c r="X15" i="77" a="1"/>
  <c r="W15" i="77" a="1"/>
  <c r="V15" i="77" a="1"/>
  <c r="U15" i="77" a="1"/>
  <c r="T15" i="77" a="1"/>
  <c r="S15" i="77" a="1"/>
  <c r="R15" i="77" a="1"/>
  <c r="Q15" i="77" a="1"/>
  <c r="P15" i="77" a="1"/>
  <c r="O15" i="77" a="1"/>
  <c r="N15" i="77" a="1"/>
  <c r="M15" i="77" a="1"/>
  <c r="L15" i="77" a="1"/>
  <c r="K15" i="77" a="1"/>
  <c r="J15" i="77" a="1"/>
  <c r="G15" i="77"/>
  <c r="AK14" i="77" a="1"/>
  <c r="AJ14" i="77" a="1"/>
  <c r="AI14" i="77" a="1"/>
  <c r="AH14" i="77" a="1"/>
  <c r="AG14" i="77" a="1"/>
  <c r="AF14" i="77" a="1"/>
  <c r="AE14" i="77" a="1"/>
  <c r="AD14" i="77" a="1"/>
  <c r="AC14" i="77" a="1"/>
  <c r="AB14" i="77" a="1"/>
  <c r="AA14" i="77" a="1"/>
  <c r="Z14" i="77" a="1"/>
  <c r="Y14" i="77" a="1"/>
  <c r="X14" i="77" a="1"/>
  <c r="W14" i="77" a="1"/>
  <c r="V14" i="77" a="1"/>
  <c r="U14" i="77" a="1"/>
  <c r="T14" i="77" a="1"/>
  <c r="S14" i="77" a="1"/>
  <c r="R14" i="77" a="1"/>
  <c r="Q14" i="77" a="1"/>
  <c r="P14" i="77" a="1"/>
  <c r="O14" i="77" a="1"/>
  <c r="N14" i="77" a="1"/>
  <c r="M14" i="77" a="1"/>
  <c r="L14" i="77" a="1"/>
  <c r="K14" i="77" a="1"/>
  <c r="J14" i="77" a="1"/>
  <c r="G14" i="77"/>
  <c r="AK13" i="77" a="1"/>
  <c r="AJ13" i="77" a="1"/>
  <c r="AI13" i="77" a="1"/>
  <c r="AH13" i="77" a="1"/>
  <c r="AG13" i="77" a="1"/>
  <c r="AF13" i="77" a="1"/>
  <c r="AE13" i="77" a="1"/>
  <c r="AD13" i="77" a="1"/>
  <c r="AC13" i="77" a="1"/>
  <c r="AB13" i="77" a="1"/>
  <c r="AA13" i="77" a="1"/>
  <c r="Z13" i="77" a="1"/>
  <c r="Y13" i="77" a="1"/>
  <c r="X13" i="77" a="1"/>
  <c r="W13" i="77" a="1"/>
  <c r="V13" i="77" a="1"/>
  <c r="U13" i="77" a="1"/>
  <c r="T13" i="77" a="1"/>
  <c r="S13" i="77" a="1"/>
  <c r="R13" i="77" a="1"/>
  <c r="Q13" i="77" a="1"/>
  <c r="P13" i="77" a="1"/>
  <c r="O13" i="77" a="1"/>
  <c r="N13" i="77" a="1"/>
  <c r="M13" i="77" a="1"/>
  <c r="L13" i="77" a="1"/>
  <c r="K13" i="77" a="1"/>
  <c r="J13" i="77" a="1"/>
  <c r="G13" i="77"/>
  <c r="AK12" i="77" a="1"/>
  <c r="AJ12" i="77" a="1"/>
  <c r="AI12" i="77" a="1"/>
  <c r="AH12" i="77" a="1"/>
  <c r="AG12" i="77" a="1"/>
  <c r="AF12" i="77" a="1"/>
  <c r="AE12" i="77" a="1"/>
  <c r="AD12" i="77" a="1"/>
  <c r="AC12" i="77" a="1"/>
  <c r="AB12" i="77" a="1"/>
  <c r="AA12" i="77" a="1"/>
  <c r="Z12" i="77" a="1"/>
  <c r="Y12" i="77" a="1"/>
  <c r="X12" i="77" a="1"/>
  <c r="W12" i="77" a="1"/>
  <c r="V12" i="77" a="1"/>
  <c r="U12" i="77" a="1"/>
  <c r="T12" i="77" a="1"/>
  <c r="S12" i="77" a="1"/>
  <c r="R12" i="77" a="1"/>
  <c r="Q12" i="77" a="1"/>
  <c r="P12" i="77" a="1"/>
  <c r="O12" i="77" a="1"/>
  <c r="N12" i="77" a="1"/>
  <c r="M12" i="77" a="1"/>
  <c r="L12" i="77" a="1"/>
  <c r="K12" i="77" a="1"/>
  <c r="J12" i="77" a="1"/>
  <c r="G12" i="77"/>
  <c r="AK11" i="77" a="1"/>
  <c r="AJ11" i="77" a="1"/>
  <c r="AI11" i="77" a="1"/>
  <c r="AH11" i="77" a="1"/>
  <c r="AG11" i="77" a="1"/>
  <c r="AF11" i="77" a="1"/>
  <c r="AE11" i="77" a="1"/>
  <c r="AD11" i="77" a="1"/>
  <c r="AC11" i="77" a="1"/>
  <c r="AB11" i="77" a="1"/>
  <c r="AA11" i="77" a="1"/>
  <c r="Z11" i="77" a="1"/>
  <c r="Y11" i="77" a="1"/>
  <c r="X11" i="77" a="1"/>
  <c r="W11" i="77" a="1"/>
  <c r="V11" i="77" a="1"/>
  <c r="U11" i="77" a="1"/>
  <c r="T11" i="77" a="1"/>
  <c r="S11" i="77" a="1"/>
  <c r="R11" i="77" a="1"/>
  <c r="Q11" i="77" a="1"/>
  <c r="P11" i="77" a="1"/>
  <c r="O11" i="77" a="1"/>
  <c r="N11" i="77" a="1"/>
  <c r="M11" i="77" a="1"/>
  <c r="L11" i="77" a="1"/>
  <c r="K11" i="77" a="1"/>
  <c r="J11" i="77" a="1"/>
  <c r="G11" i="77"/>
  <c r="AK10" i="77" a="1"/>
  <c r="AJ10" i="77" a="1"/>
  <c r="AI10" i="77" a="1"/>
  <c r="AH10" i="77" a="1"/>
  <c r="AG10" i="77" a="1"/>
  <c r="AF10" i="77" a="1"/>
  <c r="AE10" i="77" a="1"/>
  <c r="AD10" i="77" a="1"/>
  <c r="AC10" i="77" a="1"/>
  <c r="AB10" i="77" a="1"/>
  <c r="AA10" i="77" a="1"/>
  <c r="Z10" i="77" a="1"/>
  <c r="Y10" i="77" a="1"/>
  <c r="X10" i="77" a="1"/>
  <c r="W10" i="77" a="1"/>
  <c r="V10" i="77" a="1"/>
  <c r="U10" i="77" a="1"/>
  <c r="T10" i="77" a="1"/>
  <c r="S10" i="77" a="1"/>
  <c r="R10" i="77" a="1"/>
  <c r="Q10" i="77" a="1"/>
  <c r="P10" i="77" a="1"/>
  <c r="O10" i="77" a="1"/>
  <c r="N10" i="77" a="1"/>
  <c r="M10" i="77" a="1"/>
  <c r="L10" i="77" a="1"/>
  <c r="K10" i="77" a="1"/>
  <c r="J10" i="77" a="1"/>
  <c r="G10" i="77"/>
  <c r="AK9" i="77" a="1"/>
  <c r="AJ9" i="77" a="1"/>
  <c r="AI9" i="77" a="1"/>
  <c r="AH9" i="77" a="1"/>
  <c r="AG9" i="77" a="1"/>
  <c r="AF9" i="77" a="1"/>
  <c r="AE9" i="77" a="1"/>
  <c r="AD9" i="77" a="1"/>
  <c r="AC9" i="77" a="1"/>
  <c r="AB9" i="77" a="1"/>
  <c r="AA9" i="77" a="1"/>
  <c r="Z9" i="77" a="1"/>
  <c r="Y9" i="77" a="1"/>
  <c r="X9" i="77" a="1"/>
  <c r="W9" i="77" a="1"/>
  <c r="V9" i="77" a="1"/>
  <c r="U9" i="77" a="1"/>
  <c r="T9" i="77" a="1"/>
  <c r="S9" i="77" a="1"/>
  <c r="R9" i="77" a="1"/>
  <c r="Q9" i="77" a="1"/>
  <c r="P9" i="77" a="1"/>
  <c r="O9" i="77" a="1"/>
  <c r="N9" i="77" a="1"/>
  <c r="M9" i="77" a="1"/>
  <c r="L9" i="77" a="1"/>
  <c r="K9" i="77" a="1"/>
  <c r="J9" i="77" a="1"/>
  <c r="G9" i="77"/>
  <c r="AK8" i="77" a="1"/>
  <c r="AJ8" i="77" a="1"/>
  <c r="AI8" i="77" a="1"/>
  <c r="AH8" i="77" a="1"/>
  <c r="AG8" i="77" a="1"/>
  <c r="AF8" i="77" a="1"/>
  <c r="AE8" i="77" a="1"/>
  <c r="AD8" i="77" a="1"/>
  <c r="AC8" i="77" a="1"/>
  <c r="AB8" i="77" a="1"/>
  <c r="AA8" i="77" a="1"/>
  <c r="Z8" i="77" a="1"/>
  <c r="Y8" i="77" a="1"/>
  <c r="X8" i="77" a="1"/>
  <c r="W8" i="77" a="1"/>
  <c r="V8" i="77" a="1"/>
  <c r="U8" i="77" a="1"/>
  <c r="T8" i="77" a="1"/>
  <c r="S8" i="77" a="1"/>
  <c r="R8" i="77" a="1"/>
  <c r="Q8" i="77" a="1"/>
  <c r="P8" i="77" a="1"/>
  <c r="O8" i="77" a="1"/>
  <c r="N8" i="77" a="1"/>
  <c r="M8" i="77" a="1"/>
  <c r="L8" i="77" a="1"/>
  <c r="K8" i="77" a="1"/>
  <c r="J8" i="77" a="1"/>
  <c r="G8" i="77"/>
  <c r="AK7" i="77" a="1"/>
  <c r="AJ7" i="77" a="1"/>
  <c r="AI7" i="77" a="1"/>
  <c r="AH7" i="77" a="1"/>
  <c r="AG7" i="77" a="1"/>
  <c r="AF7" i="77" a="1"/>
  <c r="AE7" i="77" a="1"/>
  <c r="AD7" i="77" a="1"/>
  <c r="AC7" i="77" a="1"/>
  <c r="AB7" i="77" a="1"/>
  <c r="AA7" i="77" a="1"/>
  <c r="Z7" i="77" a="1"/>
  <c r="Y7" i="77" a="1"/>
  <c r="X7" i="77" a="1"/>
  <c r="W7" i="77" a="1"/>
  <c r="V7" i="77" a="1"/>
  <c r="U7" i="77" a="1"/>
  <c r="T7" i="77" a="1"/>
  <c r="S7" i="77" a="1"/>
  <c r="R7" i="77" a="1"/>
  <c r="Q7" i="77" a="1"/>
  <c r="P7" i="77" a="1"/>
  <c r="O7" i="77" a="1"/>
  <c r="N7" i="77" a="1"/>
  <c r="M7" i="77" a="1"/>
  <c r="L7" i="77" a="1"/>
  <c r="K7" i="77" a="1"/>
  <c r="J7" i="77" a="1"/>
  <c r="G7" i="77"/>
  <c r="AK6" i="77" a="1"/>
  <c r="AJ6" i="77" a="1"/>
  <c r="AI6" i="77" a="1"/>
  <c r="AH6" i="77" a="1"/>
  <c r="AG6" i="77" a="1"/>
  <c r="AF6" i="77" a="1"/>
  <c r="AE6" i="77" a="1"/>
  <c r="AD6" i="77" a="1"/>
  <c r="AC6" i="77" a="1"/>
  <c r="AB6" i="77" a="1"/>
  <c r="AA6" i="77" a="1"/>
  <c r="Z6" i="77" a="1"/>
  <c r="Y6" i="77" a="1"/>
  <c r="X6" i="77" a="1"/>
  <c r="W6" i="77" a="1"/>
  <c r="V6" i="77" a="1"/>
  <c r="U6" i="77" a="1"/>
  <c r="T6" i="77" a="1"/>
  <c r="S6" i="77" a="1"/>
  <c r="R6" i="77" a="1"/>
  <c r="Q6" i="77" a="1"/>
  <c r="P6" i="77" a="1"/>
  <c r="O6" i="77" a="1"/>
  <c r="N6" i="77" a="1"/>
  <c r="M6" i="77" a="1"/>
  <c r="L6" i="77" a="1"/>
  <c r="K6" i="77" a="1"/>
  <c r="J6" i="77" a="1"/>
  <c r="G6" i="77"/>
  <c r="AK5" i="77" a="1"/>
  <c r="AJ5" i="77" a="1"/>
  <c r="AI5" i="77" a="1"/>
  <c r="AH5" i="77" a="1"/>
  <c r="AG5" i="77" a="1"/>
  <c r="AF5" i="77" a="1"/>
  <c r="AE5" i="77" a="1"/>
  <c r="AD5" i="77" a="1"/>
  <c r="AC5" i="77" a="1"/>
  <c r="AB5" i="77" a="1"/>
  <c r="AA5" i="77" a="1"/>
  <c r="Z5" i="77" a="1"/>
  <c r="Y5" i="77" a="1"/>
  <c r="X5" i="77" a="1"/>
  <c r="W5" i="77" a="1"/>
  <c r="V5" i="77" a="1"/>
  <c r="U5" i="77" a="1"/>
  <c r="T5" i="77" a="1"/>
  <c r="S5" i="77" a="1"/>
  <c r="R5" i="77" a="1"/>
  <c r="Q5" i="77" a="1"/>
  <c r="P5" i="77" a="1"/>
  <c r="O5" i="77" a="1"/>
  <c r="N5" i="77" a="1"/>
  <c r="M5" i="77" a="1"/>
  <c r="L5" i="77" a="1"/>
  <c r="K5" i="77" a="1"/>
  <c r="J5" i="77" a="1"/>
  <c r="G5" i="77"/>
  <c r="AK4" i="77" a="1"/>
  <c r="AJ4" i="77" a="1"/>
  <c r="AI4" i="77" a="1"/>
  <c r="AH4" i="77" a="1"/>
  <c r="AG4" i="77" a="1"/>
  <c r="AF4" i="77" a="1"/>
  <c r="AE4" i="77" a="1"/>
  <c r="AD4" i="77" a="1"/>
  <c r="AC4" i="77" a="1"/>
  <c r="AB4" i="77" a="1"/>
  <c r="AA4" i="77" a="1"/>
  <c r="Z4" i="77" a="1"/>
  <c r="Y4" i="77" a="1"/>
  <c r="X4" i="77" a="1"/>
  <c r="W4" i="77" a="1"/>
  <c r="V4" i="77" a="1"/>
  <c r="U4" i="77" a="1"/>
  <c r="T4" i="77" a="1"/>
  <c r="S4" i="77" a="1"/>
  <c r="R4" i="77" a="1"/>
  <c r="Q4" i="77" a="1"/>
  <c r="P4" i="77" a="1"/>
  <c r="O4" i="77" a="1"/>
  <c r="N4" i="77" a="1"/>
  <c r="M4" i="77" a="1"/>
  <c r="L4" i="77" a="1"/>
  <c r="K4" i="77" a="1"/>
  <c r="J4" i="77" a="1"/>
  <c r="G4" i="77"/>
  <c r="AK3" i="77" a="1"/>
  <c r="AJ3" i="77" a="1"/>
  <c r="AI3" i="77" a="1"/>
  <c r="AH3" i="77" a="1"/>
  <c r="AG3" i="77" a="1"/>
  <c r="AF3" i="77" a="1"/>
  <c r="AE3" i="77" a="1"/>
  <c r="AD3" i="77" a="1"/>
  <c r="AC3" i="77" a="1"/>
  <c r="AB3" i="77" a="1"/>
  <c r="AA3" i="77" a="1"/>
  <c r="Z3" i="77" a="1"/>
  <c r="Y3" i="77" a="1"/>
  <c r="X3" i="77" a="1"/>
  <c r="W3" i="77" a="1"/>
  <c r="V3" i="77" a="1"/>
  <c r="U3" i="77" a="1"/>
  <c r="T3" i="77" a="1"/>
  <c r="S3" i="77" a="1"/>
  <c r="R3" i="77" a="1"/>
  <c r="Q3" i="77" a="1"/>
  <c r="P3" i="77" a="1"/>
  <c r="O3" i="77" a="1"/>
  <c r="N3" i="77" a="1"/>
  <c r="M3" i="77" a="1"/>
  <c r="L3" i="77" a="1"/>
  <c r="K3" i="77" a="1"/>
  <c r="J3" i="77" a="1"/>
  <c r="G3" i="77"/>
  <c r="AS33" i="76"/>
  <c r="AK32" i="76" a="1"/>
  <c r="AJ32" i="76" a="1"/>
  <c r="AI32" i="76" a="1"/>
  <c r="AH32" i="76" a="1"/>
  <c r="AG32" i="76" a="1"/>
  <c r="AF32" i="76" a="1"/>
  <c r="AE32" i="76" a="1"/>
  <c r="AD32" i="76" a="1"/>
  <c r="AC32" i="76" a="1"/>
  <c r="AB32" i="76" a="1"/>
  <c r="AA32" i="76" a="1"/>
  <c r="Z32" i="76" a="1"/>
  <c r="Y32" i="76" a="1"/>
  <c r="X32" i="76" a="1"/>
  <c r="W32" i="76" a="1"/>
  <c r="V32" i="76" a="1"/>
  <c r="U32" i="76" a="1"/>
  <c r="T32" i="76" a="1"/>
  <c r="S32" i="76" a="1"/>
  <c r="R32" i="76" a="1"/>
  <c r="Q32" i="76" a="1"/>
  <c r="P32" i="76" a="1"/>
  <c r="O32" i="76" a="1"/>
  <c r="N32" i="76" a="1"/>
  <c r="M32" i="76" a="1"/>
  <c r="L32" i="76" a="1"/>
  <c r="K32" i="76" a="1"/>
  <c r="J32" i="76" a="1"/>
  <c r="G32" i="76"/>
  <c r="AK31" i="76" a="1"/>
  <c r="AJ31" i="76" a="1"/>
  <c r="AI31" i="76" a="1"/>
  <c r="AH31" i="76" a="1"/>
  <c r="AG31" i="76" a="1"/>
  <c r="AF31" i="76" a="1"/>
  <c r="AE31" i="76" a="1"/>
  <c r="AD31" i="76" a="1"/>
  <c r="AC31" i="76" a="1"/>
  <c r="AB31" i="76" a="1"/>
  <c r="AA31" i="76" a="1"/>
  <c r="Z31" i="76" a="1"/>
  <c r="Y31" i="76" a="1"/>
  <c r="X31" i="76" a="1"/>
  <c r="W31" i="76" a="1"/>
  <c r="V31" i="76" a="1"/>
  <c r="U31" i="76" a="1"/>
  <c r="T31" i="76" a="1"/>
  <c r="S31" i="76" a="1"/>
  <c r="R31" i="76" a="1"/>
  <c r="Q31" i="76" a="1"/>
  <c r="P31" i="76" a="1"/>
  <c r="O31" i="76" a="1"/>
  <c r="N31" i="76" a="1"/>
  <c r="M31" i="76" a="1"/>
  <c r="L31" i="76" a="1"/>
  <c r="K31" i="76" a="1"/>
  <c r="J31" i="76" a="1"/>
  <c r="G31" i="76"/>
  <c r="AK30" i="76" a="1"/>
  <c r="AJ30" i="76" a="1"/>
  <c r="AI30" i="76" a="1"/>
  <c r="AH30" i="76" a="1"/>
  <c r="AG30" i="76" a="1"/>
  <c r="AF30" i="76" a="1"/>
  <c r="AE30" i="76" a="1"/>
  <c r="AD30" i="76" a="1"/>
  <c r="AC30" i="76" a="1"/>
  <c r="AB30" i="76" a="1"/>
  <c r="AA30" i="76" a="1"/>
  <c r="Z30" i="76" a="1"/>
  <c r="Y30" i="76" a="1"/>
  <c r="X30" i="76" a="1"/>
  <c r="W30" i="76" a="1"/>
  <c r="V30" i="76" a="1"/>
  <c r="U30" i="76" a="1"/>
  <c r="T30" i="76" a="1"/>
  <c r="S30" i="76" a="1"/>
  <c r="R30" i="76" a="1"/>
  <c r="Q30" i="76" a="1"/>
  <c r="P30" i="76" a="1"/>
  <c r="O30" i="76" a="1"/>
  <c r="N30" i="76" a="1"/>
  <c r="M30" i="76" a="1"/>
  <c r="L30" i="76" a="1"/>
  <c r="K30" i="76" a="1"/>
  <c r="J30" i="76" a="1"/>
  <c r="G30" i="76"/>
  <c r="AK29" i="76" a="1"/>
  <c r="AJ29" i="76" a="1"/>
  <c r="AI29" i="76" a="1"/>
  <c r="AH29" i="76" a="1"/>
  <c r="AG29" i="76" a="1"/>
  <c r="AF29" i="76" a="1"/>
  <c r="AE29" i="76" a="1"/>
  <c r="AD29" i="76" a="1"/>
  <c r="AC29" i="76" a="1"/>
  <c r="AB29" i="76" a="1"/>
  <c r="AA29" i="76" a="1"/>
  <c r="Z29" i="76" a="1"/>
  <c r="Y29" i="76" a="1"/>
  <c r="X29" i="76" a="1"/>
  <c r="W29" i="76" a="1"/>
  <c r="V29" i="76" a="1"/>
  <c r="U29" i="76" a="1"/>
  <c r="T29" i="76" a="1"/>
  <c r="S29" i="76" a="1"/>
  <c r="R29" i="76" a="1"/>
  <c r="Q29" i="76" a="1"/>
  <c r="P29" i="76" a="1"/>
  <c r="O29" i="76" a="1"/>
  <c r="N29" i="76" a="1"/>
  <c r="M29" i="76" a="1"/>
  <c r="L29" i="76" a="1"/>
  <c r="K29" i="76" a="1"/>
  <c r="J29" i="76" a="1"/>
  <c r="G29" i="76"/>
  <c r="AK28" i="76" a="1"/>
  <c r="AJ28" i="76" a="1"/>
  <c r="AI28" i="76" a="1"/>
  <c r="AH28" i="76" a="1"/>
  <c r="AG28" i="76" a="1"/>
  <c r="AF28" i="76" a="1"/>
  <c r="AE28" i="76" a="1"/>
  <c r="AD28" i="76" a="1"/>
  <c r="AC28" i="76" a="1"/>
  <c r="AB28" i="76" a="1"/>
  <c r="AA28" i="76" a="1"/>
  <c r="Z28" i="76" a="1"/>
  <c r="Y28" i="76" a="1"/>
  <c r="X28" i="76" a="1"/>
  <c r="W28" i="76" a="1"/>
  <c r="V28" i="76" a="1"/>
  <c r="U28" i="76" a="1"/>
  <c r="T28" i="76" a="1"/>
  <c r="S28" i="76" a="1"/>
  <c r="R28" i="76" a="1"/>
  <c r="Q28" i="76" a="1"/>
  <c r="P28" i="76" a="1"/>
  <c r="O28" i="76" a="1"/>
  <c r="N28" i="76" a="1"/>
  <c r="M28" i="76" a="1"/>
  <c r="L28" i="76" a="1"/>
  <c r="K28" i="76" a="1"/>
  <c r="J28" i="76" a="1"/>
  <c r="G28" i="76"/>
  <c r="AK27" i="76" a="1"/>
  <c r="AJ27" i="76" a="1"/>
  <c r="AI27" i="76" a="1"/>
  <c r="AH27" i="76" a="1"/>
  <c r="AG27" i="76" a="1"/>
  <c r="AF27" i="76" a="1"/>
  <c r="AE27" i="76" a="1"/>
  <c r="AD27" i="76" a="1"/>
  <c r="AC27" i="76" a="1"/>
  <c r="AB27" i="76" a="1"/>
  <c r="AA27" i="76" a="1"/>
  <c r="Z27" i="76" a="1"/>
  <c r="Y27" i="76" a="1"/>
  <c r="X27" i="76" a="1"/>
  <c r="W27" i="76" a="1"/>
  <c r="V27" i="76" a="1"/>
  <c r="U27" i="76" a="1"/>
  <c r="T27" i="76" a="1"/>
  <c r="S27" i="76" a="1"/>
  <c r="R27" i="76" a="1"/>
  <c r="Q27" i="76" a="1"/>
  <c r="P27" i="76" a="1"/>
  <c r="O27" i="76" a="1"/>
  <c r="N27" i="76" a="1"/>
  <c r="M27" i="76" a="1"/>
  <c r="L27" i="76" a="1"/>
  <c r="K27" i="76" a="1"/>
  <c r="J27" i="76" a="1"/>
  <c r="G27" i="76"/>
  <c r="AK26" i="76" a="1"/>
  <c r="AJ26" i="76" a="1"/>
  <c r="AI26" i="76" a="1"/>
  <c r="AH26" i="76" a="1"/>
  <c r="AG26" i="76" a="1"/>
  <c r="AF26" i="76" a="1"/>
  <c r="AE26" i="76" a="1"/>
  <c r="AD26" i="76" a="1"/>
  <c r="AC26" i="76" a="1"/>
  <c r="AB26" i="76" a="1"/>
  <c r="AA26" i="76" a="1"/>
  <c r="Z26" i="76" a="1"/>
  <c r="Y26" i="76" a="1"/>
  <c r="X26" i="76" a="1"/>
  <c r="W26" i="76" a="1"/>
  <c r="V26" i="76" a="1"/>
  <c r="U26" i="76" a="1"/>
  <c r="T26" i="76" a="1"/>
  <c r="S26" i="76" a="1"/>
  <c r="R26" i="76" a="1"/>
  <c r="Q26" i="76" a="1"/>
  <c r="P26" i="76" a="1"/>
  <c r="O26" i="76" a="1"/>
  <c r="N26" i="76" a="1"/>
  <c r="M26" i="76" a="1"/>
  <c r="L26" i="76" a="1"/>
  <c r="K26" i="76" a="1"/>
  <c r="J26" i="76" a="1"/>
  <c r="G26" i="76"/>
  <c r="AK25" i="76" a="1"/>
  <c r="AJ25" i="76" a="1"/>
  <c r="AI25" i="76" a="1"/>
  <c r="AH25" i="76" a="1"/>
  <c r="AG25" i="76" a="1"/>
  <c r="AF25" i="76" a="1"/>
  <c r="AE25" i="76" a="1"/>
  <c r="AD25" i="76" a="1"/>
  <c r="AC25" i="76" a="1"/>
  <c r="AB25" i="76" a="1"/>
  <c r="AA25" i="76" a="1"/>
  <c r="Z25" i="76" a="1"/>
  <c r="Y25" i="76" a="1"/>
  <c r="X25" i="76" a="1"/>
  <c r="W25" i="76" a="1"/>
  <c r="V25" i="76" a="1"/>
  <c r="U25" i="76" a="1"/>
  <c r="T25" i="76" a="1"/>
  <c r="S25" i="76" a="1"/>
  <c r="R25" i="76" a="1"/>
  <c r="Q25" i="76" a="1"/>
  <c r="P25" i="76" a="1"/>
  <c r="O25" i="76" a="1"/>
  <c r="N25" i="76" a="1"/>
  <c r="M25" i="76" a="1"/>
  <c r="L25" i="76" a="1"/>
  <c r="K25" i="76" a="1"/>
  <c r="J25" i="76" a="1"/>
  <c r="G25" i="76"/>
  <c r="AK24" i="76" a="1"/>
  <c r="AJ24" i="76" a="1"/>
  <c r="AI24" i="76" a="1"/>
  <c r="AH24" i="76" a="1"/>
  <c r="AG24" i="76" a="1"/>
  <c r="AF24" i="76" a="1"/>
  <c r="AE24" i="76" a="1"/>
  <c r="AD24" i="76" a="1"/>
  <c r="AC24" i="76" a="1"/>
  <c r="AB24" i="76" a="1"/>
  <c r="AA24" i="76" a="1"/>
  <c r="Z24" i="76" a="1"/>
  <c r="Y24" i="76" a="1"/>
  <c r="X24" i="76" a="1"/>
  <c r="W24" i="76" a="1"/>
  <c r="V24" i="76" a="1"/>
  <c r="U24" i="76" a="1"/>
  <c r="T24" i="76" a="1"/>
  <c r="S24" i="76" a="1"/>
  <c r="R24" i="76" a="1"/>
  <c r="Q24" i="76" a="1"/>
  <c r="P24" i="76" a="1"/>
  <c r="O24" i="76" a="1"/>
  <c r="N24" i="76" a="1"/>
  <c r="M24" i="76" a="1"/>
  <c r="L24" i="76" a="1"/>
  <c r="K24" i="76" a="1"/>
  <c r="J24" i="76" a="1"/>
  <c r="G24" i="76"/>
  <c r="AK23" i="76" a="1"/>
  <c r="AJ23" i="76" a="1"/>
  <c r="AI23" i="76" a="1"/>
  <c r="AH23" i="76" a="1"/>
  <c r="AG23" i="76" a="1"/>
  <c r="AF23" i="76" a="1"/>
  <c r="AE23" i="76" a="1"/>
  <c r="AD23" i="76" a="1"/>
  <c r="AC23" i="76" a="1"/>
  <c r="AB23" i="76" a="1"/>
  <c r="AA23" i="76" a="1"/>
  <c r="Z23" i="76" a="1"/>
  <c r="Y23" i="76" a="1"/>
  <c r="X23" i="76" a="1"/>
  <c r="W23" i="76" a="1"/>
  <c r="V23" i="76" a="1"/>
  <c r="U23" i="76" a="1"/>
  <c r="T23" i="76" a="1"/>
  <c r="S23" i="76" a="1"/>
  <c r="R23" i="76" a="1"/>
  <c r="Q23" i="76" a="1"/>
  <c r="P23" i="76" a="1"/>
  <c r="O23" i="76" a="1"/>
  <c r="N23" i="76" a="1"/>
  <c r="M23" i="76" a="1"/>
  <c r="L23" i="76" a="1"/>
  <c r="K23" i="76" a="1"/>
  <c r="J23" i="76" a="1"/>
  <c r="G23" i="76"/>
  <c r="AK22" i="76" a="1"/>
  <c r="AJ22" i="76" a="1"/>
  <c r="AI22" i="76" a="1"/>
  <c r="AH22" i="76" a="1"/>
  <c r="AG22" i="76" a="1"/>
  <c r="AF22" i="76" a="1"/>
  <c r="AE22" i="76" a="1"/>
  <c r="AD22" i="76" a="1"/>
  <c r="AC22" i="76" a="1"/>
  <c r="AB22" i="76" a="1"/>
  <c r="AA22" i="76" a="1"/>
  <c r="Z22" i="76" a="1"/>
  <c r="Y22" i="76" a="1"/>
  <c r="X22" i="76" a="1"/>
  <c r="W22" i="76" a="1"/>
  <c r="V22" i="76" a="1"/>
  <c r="U22" i="76" a="1"/>
  <c r="T22" i="76" a="1"/>
  <c r="S22" i="76" a="1"/>
  <c r="R22" i="76" a="1"/>
  <c r="Q22" i="76" a="1"/>
  <c r="P22" i="76" a="1"/>
  <c r="O22" i="76" a="1"/>
  <c r="N22" i="76" a="1"/>
  <c r="M22" i="76" a="1"/>
  <c r="L22" i="76" a="1"/>
  <c r="K22" i="76" a="1"/>
  <c r="J22" i="76" a="1"/>
  <c r="G22" i="76"/>
  <c r="AK21" i="76" a="1"/>
  <c r="AJ21" i="76" a="1"/>
  <c r="AI21" i="76" a="1"/>
  <c r="AH21" i="76" a="1"/>
  <c r="AG21" i="76" a="1"/>
  <c r="AF21" i="76" a="1"/>
  <c r="AE21" i="76" a="1"/>
  <c r="AD21" i="76" a="1"/>
  <c r="AC21" i="76" a="1"/>
  <c r="AB21" i="76" a="1"/>
  <c r="AA21" i="76" a="1"/>
  <c r="Z21" i="76" a="1"/>
  <c r="Y21" i="76" a="1"/>
  <c r="X21" i="76" a="1"/>
  <c r="W21" i="76" a="1"/>
  <c r="V21" i="76" a="1"/>
  <c r="U21" i="76" a="1"/>
  <c r="T21" i="76" a="1"/>
  <c r="S21" i="76" a="1"/>
  <c r="R21" i="76" a="1"/>
  <c r="Q21" i="76" a="1"/>
  <c r="P21" i="76" a="1"/>
  <c r="O21" i="76" a="1"/>
  <c r="N21" i="76" a="1"/>
  <c r="M21" i="76" a="1"/>
  <c r="L21" i="76" a="1"/>
  <c r="K21" i="76" a="1"/>
  <c r="J21" i="76" a="1"/>
  <c r="G21" i="76"/>
  <c r="AK20" i="76" a="1"/>
  <c r="AJ20" i="76" a="1"/>
  <c r="AI20" i="76" a="1"/>
  <c r="AH20" i="76" a="1"/>
  <c r="AG20" i="76" a="1"/>
  <c r="AF20" i="76" a="1"/>
  <c r="AE20" i="76" a="1"/>
  <c r="AD20" i="76" a="1"/>
  <c r="AC20" i="76" a="1"/>
  <c r="AB20" i="76" a="1"/>
  <c r="AA20" i="76" a="1"/>
  <c r="Z20" i="76" a="1"/>
  <c r="Y20" i="76" a="1"/>
  <c r="X20" i="76" a="1"/>
  <c r="W20" i="76" a="1"/>
  <c r="V20" i="76" a="1"/>
  <c r="U20" i="76" a="1"/>
  <c r="T20" i="76" a="1"/>
  <c r="S20" i="76" a="1"/>
  <c r="R20" i="76" a="1"/>
  <c r="Q20" i="76" a="1"/>
  <c r="P20" i="76" a="1"/>
  <c r="O20" i="76" a="1"/>
  <c r="N20" i="76" a="1"/>
  <c r="M20" i="76" a="1"/>
  <c r="L20" i="76" a="1"/>
  <c r="K20" i="76" a="1"/>
  <c r="J20" i="76" a="1"/>
  <c r="G20" i="76"/>
  <c r="AK19" i="76" a="1"/>
  <c r="AJ19" i="76" a="1"/>
  <c r="AI19" i="76" a="1"/>
  <c r="AH19" i="76" a="1"/>
  <c r="AG19" i="76" a="1"/>
  <c r="AF19" i="76" a="1"/>
  <c r="AE19" i="76" a="1"/>
  <c r="AD19" i="76" a="1"/>
  <c r="AC19" i="76" a="1"/>
  <c r="AB19" i="76" a="1"/>
  <c r="AA19" i="76" a="1"/>
  <c r="Z19" i="76" a="1"/>
  <c r="Y19" i="76" a="1"/>
  <c r="X19" i="76" a="1"/>
  <c r="W19" i="76" a="1"/>
  <c r="V19" i="76" a="1"/>
  <c r="U19" i="76" a="1"/>
  <c r="T19" i="76" a="1"/>
  <c r="S19" i="76" a="1"/>
  <c r="R19" i="76" a="1"/>
  <c r="Q19" i="76" a="1"/>
  <c r="P19" i="76" a="1"/>
  <c r="O19" i="76" a="1"/>
  <c r="N19" i="76" a="1"/>
  <c r="M19" i="76" a="1"/>
  <c r="L19" i="76" a="1"/>
  <c r="K19" i="76" a="1"/>
  <c r="J19" i="76" a="1"/>
  <c r="G19" i="76"/>
  <c r="AK18" i="76" a="1"/>
  <c r="AJ18" i="76" a="1"/>
  <c r="AI18" i="76" a="1"/>
  <c r="AH18" i="76" a="1"/>
  <c r="AG18" i="76" a="1"/>
  <c r="AF18" i="76" a="1"/>
  <c r="AE18" i="76" a="1"/>
  <c r="AD18" i="76" a="1"/>
  <c r="AC18" i="76" a="1"/>
  <c r="AB18" i="76" a="1"/>
  <c r="AA18" i="76" a="1"/>
  <c r="Z18" i="76" a="1"/>
  <c r="Y18" i="76" a="1"/>
  <c r="X18" i="76" a="1"/>
  <c r="W18" i="76" a="1"/>
  <c r="V18" i="76" a="1"/>
  <c r="U18" i="76" a="1"/>
  <c r="T18" i="76" a="1"/>
  <c r="S18" i="76" a="1"/>
  <c r="R18" i="76" a="1"/>
  <c r="Q18" i="76" a="1"/>
  <c r="P18" i="76" a="1"/>
  <c r="O18" i="76" a="1"/>
  <c r="N18" i="76" a="1"/>
  <c r="M18" i="76" a="1"/>
  <c r="L18" i="76" a="1"/>
  <c r="K18" i="76" a="1"/>
  <c r="J18" i="76" a="1"/>
  <c r="G18" i="76"/>
  <c r="AK17" i="76" a="1"/>
  <c r="AJ17" i="76" a="1"/>
  <c r="AI17" i="76" a="1"/>
  <c r="AH17" i="76" a="1"/>
  <c r="AG17" i="76" a="1"/>
  <c r="AF17" i="76" a="1"/>
  <c r="AE17" i="76" a="1"/>
  <c r="AD17" i="76" a="1"/>
  <c r="AC17" i="76" a="1"/>
  <c r="AB17" i="76" a="1"/>
  <c r="AA17" i="76" a="1"/>
  <c r="Z17" i="76" a="1"/>
  <c r="Y17" i="76" a="1"/>
  <c r="X17" i="76" a="1"/>
  <c r="W17" i="76" a="1"/>
  <c r="V17" i="76" a="1"/>
  <c r="U17" i="76" a="1"/>
  <c r="T17" i="76" a="1"/>
  <c r="S17" i="76" a="1"/>
  <c r="R17" i="76" a="1"/>
  <c r="Q17" i="76" a="1"/>
  <c r="P17" i="76" a="1"/>
  <c r="O17" i="76" a="1"/>
  <c r="N17" i="76" a="1"/>
  <c r="M17" i="76" a="1"/>
  <c r="L17" i="76" a="1"/>
  <c r="K17" i="76" a="1"/>
  <c r="J17" i="76" a="1"/>
  <c r="G17" i="76"/>
  <c r="AK16" i="76" a="1"/>
  <c r="AJ16" i="76" a="1"/>
  <c r="AI16" i="76" a="1"/>
  <c r="AH16" i="76" a="1"/>
  <c r="AG16" i="76" a="1"/>
  <c r="AF16" i="76" a="1"/>
  <c r="AE16" i="76" a="1"/>
  <c r="AD16" i="76" a="1"/>
  <c r="AC16" i="76" a="1"/>
  <c r="AB16" i="76" a="1"/>
  <c r="AA16" i="76" a="1"/>
  <c r="Z16" i="76" a="1"/>
  <c r="Y16" i="76" a="1"/>
  <c r="X16" i="76" a="1"/>
  <c r="W16" i="76" a="1"/>
  <c r="V16" i="76" a="1"/>
  <c r="U16" i="76" a="1"/>
  <c r="T16" i="76" a="1"/>
  <c r="S16" i="76" a="1"/>
  <c r="R16" i="76" a="1"/>
  <c r="Q16" i="76" a="1"/>
  <c r="P16" i="76" a="1"/>
  <c r="O16" i="76" a="1"/>
  <c r="N16" i="76" a="1"/>
  <c r="M16" i="76" a="1"/>
  <c r="L16" i="76" a="1"/>
  <c r="K16" i="76" a="1"/>
  <c r="J16" i="76" a="1"/>
  <c r="G16" i="76"/>
  <c r="AK15" i="76" a="1"/>
  <c r="AJ15" i="76" a="1"/>
  <c r="AI15" i="76" a="1"/>
  <c r="AH15" i="76" a="1"/>
  <c r="AG15" i="76" a="1"/>
  <c r="AF15" i="76" a="1"/>
  <c r="AE15" i="76" a="1"/>
  <c r="AD15" i="76" a="1"/>
  <c r="AC15" i="76" a="1"/>
  <c r="AB15" i="76" a="1"/>
  <c r="AA15" i="76" a="1"/>
  <c r="Z15" i="76" a="1"/>
  <c r="Y15" i="76" a="1"/>
  <c r="X15" i="76" a="1"/>
  <c r="W15" i="76" a="1"/>
  <c r="V15" i="76" a="1"/>
  <c r="U15" i="76" a="1"/>
  <c r="T15" i="76" a="1"/>
  <c r="S15" i="76" a="1"/>
  <c r="R15" i="76" a="1"/>
  <c r="Q15" i="76" a="1"/>
  <c r="P15" i="76" a="1"/>
  <c r="O15" i="76" a="1"/>
  <c r="N15" i="76" a="1"/>
  <c r="M15" i="76" a="1"/>
  <c r="L15" i="76" a="1"/>
  <c r="K15" i="76" a="1"/>
  <c r="J15" i="76" a="1"/>
  <c r="G15" i="76"/>
  <c r="AK14" i="76" a="1"/>
  <c r="AJ14" i="76" a="1"/>
  <c r="AI14" i="76" a="1"/>
  <c r="AH14" i="76" a="1"/>
  <c r="AG14" i="76" a="1"/>
  <c r="AF14" i="76" a="1"/>
  <c r="AE14" i="76" a="1"/>
  <c r="AD14" i="76" a="1"/>
  <c r="AC14" i="76" a="1"/>
  <c r="AB14" i="76" a="1"/>
  <c r="AA14" i="76" a="1"/>
  <c r="Z14" i="76" a="1"/>
  <c r="Y14" i="76" a="1"/>
  <c r="X14" i="76" a="1"/>
  <c r="W14" i="76" a="1"/>
  <c r="V14" i="76" a="1"/>
  <c r="U14" i="76" a="1"/>
  <c r="T14" i="76" a="1"/>
  <c r="S14" i="76" a="1"/>
  <c r="R14" i="76" a="1"/>
  <c r="Q14" i="76" a="1"/>
  <c r="P14" i="76" a="1"/>
  <c r="O14" i="76" a="1"/>
  <c r="N14" i="76" a="1"/>
  <c r="M14" i="76" a="1"/>
  <c r="L14" i="76" a="1"/>
  <c r="K14" i="76" a="1"/>
  <c r="J14" i="76" a="1"/>
  <c r="G14" i="76"/>
  <c r="AK13" i="76" a="1"/>
  <c r="AJ13" i="76" a="1"/>
  <c r="AI13" i="76" a="1"/>
  <c r="AH13" i="76" a="1"/>
  <c r="AG13" i="76" a="1"/>
  <c r="AF13" i="76" a="1"/>
  <c r="AE13" i="76" a="1"/>
  <c r="AD13" i="76" a="1"/>
  <c r="AC13" i="76" a="1"/>
  <c r="AB13" i="76" a="1"/>
  <c r="AA13" i="76" a="1"/>
  <c r="Z13" i="76" a="1"/>
  <c r="Y13" i="76" a="1"/>
  <c r="X13" i="76" a="1"/>
  <c r="W13" i="76" a="1"/>
  <c r="V13" i="76" a="1"/>
  <c r="U13" i="76" a="1"/>
  <c r="T13" i="76" a="1"/>
  <c r="S13" i="76" a="1"/>
  <c r="R13" i="76" a="1"/>
  <c r="Q13" i="76" a="1"/>
  <c r="P13" i="76" a="1"/>
  <c r="O13" i="76" a="1"/>
  <c r="N13" i="76" a="1"/>
  <c r="M13" i="76" a="1"/>
  <c r="L13" i="76" a="1"/>
  <c r="K13" i="76" a="1"/>
  <c r="J13" i="76" a="1"/>
  <c r="G13" i="76"/>
  <c r="AK12" i="76" a="1"/>
  <c r="AJ12" i="76" a="1"/>
  <c r="AI12" i="76" a="1"/>
  <c r="AH12" i="76" a="1"/>
  <c r="AG12" i="76" a="1"/>
  <c r="AF12" i="76" a="1"/>
  <c r="AE12" i="76" a="1"/>
  <c r="AD12" i="76" a="1"/>
  <c r="AC12" i="76" a="1"/>
  <c r="AB12" i="76" a="1"/>
  <c r="AA12" i="76" a="1"/>
  <c r="Z12" i="76" a="1"/>
  <c r="Y12" i="76" a="1"/>
  <c r="X12" i="76" a="1"/>
  <c r="W12" i="76" a="1"/>
  <c r="V12" i="76" a="1"/>
  <c r="U12" i="76" a="1"/>
  <c r="T12" i="76" a="1"/>
  <c r="S12" i="76" a="1"/>
  <c r="R12" i="76" a="1"/>
  <c r="Q12" i="76" a="1"/>
  <c r="P12" i="76" a="1"/>
  <c r="O12" i="76" a="1"/>
  <c r="N12" i="76" a="1"/>
  <c r="M12" i="76" a="1"/>
  <c r="L12" i="76" a="1"/>
  <c r="K12" i="76" a="1"/>
  <c r="J12" i="76" a="1"/>
  <c r="G12" i="76"/>
  <c r="AK11" i="76" a="1"/>
  <c r="AJ11" i="76" a="1"/>
  <c r="AI11" i="76" a="1"/>
  <c r="AH11" i="76" a="1"/>
  <c r="AG11" i="76" a="1"/>
  <c r="AF11" i="76" a="1"/>
  <c r="AE11" i="76" a="1"/>
  <c r="AD11" i="76" a="1"/>
  <c r="AC11" i="76" a="1"/>
  <c r="AB11" i="76" a="1"/>
  <c r="AA11" i="76" a="1"/>
  <c r="Z11" i="76" a="1"/>
  <c r="Y11" i="76" a="1"/>
  <c r="X11" i="76" a="1"/>
  <c r="W11" i="76" a="1"/>
  <c r="V11" i="76" a="1"/>
  <c r="U11" i="76" a="1"/>
  <c r="T11" i="76" a="1"/>
  <c r="S11" i="76" a="1"/>
  <c r="R11" i="76" a="1"/>
  <c r="Q11" i="76" a="1"/>
  <c r="P11" i="76" a="1"/>
  <c r="O11" i="76" a="1"/>
  <c r="N11" i="76" a="1"/>
  <c r="M11" i="76" a="1"/>
  <c r="L11" i="76" a="1"/>
  <c r="K11" i="76" a="1"/>
  <c r="J11" i="76" a="1"/>
  <c r="G11" i="76"/>
  <c r="AK10" i="76" a="1"/>
  <c r="AJ10" i="76" a="1"/>
  <c r="AI10" i="76" a="1"/>
  <c r="AH10" i="76" a="1"/>
  <c r="AG10" i="76" a="1"/>
  <c r="AF10" i="76" a="1"/>
  <c r="AE10" i="76" a="1"/>
  <c r="AD10" i="76" a="1"/>
  <c r="AC10" i="76" a="1"/>
  <c r="AB10" i="76" a="1"/>
  <c r="AA10" i="76" a="1"/>
  <c r="Z10" i="76" a="1"/>
  <c r="Y10" i="76" a="1"/>
  <c r="X10" i="76" a="1"/>
  <c r="W10" i="76" a="1"/>
  <c r="V10" i="76" a="1"/>
  <c r="U10" i="76" a="1"/>
  <c r="T10" i="76" a="1"/>
  <c r="S10" i="76" a="1"/>
  <c r="R10" i="76" a="1"/>
  <c r="Q10" i="76" a="1"/>
  <c r="P10" i="76" a="1"/>
  <c r="O10" i="76" a="1"/>
  <c r="N10" i="76" a="1"/>
  <c r="M10" i="76" a="1"/>
  <c r="L10" i="76" a="1"/>
  <c r="K10" i="76" a="1"/>
  <c r="J10" i="76" a="1"/>
  <c r="G10" i="76"/>
  <c r="AK9" i="76" a="1"/>
  <c r="AJ9" i="76" a="1"/>
  <c r="AI9" i="76" a="1"/>
  <c r="AH9" i="76" a="1"/>
  <c r="AG9" i="76" a="1"/>
  <c r="AF9" i="76" a="1"/>
  <c r="AE9" i="76" a="1"/>
  <c r="AD9" i="76" a="1"/>
  <c r="AC9" i="76" a="1"/>
  <c r="AB9" i="76" a="1"/>
  <c r="AA9" i="76" a="1"/>
  <c r="Z9" i="76" a="1"/>
  <c r="Y9" i="76" a="1"/>
  <c r="X9" i="76" a="1"/>
  <c r="W9" i="76" a="1"/>
  <c r="V9" i="76" a="1"/>
  <c r="U9" i="76" a="1"/>
  <c r="T9" i="76" a="1"/>
  <c r="S9" i="76" a="1"/>
  <c r="R9" i="76" a="1"/>
  <c r="Q9" i="76" a="1"/>
  <c r="P9" i="76" a="1"/>
  <c r="O9" i="76" a="1"/>
  <c r="N9" i="76" a="1"/>
  <c r="M9" i="76" a="1"/>
  <c r="L9" i="76" a="1"/>
  <c r="K9" i="76" a="1"/>
  <c r="J9" i="76" a="1"/>
  <c r="G9" i="76"/>
  <c r="AK8" i="76" a="1"/>
  <c r="AJ8" i="76" a="1"/>
  <c r="AI8" i="76" a="1"/>
  <c r="AH8" i="76" a="1"/>
  <c r="AG8" i="76" a="1"/>
  <c r="AF8" i="76" a="1"/>
  <c r="AE8" i="76" a="1"/>
  <c r="AD8" i="76" a="1"/>
  <c r="AC8" i="76" a="1"/>
  <c r="AB8" i="76" a="1"/>
  <c r="AA8" i="76" a="1"/>
  <c r="Z8" i="76" a="1"/>
  <c r="Y8" i="76" a="1"/>
  <c r="X8" i="76" a="1"/>
  <c r="W8" i="76" a="1"/>
  <c r="V8" i="76" a="1"/>
  <c r="U8" i="76" a="1"/>
  <c r="T8" i="76" a="1"/>
  <c r="S8" i="76" a="1"/>
  <c r="R8" i="76" a="1"/>
  <c r="Q8" i="76" a="1"/>
  <c r="P8" i="76" a="1"/>
  <c r="O8" i="76" a="1"/>
  <c r="N8" i="76" a="1"/>
  <c r="M8" i="76" a="1"/>
  <c r="L8" i="76" a="1"/>
  <c r="K8" i="76" a="1"/>
  <c r="J8" i="76" a="1"/>
  <c r="G8" i="76"/>
  <c r="AK7" i="76" a="1"/>
  <c r="AJ7" i="76" a="1"/>
  <c r="AI7" i="76" a="1"/>
  <c r="AH7" i="76" a="1"/>
  <c r="AG7" i="76" a="1"/>
  <c r="AF7" i="76" a="1"/>
  <c r="AE7" i="76" a="1"/>
  <c r="AD7" i="76" a="1"/>
  <c r="AC7" i="76" a="1"/>
  <c r="AB7" i="76" a="1"/>
  <c r="AA7" i="76" a="1"/>
  <c r="Z7" i="76" a="1"/>
  <c r="Y7" i="76" a="1"/>
  <c r="X7" i="76" a="1"/>
  <c r="W7" i="76" a="1"/>
  <c r="V7" i="76" a="1"/>
  <c r="U7" i="76" a="1"/>
  <c r="T7" i="76" a="1"/>
  <c r="S7" i="76" a="1"/>
  <c r="R7" i="76" a="1"/>
  <c r="Q7" i="76" a="1"/>
  <c r="P7" i="76" a="1"/>
  <c r="O7" i="76" a="1"/>
  <c r="N7" i="76" a="1"/>
  <c r="M7" i="76" a="1"/>
  <c r="L7" i="76" a="1"/>
  <c r="K7" i="76" a="1"/>
  <c r="J7" i="76" a="1"/>
  <c r="G7" i="76"/>
  <c r="AK6" i="76" a="1"/>
  <c r="AJ6" i="76" a="1"/>
  <c r="AI6" i="76" a="1"/>
  <c r="AH6" i="76" a="1"/>
  <c r="AG6" i="76" a="1"/>
  <c r="AF6" i="76" a="1"/>
  <c r="AE6" i="76" a="1"/>
  <c r="AD6" i="76" a="1"/>
  <c r="AC6" i="76" a="1"/>
  <c r="AB6" i="76" a="1"/>
  <c r="AA6" i="76" a="1"/>
  <c r="Z6" i="76" a="1"/>
  <c r="Y6" i="76" a="1"/>
  <c r="X6" i="76" a="1"/>
  <c r="W6" i="76" a="1"/>
  <c r="V6" i="76" a="1"/>
  <c r="U6" i="76" a="1"/>
  <c r="T6" i="76" a="1"/>
  <c r="S6" i="76" a="1"/>
  <c r="R6" i="76" a="1"/>
  <c r="Q6" i="76" a="1"/>
  <c r="P6" i="76" a="1"/>
  <c r="O6" i="76" a="1"/>
  <c r="N6" i="76" a="1"/>
  <c r="M6" i="76" a="1"/>
  <c r="L6" i="76" a="1"/>
  <c r="K6" i="76" a="1"/>
  <c r="J6" i="76" a="1"/>
  <c r="G6" i="76"/>
  <c r="AK5" i="76" a="1"/>
  <c r="AJ5" i="76" a="1"/>
  <c r="AI5" i="76" a="1"/>
  <c r="AH5" i="76" a="1"/>
  <c r="AG5" i="76" a="1"/>
  <c r="AF5" i="76" a="1"/>
  <c r="AE5" i="76" a="1"/>
  <c r="AD5" i="76" a="1"/>
  <c r="AC5" i="76" a="1"/>
  <c r="AB5" i="76" a="1"/>
  <c r="AA5" i="76" a="1"/>
  <c r="Z5" i="76" a="1"/>
  <c r="Y5" i="76" a="1"/>
  <c r="X5" i="76" a="1"/>
  <c r="W5" i="76" a="1"/>
  <c r="V5" i="76" a="1"/>
  <c r="U5" i="76" a="1"/>
  <c r="T5" i="76" a="1"/>
  <c r="S5" i="76" a="1"/>
  <c r="R5" i="76" a="1"/>
  <c r="Q5" i="76" a="1"/>
  <c r="P5" i="76" a="1"/>
  <c r="O5" i="76" a="1"/>
  <c r="N5" i="76" a="1"/>
  <c r="M5" i="76" a="1"/>
  <c r="L5" i="76" a="1"/>
  <c r="K5" i="76" a="1"/>
  <c r="J5" i="76" a="1"/>
  <c r="G5" i="76"/>
  <c r="AK4" i="76" a="1"/>
  <c r="AJ4" i="76" a="1"/>
  <c r="AI4" i="76" a="1"/>
  <c r="AH4" i="76" a="1"/>
  <c r="AG4" i="76" a="1"/>
  <c r="AF4" i="76" a="1"/>
  <c r="AE4" i="76" a="1"/>
  <c r="AD4" i="76" a="1"/>
  <c r="AC4" i="76" a="1"/>
  <c r="AB4" i="76" a="1"/>
  <c r="AA4" i="76" a="1"/>
  <c r="Z4" i="76" a="1"/>
  <c r="Y4" i="76" a="1"/>
  <c r="X4" i="76" a="1"/>
  <c r="W4" i="76" a="1"/>
  <c r="V4" i="76" a="1"/>
  <c r="U4" i="76" a="1"/>
  <c r="T4" i="76" a="1"/>
  <c r="S4" i="76" a="1"/>
  <c r="R4" i="76" a="1"/>
  <c r="Q4" i="76" a="1"/>
  <c r="P4" i="76" a="1"/>
  <c r="O4" i="76" a="1"/>
  <c r="N4" i="76" a="1"/>
  <c r="M4" i="76" a="1"/>
  <c r="L4" i="76" a="1"/>
  <c r="K4" i="76" a="1"/>
  <c r="J4" i="76" a="1"/>
  <c r="G4" i="76"/>
  <c r="AK3" i="76" a="1"/>
  <c r="AJ3" i="76" a="1"/>
  <c r="AI3" i="76" a="1"/>
  <c r="AH3" i="76" a="1"/>
  <c r="AG3" i="76" a="1"/>
  <c r="AF3" i="76" a="1"/>
  <c r="AE3" i="76" a="1"/>
  <c r="AD3" i="76" a="1"/>
  <c r="AC3" i="76" a="1"/>
  <c r="AB3" i="76" a="1"/>
  <c r="AA3" i="76" a="1"/>
  <c r="Z3" i="76" a="1"/>
  <c r="Y3" i="76" a="1"/>
  <c r="X3" i="76" a="1"/>
  <c r="W3" i="76" a="1"/>
  <c r="V3" i="76" a="1"/>
  <c r="U3" i="76" a="1"/>
  <c r="T3" i="76" a="1"/>
  <c r="S3" i="76" a="1"/>
  <c r="R3" i="76" a="1"/>
  <c r="Q3" i="76" a="1"/>
  <c r="P3" i="76" a="1"/>
  <c r="O3" i="76" a="1"/>
  <c r="N3" i="76" a="1"/>
  <c r="M3" i="76" a="1"/>
  <c r="L3" i="76" a="1"/>
  <c r="K3" i="76" a="1"/>
  <c r="J3" i="76" a="1"/>
  <c r="G3" i="76"/>
  <c r="AS33" i="75"/>
  <c r="AK32" i="75" a="1"/>
  <c r="AJ32" i="75" a="1"/>
  <c r="AI32" i="75" a="1"/>
  <c r="AH32" i="75" a="1"/>
  <c r="AG32" i="75" a="1"/>
  <c r="AF32" i="75" a="1"/>
  <c r="AE32" i="75" a="1"/>
  <c r="AD32" i="75" a="1"/>
  <c r="AC32" i="75" a="1"/>
  <c r="AB32" i="75" a="1"/>
  <c r="AA32" i="75" a="1"/>
  <c r="Z32" i="75" a="1"/>
  <c r="Y32" i="75" a="1"/>
  <c r="X32" i="75" a="1"/>
  <c r="W32" i="75" a="1"/>
  <c r="V32" i="75" a="1"/>
  <c r="U32" i="75" a="1"/>
  <c r="T32" i="75" a="1"/>
  <c r="S32" i="75" a="1"/>
  <c r="R32" i="75" a="1"/>
  <c r="Q32" i="75" a="1"/>
  <c r="P32" i="75" a="1"/>
  <c r="O32" i="75" a="1"/>
  <c r="N32" i="75" a="1"/>
  <c r="M32" i="75" a="1"/>
  <c r="L32" i="75" a="1"/>
  <c r="K32" i="75" a="1"/>
  <c r="J32" i="75" a="1"/>
  <c r="G32" i="75"/>
  <c r="AK31" i="75" a="1"/>
  <c r="AJ31" i="75" a="1"/>
  <c r="AI31" i="75" a="1"/>
  <c r="AH31" i="75" a="1"/>
  <c r="AG31" i="75" a="1"/>
  <c r="AF31" i="75" a="1"/>
  <c r="AE31" i="75" a="1"/>
  <c r="AD31" i="75" a="1"/>
  <c r="AC31" i="75" a="1"/>
  <c r="AB31" i="75" a="1"/>
  <c r="AA31" i="75" a="1"/>
  <c r="Z31" i="75" a="1"/>
  <c r="Y31" i="75" a="1"/>
  <c r="X31" i="75" a="1"/>
  <c r="W31" i="75" a="1"/>
  <c r="V31" i="75" a="1"/>
  <c r="U31" i="75" a="1"/>
  <c r="T31" i="75" a="1"/>
  <c r="S31" i="75" a="1"/>
  <c r="R31" i="75" a="1"/>
  <c r="Q31" i="75" a="1"/>
  <c r="P31" i="75" a="1"/>
  <c r="O31" i="75" a="1"/>
  <c r="N31" i="75" a="1"/>
  <c r="M31" i="75" a="1"/>
  <c r="L31" i="75" a="1"/>
  <c r="K31" i="75" a="1"/>
  <c r="J31" i="75" a="1"/>
  <c r="G31" i="75"/>
  <c r="AK30" i="75" a="1"/>
  <c r="AJ30" i="75" a="1"/>
  <c r="AI30" i="75" a="1"/>
  <c r="AH30" i="75" a="1"/>
  <c r="AG30" i="75" a="1"/>
  <c r="AF30" i="75" a="1"/>
  <c r="AE30" i="75" a="1"/>
  <c r="AD30" i="75" a="1"/>
  <c r="AC30" i="75" a="1"/>
  <c r="AB30" i="75" a="1"/>
  <c r="AA30" i="75" a="1"/>
  <c r="Z30" i="75" a="1"/>
  <c r="Y30" i="75" a="1"/>
  <c r="X30" i="75" a="1"/>
  <c r="W30" i="75" a="1"/>
  <c r="V30" i="75" a="1"/>
  <c r="U30" i="75" a="1"/>
  <c r="T30" i="75" a="1"/>
  <c r="S30" i="75" a="1"/>
  <c r="R30" i="75" a="1"/>
  <c r="Q30" i="75" a="1"/>
  <c r="P30" i="75" a="1"/>
  <c r="O30" i="75" a="1"/>
  <c r="N30" i="75" a="1"/>
  <c r="M30" i="75" a="1"/>
  <c r="L30" i="75" a="1"/>
  <c r="K30" i="75" a="1"/>
  <c r="J30" i="75" a="1"/>
  <c r="G30" i="75"/>
  <c r="AK29" i="75" a="1"/>
  <c r="AJ29" i="75" a="1"/>
  <c r="AI29" i="75" a="1"/>
  <c r="AH29" i="75" a="1"/>
  <c r="AG29" i="75" a="1"/>
  <c r="AF29" i="75" a="1"/>
  <c r="AE29" i="75" a="1"/>
  <c r="AD29" i="75" a="1"/>
  <c r="AC29" i="75" a="1"/>
  <c r="AB29" i="75" a="1"/>
  <c r="AA29" i="75" a="1"/>
  <c r="Z29" i="75" a="1"/>
  <c r="Y29" i="75" a="1"/>
  <c r="X29" i="75" a="1"/>
  <c r="W29" i="75" a="1"/>
  <c r="V29" i="75" a="1"/>
  <c r="U29" i="75" a="1"/>
  <c r="T29" i="75" a="1"/>
  <c r="S29" i="75" a="1"/>
  <c r="R29" i="75" a="1"/>
  <c r="Q29" i="75" a="1"/>
  <c r="P29" i="75" a="1"/>
  <c r="O29" i="75" a="1"/>
  <c r="N29" i="75" a="1"/>
  <c r="M29" i="75" a="1"/>
  <c r="L29" i="75" a="1"/>
  <c r="K29" i="75" a="1"/>
  <c r="J29" i="75" a="1"/>
  <c r="G29" i="75"/>
  <c r="AK28" i="75" a="1"/>
  <c r="AJ28" i="75" a="1"/>
  <c r="AI28" i="75" a="1"/>
  <c r="AH28" i="75" a="1"/>
  <c r="AG28" i="75" a="1"/>
  <c r="AF28" i="75" a="1"/>
  <c r="AE28" i="75" a="1"/>
  <c r="AD28" i="75" a="1"/>
  <c r="AC28" i="75" a="1"/>
  <c r="AB28" i="75" a="1"/>
  <c r="AA28" i="75" a="1"/>
  <c r="Z28" i="75" a="1"/>
  <c r="Y28" i="75" a="1"/>
  <c r="X28" i="75" a="1"/>
  <c r="W28" i="75" a="1"/>
  <c r="V28" i="75" a="1"/>
  <c r="U28" i="75" a="1"/>
  <c r="T28" i="75" a="1"/>
  <c r="S28" i="75" a="1"/>
  <c r="R28" i="75" a="1"/>
  <c r="Q28" i="75" a="1"/>
  <c r="P28" i="75" a="1"/>
  <c r="O28" i="75" a="1"/>
  <c r="N28" i="75" a="1"/>
  <c r="M28" i="75" a="1"/>
  <c r="L28" i="75" a="1"/>
  <c r="K28" i="75" a="1"/>
  <c r="J28" i="75" a="1"/>
  <c r="G28" i="75"/>
  <c r="AK27" i="75" a="1"/>
  <c r="AJ27" i="75" a="1"/>
  <c r="AI27" i="75" a="1"/>
  <c r="AH27" i="75" a="1"/>
  <c r="AG27" i="75" a="1"/>
  <c r="AF27" i="75" a="1"/>
  <c r="AE27" i="75" a="1"/>
  <c r="AD27" i="75" a="1"/>
  <c r="AC27" i="75" a="1"/>
  <c r="AB27" i="75" a="1"/>
  <c r="AA27" i="75" a="1"/>
  <c r="Z27" i="75" a="1"/>
  <c r="Y27" i="75" a="1"/>
  <c r="X27" i="75" a="1"/>
  <c r="W27" i="75" a="1"/>
  <c r="V27" i="75" a="1"/>
  <c r="U27" i="75" a="1"/>
  <c r="T27" i="75" a="1"/>
  <c r="S27" i="75" a="1"/>
  <c r="R27" i="75" a="1"/>
  <c r="Q27" i="75" a="1"/>
  <c r="P27" i="75" a="1"/>
  <c r="O27" i="75" a="1"/>
  <c r="N27" i="75" a="1"/>
  <c r="M27" i="75" a="1"/>
  <c r="L27" i="75" a="1"/>
  <c r="K27" i="75" a="1"/>
  <c r="J27" i="75" a="1"/>
  <c r="G27" i="75"/>
  <c r="AK26" i="75" a="1"/>
  <c r="AJ26" i="75" a="1"/>
  <c r="AI26" i="75" a="1"/>
  <c r="AH26" i="75" a="1"/>
  <c r="AG26" i="75" a="1"/>
  <c r="AF26" i="75" a="1"/>
  <c r="AE26" i="75" a="1"/>
  <c r="AD26" i="75" a="1"/>
  <c r="AC26" i="75" a="1"/>
  <c r="AB26" i="75" a="1"/>
  <c r="AA26" i="75" a="1"/>
  <c r="Z26" i="75" a="1"/>
  <c r="Y26" i="75" a="1"/>
  <c r="X26" i="75" a="1"/>
  <c r="W26" i="75" a="1"/>
  <c r="V26" i="75" a="1"/>
  <c r="U26" i="75" a="1"/>
  <c r="T26" i="75" a="1"/>
  <c r="S26" i="75" a="1"/>
  <c r="R26" i="75" a="1"/>
  <c r="Q26" i="75" a="1"/>
  <c r="P26" i="75" a="1"/>
  <c r="O26" i="75" a="1"/>
  <c r="N26" i="75" a="1"/>
  <c r="M26" i="75" a="1"/>
  <c r="L26" i="75" a="1"/>
  <c r="K26" i="75" a="1"/>
  <c r="J26" i="75" a="1"/>
  <c r="G26" i="75"/>
  <c r="AK25" i="75" a="1"/>
  <c r="AJ25" i="75" a="1"/>
  <c r="AI25" i="75" a="1"/>
  <c r="AH25" i="75" a="1"/>
  <c r="AG25" i="75" a="1"/>
  <c r="AF25" i="75" a="1"/>
  <c r="AE25" i="75" a="1"/>
  <c r="AD25" i="75" a="1"/>
  <c r="AC25" i="75" a="1"/>
  <c r="AB25" i="75" a="1"/>
  <c r="AA25" i="75" a="1"/>
  <c r="Z25" i="75" a="1"/>
  <c r="Y25" i="75" a="1"/>
  <c r="X25" i="75" a="1"/>
  <c r="W25" i="75" a="1"/>
  <c r="V25" i="75" a="1"/>
  <c r="U25" i="75" a="1"/>
  <c r="T25" i="75" a="1"/>
  <c r="S25" i="75" a="1"/>
  <c r="R25" i="75" a="1"/>
  <c r="Q25" i="75" a="1"/>
  <c r="P25" i="75" a="1"/>
  <c r="O25" i="75" a="1"/>
  <c r="N25" i="75" a="1"/>
  <c r="M25" i="75" a="1"/>
  <c r="L25" i="75" a="1"/>
  <c r="K25" i="75" a="1"/>
  <c r="J25" i="75" a="1"/>
  <c r="G25" i="75"/>
  <c r="AK24" i="75" a="1"/>
  <c r="AJ24" i="75" a="1"/>
  <c r="AI24" i="75" a="1"/>
  <c r="AH24" i="75" a="1"/>
  <c r="AG24" i="75" a="1"/>
  <c r="AF24" i="75" a="1"/>
  <c r="AE24" i="75" a="1"/>
  <c r="AD24" i="75" a="1"/>
  <c r="AC24" i="75" a="1"/>
  <c r="AB24" i="75" a="1"/>
  <c r="AA24" i="75" a="1"/>
  <c r="Z24" i="75" a="1"/>
  <c r="Y24" i="75" a="1"/>
  <c r="X24" i="75" a="1"/>
  <c r="W24" i="75" a="1"/>
  <c r="V24" i="75" a="1"/>
  <c r="U24" i="75" a="1"/>
  <c r="T24" i="75" a="1"/>
  <c r="S24" i="75" a="1"/>
  <c r="R24" i="75" a="1"/>
  <c r="Q24" i="75" a="1"/>
  <c r="P24" i="75" a="1"/>
  <c r="O24" i="75" a="1"/>
  <c r="N24" i="75" a="1"/>
  <c r="M24" i="75" a="1"/>
  <c r="L24" i="75" a="1"/>
  <c r="K24" i="75" a="1"/>
  <c r="J24" i="75" a="1"/>
  <c r="G24" i="75"/>
  <c r="AK23" i="75" a="1"/>
  <c r="AJ23" i="75" a="1"/>
  <c r="AI23" i="75" a="1"/>
  <c r="AH23" i="75" a="1"/>
  <c r="AG23" i="75" a="1"/>
  <c r="AF23" i="75" a="1"/>
  <c r="AE23" i="75" a="1"/>
  <c r="AD23" i="75" a="1"/>
  <c r="AC23" i="75" a="1"/>
  <c r="AB23" i="75" a="1"/>
  <c r="AA23" i="75" a="1"/>
  <c r="Z23" i="75" a="1"/>
  <c r="Y23" i="75" a="1"/>
  <c r="X23" i="75" a="1"/>
  <c r="W23" i="75" a="1"/>
  <c r="V23" i="75" a="1"/>
  <c r="U23" i="75" a="1"/>
  <c r="T23" i="75" a="1"/>
  <c r="S23" i="75" a="1"/>
  <c r="R23" i="75" a="1"/>
  <c r="Q23" i="75" a="1"/>
  <c r="P23" i="75" a="1"/>
  <c r="O23" i="75" a="1"/>
  <c r="N23" i="75" a="1"/>
  <c r="M23" i="75" a="1"/>
  <c r="L23" i="75" a="1"/>
  <c r="K23" i="75" a="1"/>
  <c r="J23" i="75" a="1"/>
  <c r="G23" i="75"/>
  <c r="AK22" i="75" a="1"/>
  <c r="AJ22" i="75" a="1"/>
  <c r="AI22" i="75" a="1"/>
  <c r="AH22" i="75" a="1"/>
  <c r="AG22" i="75" a="1"/>
  <c r="AF22" i="75" a="1"/>
  <c r="AE22" i="75" a="1"/>
  <c r="AD22" i="75" a="1"/>
  <c r="AC22" i="75" a="1"/>
  <c r="AB22" i="75" a="1"/>
  <c r="AA22" i="75" a="1"/>
  <c r="Z22" i="75" a="1"/>
  <c r="Y22" i="75" a="1"/>
  <c r="X22" i="75" a="1"/>
  <c r="W22" i="75" a="1"/>
  <c r="V22" i="75" a="1"/>
  <c r="U22" i="75" a="1"/>
  <c r="T22" i="75" a="1"/>
  <c r="S22" i="75" a="1"/>
  <c r="R22" i="75" a="1"/>
  <c r="Q22" i="75" a="1"/>
  <c r="P22" i="75" a="1"/>
  <c r="O22" i="75" a="1"/>
  <c r="N22" i="75" a="1"/>
  <c r="M22" i="75" a="1"/>
  <c r="L22" i="75" a="1"/>
  <c r="K22" i="75" a="1"/>
  <c r="J22" i="75" a="1"/>
  <c r="G22" i="75"/>
  <c r="AK21" i="75" a="1"/>
  <c r="AJ21" i="75" a="1"/>
  <c r="AI21" i="75" a="1"/>
  <c r="AH21" i="75" a="1"/>
  <c r="AG21" i="75" a="1"/>
  <c r="AF21" i="75" a="1"/>
  <c r="AE21" i="75" a="1"/>
  <c r="AD21" i="75" a="1"/>
  <c r="AC21" i="75" a="1"/>
  <c r="AB21" i="75" a="1"/>
  <c r="AA21" i="75" a="1"/>
  <c r="Z21" i="75" a="1"/>
  <c r="Y21" i="75" a="1"/>
  <c r="X21" i="75" a="1"/>
  <c r="W21" i="75" a="1"/>
  <c r="V21" i="75" a="1"/>
  <c r="U21" i="75" a="1"/>
  <c r="T21" i="75" a="1"/>
  <c r="S21" i="75" a="1"/>
  <c r="R21" i="75" a="1"/>
  <c r="Q21" i="75" a="1"/>
  <c r="P21" i="75" a="1"/>
  <c r="O21" i="75" a="1"/>
  <c r="N21" i="75" a="1"/>
  <c r="M21" i="75" a="1"/>
  <c r="L21" i="75" a="1"/>
  <c r="K21" i="75" a="1"/>
  <c r="J21" i="75" a="1"/>
  <c r="G21" i="75"/>
  <c r="AK20" i="75" a="1"/>
  <c r="AJ20" i="75" a="1"/>
  <c r="AI20" i="75" a="1"/>
  <c r="AH20" i="75" a="1"/>
  <c r="AG20" i="75" a="1"/>
  <c r="AF20" i="75" a="1"/>
  <c r="AE20" i="75" a="1"/>
  <c r="AD20" i="75" a="1"/>
  <c r="AC20" i="75" a="1"/>
  <c r="AB20" i="75" a="1"/>
  <c r="AA20" i="75" a="1"/>
  <c r="Z20" i="75" a="1"/>
  <c r="Y20" i="75" a="1"/>
  <c r="X20" i="75" a="1"/>
  <c r="W20" i="75" a="1"/>
  <c r="V20" i="75" a="1"/>
  <c r="U20" i="75" a="1"/>
  <c r="T20" i="75" a="1"/>
  <c r="S20" i="75" a="1"/>
  <c r="R20" i="75" a="1"/>
  <c r="Q20" i="75" a="1"/>
  <c r="P20" i="75" a="1"/>
  <c r="O20" i="75" a="1"/>
  <c r="N20" i="75" a="1"/>
  <c r="M20" i="75" a="1"/>
  <c r="L20" i="75" a="1"/>
  <c r="K20" i="75" a="1"/>
  <c r="J20" i="75" a="1"/>
  <c r="G20" i="75"/>
  <c r="AK19" i="75" a="1"/>
  <c r="AJ19" i="75" a="1"/>
  <c r="AI19" i="75" a="1"/>
  <c r="AH19" i="75" a="1"/>
  <c r="AG19" i="75" a="1"/>
  <c r="AF19" i="75" a="1"/>
  <c r="AE19" i="75" a="1"/>
  <c r="AD19" i="75" a="1"/>
  <c r="AC19" i="75" a="1"/>
  <c r="AB19" i="75" a="1"/>
  <c r="AA19" i="75" a="1"/>
  <c r="Z19" i="75" a="1"/>
  <c r="Y19" i="75" a="1"/>
  <c r="X19" i="75" a="1"/>
  <c r="W19" i="75" a="1"/>
  <c r="V19" i="75" a="1"/>
  <c r="U19" i="75" a="1"/>
  <c r="T19" i="75" a="1"/>
  <c r="S19" i="75" a="1"/>
  <c r="R19" i="75" a="1"/>
  <c r="Q19" i="75" a="1"/>
  <c r="P19" i="75" a="1"/>
  <c r="O19" i="75" a="1"/>
  <c r="N19" i="75" a="1"/>
  <c r="M19" i="75" a="1"/>
  <c r="L19" i="75" a="1"/>
  <c r="K19" i="75" a="1"/>
  <c r="J19" i="75" a="1"/>
  <c r="G19" i="75"/>
  <c r="AK18" i="75" a="1"/>
  <c r="AJ18" i="75" a="1"/>
  <c r="AI18" i="75" a="1"/>
  <c r="AH18" i="75" a="1"/>
  <c r="AG18" i="75" a="1"/>
  <c r="AF18" i="75" a="1"/>
  <c r="AE18" i="75" a="1"/>
  <c r="AD18" i="75" a="1"/>
  <c r="AC18" i="75" a="1"/>
  <c r="AB18" i="75" a="1"/>
  <c r="AA18" i="75" a="1"/>
  <c r="Z18" i="75" a="1"/>
  <c r="Y18" i="75" a="1"/>
  <c r="X18" i="75" a="1"/>
  <c r="W18" i="75" a="1"/>
  <c r="V18" i="75" a="1"/>
  <c r="U18" i="75" a="1"/>
  <c r="T18" i="75" a="1"/>
  <c r="S18" i="75" a="1"/>
  <c r="R18" i="75" a="1"/>
  <c r="Q18" i="75" a="1"/>
  <c r="P18" i="75" a="1"/>
  <c r="O18" i="75" a="1"/>
  <c r="N18" i="75" a="1"/>
  <c r="M18" i="75" a="1"/>
  <c r="L18" i="75" a="1"/>
  <c r="K18" i="75" a="1"/>
  <c r="J18" i="75" a="1"/>
  <c r="G18" i="75"/>
  <c r="AK17" i="75" a="1"/>
  <c r="AJ17" i="75" a="1"/>
  <c r="AI17" i="75" a="1"/>
  <c r="AH17" i="75" a="1"/>
  <c r="AG17" i="75" a="1"/>
  <c r="AF17" i="75" a="1"/>
  <c r="AE17" i="75" a="1"/>
  <c r="AD17" i="75" a="1"/>
  <c r="AC17" i="75" a="1"/>
  <c r="AB17" i="75" a="1"/>
  <c r="AA17" i="75" a="1"/>
  <c r="Z17" i="75" a="1"/>
  <c r="Y17" i="75" a="1"/>
  <c r="X17" i="75" a="1"/>
  <c r="W17" i="75" a="1"/>
  <c r="V17" i="75" a="1"/>
  <c r="U17" i="75" a="1"/>
  <c r="T17" i="75" a="1"/>
  <c r="S17" i="75" a="1"/>
  <c r="R17" i="75" a="1"/>
  <c r="Q17" i="75" a="1"/>
  <c r="P17" i="75" a="1"/>
  <c r="O17" i="75" a="1"/>
  <c r="N17" i="75" a="1"/>
  <c r="M17" i="75" a="1"/>
  <c r="L17" i="75" a="1"/>
  <c r="K17" i="75" a="1"/>
  <c r="J17" i="75" a="1"/>
  <c r="G17" i="75"/>
  <c r="AK16" i="75" a="1"/>
  <c r="AJ16" i="75" a="1"/>
  <c r="AI16" i="75" a="1"/>
  <c r="AH16" i="75" a="1"/>
  <c r="AG16" i="75" a="1"/>
  <c r="AF16" i="75" a="1"/>
  <c r="AE16" i="75" a="1"/>
  <c r="AD16" i="75" a="1"/>
  <c r="AC16" i="75" a="1"/>
  <c r="AB16" i="75" a="1"/>
  <c r="AA16" i="75" a="1"/>
  <c r="Z16" i="75" a="1"/>
  <c r="Y16" i="75" a="1"/>
  <c r="X16" i="75" a="1"/>
  <c r="W16" i="75" a="1"/>
  <c r="V16" i="75" a="1"/>
  <c r="U16" i="75" a="1"/>
  <c r="T16" i="75" a="1"/>
  <c r="S16" i="75" a="1"/>
  <c r="R16" i="75" a="1"/>
  <c r="Q16" i="75" a="1"/>
  <c r="P16" i="75" a="1"/>
  <c r="O16" i="75" a="1"/>
  <c r="N16" i="75" a="1"/>
  <c r="M16" i="75" a="1"/>
  <c r="L16" i="75" a="1"/>
  <c r="K16" i="75" a="1"/>
  <c r="J16" i="75" a="1"/>
  <c r="G16" i="75"/>
  <c r="AK15" i="75" a="1"/>
  <c r="AJ15" i="75" a="1"/>
  <c r="AI15" i="75" a="1"/>
  <c r="AH15" i="75" a="1"/>
  <c r="AG15" i="75" a="1"/>
  <c r="AF15" i="75" a="1"/>
  <c r="AE15" i="75" a="1"/>
  <c r="AD15" i="75" a="1"/>
  <c r="AC15" i="75" a="1"/>
  <c r="AB15" i="75" a="1"/>
  <c r="AA15" i="75" a="1"/>
  <c r="Z15" i="75" a="1"/>
  <c r="Y15" i="75" a="1"/>
  <c r="X15" i="75" a="1"/>
  <c r="W15" i="75" a="1"/>
  <c r="V15" i="75" a="1"/>
  <c r="U15" i="75" a="1"/>
  <c r="T15" i="75" a="1"/>
  <c r="S15" i="75" a="1"/>
  <c r="R15" i="75" a="1"/>
  <c r="Q15" i="75" a="1"/>
  <c r="P15" i="75" a="1"/>
  <c r="O15" i="75" a="1"/>
  <c r="N15" i="75" a="1"/>
  <c r="M15" i="75" a="1"/>
  <c r="L15" i="75" a="1"/>
  <c r="K15" i="75" a="1"/>
  <c r="J15" i="75" a="1"/>
  <c r="G15" i="75"/>
  <c r="AK14" i="75" a="1"/>
  <c r="AJ14" i="75" a="1"/>
  <c r="AI14" i="75" a="1"/>
  <c r="AH14" i="75" a="1"/>
  <c r="AG14" i="75" a="1"/>
  <c r="AF14" i="75" a="1"/>
  <c r="AE14" i="75" a="1"/>
  <c r="AD14" i="75" a="1"/>
  <c r="AC14" i="75" a="1"/>
  <c r="AB14" i="75" a="1"/>
  <c r="AA14" i="75" a="1"/>
  <c r="Z14" i="75" a="1"/>
  <c r="Y14" i="75" a="1"/>
  <c r="X14" i="75" a="1"/>
  <c r="W14" i="75" a="1"/>
  <c r="V14" i="75" a="1"/>
  <c r="U14" i="75" a="1"/>
  <c r="T14" i="75" a="1"/>
  <c r="S14" i="75" a="1"/>
  <c r="R14" i="75" a="1"/>
  <c r="Q14" i="75" a="1"/>
  <c r="P14" i="75" a="1"/>
  <c r="O14" i="75" a="1"/>
  <c r="N14" i="75" a="1"/>
  <c r="M14" i="75" a="1"/>
  <c r="L14" i="75" a="1"/>
  <c r="K14" i="75" a="1"/>
  <c r="J14" i="75" a="1"/>
  <c r="G14" i="75"/>
  <c r="AK13" i="75" a="1"/>
  <c r="AJ13" i="75" a="1"/>
  <c r="AI13" i="75" a="1"/>
  <c r="AH13" i="75" a="1"/>
  <c r="AG13" i="75" a="1"/>
  <c r="AF13" i="75" a="1"/>
  <c r="AE13" i="75" a="1"/>
  <c r="AD13" i="75" a="1"/>
  <c r="AC13" i="75" a="1"/>
  <c r="AB13" i="75" a="1"/>
  <c r="AA13" i="75" a="1"/>
  <c r="Z13" i="75" a="1"/>
  <c r="Y13" i="75" a="1"/>
  <c r="X13" i="75" a="1"/>
  <c r="W13" i="75" a="1"/>
  <c r="V13" i="75" a="1"/>
  <c r="U13" i="75" a="1"/>
  <c r="T13" i="75" a="1"/>
  <c r="S13" i="75" a="1"/>
  <c r="R13" i="75" a="1"/>
  <c r="Q13" i="75" a="1"/>
  <c r="P13" i="75" a="1"/>
  <c r="O13" i="75" a="1"/>
  <c r="N13" i="75" a="1"/>
  <c r="M13" i="75" a="1"/>
  <c r="L13" i="75" a="1"/>
  <c r="K13" i="75" a="1"/>
  <c r="J13" i="75" a="1"/>
  <c r="G13" i="75"/>
  <c r="AK12" i="75" a="1"/>
  <c r="AJ12" i="75" a="1"/>
  <c r="AI12" i="75" a="1"/>
  <c r="AH12" i="75" a="1"/>
  <c r="AG12" i="75" a="1"/>
  <c r="AF12" i="75" a="1"/>
  <c r="AE12" i="75" a="1"/>
  <c r="AD12" i="75" a="1"/>
  <c r="AC12" i="75" a="1"/>
  <c r="AB12" i="75" a="1"/>
  <c r="AA12" i="75" a="1"/>
  <c r="Z12" i="75" a="1"/>
  <c r="Y12" i="75" a="1"/>
  <c r="X12" i="75" a="1"/>
  <c r="W12" i="75" a="1"/>
  <c r="V12" i="75" a="1"/>
  <c r="U12" i="75" a="1"/>
  <c r="T12" i="75" a="1"/>
  <c r="S12" i="75" a="1"/>
  <c r="R12" i="75" a="1"/>
  <c r="Q12" i="75" a="1"/>
  <c r="P12" i="75" a="1"/>
  <c r="O12" i="75" a="1"/>
  <c r="N12" i="75" a="1"/>
  <c r="M12" i="75" a="1"/>
  <c r="L12" i="75" a="1"/>
  <c r="K12" i="75" a="1"/>
  <c r="J12" i="75" a="1"/>
  <c r="G12" i="75"/>
  <c r="AK11" i="75" a="1"/>
  <c r="AJ11" i="75" a="1"/>
  <c r="AI11" i="75" a="1"/>
  <c r="AH11" i="75" a="1"/>
  <c r="AG11" i="75" a="1"/>
  <c r="AF11" i="75" a="1"/>
  <c r="AE11" i="75" a="1"/>
  <c r="AD11" i="75" a="1"/>
  <c r="AC11" i="75" a="1"/>
  <c r="AB11" i="75" a="1"/>
  <c r="AA11" i="75" a="1"/>
  <c r="Z11" i="75" a="1"/>
  <c r="Y11" i="75" a="1"/>
  <c r="X11" i="75" a="1"/>
  <c r="W11" i="75" a="1"/>
  <c r="V11" i="75" a="1"/>
  <c r="U11" i="75" a="1"/>
  <c r="T11" i="75" a="1"/>
  <c r="S11" i="75" a="1"/>
  <c r="R11" i="75" a="1"/>
  <c r="Q11" i="75" a="1"/>
  <c r="P11" i="75" a="1"/>
  <c r="O11" i="75" a="1"/>
  <c r="N11" i="75" a="1"/>
  <c r="M11" i="75" a="1"/>
  <c r="L11" i="75" a="1"/>
  <c r="K11" i="75" a="1"/>
  <c r="J11" i="75" a="1"/>
  <c r="G11" i="75"/>
  <c r="AK10" i="75" a="1"/>
  <c r="AJ10" i="75" a="1"/>
  <c r="AI10" i="75" a="1"/>
  <c r="AH10" i="75" a="1"/>
  <c r="AG10" i="75" a="1"/>
  <c r="AF10" i="75" a="1"/>
  <c r="AE10" i="75" a="1"/>
  <c r="AD10" i="75" a="1"/>
  <c r="AC10" i="75" a="1"/>
  <c r="AB10" i="75" a="1"/>
  <c r="AA10" i="75" a="1"/>
  <c r="Z10" i="75" a="1"/>
  <c r="Y10" i="75" a="1"/>
  <c r="X10" i="75" a="1"/>
  <c r="W10" i="75" a="1"/>
  <c r="V10" i="75" a="1"/>
  <c r="U10" i="75" a="1"/>
  <c r="T10" i="75" a="1"/>
  <c r="S10" i="75" a="1"/>
  <c r="R10" i="75" a="1"/>
  <c r="Q10" i="75" a="1"/>
  <c r="P10" i="75" a="1"/>
  <c r="O10" i="75" a="1"/>
  <c r="N10" i="75" a="1"/>
  <c r="M10" i="75" a="1"/>
  <c r="L10" i="75" a="1"/>
  <c r="K10" i="75" a="1"/>
  <c r="J10" i="75" a="1"/>
  <c r="G10" i="75"/>
  <c r="AK9" i="75" a="1"/>
  <c r="AJ9" i="75" a="1"/>
  <c r="AI9" i="75" a="1"/>
  <c r="AH9" i="75" a="1"/>
  <c r="AG9" i="75" a="1"/>
  <c r="AF9" i="75" a="1"/>
  <c r="AE9" i="75" a="1"/>
  <c r="AD9" i="75" a="1"/>
  <c r="AC9" i="75" a="1"/>
  <c r="AB9" i="75" a="1"/>
  <c r="AA9" i="75" a="1"/>
  <c r="Z9" i="75" a="1"/>
  <c r="Y9" i="75" a="1"/>
  <c r="X9" i="75" a="1"/>
  <c r="W9" i="75" a="1"/>
  <c r="V9" i="75" a="1"/>
  <c r="U9" i="75" a="1"/>
  <c r="T9" i="75" a="1"/>
  <c r="S9" i="75" a="1"/>
  <c r="R9" i="75" a="1"/>
  <c r="Q9" i="75" a="1"/>
  <c r="P9" i="75" a="1"/>
  <c r="O9" i="75" a="1"/>
  <c r="N9" i="75" a="1"/>
  <c r="M9" i="75" a="1"/>
  <c r="L9" i="75" a="1"/>
  <c r="K9" i="75" a="1"/>
  <c r="J9" i="75" a="1"/>
  <c r="G9" i="75"/>
  <c r="AK8" i="75" a="1"/>
  <c r="AJ8" i="75" a="1"/>
  <c r="AI8" i="75" a="1"/>
  <c r="AH8" i="75" a="1"/>
  <c r="AG8" i="75" a="1"/>
  <c r="AF8" i="75" a="1"/>
  <c r="AE8" i="75" a="1"/>
  <c r="AD8" i="75" a="1"/>
  <c r="AC8" i="75" a="1"/>
  <c r="AB8" i="75" a="1"/>
  <c r="AA8" i="75" a="1"/>
  <c r="Z8" i="75" a="1"/>
  <c r="Y8" i="75" a="1"/>
  <c r="X8" i="75" a="1"/>
  <c r="W8" i="75" a="1"/>
  <c r="V8" i="75" a="1"/>
  <c r="U8" i="75" a="1"/>
  <c r="T8" i="75" a="1"/>
  <c r="S8" i="75" a="1"/>
  <c r="R8" i="75" a="1"/>
  <c r="Q8" i="75" a="1"/>
  <c r="P8" i="75" a="1"/>
  <c r="O8" i="75" a="1"/>
  <c r="N8" i="75" a="1"/>
  <c r="M8" i="75" a="1"/>
  <c r="L8" i="75" a="1"/>
  <c r="K8" i="75" a="1"/>
  <c r="J8" i="75" a="1"/>
  <c r="G8" i="75"/>
  <c r="AK7" i="75" a="1"/>
  <c r="AJ7" i="75" a="1"/>
  <c r="AI7" i="75" a="1"/>
  <c r="AH7" i="75" a="1"/>
  <c r="AG7" i="75" a="1"/>
  <c r="AF7" i="75" a="1"/>
  <c r="AE7" i="75" a="1"/>
  <c r="AD7" i="75" a="1"/>
  <c r="AC7" i="75" a="1"/>
  <c r="AB7" i="75" a="1"/>
  <c r="AA7" i="75" a="1"/>
  <c r="Z7" i="75" a="1"/>
  <c r="Y7" i="75" a="1"/>
  <c r="X7" i="75" a="1"/>
  <c r="W7" i="75" a="1"/>
  <c r="V7" i="75" a="1"/>
  <c r="U7" i="75" a="1"/>
  <c r="T7" i="75" a="1"/>
  <c r="S7" i="75" a="1"/>
  <c r="R7" i="75" a="1"/>
  <c r="Q7" i="75" a="1"/>
  <c r="P7" i="75" a="1"/>
  <c r="O7" i="75" a="1"/>
  <c r="N7" i="75" a="1"/>
  <c r="M7" i="75" a="1"/>
  <c r="L7" i="75" a="1"/>
  <c r="K7" i="75" a="1"/>
  <c r="J7" i="75" a="1"/>
  <c r="G7" i="75"/>
  <c r="AK6" i="75" a="1"/>
  <c r="AJ6" i="75" a="1"/>
  <c r="AI6" i="75" a="1"/>
  <c r="AH6" i="75" a="1"/>
  <c r="AG6" i="75" a="1"/>
  <c r="AF6" i="75" a="1"/>
  <c r="AE6" i="75" a="1"/>
  <c r="AD6" i="75" a="1"/>
  <c r="AC6" i="75" a="1"/>
  <c r="AB6" i="75" a="1"/>
  <c r="AA6" i="75" a="1"/>
  <c r="Z6" i="75" a="1"/>
  <c r="Y6" i="75" a="1"/>
  <c r="X6" i="75" a="1"/>
  <c r="W6" i="75" a="1"/>
  <c r="V6" i="75" a="1"/>
  <c r="U6" i="75" a="1"/>
  <c r="T6" i="75" a="1"/>
  <c r="S6" i="75" a="1"/>
  <c r="R6" i="75" a="1"/>
  <c r="Q6" i="75" a="1"/>
  <c r="P6" i="75" a="1"/>
  <c r="O6" i="75" a="1"/>
  <c r="N6" i="75" a="1"/>
  <c r="M6" i="75" a="1"/>
  <c r="L6" i="75" a="1"/>
  <c r="K6" i="75" a="1"/>
  <c r="J6" i="75" a="1"/>
  <c r="G6" i="75"/>
  <c r="AK5" i="75" a="1"/>
  <c r="AJ5" i="75" a="1"/>
  <c r="AI5" i="75" a="1"/>
  <c r="AH5" i="75" a="1"/>
  <c r="AG5" i="75" a="1"/>
  <c r="AF5" i="75" a="1"/>
  <c r="AE5" i="75" a="1"/>
  <c r="AD5" i="75" a="1"/>
  <c r="AC5" i="75" a="1"/>
  <c r="AB5" i="75" a="1"/>
  <c r="AA5" i="75" a="1"/>
  <c r="Z5" i="75" a="1"/>
  <c r="Y5" i="75" a="1"/>
  <c r="X5" i="75" a="1"/>
  <c r="W5" i="75" a="1"/>
  <c r="V5" i="75" a="1"/>
  <c r="U5" i="75" a="1"/>
  <c r="T5" i="75" a="1"/>
  <c r="S5" i="75" a="1"/>
  <c r="R5" i="75" a="1"/>
  <c r="Q5" i="75" a="1"/>
  <c r="P5" i="75" a="1"/>
  <c r="O5" i="75" a="1"/>
  <c r="N5" i="75" a="1"/>
  <c r="M5" i="75" a="1"/>
  <c r="L5" i="75" a="1"/>
  <c r="K5" i="75" a="1"/>
  <c r="J5" i="75" a="1"/>
  <c r="G5" i="75"/>
  <c r="AK4" i="75" a="1"/>
  <c r="AJ4" i="75" a="1"/>
  <c r="AI4" i="75" a="1"/>
  <c r="AH4" i="75" a="1"/>
  <c r="AG4" i="75" a="1"/>
  <c r="AF4" i="75" a="1"/>
  <c r="AE4" i="75" a="1"/>
  <c r="AD4" i="75" a="1"/>
  <c r="AC4" i="75" a="1"/>
  <c r="AB4" i="75" a="1"/>
  <c r="AA4" i="75" a="1"/>
  <c r="Z4" i="75" a="1"/>
  <c r="Y4" i="75" a="1"/>
  <c r="X4" i="75" a="1"/>
  <c r="W4" i="75" a="1"/>
  <c r="V4" i="75" a="1"/>
  <c r="U4" i="75" a="1"/>
  <c r="T4" i="75" a="1"/>
  <c r="S4" i="75" a="1"/>
  <c r="R4" i="75" a="1"/>
  <c r="Q4" i="75" a="1"/>
  <c r="P4" i="75" a="1"/>
  <c r="O4" i="75" a="1"/>
  <c r="N4" i="75" a="1"/>
  <c r="M4" i="75" a="1"/>
  <c r="L4" i="75" a="1"/>
  <c r="K4" i="75" a="1"/>
  <c r="J4" i="75" a="1"/>
  <c r="G4" i="75"/>
  <c r="AK3" i="75" a="1"/>
  <c r="AJ3" i="75" a="1"/>
  <c r="AI3" i="75" a="1"/>
  <c r="AH3" i="75" a="1"/>
  <c r="AG3" i="75" a="1"/>
  <c r="AF3" i="75" a="1"/>
  <c r="AE3" i="75" a="1"/>
  <c r="AD3" i="75" a="1"/>
  <c r="AC3" i="75" a="1"/>
  <c r="AB3" i="75" a="1"/>
  <c r="AA3" i="75" a="1"/>
  <c r="Z3" i="75" a="1"/>
  <c r="Y3" i="75" a="1"/>
  <c r="X3" i="75" a="1"/>
  <c r="W3" i="75" a="1"/>
  <c r="V3" i="75" a="1"/>
  <c r="U3" i="75" a="1"/>
  <c r="T3" i="75" a="1"/>
  <c r="S3" i="75" a="1"/>
  <c r="R3" i="75" a="1"/>
  <c r="Q3" i="75" a="1"/>
  <c r="P3" i="75" a="1"/>
  <c r="O3" i="75" a="1"/>
  <c r="N3" i="75" a="1"/>
  <c r="M3" i="75" a="1"/>
  <c r="L3" i="75" a="1"/>
  <c r="K3" i="75" a="1"/>
  <c r="J3" i="75" a="1"/>
  <c r="G3" i="75"/>
  <c r="AS33" i="74"/>
  <c r="AK32" i="74" a="1"/>
  <c r="AJ32" i="74" a="1"/>
  <c r="AI32" i="74" a="1"/>
  <c r="AH32" i="74" a="1"/>
  <c r="AG32" i="74" a="1"/>
  <c r="AF32" i="74" a="1"/>
  <c r="AE32" i="74" a="1"/>
  <c r="AD32" i="74" a="1"/>
  <c r="AC32" i="74" a="1"/>
  <c r="AB32" i="74" a="1"/>
  <c r="AA32" i="74" a="1"/>
  <c r="Z32" i="74" a="1"/>
  <c r="Y32" i="74" a="1"/>
  <c r="X32" i="74" a="1"/>
  <c r="W32" i="74" a="1"/>
  <c r="V32" i="74" a="1"/>
  <c r="U32" i="74" a="1"/>
  <c r="T32" i="74" a="1"/>
  <c r="S32" i="74" a="1"/>
  <c r="R32" i="74" a="1"/>
  <c r="Q32" i="74" a="1"/>
  <c r="P32" i="74" a="1"/>
  <c r="O32" i="74" a="1"/>
  <c r="N32" i="74" a="1"/>
  <c r="M32" i="74" a="1"/>
  <c r="L32" i="74" a="1"/>
  <c r="K32" i="74" a="1"/>
  <c r="J32" i="74" a="1"/>
  <c r="G32" i="74"/>
  <c r="AK31" i="74" a="1"/>
  <c r="AJ31" i="74" a="1"/>
  <c r="AI31" i="74" a="1"/>
  <c r="AH31" i="74" a="1"/>
  <c r="AG31" i="74" a="1"/>
  <c r="AF31" i="74" a="1"/>
  <c r="AE31" i="74" a="1"/>
  <c r="AD31" i="74" a="1"/>
  <c r="AC31" i="74" a="1"/>
  <c r="AB31" i="74" a="1"/>
  <c r="AA31" i="74" a="1"/>
  <c r="Z31" i="74" a="1"/>
  <c r="Y31" i="74" a="1"/>
  <c r="X31" i="74" a="1"/>
  <c r="W31" i="74" a="1"/>
  <c r="V31" i="74" a="1"/>
  <c r="U31" i="74" a="1"/>
  <c r="T31" i="74" a="1"/>
  <c r="S31" i="74" a="1"/>
  <c r="R31" i="74" a="1"/>
  <c r="Q31" i="74" a="1"/>
  <c r="P31" i="74" a="1"/>
  <c r="O31" i="74" a="1"/>
  <c r="N31" i="74" a="1"/>
  <c r="M31" i="74" a="1"/>
  <c r="L31" i="74" a="1"/>
  <c r="K31" i="74" a="1"/>
  <c r="J31" i="74" a="1"/>
  <c r="G31" i="74"/>
  <c r="AK30" i="74" a="1"/>
  <c r="AJ30" i="74" a="1"/>
  <c r="AI30" i="74" a="1"/>
  <c r="AH30" i="74" a="1"/>
  <c r="AG30" i="74" a="1"/>
  <c r="AF30" i="74" a="1"/>
  <c r="AE30" i="74" a="1"/>
  <c r="AD30" i="74" a="1"/>
  <c r="AC30" i="74" a="1"/>
  <c r="AB30" i="74" a="1"/>
  <c r="AA30" i="74" a="1"/>
  <c r="Z30" i="74" a="1"/>
  <c r="Y30" i="74" a="1"/>
  <c r="X30" i="74" a="1"/>
  <c r="W30" i="74" a="1"/>
  <c r="V30" i="74" a="1"/>
  <c r="U30" i="74" a="1"/>
  <c r="T30" i="74" a="1"/>
  <c r="S30" i="74" a="1"/>
  <c r="R30" i="74" a="1"/>
  <c r="Q30" i="74" a="1"/>
  <c r="P30" i="74" a="1"/>
  <c r="O30" i="74" a="1"/>
  <c r="N30" i="74" a="1"/>
  <c r="M30" i="74" a="1"/>
  <c r="L30" i="74" a="1"/>
  <c r="K30" i="74" a="1"/>
  <c r="J30" i="74" a="1"/>
  <c r="G30" i="74"/>
  <c r="AK29" i="74" a="1"/>
  <c r="AJ29" i="74" a="1"/>
  <c r="AI29" i="74" a="1"/>
  <c r="AH29" i="74" a="1"/>
  <c r="AG29" i="74" a="1"/>
  <c r="AF29" i="74" a="1"/>
  <c r="AE29" i="74" a="1"/>
  <c r="AD29" i="74" a="1"/>
  <c r="AC29" i="74" a="1"/>
  <c r="AB29" i="74" a="1"/>
  <c r="AA29" i="74" a="1"/>
  <c r="Z29" i="74" a="1"/>
  <c r="Y29" i="74" a="1"/>
  <c r="X29" i="74" a="1"/>
  <c r="W29" i="74" a="1"/>
  <c r="V29" i="74" a="1"/>
  <c r="U29" i="74" a="1"/>
  <c r="T29" i="74" a="1"/>
  <c r="S29" i="74" a="1"/>
  <c r="R29" i="74" a="1"/>
  <c r="Q29" i="74" a="1"/>
  <c r="P29" i="74" a="1"/>
  <c r="O29" i="74" a="1"/>
  <c r="N29" i="74" a="1"/>
  <c r="M29" i="74" a="1"/>
  <c r="L29" i="74" a="1"/>
  <c r="K29" i="74" a="1"/>
  <c r="J29" i="74" a="1"/>
  <c r="G29" i="74"/>
  <c r="AK28" i="74" a="1"/>
  <c r="AJ28" i="74" a="1"/>
  <c r="AI28" i="74" a="1"/>
  <c r="AH28" i="74" a="1"/>
  <c r="AG28" i="74" a="1"/>
  <c r="AF28" i="74" a="1"/>
  <c r="AE28" i="74" a="1"/>
  <c r="AD28" i="74" a="1"/>
  <c r="AC28" i="74" a="1"/>
  <c r="AB28" i="74" a="1"/>
  <c r="AA28" i="74" a="1"/>
  <c r="Z28" i="74" a="1"/>
  <c r="Y28" i="74" a="1"/>
  <c r="X28" i="74" a="1"/>
  <c r="W28" i="74" a="1"/>
  <c r="V28" i="74" a="1"/>
  <c r="U28" i="74" a="1"/>
  <c r="T28" i="74" a="1"/>
  <c r="S28" i="74" a="1"/>
  <c r="R28" i="74" a="1"/>
  <c r="Q28" i="74" a="1"/>
  <c r="P28" i="74" a="1"/>
  <c r="O28" i="74" a="1"/>
  <c r="N28" i="74" a="1"/>
  <c r="M28" i="74" a="1"/>
  <c r="L28" i="74" a="1"/>
  <c r="K28" i="74" a="1"/>
  <c r="J28" i="74" a="1"/>
  <c r="G28" i="74"/>
  <c r="AK27" i="74" a="1"/>
  <c r="AJ27" i="74" a="1"/>
  <c r="AI27" i="74" a="1"/>
  <c r="AH27" i="74" a="1"/>
  <c r="AG27" i="74" a="1"/>
  <c r="AF27" i="74" a="1"/>
  <c r="AE27" i="74" a="1"/>
  <c r="AD27" i="74" a="1"/>
  <c r="AC27" i="74" a="1"/>
  <c r="AB27" i="74" a="1"/>
  <c r="AA27" i="74" a="1"/>
  <c r="Z27" i="74" a="1"/>
  <c r="Y27" i="74" a="1"/>
  <c r="X27" i="74" a="1"/>
  <c r="W27" i="74" a="1"/>
  <c r="V27" i="74" a="1"/>
  <c r="U27" i="74" a="1"/>
  <c r="T27" i="74" a="1"/>
  <c r="S27" i="74" a="1"/>
  <c r="R27" i="74" a="1"/>
  <c r="Q27" i="74" a="1"/>
  <c r="P27" i="74" a="1"/>
  <c r="O27" i="74" a="1"/>
  <c r="N27" i="74" a="1"/>
  <c r="M27" i="74" a="1"/>
  <c r="L27" i="74" a="1"/>
  <c r="K27" i="74" a="1"/>
  <c r="J27" i="74" a="1"/>
  <c r="G27" i="74"/>
  <c r="AK26" i="74" a="1"/>
  <c r="AJ26" i="74" a="1"/>
  <c r="AI26" i="74" a="1"/>
  <c r="AH26" i="74" a="1"/>
  <c r="AG26" i="74" a="1"/>
  <c r="AF26" i="74" a="1"/>
  <c r="AE26" i="74" a="1"/>
  <c r="AD26" i="74" a="1"/>
  <c r="AC26" i="74" a="1"/>
  <c r="AB26" i="74" a="1"/>
  <c r="AA26" i="74" a="1"/>
  <c r="Z26" i="74" a="1"/>
  <c r="Y26" i="74" a="1"/>
  <c r="X26" i="74" a="1"/>
  <c r="W26" i="74" a="1"/>
  <c r="V26" i="74" a="1"/>
  <c r="U26" i="74" a="1"/>
  <c r="T26" i="74" a="1"/>
  <c r="S26" i="74" a="1"/>
  <c r="R26" i="74" a="1"/>
  <c r="Q26" i="74" a="1"/>
  <c r="P26" i="74" a="1"/>
  <c r="O26" i="74" a="1"/>
  <c r="N26" i="74" a="1"/>
  <c r="M26" i="74" a="1"/>
  <c r="L26" i="74" a="1"/>
  <c r="K26" i="74" a="1"/>
  <c r="J26" i="74" a="1"/>
  <c r="G26" i="74"/>
  <c r="AK25" i="74" a="1"/>
  <c r="AJ25" i="74" a="1"/>
  <c r="AI25" i="74" a="1"/>
  <c r="AH25" i="74" a="1"/>
  <c r="AG25" i="74" a="1"/>
  <c r="AF25" i="74" a="1"/>
  <c r="AE25" i="74" a="1"/>
  <c r="AD25" i="74" a="1"/>
  <c r="AC25" i="74" a="1"/>
  <c r="AB25" i="74" a="1"/>
  <c r="AA25" i="74" a="1"/>
  <c r="Z25" i="74" a="1"/>
  <c r="Y25" i="74" a="1"/>
  <c r="X25" i="74" a="1"/>
  <c r="W25" i="74" a="1"/>
  <c r="V25" i="74" a="1"/>
  <c r="U25" i="74" a="1"/>
  <c r="T25" i="74" a="1"/>
  <c r="S25" i="74" a="1"/>
  <c r="R25" i="74" a="1"/>
  <c r="Q25" i="74" a="1"/>
  <c r="P25" i="74" a="1"/>
  <c r="O25" i="74" a="1"/>
  <c r="N25" i="74" a="1"/>
  <c r="M25" i="74" a="1"/>
  <c r="L25" i="74" a="1"/>
  <c r="K25" i="74" a="1"/>
  <c r="J25" i="74" a="1"/>
  <c r="G25" i="74"/>
  <c r="AK24" i="74" a="1"/>
  <c r="AJ24" i="74" a="1"/>
  <c r="AI24" i="74" a="1"/>
  <c r="AH24" i="74" a="1"/>
  <c r="AG24" i="74" a="1"/>
  <c r="AF24" i="74" a="1"/>
  <c r="AE24" i="74" a="1"/>
  <c r="AD24" i="74" a="1"/>
  <c r="AC24" i="74" a="1"/>
  <c r="AB24" i="74" a="1"/>
  <c r="AA24" i="74" a="1"/>
  <c r="Z24" i="74" a="1"/>
  <c r="Y24" i="74" a="1"/>
  <c r="X24" i="74" a="1"/>
  <c r="W24" i="74" a="1"/>
  <c r="V24" i="74" a="1"/>
  <c r="U24" i="74" a="1"/>
  <c r="T24" i="74" a="1"/>
  <c r="S24" i="74" a="1"/>
  <c r="R24" i="74" a="1"/>
  <c r="Q24" i="74" a="1"/>
  <c r="P24" i="74" a="1"/>
  <c r="O24" i="74" a="1"/>
  <c r="N24" i="74" a="1"/>
  <c r="M24" i="74" a="1"/>
  <c r="L24" i="74" a="1"/>
  <c r="K24" i="74" a="1"/>
  <c r="J24" i="74" a="1"/>
  <c r="G24" i="74"/>
  <c r="AK23" i="74" a="1"/>
  <c r="AJ23" i="74" a="1"/>
  <c r="AI23" i="74" a="1"/>
  <c r="AH23" i="74" a="1"/>
  <c r="AG23" i="74" a="1"/>
  <c r="AF23" i="74" a="1"/>
  <c r="AE23" i="74" a="1"/>
  <c r="AD23" i="74" a="1"/>
  <c r="AC23" i="74" a="1"/>
  <c r="AB23" i="74" a="1"/>
  <c r="AA23" i="74" a="1"/>
  <c r="Z23" i="74" a="1"/>
  <c r="Y23" i="74" a="1"/>
  <c r="X23" i="74" a="1"/>
  <c r="W23" i="74" a="1"/>
  <c r="V23" i="74" a="1"/>
  <c r="U23" i="74" a="1"/>
  <c r="T23" i="74" a="1"/>
  <c r="S23" i="74" a="1"/>
  <c r="R23" i="74" a="1"/>
  <c r="Q23" i="74" a="1"/>
  <c r="P23" i="74" a="1"/>
  <c r="O23" i="74" a="1"/>
  <c r="N23" i="74" a="1"/>
  <c r="M23" i="74" a="1"/>
  <c r="L23" i="74" a="1"/>
  <c r="K23" i="74" a="1"/>
  <c r="J23" i="74" a="1"/>
  <c r="G23" i="74"/>
  <c r="AK22" i="74" a="1"/>
  <c r="AJ22" i="74" a="1"/>
  <c r="AI22" i="74" a="1"/>
  <c r="AH22" i="74" a="1"/>
  <c r="AG22" i="74" a="1"/>
  <c r="AF22" i="74" a="1"/>
  <c r="AE22" i="74" a="1"/>
  <c r="AD22" i="74" a="1"/>
  <c r="AC22" i="74" a="1"/>
  <c r="AB22" i="74" a="1"/>
  <c r="AA22" i="74" a="1"/>
  <c r="Z22" i="74" a="1"/>
  <c r="Y22" i="74" a="1"/>
  <c r="X22" i="74" a="1"/>
  <c r="W22" i="74" a="1"/>
  <c r="V22" i="74" a="1"/>
  <c r="U22" i="74" a="1"/>
  <c r="T22" i="74" a="1"/>
  <c r="S22" i="74" a="1"/>
  <c r="R22" i="74" a="1"/>
  <c r="Q22" i="74" a="1"/>
  <c r="P22" i="74" a="1"/>
  <c r="O22" i="74" a="1"/>
  <c r="N22" i="74" a="1"/>
  <c r="M22" i="74" a="1"/>
  <c r="L22" i="74" a="1"/>
  <c r="K22" i="74" a="1"/>
  <c r="J22" i="74" a="1"/>
  <c r="G22" i="74"/>
  <c r="AK21" i="74" a="1"/>
  <c r="AJ21" i="74" a="1"/>
  <c r="AI21" i="74" a="1"/>
  <c r="AH21" i="74" a="1"/>
  <c r="AG21" i="74" a="1"/>
  <c r="AF21" i="74" a="1"/>
  <c r="AE21" i="74" a="1"/>
  <c r="AD21" i="74" a="1"/>
  <c r="AC21" i="74" a="1"/>
  <c r="AB21" i="74" a="1"/>
  <c r="AA21" i="74" a="1"/>
  <c r="Z21" i="74" a="1"/>
  <c r="Y21" i="74" a="1"/>
  <c r="X21" i="74" a="1"/>
  <c r="W21" i="74" a="1"/>
  <c r="V21" i="74" a="1"/>
  <c r="U21" i="74" a="1"/>
  <c r="T21" i="74" a="1"/>
  <c r="S21" i="74" a="1"/>
  <c r="R21" i="74" a="1"/>
  <c r="Q21" i="74" a="1"/>
  <c r="P21" i="74" a="1"/>
  <c r="O21" i="74" a="1"/>
  <c r="N21" i="74" a="1"/>
  <c r="M21" i="74" a="1"/>
  <c r="L21" i="74" a="1"/>
  <c r="K21" i="74" a="1"/>
  <c r="J21" i="74" a="1"/>
  <c r="G21" i="74"/>
  <c r="AK20" i="74" a="1"/>
  <c r="AJ20" i="74" a="1"/>
  <c r="AI20" i="74" a="1"/>
  <c r="AH20" i="74" a="1"/>
  <c r="AG20" i="74" a="1"/>
  <c r="AF20" i="74" a="1"/>
  <c r="AE20" i="74" a="1"/>
  <c r="AD20" i="74" a="1"/>
  <c r="AC20" i="74" a="1"/>
  <c r="AB20" i="74" a="1"/>
  <c r="AA20" i="74" a="1"/>
  <c r="Z20" i="74" a="1"/>
  <c r="Y20" i="74" a="1"/>
  <c r="X20" i="74" a="1"/>
  <c r="W20" i="74" a="1"/>
  <c r="V20" i="74" a="1"/>
  <c r="U20" i="74" a="1"/>
  <c r="T20" i="74" a="1"/>
  <c r="S20" i="74" a="1"/>
  <c r="R20" i="74" a="1"/>
  <c r="Q20" i="74" a="1"/>
  <c r="P20" i="74" a="1"/>
  <c r="O20" i="74" a="1"/>
  <c r="N20" i="74" a="1"/>
  <c r="M20" i="74" a="1"/>
  <c r="L20" i="74" a="1"/>
  <c r="K20" i="74" a="1"/>
  <c r="J20" i="74" a="1"/>
  <c r="G20" i="74"/>
  <c r="AK19" i="74" a="1"/>
  <c r="AJ19" i="74" a="1"/>
  <c r="AI19" i="74" a="1"/>
  <c r="AH19" i="74" a="1"/>
  <c r="AG19" i="74" a="1"/>
  <c r="AF19" i="74" a="1"/>
  <c r="AE19" i="74" a="1"/>
  <c r="AD19" i="74" a="1"/>
  <c r="AC19" i="74" a="1"/>
  <c r="AB19" i="74" a="1"/>
  <c r="AA19" i="74" a="1"/>
  <c r="Z19" i="74" a="1"/>
  <c r="Y19" i="74" a="1"/>
  <c r="X19" i="74" a="1"/>
  <c r="W19" i="74" a="1"/>
  <c r="V19" i="74" a="1"/>
  <c r="U19" i="74" a="1"/>
  <c r="T19" i="74" a="1"/>
  <c r="S19" i="74" a="1"/>
  <c r="R19" i="74" a="1"/>
  <c r="Q19" i="74" a="1"/>
  <c r="P19" i="74" a="1"/>
  <c r="O19" i="74" a="1"/>
  <c r="N19" i="74" a="1"/>
  <c r="M19" i="74" a="1"/>
  <c r="L19" i="74" a="1"/>
  <c r="K19" i="74" a="1"/>
  <c r="J19" i="74" a="1"/>
  <c r="G19" i="74"/>
  <c r="AK18" i="74" a="1"/>
  <c r="AJ18" i="74" a="1"/>
  <c r="AI18" i="74" a="1"/>
  <c r="AH18" i="74" a="1"/>
  <c r="AG18" i="74" a="1"/>
  <c r="AF18" i="74" a="1"/>
  <c r="AE18" i="74" a="1"/>
  <c r="AD18" i="74" a="1"/>
  <c r="AC18" i="74" a="1"/>
  <c r="AB18" i="74" a="1"/>
  <c r="AA18" i="74" a="1"/>
  <c r="Z18" i="74" a="1"/>
  <c r="Y18" i="74" a="1"/>
  <c r="X18" i="74" a="1"/>
  <c r="W18" i="74" a="1"/>
  <c r="V18" i="74" a="1"/>
  <c r="U18" i="74" a="1"/>
  <c r="T18" i="74" a="1"/>
  <c r="S18" i="74" a="1"/>
  <c r="R18" i="74" a="1"/>
  <c r="Q18" i="74" a="1"/>
  <c r="P18" i="74" a="1"/>
  <c r="O18" i="74" a="1"/>
  <c r="N18" i="74" a="1"/>
  <c r="M18" i="74" a="1"/>
  <c r="L18" i="74" a="1"/>
  <c r="K18" i="74" a="1"/>
  <c r="J18" i="74" a="1"/>
  <c r="G18" i="74"/>
  <c r="AK17" i="74" a="1"/>
  <c r="AJ17" i="74" a="1"/>
  <c r="AI17" i="74" a="1"/>
  <c r="AH17" i="74" a="1"/>
  <c r="AG17" i="74" a="1"/>
  <c r="AF17" i="74" a="1"/>
  <c r="AE17" i="74" a="1"/>
  <c r="AD17" i="74" a="1"/>
  <c r="AC17" i="74" a="1"/>
  <c r="AB17" i="74" a="1"/>
  <c r="AA17" i="74" a="1"/>
  <c r="Z17" i="74" a="1"/>
  <c r="Y17" i="74" a="1"/>
  <c r="X17" i="74" a="1"/>
  <c r="W17" i="74" a="1"/>
  <c r="V17" i="74" a="1"/>
  <c r="U17" i="74" a="1"/>
  <c r="T17" i="74" a="1"/>
  <c r="S17" i="74" a="1"/>
  <c r="R17" i="74" a="1"/>
  <c r="Q17" i="74" a="1"/>
  <c r="P17" i="74" a="1"/>
  <c r="O17" i="74" a="1"/>
  <c r="N17" i="74" a="1"/>
  <c r="M17" i="74" a="1"/>
  <c r="L17" i="74" a="1"/>
  <c r="K17" i="74" a="1"/>
  <c r="J17" i="74" a="1"/>
  <c r="G17" i="74"/>
  <c r="AK16" i="74" a="1"/>
  <c r="AJ16" i="74" a="1"/>
  <c r="AI16" i="74" a="1"/>
  <c r="AH16" i="74" a="1"/>
  <c r="AG16" i="74" a="1"/>
  <c r="AF16" i="74" a="1"/>
  <c r="AE16" i="74" a="1"/>
  <c r="AD16" i="74" a="1"/>
  <c r="AC16" i="74" a="1"/>
  <c r="AB16" i="74" a="1"/>
  <c r="AA16" i="74" a="1"/>
  <c r="Z16" i="74" a="1"/>
  <c r="Y16" i="74" a="1"/>
  <c r="X16" i="74" a="1"/>
  <c r="W16" i="74" a="1"/>
  <c r="V16" i="74" a="1"/>
  <c r="U16" i="74" a="1"/>
  <c r="T16" i="74" a="1"/>
  <c r="S16" i="74" a="1"/>
  <c r="R16" i="74" a="1"/>
  <c r="Q16" i="74" a="1"/>
  <c r="P16" i="74" a="1"/>
  <c r="O16" i="74" a="1"/>
  <c r="N16" i="74" a="1"/>
  <c r="M16" i="74" a="1"/>
  <c r="L16" i="74" a="1"/>
  <c r="K16" i="74" a="1"/>
  <c r="J16" i="74" a="1"/>
  <c r="G16" i="74"/>
  <c r="AK15" i="74" a="1"/>
  <c r="AJ15" i="74" a="1"/>
  <c r="AI15" i="74" a="1"/>
  <c r="AH15" i="74" a="1"/>
  <c r="AG15" i="74" a="1"/>
  <c r="AF15" i="74" a="1"/>
  <c r="AE15" i="74" a="1"/>
  <c r="AD15" i="74" a="1"/>
  <c r="AC15" i="74" a="1"/>
  <c r="AB15" i="74" a="1"/>
  <c r="AA15" i="74" a="1"/>
  <c r="Z15" i="74" a="1"/>
  <c r="Y15" i="74" a="1"/>
  <c r="X15" i="74" a="1"/>
  <c r="W15" i="74" a="1"/>
  <c r="V15" i="74" a="1"/>
  <c r="U15" i="74" a="1"/>
  <c r="T15" i="74" a="1"/>
  <c r="S15" i="74" a="1"/>
  <c r="R15" i="74" a="1"/>
  <c r="Q15" i="74" a="1"/>
  <c r="P15" i="74" a="1"/>
  <c r="O15" i="74" a="1"/>
  <c r="N15" i="74" a="1"/>
  <c r="M15" i="74" a="1"/>
  <c r="L15" i="74" a="1"/>
  <c r="K15" i="74" a="1"/>
  <c r="J15" i="74" a="1"/>
  <c r="G15" i="74"/>
  <c r="AK14" i="74" a="1"/>
  <c r="AJ14" i="74" a="1"/>
  <c r="AI14" i="74" a="1"/>
  <c r="AH14" i="74" a="1"/>
  <c r="AG14" i="74" a="1"/>
  <c r="AF14" i="74" a="1"/>
  <c r="AE14" i="74" a="1"/>
  <c r="AD14" i="74" a="1"/>
  <c r="AC14" i="74" a="1"/>
  <c r="AB14" i="74" a="1"/>
  <c r="AA14" i="74" a="1"/>
  <c r="Z14" i="74" a="1"/>
  <c r="Y14" i="74" a="1"/>
  <c r="X14" i="74" a="1"/>
  <c r="W14" i="74" a="1"/>
  <c r="V14" i="74" a="1"/>
  <c r="U14" i="74" a="1"/>
  <c r="T14" i="74" a="1"/>
  <c r="S14" i="74" a="1"/>
  <c r="R14" i="74" a="1"/>
  <c r="Q14" i="74" a="1"/>
  <c r="P14" i="74" a="1"/>
  <c r="O14" i="74" a="1"/>
  <c r="N14" i="74" a="1"/>
  <c r="M14" i="74" a="1"/>
  <c r="L14" i="74" a="1"/>
  <c r="K14" i="74" a="1"/>
  <c r="J14" i="74" a="1"/>
  <c r="G14" i="74"/>
  <c r="AK13" i="74" a="1"/>
  <c r="AJ13" i="74" a="1"/>
  <c r="AI13" i="74" a="1"/>
  <c r="AH13" i="74" a="1"/>
  <c r="AG13" i="74" a="1"/>
  <c r="AF13" i="74" a="1"/>
  <c r="AE13" i="74" a="1"/>
  <c r="AD13" i="74" a="1"/>
  <c r="AC13" i="74" a="1"/>
  <c r="AB13" i="74" a="1"/>
  <c r="AA13" i="74" a="1"/>
  <c r="Z13" i="74" a="1"/>
  <c r="Y13" i="74" a="1"/>
  <c r="X13" i="74" a="1"/>
  <c r="W13" i="74" a="1"/>
  <c r="V13" i="74" a="1"/>
  <c r="U13" i="74" a="1"/>
  <c r="T13" i="74" a="1"/>
  <c r="S13" i="74" a="1"/>
  <c r="R13" i="74" a="1"/>
  <c r="Q13" i="74" a="1"/>
  <c r="P13" i="74" a="1"/>
  <c r="O13" i="74" a="1"/>
  <c r="N13" i="74" a="1"/>
  <c r="M13" i="74" a="1"/>
  <c r="L13" i="74" a="1"/>
  <c r="K13" i="74" a="1"/>
  <c r="J13" i="74" a="1"/>
  <c r="G13" i="74"/>
  <c r="AK12" i="74" a="1"/>
  <c r="AJ12" i="74" a="1"/>
  <c r="AI12" i="74" a="1"/>
  <c r="AH12" i="74" a="1"/>
  <c r="AG12" i="74" a="1"/>
  <c r="AF12" i="74" a="1"/>
  <c r="AE12" i="74" a="1"/>
  <c r="AD12" i="74" a="1"/>
  <c r="AC12" i="74" a="1"/>
  <c r="AB12" i="74" a="1"/>
  <c r="AA12" i="74" a="1"/>
  <c r="Z12" i="74" a="1"/>
  <c r="Y12" i="74" a="1"/>
  <c r="X12" i="74" a="1"/>
  <c r="W12" i="74" a="1"/>
  <c r="V12" i="74" a="1"/>
  <c r="U12" i="74" a="1"/>
  <c r="T12" i="74" a="1"/>
  <c r="S12" i="74" a="1"/>
  <c r="R12" i="74" a="1"/>
  <c r="Q12" i="74" a="1"/>
  <c r="P12" i="74" a="1"/>
  <c r="O12" i="74" a="1"/>
  <c r="N12" i="74" a="1"/>
  <c r="M12" i="74" a="1"/>
  <c r="L12" i="74" a="1"/>
  <c r="K12" i="74" a="1"/>
  <c r="J12" i="74" a="1"/>
  <c r="G12" i="74"/>
  <c r="AK11" i="74" a="1"/>
  <c r="AJ11" i="74" a="1"/>
  <c r="AI11" i="74" a="1"/>
  <c r="AH11" i="74" a="1"/>
  <c r="AG11" i="74" a="1"/>
  <c r="AF11" i="74" a="1"/>
  <c r="AE11" i="74" a="1"/>
  <c r="AD11" i="74" a="1"/>
  <c r="AC11" i="74" a="1"/>
  <c r="AB11" i="74" a="1"/>
  <c r="AA11" i="74" a="1"/>
  <c r="Z11" i="74" a="1"/>
  <c r="Y11" i="74" a="1"/>
  <c r="X11" i="74" a="1"/>
  <c r="W11" i="74" a="1"/>
  <c r="V11" i="74" a="1"/>
  <c r="U11" i="74" a="1"/>
  <c r="T11" i="74" a="1"/>
  <c r="S11" i="74" a="1"/>
  <c r="R11" i="74" a="1"/>
  <c r="Q11" i="74" a="1"/>
  <c r="P11" i="74" a="1"/>
  <c r="O11" i="74" a="1"/>
  <c r="N11" i="74" a="1"/>
  <c r="M11" i="74" a="1"/>
  <c r="L11" i="74" a="1"/>
  <c r="K11" i="74" a="1"/>
  <c r="J11" i="74" a="1"/>
  <c r="G11" i="74"/>
  <c r="AK10" i="74" a="1"/>
  <c r="AJ10" i="74" a="1"/>
  <c r="AI10" i="74" a="1"/>
  <c r="AH10" i="74" a="1"/>
  <c r="AG10" i="74" a="1"/>
  <c r="AF10" i="74" a="1"/>
  <c r="AE10" i="74" a="1"/>
  <c r="AD10" i="74" a="1"/>
  <c r="AC10" i="74" a="1"/>
  <c r="AB10" i="74" a="1"/>
  <c r="AA10" i="74" a="1"/>
  <c r="Z10" i="74" a="1"/>
  <c r="Y10" i="74" a="1"/>
  <c r="X10" i="74" a="1"/>
  <c r="W10" i="74" a="1"/>
  <c r="V10" i="74" a="1"/>
  <c r="U10" i="74" a="1"/>
  <c r="T10" i="74" a="1"/>
  <c r="S10" i="74" a="1"/>
  <c r="R10" i="74" a="1"/>
  <c r="Q10" i="74" a="1"/>
  <c r="P10" i="74" a="1"/>
  <c r="O10" i="74" a="1"/>
  <c r="N10" i="74" a="1"/>
  <c r="M10" i="74" a="1"/>
  <c r="L10" i="74" a="1"/>
  <c r="K10" i="74" a="1"/>
  <c r="J10" i="74" a="1"/>
  <c r="G10" i="74"/>
  <c r="AK9" i="74" a="1"/>
  <c r="AJ9" i="74" a="1"/>
  <c r="AI9" i="74" a="1"/>
  <c r="AH9" i="74" a="1"/>
  <c r="AG9" i="74" a="1"/>
  <c r="AF9" i="74" a="1"/>
  <c r="AE9" i="74" a="1"/>
  <c r="AD9" i="74" a="1"/>
  <c r="AC9" i="74" a="1"/>
  <c r="AB9" i="74" a="1"/>
  <c r="AA9" i="74" a="1"/>
  <c r="Z9" i="74" a="1"/>
  <c r="Y9" i="74" a="1"/>
  <c r="X9" i="74" a="1"/>
  <c r="W9" i="74" a="1"/>
  <c r="V9" i="74" a="1"/>
  <c r="U9" i="74" a="1"/>
  <c r="T9" i="74" a="1"/>
  <c r="S9" i="74" a="1"/>
  <c r="R9" i="74" a="1"/>
  <c r="Q9" i="74" a="1"/>
  <c r="P9" i="74" a="1"/>
  <c r="O9" i="74" a="1"/>
  <c r="N9" i="74" a="1"/>
  <c r="M9" i="74" a="1"/>
  <c r="L9" i="74" a="1"/>
  <c r="K9" i="74" a="1"/>
  <c r="J9" i="74" a="1"/>
  <c r="G9" i="74"/>
  <c r="AK8" i="74" a="1"/>
  <c r="AJ8" i="74" a="1"/>
  <c r="AI8" i="74" a="1"/>
  <c r="AH8" i="74" a="1"/>
  <c r="AG8" i="74" a="1"/>
  <c r="AF8" i="74" a="1"/>
  <c r="AE8" i="74" a="1"/>
  <c r="AD8" i="74" a="1"/>
  <c r="AC8" i="74" a="1"/>
  <c r="AB8" i="74" a="1"/>
  <c r="AA8" i="74" a="1"/>
  <c r="Z8" i="74" a="1"/>
  <c r="Y8" i="74" a="1"/>
  <c r="X8" i="74" a="1"/>
  <c r="W8" i="74" a="1"/>
  <c r="V8" i="74" a="1"/>
  <c r="U8" i="74" a="1"/>
  <c r="T8" i="74" a="1"/>
  <c r="S8" i="74" a="1"/>
  <c r="R8" i="74" a="1"/>
  <c r="Q8" i="74" a="1"/>
  <c r="P8" i="74" a="1"/>
  <c r="O8" i="74" a="1"/>
  <c r="N8" i="74" a="1"/>
  <c r="M8" i="74" a="1"/>
  <c r="L8" i="74" a="1"/>
  <c r="K8" i="74" a="1"/>
  <c r="J8" i="74" a="1"/>
  <c r="G8" i="74"/>
  <c r="AK7" i="74" a="1"/>
  <c r="AJ7" i="74" a="1"/>
  <c r="AI7" i="74" a="1"/>
  <c r="AH7" i="74" a="1"/>
  <c r="AG7" i="74" a="1"/>
  <c r="AF7" i="74" a="1"/>
  <c r="AE7" i="74" a="1"/>
  <c r="AD7" i="74" a="1"/>
  <c r="AC7" i="74" a="1"/>
  <c r="AB7" i="74" a="1"/>
  <c r="AA7" i="74" a="1"/>
  <c r="Z7" i="74" a="1"/>
  <c r="Y7" i="74" a="1"/>
  <c r="X7" i="74" a="1"/>
  <c r="W7" i="74" a="1"/>
  <c r="V7" i="74" a="1"/>
  <c r="U7" i="74" a="1"/>
  <c r="T7" i="74" a="1"/>
  <c r="S7" i="74" a="1"/>
  <c r="R7" i="74" a="1"/>
  <c r="Q7" i="74" a="1"/>
  <c r="P7" i="74" a="1"/>
  <c r="O7" i="74" a="1"/>
  <c r="N7" i="74" a="1"/>
  <c r="M7" i="74" a="1"/>
  <c r="L7" i="74" a="1"/>
  <c r="K7" i="74" a="1"/>
  <c r="J7" i="74" a="1"/>
  <c r="G7" i="74"/>
  <c r="AK6" i="74" a="1"/>
  <c r="AJ6" i="74" a="1"/>
  <c r="AI6" i="74" a="1"/>
  <c r="AH6" i="74" a="1"/>
  <c r="AG6" i="74" a="1"/>
  <c r="AF6" i="74" a="1"/>
  <c r="AE6" i="74" a="1"/>
  <c r="AD6" i="74" a="1"/>
  <c r="AC6" i="74" a="1"/>
  <c r="AB6" i="74" a="1"/>
  <c r="AA6" i="74" a="1"/>
  <c r="Z6" i="74" a="1"/>
  <c r="Y6" i="74" a="1"/>
  <c r="X6" i="74" a="1"/>
  <c r="W6" i="74" a="1"/>
  <c r="V6" i="74" a="1"/>
  <c r="U6" i="74" a="1"/>
  <c r="T6" i="74" a="1"/>
  <c r="S6" i="74" a="1"/>
  <c r="R6" i="74" a="1"/>
  <c r="Q6" i="74" a="1"/>
  <c r="P6" i="74" a="1"/>
  <c r="O6" i="74" a="1"/>
  <c r="N6" i="74" a="1"/>
  <c r="M6" i="74" a="1"/>
  <c r="L6" i="74" a="1"/>
  <c r="K6" i="74" a="1"/>
  <c r="J6" i="74" a="1"/>
  <c r="G6" i="74"/>
  <c r="AK5" i="74" a="1"/>
  <c r="AJ5" i="74" a="1"/>
  <c r="AI5" i="74" a="1"/>
  <c r="AH5" i="74" a="1"/>
  <c r="AG5" i="74" a="1"/>
  <c r="AF5" i="74" a="1"/>
  <c r="AE5" i="74" a="1"/>
  <c r="AD5" i="74" a="1"/>
  <c r="AC5" i="74" a="1"/>
  <c r="AB5" i="74" a="1"/>
  <c r="AA5" i="74" a="1"/>
  <c r="Z5" i="74" a="1"/>
  <c r="Y5" i="74" a="1"/>
  <c r="X5" i="74" a="1"/>
  <c r="W5" i="74" a="1"/>
  <c r="V5" i="74" a="1"/>
  <c r="U5" i="74" a="1"/>
  <c r="T5" i="74" a="1"/>
  <c r="S5" i="74" a="1"/>
  <c r="R5" i="74" a="1"/>
  <c r="Q5" i="74" a="1"/>
  <c r="P5" i="74" a="1"/>
  <c r="O5" i="74" a="1"/>
  <c r="N5" i="74" a="1"/>
  <c r="M5" i="74" a="1"/>
  <c r="L5" i="74" a="1"/>
  <c r="K5" i="74" a="1"/>
  <c r="J5" i="74" a="1"/>
  <c r="G5" i="74"/>
  <c r="AK4" i="74" a="1"/>
  <c r="AJ4" i="74" a="1"/>
  <c r="AI4" i="74" a="1"/>
  <c r="AH4" i="74" a="1"/>
  <c r="AG4" i="74" a="1"/>
  <c r="AF4" i="74" a="1"/>
  <c r="AE4" i="74" a="1"/>
  <c r="AD4" i="74" a="1"/>
  <c r="AC4" i="74" a="1"/>
  <c r="AB4" i="74" a="1"/>
  <c r="AA4" i="74" a="1"/>
  <c r="Z4" i="74" a="1"/>
  <c r="Y4" i="74" a="1"/>
  <c r="X4" i="74" a="1"/>
  <c r="W4" i="74" a="1"/>
  <c r="V4" i="74" a="1"/>
  <c r="U4" i="74" a="1"/>
  <c r="T4" i="74" a="1"/>
  <c r="S4" i="74" a="1"/>
  <c r="R4" i="74" a="1"/>
  <c r="Q4" i="74" a="1"/>
  <c r="P4" i="74" a="1"/>
  <c r="O4" i="74" a="1"/>
  <c r="N4" i="74" a="1"/>
  <c r="M4" i="74" a="1"/>
  <c r="L4" i="74" a="1"/>
  <c r="K4" i="74" a="1"/>
  <c r="J4" i="74" a="1"/>
  <c r="G4" i="74"/>
  <c r="AK3" i="74" a="1"/>
  <c r="AJ3" i="74" a="1"/>
  <c r="AI3" i="74" a="1"/>
  <c r="AH3" i="74" a="1"/>
  <c r="AG3" i="74" a="1"/>
  <c r="AF3" i="74" a="1"/>
  <c r="AE3" i="74" a="1"/>
  <c r="AD3" i="74" a="1"/>
  <c r="AC3" i="74" a="1"/>
  <c r="AB3" i="74" a="1"/>
  <c r="AA3" i="74" a="1"/>
  <c r="Z3" i="74" a="1"/>
  <c r="Y3" i="74" a="1"/>
  <c r="X3" i="74" a="1"/>
  <c r="W3" i="74" a="1"/>
  <c r="V3" i="74" a="1"/>
  <c r="U3" i="74" a="1"/>
  <c r="T3" i="74" a="1"/>
  <c r="S3" i="74" a="1"/>
  <c r="R3" i="74" a="1"/>
  <c r="Q3" i="74" a="1"/>
  <c r="P3" i="74" a="1"/>
  <c r="O3" i="74" a="1"/>
  <c r="N3" i="74" a="1"/>
  <c r="M3" i="74" a="1"/>
  <c r="L3" i="74" a="1"/>
  <c r="K3" i="74" a="1"/>
  <c r="J3" i="74" a="1"/>
  <c r="G3" i="74"/>
  <c r="AS33" i="73"/>
  <c r="AK32" i="73" a="1"/>
  <c r="AJ32" i="73" a="1"/>
  <c r="AI32" i="73" a="1"/>
  <c r="AH32" i="73" a="1"/>
  <c r="AG32" i="73" a="1"/>
  <c r="AF32" i="73" a="1"/>
  <c r="AE32" i="73" a="1"/>
  <c r="AD32" i="73" a="1"/>
  <c r="AC32" i="73" a="1"/>
  <c r="AB32" i="73" a="1"/>
  <c r="AA32" i="73" a="1"/>
  <c r="Z32" i="73" a="1"/>
  <c r="Y32" i="73" a="1"/>
  <c r="X32" i="73" a="1"/>
  <c r="W32" i="73" a="1"/>
  <c r="V32" i="73" a="1"/>
  <c r="U32" i="73" a="1"/>
  <c r="T32" i="73" a="1"/>
  <c r="S32" i="73" a="1"/>
  <c r="R32" i="73" a="1"/>
  <c r="Q32" i="73" a="1"/>
  <c r="P32" i="73" a="1"/>
  <c r="O32" i="73" a="1"/>
  <c r="N32" i="73" a="1"/>
  <c r="M32" i="73" a="1"/>
  <c r="L32" i="73" a="1"/>
  <c r="K32" i="73" a="1"/>
  <c r="J32" i="73" a="1"/>
  <c r="G32" i="73"/>
  <c r="AK31" i="73" a="1"/>
  <c r="AJ31" i="73" a="1"/>
  <c r="AI31" i="73" a="1"/>
  <c r="AH31" i="73" a="1"/>
  <c r="AG31" i="73" a="1"/>
  <c r="AF31" i="73" a="1"/>
  <c r="AE31" i="73" a="1"/>
  <c r="AD31" i="73" a="1"/>
  <c r="AC31" i="73" a="1"/>
  <c r="AB31" i="73" a="1"/>
  <c r="AA31" i="73" a="1"/>
  <c r="Z31" i="73" a="1"/>
  <c r="Y31" i="73" a="1"/>
  <c r="X31" i="73" a="1"/>
  <c r="W31" i="73" a="1"/>
  <c r="V31" i="73" a="1"/>
  <c r="U31" i="73" a="1"/>
  <c r="T31" i="73" a="1"/>
  <c r="S31" i="73" a="1"/>
  <c r="R31" i="73" a="1"/>
  <c r="Q31" i="73" a="1"/>
  <c r="P31" i="73" a="1"/>
  <c r="O31" i="73" a="1"/>
  <c r="N31" i="73" a="1"/>
  <c r="M31" i="73" a="1"/>
  <c r="L31" i="73" a="1"/>
  <c r="K31" i="73" a="1"/>
  <c r="J31" i="73" a="1"/>
  <c r="G31" i="73"/>
  <c r="AK30" i="73" a="1"/>
  <c r="AJ30" i="73" a="1"/>
  <c r="AI30" i="73" a="1"/>
  <c r="AH30" i="73" a="1"/>
  <c r="AG30" i="73" a="1"/>
  <c r="AF30" i="73" a="1"/>
  <c r="AE30" i="73" a="1"/>
  <c r="AD30" i="73" a="1"/>
  <c r="AC30" i="73" a="1"/>
  <c r="AB30" i="73" a="1"/>
  <c r="AA30" i="73" a="1"/>
  <c r="Z30" i="73" a="1"/>
  <c r="Y30" i="73" a="1"/>
  <c r="X30" i="73" a="1"/>
  <c r="W30" i="73" a="1"/>
  <c r="V30" i="73" a="1"/>
  <c r="U30" i="73" a="1"/>
  <c r="T30" i="73" a="1"/>
  <c r="S30" i="73" a="1"/>
  <c r="R30" i="73" a="1"/>
  <c r="Q30" i="73" a="1"/>
  <c r="P30" i="73" a="1"/>
  <c r="O30" i="73" a="1"/>
  <c r="N30" i="73" a="1"/>
  <c r="M30" i="73" a="1"/>
  <c r="L30" i="73" a="1"/>
  <c r="K30" i="73" a="1"/>
  <c r="J30" i="73" a="1"/>
  <c r="G30" i="73"/>
  <c r="AK29" i="73" a="1"/>
  <c r="AJ29" i="73" a="1"/>
  <c r="AI29" i="73" a="1"/>
  <c r="AH29" i="73" a="1"/>
  <c r="AG29" i="73" a="1"/>
  <c r="AF29" i="73" a="1"/>
  <c r="AE29" i="73" a="1"/>
  <c r="AD29" i="73" a="1"/>
  <c r="AC29" i="73" a="1"/>
  <c r="AB29" i="73" a="1"/>
  <c r="AA29" i="73" a="1"/>
  <c r="Z29" i="73" a="1"/>
  <c r="Y29" i="73" a="1"/>
  <c r="X29" i="73" a="1"/>
  <c r="W29" i="73" a="1"/>
  <c r="V29" i="73" a="1"/>
  <c r="U29" i="73" a="1"/>
  <c r="T29" i="73" a="1"/>
  <c r="S29" i="73" a="1"/>
  <c r="R29" i="73" a="1"/>
  <c r="Q29" i="73" a="1"/>
  <c r="P29" i="73" a="1"/>
  <c r="O29" i="73" a="1"/>
  <c r="N29" i="73" a="1"/>
  <c r="M29" i="73" a="1"/>
  <c r="L29" i="73" a="1"/>
  <c r="K29" i="73" a="1"/>
  <c r="J29" i="73" a="1"/>
  <c r="G29" i="73"/>
  <c r="AK28" i="73" a="1"/>
  <c r="AJ28" i="73" a="1"/>
  <c r="AI28" i="73" a="1"/>
  <c r="AH28" i="73" a="1"/>
  <c r="AG28" i="73" a="1"/>
  <c r="AF28" i="73" a="1"/>
  <c r="AE28" i="73" a="1"/>
  <c r="AD28" i="73" a="1"/>
  <c r="AC28" i="73" a="1"/>
  <c r="AB28" i="73" a="1"/>
  <c r="AA28" i="73" a="1"/>
  <c r="Z28" i="73" a="1"/>
  <c r="Y28" i="73" a="1"/>
  <c r="X28" i="73" a="1"/>
  <c r="W28" i="73" a="1"/>
  <c r="V28" i="73" a="1"/>
  <c r="U28" i="73" a="1"/>
  <c r="T28" i="73" a="1"/>
  <c r="S28" i="73" a="1"/>
  <c r="R28" i="73" a="1"/>
  <c r="Q28" i="73" a="1"/>
  <c r="P28" i="73" a="1"/>
  <c r="O28" i="73" a="1"/>
  <c r="N28" i="73" a="1"/>
  <c r="M28" i="73" a="1"/>
  <c r="L28" i="73" a="1"/>
  <c r="K28" i="73" a="1"/>
  <c r="J28" i="73" a="1"/>
  <c r="G28" i="73"/>
  <c r="AK27" i="73" a="1"/>
  <c r="AJ27" i="73" a="1"/>
  <c r="AI27" i="73" a="1"/>
  <c r="AH27" i="73" a="1"/>
  <c r="AG27" i="73" a="1"/>
  <c r="AF27" i="73" a="1"/>
  <c r="AE27" i="73" a="1"/>
  <c r="AD27" i="73" a="1"/>
  <c r="AC27" i="73" a="1"/>
  <c r="AB27" i="73" a="1"/>
  <c r="AA27" i="73" a="1"/>
  <c r="Z27" i="73" a="1"/>
  <c r="Y27" i="73" a="1"/>
  <c r="X27" i="73" a="1"/>
  <c r="W27" i="73" a="1"/>
  <c r="V27" i="73" a="1"/>
  <c r="U27" i="73" a="1"/>
  <c r="T27" i="73" a="1"/>
  <c r="S27" i="73" a="1"/>
  <c r="R27" i="73" a="1"/>
  <c r="Q27" i="73" a="1"/>
  <c r="P27" i="73" a="1"/>
  <c r="O27" i="73" a="1"/>
  <c r="N27" i="73" a="1"/>
  <c r="M27" i="73" a="1"/>
  <c r="L27" i="73" a="1"/>
  <c r="K27" i="73" a="1"/>
  <c r="J27" i="73" a="1"/>
  <c r="G27" i="73"/>
  <c r="AK26" i="73" a="1"/>
  <c r="AJ26" i="73" a="1"/>
  <c r="AI26" i="73" a="1"/>
  <c r="AH26" i="73" a="1"/>
  <c r="AG26" i="73" a="1"/>
  <c r="AF26" i="73" a="1"/>
  <c r="AE26" i="73" a="1"/>
  <c r="AD26" i="73" a="1"/>
  <c r="AC26" i="73" a="1"/>
  <c r="AB26" i="73" a="1"/>
  <c r="AA26" i="73" a="1"/>
  <c r="Z26" i="73" a="1"/>
  <c r="Y26" i="73" a="1"/>
  <c r="X26" i="73" a="1"/>
  <c r="W26" i="73" a="1"/>
  <c r="V26" i="73" a="1"/>
  <c r="U26" i="73" a="1"/>
  <c r="T26" i="73" a="1"/>
  <c r="S26" i="73" a="1"/>
  <c r="R26" i="73" a="1"/>
  <c r="Q26" i="73" a="1"/>
  <c r="P26" i="73" a="1"/>
  <c r="O26" i="73" a="1"/>
  <c r="N26" i="73" a="1"/>
  <c r="M26" i="73" a="1"/>
  <c r="L26" i="73" a="1"/>
  <c r="K26" i="73" a="1"/>
  <c r="J26" i="73" a="1"/>
  <c r="G26" i="73"/>
  <c r="AK25" i="73" a="1"/>
  <c r="AJ25" i="73" a="1"/>
  <c r="AI25" i="73" a="1"/>
  <c r="AH25" i="73" a="1"/>
  <c r="AG25" i="73" a="1"/>
  <c r="AF25" i="73" a="1"/>
  <c r="AE25" i="73" a="1"/>
  <c r="AD25" i="73" a="1"/>
  <c r="AC25" i="73" a="1"/>
  <c r="AB25" i="73" a="1"/>
  <c r="AA25" i="73" a="1"/>
  <c r="Z25" i="73" a="1"/>
  <c r="Y25" i="73" a="1"/>
  <c r="X25" i="73" a="1"/>
  <c r="W25" i="73" a="1"/>
  <c r="V25" i="73" a="1"/>
  <c r="U25" i="73" a="1"/>
  <c r="T25" i="73" a="1"/>
  <c r="S25" i="73" a="1"/>
  <c r="R25" i="73" a="1"/>
  <c r="Q25" i="73" a="1"/>
  <c r="P25" i="73" a="1"/>
  <c r="O25" i="73" a="1"/>
  <c r="N25" i="73" a="1"/>
  <c r="M25" i="73" a="1"/>
  <c r="L25" i="73" a="1"/>
  <c r="K25" i="73" a="1"/>
  <c r="J25" i="73" a="1"/>
  <c r="G25" i="73"/>
  <c r="AK24" i="73" a="1"/>
  <c r="AJ24" i="73" a="1"/>
  <c r="AI24" i="73" a="1"/>
  <c r="AH24" i="73" a="1"/>
  <c r="AG24" i="73" a="1"/>
  <c r="AF24" i="73" a="1"/>
  <c r="AE24" i="73" a="1"/>
  <c r="AD24" i="73" a="1"/>
  <c r="AC24" i="73" a="1"/>
  <c r="AB24" i="73" a="1"/>
  <c r="AA24" i="73" a="1"/>
  <c r="Z24" i="73" a="1"/>
  <c r="Y24" i="73" a="1"/>
  <c r="X24" i="73" a="1"/>
  <c r="W24" i="73" a="1"/>
  <c r="V24" i="73" a="1"/>
  <c r="U24" i="73" a="1"/>
  <c r="T24" i="73" a="1"/>
  <c r="S24" i="73" a="1"/>
  <c r="R24" i="73" a="1"/>
  <c r="Q24" i="73" a="1"/>
  <c r="P24" i="73" a="1"/>
  <c r="O24" i="73" a="1"/>
  <c r="N24" i="73" a="1"/>
  <c r="M24" i="73" a="1"/>
  <c r="L24" i="73" a="1"/>
  <c r="K24" i="73" a="1"/>
  <c r="J24" i="73" a="1"/>
  <c r="G24" i="73"/>
  <c r="AK23" i="73" a="1"/>
  <c r="AJ23" i="73" a="1"/>
  <c r="AI23" i="73" a="1"/>
  <c r="AH23" i="73" a="1"/>
  <c r="AG23" i="73" a="1"/>
  <c r="AF23" i="73" a="1"/>
  <c r="AE23" i="73" a="1"/>
  <c r="AD23" i="73" a="1"/>
  <c r="AC23" i="73" a="1"/>
  <c r="AB23" i="73" a="1"/>
  <c r="AA23" i="73" a="1"/>
  <c r="Z23" i="73" a="1"/>
  <c r="Y23" i="73" a="1"/>
  <c r="X23" i="73" a="1"/>
  <c r="W23" i="73" a="1"/>
  <c r="V23" i="73" a="1"/>
  <c r="U23" i="73" a="1"/>
  <c r="T23" i="73" a="1"/>
  <c r="S23" i="73" a="1"/>
  <c r="R23" i="73" a="1"/>
  <c r="Q23" i="73" a="1"/>
  <c r="P23" i="73" a="1"/>
  <c r="O23" i="73" a="1"/>
  <c r="N23" i="73" a="1"/>
  <c r="M23" i="73" a="1"/>
  <c r="L23" i="73" a="1"/>
  <c r="K23" i="73" a="1"/>
  <c r="J23" i="73" a="1"/>
  <c r="G23" i="73"/>
  <c r="AK22" i="73" a="1"/>
  <c r="AJ22" i="73" a="1"/>
  <c r="AI22" i="73" a="1"/>
  <c r="AH22" i="73" a="1"/>
  <c r="AG22" i="73" a="1"/>
  <c r="AF22" i="73" a="1"/>
  <c r="AE22" i="73" a="1"/>
  <c r="AD22" i="73" a="1"/>
  <c r="AC22" i="73" a="1"/>
  <c r="AB22" i="73" a="1"/>
  <c r="AA22" i="73" a="1"/>
  <c r="Z22" i="73" a="1"/>
  <c r="Y22" i="73" a="1"/>
  <c r="X22" i="73" a="1"/>
  <c r="W22" i="73" a="1"/>
  <c r="V22" i="73" a="1"/>
  <c r="U22" i="73" a="1"/>
  <c r="T22" i="73" a="1"/>
  <c r="S22" i="73" a="1"/>
  <c r="R22" i="73" a="1"/>
  <c r="Q22" i="73" a="1"/>
  <c r="P22" i="73" a="1"/>
  <c r="O22" i="73" a="1"/>
  <c r="N22" i="73" a="1"/>
  <c r="M22" i="73" a="1"/>
  <c r="L22" i="73" a="1"/>
  <c r="K22" i="73" a="1"/>
  <c r="J22" i="73" a="1"/>
  <c r="G22" i="73"/>
  <c r="AK21" i="73" a="1"/>
  <c r="AJ21" i="73" a="1"/>
  <c r="AI21" i="73" a="1"/>
  <c r="AH21" i="73" a="1"/>
  <c r="AG21" i="73" a="1"/>
  <c r="AF21" i="73" a="1"/>
  <c r="AE21" i="73" a="1"/>
  <c r="AD21" i="73" a="1"/>
  <c r="AC21" i="73" a="1"/>
  <c r="AB21" i="73" a="1"/>
  <c r="AA21" i="73" a="1"/>
  <c r="Z21" i="73" a="1"/>
  <c r="Y21" i="73" a="1"/>
  <c r="X21" i="73" a="1"/>
  <c r="W21" i="73" a="1"/>
  <c r="V21" i="73" a="1"/>
  <c r="U21" i="73" a="1"/>
  <c r="T21" i="73" a="1"/>
  <c r="S21" i="73" a="1"/>
  <c r="R21" i="73" a="1"/>
  <c r="Q21" i="73" a="1"/>
  <c r="P21" i="73" a="1"/>
  <c r="O21" i="73" a="1"/>
  <c r="N21" i="73" a="1"/>
  <c r="M21" i="73" a="1"/>
  <c r="L21" i="73" a="1"/>
  <c r="K21" i="73" a="1"/>
  <c r="J21" i="73" a="1"/>
  <c r="G21" i="73"/>
  <c r="AK20" i="73" a="1"/>
  <c r="AJ20" i="73" a="1"/>
  <c r="AI20" i="73" a="1"/>
  <c r="AH20" i="73" a="1"/>
  <c r="AG20" i="73" a="1"/>
  <c r="AF20" i="73" a="1"/>
  <c r="AE20" i="73" a="1"/>
  <c r="AD20" i="73" a="1"/>
  <c r="AC20" i="73" a="1"/>
  <c r="AB20" i="73" a="1"/>
  <c r="AA20" i="73" a="1"/>
  <c r="Z20" i="73" a="1"/>
  <c r="Y20" i="73" a="1"/>
  <c r="X20" i="73" a="1"/>
  <c r="W20" i="73" a="1"/>
  <c r="V20" i="73" a="1"/>
  <c r="U20" i="73" a="1"/>
  <c r="T20" i="73" a="1"/>
  <c r="S20" i="73" a="1"/>
  <c r="R20" i="73" a="1"/>
  <c r="Q20" i="73" a="1"/>
  <c r="P20" i="73" a="1"/>
  <c r="O20" i="73" a="1"/>
  <c r="N20" i="73" a="1"/>
  <c r="M20" i="73" a="1"/>
  <c r="L20" i="73" a="1"/>
  <c r="K20" i="73" a="1"/>
  <c r="J20" i="73" a="1"/>
  <c r="G20" i="73"/>
  <c r="AK19" i="73" a="1"/>
  <c r="AJ19" i="73" a="1"/>
  <c r="AI19" i="73" a="1"/>
  <c r="AH19" i="73" a="1"/>
  <c r="AG19" i="73" a="1"/>
  <c r="AF19" i="73" a="1"/>
  <c r="AE19" i="73" a="1"/>
  <c r="AD19" i="73" a="1"/>
  <c r="AC19" i="73" a="1"/>
  <c r="AB19" i="73" a="1"/>
  <c r="AA19" i="73" a="1"/>
  <c r="Z19" i="73" a="1"/>
  <c r="Y19" i="73" a="1"/>
  <c r="X19" i="73" a="1"/>
  <c r="W19" i="73" a="1"/>
  <c r="V19" i="73" a="1"/>
  <c r="U19" i="73" a="1"/>
  <c r="T19" i="73" a="1"/>
  <c r="S19" i="73" a="1"/>
  <c r="R19" i="73" a="1"/>
  <c r="Q19" i="73" a="1"/>
  <c r="P19" i="73" a="1"/>
  <c r="O19" i="73" a="1"/>
  <c r="N19" i="73" a="1"/>
  <c r="M19" i="73" a="1"/>
  <c r="L19" i="73" a="1"/>
  <c r="K19" i="73" a="1"/>
  <c r="J19" i="73" a="1"/>
  <c r="G19" i="73"/>
  <c r="AK18" i="73" a="1"/>
  <c r="AJ18" i="73" a="1"/>
  <c r="AI18" i="73" a="1"/>
  <c r="AH18" i="73" a="1"/>
  <c r="AG18" i="73" a="1"/>
  <c r="AF18" i="73" a="1"/>
  <c r="AE18" i="73" a="1"/>
  <c r="AD18" i="73" a="1"/>
  <c r="AC18" i="73" a="1"/>
  <c r="AB18" i="73" a="1"/>
  <c r="AA18" i="73" a="1"/>
  <c r="Z18" i="73" a="1"/>
  <c r="Y18" i="73" a="1"/>
  <c r="X18" i="73" a="1"/>
  <c r="W18" i="73" a="1"/>
  <c r="V18" i="73" a="1"/>
  <c r="U18" i="73" a="1"/>
  <c r="T18" i="73" a="1"/>
  <c r="S18" i="73" a="1"/>
  <c r="R18" i="73" a="1"/>
  <c r="Q18" i="73" a="1"/>
  <c r="P18" i="73" a="1"/>
  <c r="O18" i="73" a="1"/>
  <c r="N18" i="73" a="1"/>
  <c r="M18" i="73" a="1"/>
  <c r="L18" i="73" a="1"/>
  <c r="K18" i="73" a="1"/>
  <c r="J18" i="73" a="1"/>
  <c r="G18" i="73"/>
  <c r="AK17" i="73" a="1"/>
  <c r="AJ17" i="73" a="1"/>
  <c r="AI17" i="73" a="1"/>
  <c r="AH17" i="73" a="1"/>
  <c r="AG17" i="73" a="1"/>
  <c r="AF17" i="73" a="1"/>
  <c r="AE17" i="73" a="1"/>
  <c r="AD17" i="73" a="1"/>
  <c r="AC17" i="73" a="1"/>
  <c r="AB17" i="73" a="1"/>
  <c r="AA17" i="73" a="1"/>
  <c r="Z17" i="73" a="1"/>
  <c r="Y17" i="73" a="1"/>
  <c r="X17" i="73" a="1"/>
  <c r="W17" i="73" a="1"/>
  <c r="V17" i="73" a="1"/>
  <c r="U17" i="73" a="1"/>
  <c r="T17" i="73" a="1"/>
  <c r="S17" i="73" a="1"/>
  <c r="R17" i="73" a="1"/>
  <c r="Q17" i="73" a="1"/>
  <c r="P17" i="73" a="1"/>
  <c r="O17" i="73" a="1"/>
  <c r="N17" i="73" a="1"/>
  <c r="M17" i="73" a="1"/>
  <c r="L17" i="73" a="1"/>
  <c r="K17" i="73" a="1"/>
  <c r="J17" i="73" a="1"/>
  <c r="G17" i="73"/>
  <c r="AK16" i="73" a="1"/>
  <c r="AJ16" i="73" a="1"/>
  <c r="AI16" i="73" a="1"/>
  <c r="AH16" i="73" a="1"/>
  <c r="AG16" i="73" a="1"/>
  <c r="AF16" i="73" a="1"/>
  <c r="AE16" i="73" a="1"/>
  <c r="AD16" i="73" a="1"/>
  <c r="AC16" i="73" a="1"/>
  <c r="AB16" i="73" a="1"/>
  <c r="AA16" i="73" a="1"/>
  <c r="Z16" i="73" a="1"/>
  <c r="Y16" i="73" a="1"/>
  <c r="X16" i="73" a="1"/>
  <c r="W16" i="73" a="1"/>
  <c r="V16" i="73" a="1"/>
  <c r="U16" i="73" a="1"/>
  <c r="T16" i="73" a="1"/>
  <c r="S16" i="73" a="1"/>
  <c r="R16" i="73" a="1"/>
  <c r="Q16" i="73" a="1"/>
  <c r="P16" i="73" a="1"/>
  <c r="O16" i="73" a="1"/>
  <c r="N16" i="73" a="1"/>
  <c r="M16" i="73" a="1"/>
  <c r="L16" i="73" a="1"/>
  <c r="K16" i="73" a="1"/>
  <c r="J16" i="73" a="1"/>
  <c r="G16" i="73"/>
  <c r="AK15" i="73" a="1"/>
  <c r="AJ15" i="73" a="1"/>
  <c r="AI15" i="73" a="1"/>
  <c r="AH15" i="73" a="1"/>
  <c r="AG15" i="73" a="1"/>
  <c r="AF15" i="73" a="1"/>
  <c r="AE15" i="73" a="1"/>
  <c r="AD15" i="73" a="1"/>
  <c r="AC15" i="73" a="1"/>
  <c r="AB15" i="73" a="1"/>
  <c r="AA15" i="73" a="1"/>
  <c r="Z15" i="73" a="1"/>
  <c r="Y15" i="73" a="1"/>
  <c r="X15" i="73" a="1"/>
  <c r="W15" i="73" a="1"/>
  <c r="V15" i="73" a="1"/>
  <c r="U15" i="73" a="1"/>
  <c r="T15" i="73" a="1"/>
  <c r="S15" i="73" a="1"/>
  <c r="R15" i="73" a="1"/>
  <c r="Q15" i="73" a="1"/>
  <c r="P15" i="73" a="1"/>
  <c r="O15" i="73" a="1"/>
  <c r="N15" i="73" a="1"/>
  <c r="M15" i="73" a="1"/>
  <c r="L15" i="73" a="1"/>
  <c r="K15" i="73" a="1"/>
  <c r="J15" i="73" a="1"/>
  <c r="G15" i="73"/>
  <c r="AK14" i="73" a="1"/>
  <c r="AJ14" i="73" a="1"/>
  <c r="AI14" i="73" a="1"/>
  <c r="AH14" i="73" a="1"/>
  <c r="AG14" i="73" a="1"/>
  <c r="AF14" i="73" a="1"/>
  <c r="AE14" i="73" a="1"/>
  <c r="AD14" i="73" a="1"/>
  <c r="AC14" i="73" a="1"/>
  <c r="AB14" i="73" a="1"/>
  <c r="AA14" i="73" a="1"/>
  <c r="Z14" i="73" a="1"/>
  <c r="Y14" i="73" a="1"/>
  <c r="X14" i="73" a="1"/>
  <c r="W14" i="73" a="1"/>
  <c r="V14" i="73" a="1"/>
  <c r="U14" i="73" a="1"/>
  <c r="T14" i="73" a="1"/>
  <c r="S14" i="73" a="1"/>
  <c r="R14" i="73" a="1"/>
  <c r="Q14" i="73" a="1"/>
  <c r="P14" i="73" a="1"/>
  <c r="O14" i="73" a="1"/>
  <c r="N14" i="73" a="1"/>
  <c r="M14" i="73" a="1"/>
  <c r="L14" i="73" a="1"/>
  <c r="K14" i="73" a="1"/>
  <c r="J14" i="73" a="1"/>
  <c r="G14" i="73"/>
  <c r="AK13" i="73" a="1"/>
  <c r="AJ13" i="73" a="1"/>
  <c r="AI13" i="73" a="1"/>
  <c r="AH13" i="73" a="1"/>
  <c r="AG13" i="73" a="1"/>
  <c r="AF13" i="73" a="1"/>
  <c r="AE13" i="73" a="1"/>
  <c r="AD13" i="73" a="1"/>
  <c r="AC13" i="73" a="1"/>
  <c r="AB13" i="73" a="1"/>
  <c r="AA13" i="73" a="1"/>
  <c r="Z13" i="73" a="1"/>
  <c r="Y13" i="73" a="1"/>
  <c r="X13" i="73" a="1"/>
  <c r="W13" i="73" a="1"/>
  <c r="V13" i="73" a="1"/>
  <c r="U13" i="73" a="1"/>
  <c r="T13" i="73" a="1"/>
  <c r="S13" i="73" a="1"/>
  <c r="R13" i="73" a="1"/>
  <c r="Q13" i="73" a="1"/>
  <c r="P13" i="73" a="1"/>
  <c r="O13" i="73" a="1"/>
  <c r="N13" i="73" a="1"/>
  <c r="M13" i="73" a="1"/>
  <c r="L13" i="73" a="1"/>
  <c r="K13" i="73" a="1"/>
  <c r="J13" i="73" a="1"/>
  <c r="G13" i="73"/>
  <c r="AK12" i="73" a="1"/>
  <c r="AJ12" i="73" a="1"/>
  <c r="AI12" i="73" a="1"/>
  <c r="AH12" i="73" a="1"/>
  <c r="AG12" i="73" a="1"/>
  <c r="AF12" i="73" a="1"/>
  <c r="AE12" i="73" a="1"/>
  <c r="AD12" i="73" a="1"/>
  <c r="AC12" i="73" a="1"/>
  <c r="AB12" i="73" a="1"/>
  <c r="AA12" i="73" a="1"/>
  <c r="Z12" i="73" a="1"/>
  <c r="Y12" i="73" a="1"/>
  <c r="X12" i="73" a="1"/>
  <c r="W12" i="73" a="1"/>
  <c r="V12" i="73" a="1"/>
  <c r="U12" i="73" a="1"/>
  <c r="T12" i="73" a="1"/>
  <c r="S12" i="73" a="1"/>
  <c r="R12" i="73" a="1"/>
  <c r="Q12" i="73" a="1"/>
  <c r="P12" i="73" a="1"/>
  <c r="O12" i="73" a="1"/>
  <c r="N12" i="73" a="1"/>
  <c r="M12" i="73" a="1"/>
  <c r="L12" i="73" a="1"/>
  <c r="K12" i="73" a="1"/>
  <c r="J12" i="73" a="1"/>
  <c r="G12" i="73"/>
  <c r="AK11" i="73" a="1"/>
  <c r="AJ11" i="73" a="1"/>
  <c r="AI11" i="73" a="1"/>
  <c r="AH11" i="73" a="1"/>
  <c r="AG11" i="73" a="1"/>
  <c r="AF11" i="73" a="1"/>
  <c r="AE11" i="73" a="1"/>
  <c r="AD11" i="73" a="1"/>
  <c r="AC11" i="73" a="1"/>
  <c r="AB11" i="73" a="1"/>
  <c r="AA11" i="73" a="1"/>
  <c r="Z11" i="73" a="1"/>
  <c r="Y11" i="73" a="1"/>
  <c r="X11" i="73" a="1"/>
  <c r="W11" i="73" a="1"/>
  <c r="V11" i="73" a="1"/>
  <c r="U11" i="73" a="1"/>
  <c r="T11" i="73" a="1"/>
  <c r="S11" i="73" a="1"/>
  <c r="R11" i="73" a="1"/>
  <c r="Q11" i="73" a="1"/>
  <c r="P11" i="73" a="1"/>
  <c r="O11" i="73" a="1"/>
  <c r="N11" i="73" a="1"/>
  <c r="M11" i="73" a="1"/>
  <c r="L11" i="73" a="1"/>
  <c r="K11" i="73" a="1"/>
  <c r="J11" i="73" a="1"/>
  <c r="G11" i="73"/>
  <c r="AK10" i="73" a="1"/>
  <c r="AJ10" i="73" a="1"/>
  <c r="AI10" i="73" a="1"/>
  <c r="AH10" i="73" a="1"/>
  <c r="AG10" i="73" a="1"/>
  <c r="AF10" i="73" a="1"/>
  <c r="AE10" i="73" a="1"/>
  <c r="AD10" i="73" a="1"/>
  <c r="AC10" i="73" a="1"/>
  <c r="AB10" i="73" a="1"/>
  <c r="AA10" i="73" a="1"/>
  <c r="Z10" i="73" a="1"/>
  <c r="Y10" i="73" a="1"/>
  <c r="X10" i="73" a="1"/>
  <c r="W10" i="73" a="1"/>
  <c r="V10" i="73" a="1"/>
  <c r="U10" i="73" a="1"/>
  <c r="T10" i="73" a="1"/>
  <c r="S10" i="73" a="1"/>
  <c r="R10" i="73" a="1"/>
  <c r="Q10" i="73" a="1"/>
  <c r="P10" i="73" a="1"/>
  <c r="O10" i="73" a="1"/>
  <c r="N10" i="73" a="1"/>
  <c r="M10" i="73" a="1"/>
  <c r="L10" i="73" a="1"/>
  <c r="K10" i="73" a="1"/>
  <c r="J10" i="73" a="1"/>
  <c r="G10" i="73"/>
  <c r="AK9" i="73" a="1"/>
  <c r="AJ9" i="73" a="1"/>
  <c r="AI9" i="73" a="1"/>
  <c r="AH9" i="73" a="1"/>
  <c r="AG9" i="73" a="1"/>
  <c r="AF9" i="73" a="1"/>
  <c r="AE9" i="73" a="1"/>
  <c r="AD9" i="73" a="1"/>
  <c r="AC9" i="73" a="1"/>
  <c r="AB9" i="73" a="1"/>
  <c r="AA9" i="73" a="1"/>
  <c r="Z9" i="73" a="1"/>
  <c r="Y9" i="73" a="1"/>
  <c r="X9" i="73" a="1"/>
  <c r="W9" i="73" a="1"/>
  <c r="V9" i="73" a="1"/>
  <c r="U9" i="73" a="1"/>
  <c r="T9" i="73" a="1"/>
  <c r="S9" i="73" a="1"/>
  <c r="R9" i="73" a="1"/>
  <c r="Q9" i="73" a="1"/>
  <c r="P9" i="73" a="1"/>
  <c r="O9" i="73" a="1"/>
  <c r="N9" i="73" a="1"/>
  <c r="M9" i="73" a="1"/>
  <c r="L9" i="73" a="1"/>
  <c r="K9" i="73" a="1"/>
  <c r="J9" i="73" a="1"/>
  <c r="G9" i="73"/>
  <c r="AK8" i="73" a="1"/>
  <c r="AJ8" i="73" a="1"/>
  <c r="AI8" i="73" a="1"/>
  <c r="AH8" i="73" a="1"/>
  <c r="AG8" i="73" a="1"/>
  <c r="AF8" i="73" a="1"/>
  <c r="AE8" i="73" a="1"/>
  <c r="AD8" i="73" a="1"/>
  <c r="AC8" i="73" a="1"/>
  <c r="AB8" i="73" a="1"/>
  <c r="AA8" i="73" a="1"/>
  <c r="Z8" i="73" a="1"/>
  <c r="Y8" i="73" a="1"/>
  <c r="X8" i="73" a="1"/>
  <c r="W8" i="73" a="1"/>
  <c r="V8" i="73" a="1"/>
  <c r="U8" i="73" a="1"/>
  <c r="T8" i="73" a="1"/>
  <c r="S8" i="73" a="1"/>
  <c r="R8" i="73" a="1"/>
  <c r="Q8" i="73" a="1"/>
  <c r="P8" i="73" a="1"/>
  <c r="O8" i="73" a="1"/>
  <c r="N8" i="73" a="1"/>
  <c r="M8" i="73" a="1"/>
  <c r="L8" i="73" a="1"/>
  <c r="K8" i="73" a="1"/>
  <c r="J8" i="73" a="1"/>
  <c r="G8" i="73"/>
  <c r="AK7" i="73" a="1"/>
  <c r="AJ7" i="73" a="1"/>
  <c r="AI7" i="73" a="1"/>
  <c r="AH7" i="73" a="1"/>
  <c r="AG7" i="73" a="1"/>
  <c r="AF7" i="73" a="1"/>
  <c r="AE7" i="73" a="1"/>
  <c r="AD7" i="73" a="1"/>
  <c r="AC7" i="73" a="1"/>
  <c r="AB7" i="73" a="1"/>
  <c r="AA7" i="73" a="1"/>
  <c r="Z7" i="73" a="1"/>
  <c r="Y7" i="73" a="1"/>
  <c r="X7" i="73" a="1"/>
  <c r="W7" i="73" a="1"/>
  <c r="V7" i="73" a="1"/>
  <c r="U7" i="73" a="1"/>
  <c r="T7" i="73" a="1"/>
  <c r="S7" i="73" a="1"/>
  <c r="R7" i="73" a="1"/>
  <c r="Q7" i="73" a="1"/>
  <c r="P7" i="73" a="1"/>
  <c r="O7" i="73" a="1"/>
  <c r="N7" i="73" a="1"/>
  <c r="M7" i="73" a="1"/>
  <c r="L7" i="73" a="1"/>
  <c r="K7" i="73" a="1"/>
  <c r="J7" i="73" a="1"/>
  <c r="G7" i="73"/>
  <c r="AK6" i="73" a="1"/>
  <c r="AJ6" i="73" a="1"/>
  <c r="AI6" i="73" a="1"/>
  <c r="AH6" i="73" a="1"/>
  <c r="AG6" i="73" a="1"/>
  <c r="AF6" i="73" a="1"/>
  <c r="AE6" i="73" a="1"/>
  <c r="AD6" i="73" a="1"/>
  <c r="AC6" i="73" a="1"/>
  <c r="AB6" i="73" a="1"/>
  <c r="AA6" i="73" a="1"/>
  <c r="Z6" i="73" a="1"/>
  <c r="Y6" i="73" a="1"/>
  <c r="X6" i="73" a="1"/>
  <c r="W6" i="73" a="1"/>
  <c r="V6" i="73" a="1"/>
  <c r="U6" i="73" a="1"/>
  <c r="T6" i="73" a="1"/>
  <c r="S6" i="73" a="1"/>
  <c r="R6" i="73" a="1"/>
  <c r="Q6" i="73" a="1"/>
  <c r="P6" i="73" a="1"/>
  <c r="O6" i="73" a="1"/>
  <c r="N6" i="73" a="1"/>
  <c r="M6" i="73" a="1"/>
  <c r="L6" i="73" a="1"/>
  <c r="K6" i="73" a="1"/>
  <c r="J6" i="73" a="1"/>
  <c r="G6" i="73"/>
  <c r="AK5" i="73" a="1"/>
  <c r="AJ5" i="73" a="1"/>
  <c r="AI5" i="73" a="1"/>
  <c r="AH5" i="73" a="1"/>
  <c r="AG5" i="73" a="1"/>
  <c r="AF5" i="73" a="1"/>
  <c r="AE5" i="73" a="1"/>
  <c r="AD5" i="73" a="1"/>
  <c r="AC5" i="73" a="1"/>
  <c r="AB5" i="73" a="1"/>
  <c r="AA5" i="73" a="1"/>
  <c r="Z5" i="73" a="1"/>
  <c r="Y5" i="73" a="1"/>
  <c r="X5" i="73" a="1"/>
  <c r="W5" i="73" a="1"/>
  <c r="V5" i="73" a="1"/>
  <c r="U5" i="73" a="1"/>
  <c r="T5" i="73" a="1"/>
  <c r="S5" i="73" a="1"/>
  <c r="R5" i="73" a="1"/>
  <c r="Q5" i="73" a="1"/>
  <c r="P5" i="73" a="1"/>
  <c r="O5" i="73" a="1"/>
  <c r="N5" i="73" a="1"/>
  <c r="M5" i="73" a="1"/>
  <c r="L5" i="73" a="1"/>
  <c r="K5" i="73" a="1"/>
  <c r="J5" i="73" a="1"/>
  <c r="G5" i="73"/>
  <c r="AK4" i="73" a="1"/>
  <c r="AJ4" i="73" a="1"/>
  <c r="AI4" i="73" a="1"/>
  <c r="AH4" i="73" a="1"/>
  <c r="AG4" i="73" a="1"/>
  <c r="AF4" i="73" a="1"/>
  <c r="AE4" i="73" a="1"/>
  <c r="AD4" i="73" a="1"/>
  <c r="AC4" i="73" a="1"/>
  <c r="AB4" i="73" a="1"/>
  <c r="AA4" i="73" a="1"/>
  <c r="Z4" i="73" a="1"/>
  <c r="Y4" i="73" a="1"/>
  <c r="X4" i="73" a="1"/>
  <c r="W4" i="73" a="1"/>
  <c r="V4" i="73" a="1"/>
  <c r="U4" i="73" a="1"/>
  <c r="T4" i="73" a="1"/>
  <c r="S4" i="73" a="1"/>
  <c r="R4" i="73" a="1"/>
  <c r="Q4" i="73" a="1"/>
  <c r="P4" i="73" a="1"/>
  <c r="O4" i="73" a="1"/>
  <c r="N4" i="73" a="1"/>
  <c r="M4" i="73" a="1"/>
  <c r="L4" i="73" a="1"/>
  <c r="K4" i="73" a="1"/>
  <c r="J4" i="73" a="1"/>
  <c r="G4" i="73"/>
  <c r="AK3" i="73" a="1"/>
  <c r="AJ3" i="73" a="1"/>
  <c r="AI3" i="73" a="1"/>
  <c r="AH3" i="73" a="1"/>
  <c r="AG3" i="73" a="1"/>
  <c r="AF3" i="73" a="1"/>
  <c r="AE3" i="73" a="1"/>
  <c r="AD3" i="73" a="1"/>
  <c r="AC3" i="73" a="1"/>
  <c r="AB3" i="73" a="1"/>
  <c r="AA3" i="73" a="1"/>
  <c r="Z3" i="73" a="1"/>
  <c r="Y3" i="73" a="1"/>
  <c r="X3" i="73" a="1"/>
  <c r="W3" i="73" a="1"/>
  <c r="V3" i="73" a="1"/>
  <c r="U3" i="73" a="1"/>
  <c r="T3" i="73" a="1"/>
  <c r="S3" i="73" a="1"/>
  <c r="R3" i="73" a="1"/>
  <c r="Q3" i="73" a="1"/>
  <c r="P3" i="73" a="1"/>
  <c r="O3" i="73" a="1"/>
  <c r="N3" i="73" a="1"/>
  <c r="M3" i="73" a="1"/>
  <c r="L3" i="73" a="1"/>
  <c r="K3" i="73" a="1"/>
  <c r="J3" i="73" a="1"/>
  <c r="G3" i="73"/>
  <c r="AS33" i="72"/>
  <c r="AK32" i="72" a="1"/>
  <c r="AJ32" i="72" a="1"/>
  <c r="AI32" i="72" a="1"/>
  <c r="AH32" i="72" a="1"/>
  <c r="AG32" i="72" a="1"/>
  <c r="AF32" i="72" a="1"/>
  <c r="AE32" i="72" a="1"/>
  <c r="AD32" i="72" a="1"/>
  <c r="AC32" i="72" a="1"/>
  <c r="AB32" i="72" a="1"/>
  <c r="AA32" i="72" a="1"/>
  <c r="Z32" i="72" a="1"/>
  <c r="Y32" i="72" a="1"/>
  <c r="X32" i="72" a="1"/>
  <c r="W32" i="72" a="1"/>
  <c r="V32" i="72" a="1"/>
  <c r="U32" i="72" a="1"/>
  <c r="T32" i="72" a="1"/>
  <c r="S32" i="72" a="1"/>
  <c r="R32" i="72" a="1"/>
  <c r="Q32" i="72" a="1"/>
  <c r="P32" i="72" a="1"/>
  <c r="O32" i="72" a="1"/>
  <c r="N32" i="72" a="1"/>
  <c r="M32" i="72" a="1"/>
  <c r="L32" i="72" a="1"/>
  <c r="K32" i="72" a="1"/>
  <c r="J32" i="72" a="1"/>
  <c r="G32" i="72"/>
  <c r="AK31" i="72" a="1"/>
  <c r="AJ31" i="72" a="1"/>
  <c r="AI31" i="72" a="1"/>
  <c r="AH31" i="72" a="1"/>
  <c r="AG31" i="72" a="1"/>
  <c r="AF31" i="72" a="1"/>
  <c r="AE31" i="72" a="1"/>
  <c r="AD31" i="72" a="1"/>
  <c r="AC31" i="72" a="1"/>
  <c r="AB31" i="72" a="1"/>
  <c r="AA31" i="72" a="1"/>
  <c r="Z31" i="72" a="1"/>
  <c r="Y31" i="72" a="1"/>
  <c r="X31" i="72" a="1"/>
  <c r="W31" i="72" a="1"/>
  <c r="V31" i="72" a="1"/>
  <c r="U31" i="72" a="1"/>
  <c r="T31" i="72" a="1"/>
  <c r="S31" i="72" a="1"/>
  <c r="R31" i="72" a="1"/>
  <c r="Q31" i="72" a="1"/>
  <c r="P31" i="72" a="1"/>
  <c r="O31" i="72" a="1"/>
  <c r="N31" i="72" a="1"/>
  <c r="M31" i="72" a="1"/>
  <c r="L31" i="72" a="1"/>
  <c r="K31" i="72" a="1"/>
  <c r="J31" i="72" a="1"/>
  <c r="G31" i="72"/>
  <c r="AK30" i="72" a="1"/>
  <c r="AJ30" i="72" a="1"/>
  <c r="AI30" i="72" a="1"/>
  <c r="AH30" i="72" a="1"/>
  <c r="AG30" i="72" a="1"/>
  <c r="AF30" i="72" a="1"/>
  <c r="AE30" i="72" a="1"/>
  <c r="AD30" i="72" a="1"/>
  <c r="AC30" i="72" a="1"/>
  <c r="AB30" i="72" a="1"/>
  <c r="AA30" i="72" a="1"/>
  <c r="Z30" i="72" a="1"/>
  <c r="Y30" i="72" a="1"/>
  <c r="X30" i="72" a="1"/>
  <c r="W30" i="72" a="1"/>
  <c r="V30" i="72" a="1"/>
  <c r="U30" i="72" a="1"/>
  <c r="T30" i="72" a="1"/>
  <c r="S30" i="72" a="1"/>
  <c r="R30" i="72" a="1"/>
  <c r="Q30" i="72" a="1"/>
  <c r="P30" i="72" a="1"/>
  <c r="O30" i="72" a="1"/>
  <c r="N30" i="72" a="1"/>
  <c r="M30" i="72" a="1"/>
  <c r="L30" i="72" a="1"/>
  <c r="K30" i="72" a="1"/>
  <c r="J30" i="72" a="1"/>
  <c r="G30" i="72"/>
  <c r="AK29" i="72" a="1"/>
  <c r="AJ29" i="72" a="1"/>
  <c r="AI29" i="72" a="1"/>
  <c r="AH29" i="72" a="1"/>
  <c r="AG29" i="72" a="1"/>
  <c r="AF29" i="72" a="1"/>
  <c r="AE29" i="72" a="1"/>
  <c r="AD29" i="72" a="1"/>
  <c r="AC29" i="72" a="1"/>
  <c r="AB29" i="72" a="1"/>
  <c r="AA29" i="72" a="1"/>
  <c r="Z29" i="72" a="1"/>
  <c r="Y29" i="72" a="1"/>
  <c r="X29" i="72" a="1"/>
  <c r="W29" i="72" a="1"/>
  <c r="V29" i="72" a="1"/>
  <c r="U29" i="72" a="1"/>
  <c r="T29" i="72" a="1"/>
  <c r="S29" i="72" a="1"/>
  <c r="R29" i="72" a="1"/>
  <c r="Q29" i="72" a="1"/>
  <c r="P29" i="72" a="1"/>
  <c r="O29" i="72" a="1"/>
  <c r="N29" i="72" a="1"/>
  <c r="M29" i="72" a="1"/>
  <c r="L29" i="72" a="1"/>
  <c r="K29" i="72" a="1"/>
  <c r="J29" i="72" a="1"/>
  <c r="G29" i="72"/>
  <c r="AK28" i="72" a="1"/>
  <c r="AJ28" i="72" a="1"/>
  <c r="AI28" i="72" a="1"/>
  <c r="AH28" i="72" a="1"/>
  <c r="AG28" i="72" a="1"/>
  <c r="AF28" i="72" a="1"/>
  <c r="AE28" i="72" a="1"/>
  <c r="AD28" i="72" a="1"/>
  <c r="AC28" i="72" a="1"/>
  <c r="AB28" i="72" a="1"/>
  <c r="AA28" i="72" a="1"/>
  <c r="Z28" i="72" a="1"/>
  <c r="Y28" i="72" a="1"/>
  <c r="X28" i="72" a="1"/>
  <c r="W28" i="72" a="1"/>
  <c r="V28" i="72" a="1"/>
  <c r="U28" i="72" a="1"/>
  <c r="T28" i="72" a="1"/>
  <c r="S28" i="72" a="1"/>
  <c r="R28" i="72" a="1"/>
  <c r="Q28" i="72" a="1"/>
  <c r="P28" i="72" a="1"/>
  <c r="O28" i="72" a="1"/>
  <c r="N28" i="72" a="1"/>
  <c r="M28" i="72" a="1"/>
  <c r="L28" i="72" a="1"/>
  <c r="K28" i="72" a="1"/>
  <c r="J28" i="72" a="1"/>
  <c r="G28" i="72"/>
  <c r="AK27" i="72" a="1"/>
  <c r="AJ27" i="72" a="1"/>
  <c r="AI27" i="72" a="1"/>
  <c r="AH27" i="72" a="1"/>
  <c r="AG27" i="72" a="1"/>
  <c r="AF27" i="72" a="1"/>
  <c r="AE27" i="72" a="1"/>
  <c r="AD27" i="72" a="1"/>
  <c r="AC27" i="72" a="1"/>
  <c r="AB27" i="72" a="1"/>
  <c r="AA27" i="72" a="1"/>
  <c r="Z27" i="72" a="1"/>
  <c r="Y27" i="72" a="1"/>
  <c r="X27" i="72" a="1"/>
  <c r="W27" i="72" a="1"/>
  <c r="V27" i="72" a="1"/>
  <c r="U27" i="72" a="1"/>
  <c r="T27" i="72" a="1"/>
  <c r="S27" i="72" a="1"/>
  <c r="R27" i="72" a="1"/>
  <c r="Q27" i="72" a="1"/>
  <c r="P27" i="72" a="1"/>
  <c r="O27" i="72" a="1"/>
  <c r="N27" i="72" a="1"/>
  <c r="M27" i="72" a="1"/>
  <c r="L27" i="72" a="1"/>
  <c r="K27" i="72" a="1"/>
  <c r="J27" i="72" a="1"/>
  <c r="G27" i="72"/>
  <c r="AK26" i="72" a="1"/>
  <c r="AJ26" i="72" a="1"/>
  <c r="AI26" i="72" a="1"/>
  <c r="AH26" i="72" a="1"/>
  <c r="AG26" i="72" a="1"/>
  <c r="AF26" i="72" a="1"/>
  <c r="AE26" i="72" a="1"/>
  <c r="AD26" i="72" a="1"/>
  <c r="AC26" i="72" a="1"/>
  <c r="AB26" i="72" a="1"/>
  <c r="AA26" i="72" a="1"/>
  <c r="Z26" i="72" a="1"/>
  <c r="Y26" i="72" a="1"/>
  <c r="X26" i="72" a="1"/>
  <c r="W26" i="72" a="1"/>
  <c r="V26" i="72" a="1"/>
  <c r="U26" i="72" a="1"/>
  <c r="T26" i="72" a="1"/>
  <c r="S26" i="72" a="1"/>
  <c r="R26" i="72" a="1"/>
  <c r="Q26" i="72" a="1"/>
  <c r="P26" i="72" a="1"/>
  <c r="O26" i="72" a="1"/>
  <c r="N26" i="72" a="1"/>
  <c r="M26" i="72" a="1"/>
  <c r="L26" i="72" a="1"/>
  <c r="K26" i="72" a="1"/>
  <c r="J26" i="72" a="1"/>
  <c r="G26" i="72"/>
  <c r="AK25" i="72" a="1"/>
  <c r="AJ25" i="72" a="1"/>
  <c r="AI25" i="72" a="1"/>
  <c r="AH25" i="72" a="1"/>
  <c r="AG25" i="72" a="1"/>
  <c r="AF25" i="72" a="1"/>
  <c r="AE25" i="72" a="1"/>
  <c r="AD25" i="72" a="1"/>
  <c r="AC25" i="72" a="1"/>
  <c r="AB25" i="72" a="1"/>
  <c r="AA25" i="72" a="1"/>
  <c r="Z25" i="72" a="1"/>
  <c r="Y25" i="72" a="1"/>
  <c r="X25" i="72" a="1"/>
  <c r="W25" i="72" a="1"/>
  <c r="V25" i="72" a="1"/>
  <c r="U25" i="72" a="1"/>
  <c r="T25" i="72" a="1"/>
  <c r="S25" i="72" a="1"/>
  <c r="R25" i="72" a="1"/>
  <c r="Q25" i="72" a="1"/>
  <c r="P25" i="72" a="1"/>
  <c r="O25" i="72" a="1"/>
  <c r="N25" i="72" a="1"/>
  <c r="M25" i="72" a="1"/>
  <c r="L25" i="72" a="1"/>
  <c r="K25" i="72" a="1"/>
  <c r="J25" i="72" a="1"/>
  <c r="G25" i="72"/>
  <c r="AK24" i="72" a="1"/>
  <c r="AJ24" i="72" a="1"/>
  <c r="AI24" i="72" a="1"/>
  <c r="AH24" i="72" a="1"/>
  <c r="AG24" i="72" a="1"/>
  <c r="AF24" i="72" a="1"/>
  <c r="AE24" i="72" a="1"/>
  <c r="AD24" i="72" a="1"/>
  <c r="AC24" i="72" a="1"/>
  <c r="AB24" i="72" a="1"/>
  <c r="AA24" i="72" a="1"/>
  <c r="Z24" i="72" a="1"/>
  <c r="Y24" i="72" a="1"/>
  <c r="X24" i="72" a="1"/>
  <c r="W24" i="72" a="1"/>
  <c r="V24" i="72" a="1"/>
  <c r="U24" i="72" a="1"/>
  <c r="T24" i="72" a="1"/>
  <c r="S24" i="72" a="1"/>
  <c r="R24" i="72" a="1"/>
  <c r="Q24" i="72" a="1"/>
  <c r="P24" i="72" a="1"/>
  <c r="O24" i="72" a="1"/>
  <c r="N24" i="72" a="1"/>
  <c r="M24" i="72" a="1"/>
  <c r="L24" i="72" a="1"/>
  <c r="K24" i="72" a="1"/>
  <c r="J24" i="72" a="1"/>
  <c r="G24" i="72"/>
  <c r="AK23" i="72" a="1"/>
  <c r="AJ23" i="72" a="1"/>
  <c r="AI23" i="72" a="1"/>
  <c r="AH23" i="72" a="1"/>
  <c r="AG23" i="72" a="1"/>
  <c r="AF23" i="72" a="1"/>
  <c r="AE23" i="72" a="1"/>
  <c r="AD23" i="72" a="1"/>
  <c r="AC23" i="72" a="1"/>
  <c r="AB23" i="72" a="1"/>
  <c r="AA23" i="72" a="1"/>
  <c r="Z23" i="72" a="1"/>
  <c r="Y23" i="72" a="1"/>
  <c r="X23" i="72" a="1"/>
  <c r="W23" i="72" a="1"/>
  <c r="V23" i="72" a="1"/>
  <c r="U23" i="72" a="1"/>
  <c r="T23" i="72" a="1"/>
  <c r="S23" i="72" a="1"/>
  <c r="R23" i="72" a="1"/>
  <c r="Q23" i="72" a="1"/>
  <c r="P23" i="72" a="1"/>
  <c r="O23" i="72" a="1"/>
  <c r="N23" i="72" a="1"/>
  <c r="M23" i="72" a="1"/>
  <c r="L23" i="72" a="1"/>
  <c r="K23" i="72" a="1"/>
  <c r="J23" i="72" a="1"/>
  <c r="G23" i="72"/>
  <c r="AK22" i="72" a="1"/>
  <c r="AJ22" i="72" a="1"/>
  <c r="AI22" i="72" a="1"/>
  <c r="AH22" i="72" a="1"/>
  <c r="AG22" i="72" a="1"/>
  <c r="AF22" i="72" a="1"/>
  <c r="AE22" i="72" a="1"/>
  <c r="AD22" i="72" a="1"/>
  <c r="AC22" i="72" a="1"/>
  <c r="AB22" i="72" a="1"/>
  <c r="AA22" i="72" a="1"/>
  <c r="Z22" i="72" a="1"/>
  <c r="Y22" i="72" a="1"/>
  <c r="X22" i="72" a="1"/>
  <c r="W22" i="72" a="1"/>
  <c r="V22" i="72" a="1"/>
  <c r="U22" i="72" a="1"/>
  <c r="T22" i="72" a="1"/>
  <c r="S22" i="72" a="1"/>
  <c r="R22" i="72" a="1"/>
  <c r="Q22" i="72" a="1"/>
  <c r="P22" i="72" a="1"/>
  <c r="O22" i="72" a="1"/>
  <c r="N22" i="72" a="1"/>
  <c r="M22" i="72" a="1"/>
  <c r="L22" i="72" a="1"/>
  <c r="K22" i="72" a="1"/>
  <c r="J22" i="72" a="1"/>
  <c r="G22" i="72"/>
  <c r="AK21" i="72" a="1"/>
  <c r="AJ21" i="72" a="1"/>
  <c r="AI21" i="72" a="1"/>
  <c r="AH21" i="72" a="1"/>
  <c r="AG21" i="72" a="1"/>
  <c r="AF21" i="72" a="1"/>
  <c r="AE21" i="72" a="1"/>
  <c r="AD21" i="72" a="1"/>
  <c r="AC21" i="72" a="1"/>
  <c r="AB21" i="72" a="1"/>
  <c r="AA21" i="72" a="1"/>
  <c r="Z21" i="72" a="1"/>
  <c r="Y21" i="72" a="1"/>
  <c r="X21" i="72" a="1"/>
  <c r="W21" i="72" a="1"/>
  <c r="V21" i="72" a="1"/>
  <c r="U21" i="72" a="1"/>
  <c r="T21" i="72" a="1"/>
  <c r="S21" i="72" a="1"/>
  <c r="R21" i="72" a="1"/>
  <c r="Q21" i="72" a="1"/>
  <c r="P21" i="72" a="1"/>
  <c r="O21" i="72" a="1"/>
  <c r="N21" i="72" a="1"/>
  <c r="M21" i="72" a="1"/>
  <c r="L21" i="72" a="1"/>
  <c r="K21" i="72" a="1"/>
  <c r="J21" i="72" a="1"/>
  <c r="G21" i="72"/>
  <c r="AK20" i="72" a="1"/>
  <c r="AJ20" i="72" a="1"/>
  <c r="AI20" i="72" a="1"/>
  <c r="AH20" i="72" a="1"/>
  <c r="AG20" i="72" a="1"/>
  <c r="AF20" i="72" a="1"/>
  <c r="AE20" i="72" a="1"/>
  <c r="AD20" i="72" a="1"/>
  <c r="AC20" i="72" a="1"/>
  <c r="AB20" i="72" a="1"/>
  <c r="AA20" i="72" a="1"/>
  <c r="Z20" i="72" a="1"/>
  <c r="Y20" i="72" a="1"/>
  <c r="X20" i="72" a="1"/>
  <c r="W20" i="72" a="1"/>
  <c r="V20" i="72" a="1"/>
  <c r="U20" i="72" a="1"/>
  <c r="T20" i="72" a="1"/>
  <c r="S20" i="72" a="1"/>
  <c r="R20" i="72" a="1"/>
  <c r="Q20" i="72" a="1"/>
  <c r="P20" i="72" a="1"/>
  <c r="O20" i="72" a="1"/>
  <c r="N20" i="72" a="1"/>
  <c r="M20" i="72" a="1"/>
  <c r="L20" i="72" a="1"/>
  <c r="K20" i="72" a="1"/>
  <c r="J20" i="72" a="1"/>
  <c r="G20" i="72"/>
  <c r="AK19" i="72" a="1"/>
  <c r="AJ19" i="72" a="1"/>
  <c r="AI19" i="72" a="1"/>
  <c r="AH19" i="72" a="1"/>
  <c r="AG19" i="72" a="1"/>
  <c r="AF19" i="72" a="1"/>
  <c r="AE19" i="72" a="1"/>
  <c r="AD19" i="72" a="1"/>
  <c r="AC19" i="72" a="1"/>
  <c r="AB19" i="72" a="1"/>
  <c r="AA19" i="72" a="1"/>
  <c r="Z19" i="72" a="1"/>
  <c r="Y19" i="72" a="1"/>
  <c r="X19" i="72" a="1"/>
  <c r="W19" i="72" a="1"/>
  <c r="V19" i="72" a="1"/>
  <c r="U19" i="72" a="1"/>
  <c r="T19" i="72" a="1"/>
  <c r="S19" i="72" a="1"/>
  <c r="R19" i="72" a="1"/>
  <c r="Q19" i="72" a="1"/>
  <c r="P19" i="72" a="1"/>
  <c r="O19" i="72" a="1"/>
  <c r="N19" i="72" a="1"/>
  <c r="M19" i="72" a="1"/>
  <c r="L19" i="72" a="1"/>
  <c r="K19" i="72" a="1"/>
  <c r="J19" i="72" a="1"/>
  <c r="G19" i="72"/>
  <c r="AK18" i="72" a="1"/>
  <c r="AJ18" i="72" a="1"/>
  <c r="AI18" i="72" a="1"/>
  <c r="AH18" i="72" a="1"/>
  <c r="AG18" i="72" a="1"/>
  <c r="AF18" i="72" a="1"/>
  <c r="AE18" i="72" a="1"/>
  <c r="AD18" i="72" a="1"/>
  <c r="AC18" i="72" a="1"/>
  <c r="AB18" i="72" a="1"/>
  <c r="AA18" i="72" a="1"/>
  <c r="Z18" i="72" a="1"/>
  <c r="Y18" i="72" a="1"/>
  <c r="X18" i="72" a="1"/>
  <c r="W18" i="72" a="1"/>
  <c r="V18" i="72" a="1"/>
  <c r="U18" i="72" a="1"/>
  <c r="T18" i="72" a="1"/>
  <c r="S18" i="72" a="1"/>
  <c r="R18" i="72" a="1"/>
  <c r="Q18" i="72" a="1"/>
  <c r="P18" i="72" a="1"/>
  <c r="O18" i="72" a="1"/>
  <c r="N18" i="72" a="1"/>
  <c r="M18" i="72" a="1"/>
  <c r="L18" i="72" a="1"/>
  <c r="K18" i="72" a="1"/>
  <c r="J18" i="72" a="1"/>
  <c r="G18" i="72"/>
  <c r="AK17" i="72" a="1"/>
  <c r="AJ17" i="72" a="1"/>
  <c r="AI17" i="72" a="1"/>
  <c r="AH17" i="72" a="1"/>
  <c r="AG17" i="72" a="1"/>
  <c r="AF17" i="72" a="1"/>
  <c r="AE17" i="72" a="1"/>
  <c r="AD17" i="72" a="1"/>
  <c r="AC17" i="72" a="1"/>
  <c r="AB17" i="72" a="1"/>
  <c r="AA17" i="72" a="1"/>
  <c r="Z17" i="72" a="1"/>
  <c r="Y17" i="72" a="1"/>
  <c r="X17" i="72" a="1"/>
  <c r="W17" i="72" a="1"/>
  <c r="V17" i="72" a="1"/>
  <c r="U17" i="72" a="1"/>
  <c r="T17" i="72" a="1"/>
  <c r="S17" i="72" a="1"/>
  <c r="R17" i="72" a="1"/>
  <c r="Q17" i="72" a="1"/>
  <c r="P17" i="72" a="1"/>
  <c r="O17" i="72" a="1"/>
  <c r="N17" i="72" a="1"/>
  <c r="M17" i="72" a="1"/>
  <c r="L17" i="72" a="1"/>
  <c r="K17" i="72" a="1"/>
  <c r="J17" i="72" a="1"/>
  <c r="G17" i="72"/>
  <c r="AK16" i="72" a="1"/>
  <c r="AJ16" i="72" a="1"/>
  <c r="AI16" i="72" a="1"/>
  <c r="AH16" i="72" a="1"/>
  <c r="AG16" i="72" a="1"/>
  <c r="AF16" i="72" a="1"/>
  <c r="AE16" i="72" a="1"/>
  <c r="AD16" i="72" a="1"/>
  <c r="AC16" i="72" a="1"/>
  <c r="AB16" i="72" a="1"/>
  <c r="AA16" i="72" a="1"/>
  <c r="Z16" i="72" a="1"/>
  <c r="Y16" i="72" a="1"/>
  <c r="X16" i="72" a="1"/>
  <c r="W16" i="72" a="1"/>
  <c r="V16" i="72" a="1"/>
  <c r="U16" i="72" a="1"/>
  <c r="T16" i="72" a="1"/>
  <c r="S16" i="72" a="1"/>
  <c r="R16" i="72" a="1"/>
  <c r="Q16" i="72" a="1"/>
  <c r="P16" i="72" a="1"/>
  <c r="O16" i="72" a="1"/>
  <c r="N16" i="72" a="1"/>
  <c r="M16" i="72" a="1"/>
  <c r="L16" i="72" a="1"/>
  <c r="K16" i="72" a="1"/>
  <c r="J16" i="72" a="1"/>
  <c r="G16" i="72"/>
  <c r="AK15" i="72" a="1"/>
  <c r="AJ15" i="72" a="1"/>
  <c r="AI15" i="72" a="1"/>
  <c r="AH15" i="72" a="1"/>
  <c r="AG15" i="72" a="1"/>
  <c r="AF15" i="72" a="1"/>
  <c r="AE15" i="72" a="1"/>
  <c r="AD15" i="72" a="1"/>
  <c r="AC15" i="72" a="1"/>
  <c r="AB15" i="72" a="1"/>
  <c r="AA15" i="72" a="1"/>
  <c r="Z15" i="72" a="1"/>
  <c r="Y15" i="72" a="1"/>
  <c r="X15" i="72" a="1"/>
  <c r="W15" i="72" a="1"/>
  <c r="V15" i="72" a="1"/>
  <c r="U15" i="72" a="1"/>
  <c r="T15" i="72" a="1"/>
  <c r="S15" i="72" a="1"/>
  <c r="R15" i="72" a="1"/>
  <c r="Q15" i="72" a="1"/>
  <c r="P15" i="72" a="1"/>
  <c r="O15" i="72" a="1"/>
  <c r="N15" i="72" a="1"/>
  <c r="M15" i="72" a="1"/>
  <c r="L15" i="72" a="1"/>
  <c r="K15" i="72" a="1"/>
  <c r="J15" i="72" a="1"/>
  <c r="G15" i="72"/>
  <c r="AK14" i="72" a="1"/>
  <c r="AJ14" i="72" a="1"/>
  <c r="AI14" i="72" a="1"/>
  <c r="AH14" i="72" a="1"/>
  <c r="AG14" i="72" a="1"/>
  <c r="AF14" i="72" a="1"/>
  <c r="AE14" i="72" a="1"/>
  <c r="AD14" i="72" a="1"/>
  <c r="AC14" i="72" a="1"/>
  <c r="AB14" i="72" a="1"/>
  <c r="AA14" i="72" a="1"/>
  <c r="Z14" i="72" a="1"/>
  <c r="Y14" i="72" a="1"/>
  <c r="X14" i="72" a="1"/>
  <c r="W14" i="72" a="1"/>
  <c r="V14" i="72" a="1"/>
  <c r="U14" i="72" a="1"/>
  <c r="T14" i="72" a="1"/>
  <c r="S14" i="72" a="1"/>
  <c r="R14" i="72" a="1"/>
  <c r="Q14" i="72" a="1"/>
  <c r="P14" i="72" a="1"/>
  <c r="O14" i="72" a="1"/>
  <c r="N14" i="72" a="1"/>
  <c r="M14" i="72" a="1"/>
  <c r="L14" i="72" a="1"/>
  <c r="K14" i="72" a="1"/>
  <c r="J14" i="72" a="1"/>
  <c r="G14" i="72"/>
  <c r="AK13" i="72" a="1"/>
  <c r="AJ13" i="72" a="1"/>
  <c r="AI13" i="72" a="1"/>
  <c r="AH13" i="72" a="1"/>
  <c r="AG13" i="72" a="1"/>
  <c r="AF13" i="72" a="1"/>
  <c r="AE13" i="72" a="1"/>
  <c r="AD13" i="72" a="1"/>
  <c r="AC13" i="72" a="1"/>
  <c r="AB13" i="72" a="1"/>
  <c r="AA13" i="72" a="1"/>
  <c r="Z13" i="72" a="1"/>
  <c r="Y13" i="72" a="1"/>
  <c r="X13" i="72" a="1"/>
  <c r="W13" i="72" a="1"/>
  <c r="V13" i="72" a="1"/>
  <c r="U13" i="72" a="1"/>
  <c r="T13" i="72" a="1"/>
  <c r="S13" i="72" a="1"/>
  <c r="R13" i="72" a="1"/>
  <c r="Q13" i="72" a="1"/>
  <c r="P13" i="72" a="1"/>
  <c r="O13" i="72" a="1"/>
  <c r="N13" i="72" a="1"/>
  <c r="M13" i="72" a="1"/>
  <c r="L13" i="72" a="1"/>
  <c r="K13" i="72" a="1"/>
  <c r="J13" i="72" a="1"/>
  <c r="G13" i="72"/>
  <c r="AK12" i="72" a="1"/>
  <c r="AJ12" i="72" a="1"/>
  <c r="AI12" i="72" a="1"/>
  <c r="AH12" i="72" a="1"/>
  <c r="AG12" i="72" a="1"/>
  <c r="AF12" i="72" a="1"/>
  <c r="AE12" i="72" a="1"/>
  <c r="AD12" i="72" a="1"/>
  <c r="AC12" i="72" a="1"/>
  <c r="AB12" i="72" a="1"/>
  <c r="AA12" i="72" a="1"/>
  <c r="Z12" i="72" a="1"/>
  <c r="Y12" i="72" a="1"/>
  <c r="X12" i="72" a="1"/>
  <c r="W12" i="72" a="1"/>
  <c r="V12" i="72" a="1"/>
  <c r="U12" i="72" a="1"/>
  <c r="T12" i="72" a="1"/>
  <c r="S12" i="72" a="1"/>
  <c r="R12" i="72" a="1"/>
  <c r="Q12" i="72" a="1"/>
  <c r="P12" i="72" a="1"/>
  <c r="O12" i="72" a="1"/>
  <c r="N12" i="72" a="1"/>
  <c r="M12" i="72" a="1"/>
  <c r="L12" i="72" a="1"/>
  <c r="K12" i="72" a="1"/>
  <c r="J12" i="72" a="1"/>
  <c r="G12" i="72"/>
  <c r="AK11" i="72" a="1"/>
  <c r="AJ11" i="72" a="1"/>
  <c r="AI11" i="72" a="1"/>
  <c r="AH11" i="72" a="1"/>
  <c r="AG11" i="72" a="1"/>
  <c r="AF11" i="72" a="1"/>
  <c r="AE11" i="72" a="1"/>
  <c r="AD11" i="72" a="1"/>
  <c r="AC11" i="72" a="1"/>
  <c r="AB11" i="72" a="1"/>
  <c r="AA11" i="72" a="1"/>
  <c r="Z11" i="72" a="1"/>
  <c r="Y11" i="72" a="1"/>
  <c r="X11" i="72" a="1"/>
  <c r="W11" i="72" a="1"/>
  <c r="V11" i="72" a="1"/>
  <c r="U11" i="72" a="1"/>
  <c r="T11" i="72" a="1"/>
  <c r="S11" i="72" a="1"/>
  <c r="R11" i="72" a="1"/>
  <c r="Q11" i="72" a="1"/>
  <c r="P11" i="72" a="1"/>
  <c r="O11" i="72" a="1"/>
  <c r="N11" i="72" a="1"/>
  <c r="M11" i="72" a="1"/>
  <c r="L11" i="72" a="1"/>
  <c r="K11" i="72" a="1"/>
  <c r="J11" i="72" a="1"/>
  <c r="G11" i="72"/>
  <c r="AK10" i="72" a="1"/>
  <c r="AJ10" i="72" a="1"/>
  <c r="AI10" i="72" a="1"/>
  <c r="AH10" i="72" a="1"/>
  <c r="AG10" i="72" a="1"/>
  <c r="AF10" i="72" a="1"/>
  <c r="AE10" i="72" a="1"/>
  <c r="AD10" i="72" a="1"/>
  <c r="AC10" i="72" a="1"/>
  <c r="AB10" i="72" a="1"/>
  <c r="AA10" i="72" a="1"/>
  <c r="Z10" i="72" a="1"/>
  <c r="Y10" i="72" a="1"/>
  <c r="X10" i="72" a="1"/>
  <c r="W10" i="72" a="1"/>
  <c r="V10" i="72" a="1"/>
  <c r="U10" i="72" a="1"/>
  <c r="T10" i="72" a="1"/>
  <c r="S10" i="72" a="1"/>
  <c r="R10" i="72" a="1"/>
  <c r="Q10" i="72" a="1"/>
  <c r="P10" i="72" a="1"/>
  <c r="O10" i="72" a="1"/>
  <c r="N10" i="72" a="1"/>
  <c r="M10" i="72" a="1"/>
  <c r="L10" i="72" a="1"/>
  <c r="K10" i="72" a="1"/>
  <c r="J10" i="72" a="1"/>
  <c r="G10" i="72"/>
  <c r="AK9" i="72" a="1"/>
  <c r="AJ9" i="72" a="1"/>
  <c r="AI9" i="72" a="1"/>
  <c r="AH9" i="72" a="1"/>
  <c r="AG9" i="72" a="1"/>
  <c r="AF9" i="72" a="1"/>
  <c r="AE9" i="72" a="1"/>
  <c r="AD9" i="72" a="1"/>
  <c r="AC9" i="72" a="1"/>
  <c r="AB9" i="72" a="1"/>
  <c r="AA9" i="72" a="1"/>
  <c r="Z9" i="72" a="1"/>
  <c r="Y9" i="72" a="1"/>
  <c r="X9" i="72" a="1"/>
  <c r="W9" i="72" a="1"/>
  <c r="V9" i="72" a="1"/>
  <c r="U9" i="72" a="1"/>
  <c r="T9" i="72" a="1"/>
  <c r="S9" i="72" a="1"/>
  <c r="R9" i="72" a="1"/>
  <c r="Q9" i="72" a="1"/>
  <c r="P9" i="72" a="1"/>
  <c r="O9" i="72" a="1"/>
  <c r="N9" i="72" a="1"/>
  <c r="M9" i="72" a="1"/>
  <c r="L9" i="72" a="1"/>
  <c r="K9" i="72" a="1"/>
  <c r="J9" i="72" a="1"/>
  <c r="G9" i="72"/>
  <c r="AK8" i="72" a="1"/>
  <c r="AJ8" i="72" a="1"/>
  <c r="AI8" i="72" a="1"/>
  <c r="AH8" i="72" a="1"/>
  <c r="AG8" i="72" a="1"/>
  <c r="AF8" i="72" a="1"/>
  <c r="AE8" i="72" a="1"/>
  <c r="AD8" i="72" a="1"/>
  <c r="AC8" i="72" a="1"/>
  <c r="AB8" i="72" a="1"/>
  <c r="AA8" i="72" a="1"/>
  <c r="Z8" i="72" a="1"/>
  <c r="Y8" i="72" a="1"/>
  <c r="X8" i="72" a="1"/>
  <c r="W8" i="72" a="1"/>
  <c r="V8" i="72" a="1"/>
  <c r="U8" i="72" a="1"/>
  <c r="T8" i="72" a="1"/>
  <c r="S8" i="72" a="1"/>
  <c r="R8" i="72" a="1"/>
  <c r="Q8" i="72" a="1"/>
  <c r="P8" i="72" a="1"/>
  <c r="O8" i="72" a="1"/>
  <c r="N8" i="72" a="1"/>
  <c r="M8" i="72" a="1"/>
  <c r="L8" i="72" a="1"/>
  <c r="K8" i="72" a="1"/>
  <c r="J8" i="72" a="1"/>
  <c r="G8" i="72"/>
  <c r="AK7" i="72" a="1"/>
  <c r="AJ7" i="72" a="1"/>
  <c r="AI7" i="72" a="1"/>
  <c r="AH7" i="72" a="1"/>
  <c r="AG7" i="72" a="1"/>
  <c r="AF7" i="72" a="1"/>
  <c r="AE7" i="72" a="1"/>
  <c r="AD7" i="72" a="1"/>
  <c r="AC7" i="72" a="1"/>
  <c r="AB7" i="72" a="1"/>
  <c r="AA7" i="72" a="1"/>
  <c r="Z7" i="72" a="1"/>
  <c r="Y7" i="72" a="1"/>
  <c r="X7" i="72" a="1"/>
  <c r="W7" i="72" a="1"/>
  <c r="V7" i="72" a="1"/>
  <c r="U7" i="72" a="1"/>
  <c r="T7" i="72" a="1"/>
  <c r="S7" i="72" a="1"/>
  <c r="R7" i="72" a="1"/>
  <c r="Q7" i="72" a="1"/>
  <c r="P7" i="72" a="1"/>
  <c r="O7" i="72" a="1"/>
  <c r="N7" i="72" a="1"/>
  <c r="M7" i="72" a="1"/>
  <c r="L7" i="72" a="1"/>
  <c r="K7" i="72" a="1"/>
  <c r="J7" i="72" a="1"/>
  <c r="G7" i="72"/>
  <c r="AK6" i="72" a="1"/>
  <c r="AJ6" i="72" a="1"/>
  <c r="AI6" i="72" a="1"/>
  <c r="AH6" i="72" a="1"/>
  <c r="AG6" i="72" a="1"/>
  <c r="AF6" i="72" a="1"/>
  <c r="AE6" i="72" a="1"/>
  <c r="AD6" i="72" a="1"/>
  <c r="AC6" i="72" a="1"/>
  <c r="AB6" i="72" a="1"/>
  <c r="AA6" i="72" a="1"/>
  <c r="Z6" i="72" a="1"/>
  <c r="Y6" i="72" a="1"/>
  <c r="X6" i="72" a="1"/>
  <c r="W6" i="72" a="1"/>
  <c r="V6" i="72" a="1"/>
  <c r="U6" i="72" a="1"/>
  <c r="T6" i="72" a="1"/>
  <c r="S6" i="72" a="1"/>
  <c r="R6" i="72" a="1"/>
  <c r="Q6" i="72" a="1"/>
  <c r="P6" i="72" a="1"/>
  <c r="O6" i="72" a="1"/>
  <c r="N6" i="72" a="1"/>
  <c r="M6" i="72" a="1"/>
  <c r="L6" i="72" a="1"/>
  <c r="K6" i="72" a="1"/>
  <c r="J6" i="72" a="1"/>
  <c r="G6" i="72"/>
  <c r="AK5" i="72" a="1"/>
  <c r="AJ5" i="72" a="1"/>
  <c r="AI5" i="72" a="1"/>
  <c r="AH5" i="72" a="1"/>
  <c r="AG5" i="72" a="1"/>
  <c r="AF5" i="72" a="1"/>
  <c r="AE5" i="72" a="1"/>
  <c r="AD5" i="72" a="1"/>
  <c r="AC5" i="72" a="1"/>
  <c r="AB5" i="72" a="1"/>
  <c r="AA5" i="72" a="1"/>
  <c r="Z5" i="72" a="1"/>
  <c r="Y5" i="72" a="1"/>
  <c r="X5" i="72" a="1"/>
  <c r="W5" i="72" a="1"/>
  <c r="V5" i="72" a="1"/>
  <c r="U5" i="72" a="1"/>
  <c r="T5" i="72" a="1"/>
  <c r="S5" i="72" a="1"/>
  <c r="R5" i="72" a="1"/>
  <c r="Q5" i="72" a="1"/>
  <c r="P5" i="72" a="1"/>
  <c r="O5" i="72" a="1"/>
  <c r="N5" i="72" a="1"/>
  <c r="M5" i="72" a="1"/>
  <c r="L5" i="72" a="1"/>
  <c r="K5" i="72" a="1"/>
  <c r="J5" i="72" a="1"/>
  <c r="G5" i="72"/>
  <c r="AK4" i="72" a="1"/>
  <c r="AJ4" i="72" a="1"/>
  <c r="AI4" i="72" a="1"/>
  <c r="AH4" i="72" a="1"/>
  <c r="AG4" i="72" a="1"/>
  <c r="AF4" i="72" a="1"/>
  <c r="AE4" i="72" a="1"/>
  <c r="AD4" i="72" a="1"/>
  <c r="AC4" i="72" a="1"/>
  <c r="AB4" i="72" a="1"/>
  <c r="AA4" i="72" a="1"/>
  <c r="Z4" i="72" a="1"/>
  <c r="Y4" i="72" a="1"/>
  <c r="X4" i="72" a="1"/>
  <c r="W4" i="72" a="1"/>
  <c r="V4" i="72" a="1"/>
  <c r="U4" i="72" a="1"/>
  <c r="T4" i="72" a="1"/>
  <c r="S4" i="72" a="1"/>
  <c r="R4" i="72" a="1"/>
  <c r="Q4" i="72" a="1"/>
  <c r="P4" i="72" a="1"/>
  <c r="O4" i="72" a="1"/>
  <c r="N4" i="72" a="1"/>
  <c r="M4" i="72" a="1"/>
  <c r="L4" i="72" a="1"/>
  <c r="K4" i="72" a="1"/>
  <c r="J4" i="72" a="1"/>
  <c r="G4" i="72"/>
  <c r="AK3" i="72" a="1"/>
  <c r="AJ3" i="72" a="1"/>
  <c r="AI3" i="72" a="1"/>
  <c r="AH3" i="72" a="1"/>
  <c r="AG3" i="72" a="1"/>
  <c r="AF3" i="72" a="1"/>
  <c r="AE3" i="72" a="1"/>
  <c r="AD3" i="72" a="1"/>
  <c r="AC3" i="72" a="1"/>
  <c r="AB3" i="72" a="1"/>
  <c r="AA3" i="72" a="1"/>
  <c r="Z3" i="72" a="1"/>
  <c r="Y3" i="72" a="1"/>
  <c r="X3" i="72" a="1"/>
  <c r="W3" i="72" a="1"/>
  <c r="V3" i="72" a="1"/>
  <c r="U3" i="72" a="1"/>
  <c r="T3" i="72" a="1"/>
  <c r="S3" i="72" a="1"/>
  <c r="R3" i="72" a="1"/>
  <c r="Q3" i="72" a="1"/>
  <c r="P3" i="72" a="1"/>
  <c r="O3" i="72" a="1"/>
  <c r="N3" i="72" a="1"/>
  <c r="M3" i="72" a="1"/>
  <c r="L3" i="72" a="1"/>
  <c r="K3" i="72" a="1"/>
  <c r="J3" i="72" a="1"/>
  <c r="G3" i="72"/>
  <c r="AS33" i="71"/>
  <c r="AK32" i="71" a="1"/>
  <c r="AJ32" i="71" a="1"/>
  <c r="AI32" i="71" a="1"/>
  <c r="AH32" i="71" a="1"/>
  <c r="AG32" i="71" a="1"/>
  <c r="AF32" i="71" a="1"/>
  <c r="AE32" i="71" a="1"/>
  <c r="AD32" i="71" a="1"/>
  <c r="AC32" i="71" a="1"/>
  <c r="AB32" i="71" a="1"/>
  <c r="AA32" i="71" a="1"/>
  <c r="Z32" i="71" a="1"/>
  <c r="Y32" i="71" a="1"/>
  <c r="X32" i="71" a="1"/>
  <c r="W32" i="71" a="1"/>
  <c r="V32" i="71" a="1"/>
  <c r="U32" i="71" a="1"/>
  <c r="T32" i="71" a="1"/>
  <c r="S32" i="71" a="1"/>
  <c r="R32" i="71" a="1"/>
  <c r="Q32" i="71" a="1"/>
  <c r="P32" i="71" a="1"/>
  <c r="O32" i="71" a="1"/>
  <c r="N32" i="71" a="1"/>
  <c r="M32" i="71" a="1"/>
  <c r="L32" i="71" a="1"/>
  <c r="K32" i="71" a="1"/>
  <c r="J32" i="71" a="1"/>
  <c r="G32" i="71"/>
  <c r="AK31" i="71" a="1"/>
  <c r="AJ31" i="71" a="1"/>
  <c r="AI31" i="71" a="1"/>
  <c r="AH31" i="71" a="1"/>
  <c r="AG31" i="71" a="1"/>
  <c r="AF31" i="71" a="1"/>
  <c r="AE31" i="71" a="1"/>
  <c r="AD31" i="71" a="1"/>
  <c r="AC31" i="71" a="1"/>
  <c r="AB31" i="71" a="1"/>
  <c r="AA31" i="71" a="1"/>
  <c r="Z31" i="71" a="1"/>
  <c r="Y31" i="71" a="1"/>
  <c r="X31" i="71" a="1"/>
  <c r="W31" i="71" a="1"/>
  <c r="V31" i="71" a="1"/>
  <c r="U31" i="71" a="1"/>
  <c r="T31" i="71" a="1"/>
  <c r="S31" i="71" a="1"/>
  <c r="R31" i="71" a="1"/>
  <c r="Q31" i="71" a="1"/>
  <c r="P31" i="71" a="1"/>
  <c r="O31" i="71" a="1"/>
  <c r="N31" i="71" a="1"/>
  <c r="M31" i="71" a="1"/>
  <c r="L31" i="71" a="1"/>
  <c r="K31" i="71" a="1"/>
  <c r="J31" i="71" a="1"/>
  <c r="G31" i="71"/>
  <c r="AK30" i="71" a="1"/>
  <c r="AJ30" i="71" a="1"/>
  <c r="AI30" i="71" a="1"/>
  <c r="AH30" i="71" a="1"/>
  <c r="AG30" i="71" a="1"/>
  <c r="AF30" i="71" a="1"/>
  <c r="AE30" i="71" a="1"/>
  <c r="AD30" i="71" a="1"/>
  <c r="AC30" i="71" a="1"/>
  <c r="AB30" i="71" a="1"/>
  <c r="AA30" i="71" a="1"/>
  <c r="Z30" i="71" a="1"/>
  <c r="Y30" i="71" a="1"/>
  <c r="X30" i="71" a="1"/>
  <c r="W30" i="71" a="1"/>
  <c r="V30" i="71" a="1"/>
  <c r="U30" i="71" a="1"/>
  <c r="T30" i="71" a="1"/>
  <c r="S30" i="71" a="1"/>
  <c r="R30" i="71" a="1"/>
  <c r="Q30" i="71" a="1"/>
  <c r="P30" i="71" a="1"/>
  <c r="O30" i="71" a="1"/>
  <c r="N30" i="71" a="1"/>
  <c r="M30" i="71" a="1"/>
  <c r="L30" i="71" a="1"/>
  <c r="K30" i="71" a="1"/>
  <c r="J30" i="71" a="1"/>
  <c r="G30" i="71"/>
  <c r="AK29" i="71" a="1"/>
  <c r="AJ29" i="71" a="1"/>
  <c r="AI29" i="71" a="1"/>
  <c r="AH29" i="71" a="1"/>
  <c r="AG29" i="71" a="1"/>
  <c r="AF29" i="71" a="1"/>
  <c r="AE29" i="71" a="1"/>
  <c r="AD29" i="71" a="1"/>
  <c r="AC29" i="71" a="1"/>
  <c r="AB29" i="71" a="1"/>
  <c r="AA29" i="71" a="1"/>
  <c r="Z29" i="71" a="1"/>
  <c r="Y29" i="71" a="1"/>
  <c r="X29" i="71" a="1"/>
  <c r="W29" i="71" a="1"/>
  <c r="V29" i="71" a="1"/>
  <c r="U29" i="71" a="1"/>
  <c r="T29" i="71" a="1"/>
  <c r="S29" i="71" a="1"/>
  <c r="R29" i="71" a="1"/>
  <c r="Q29" i="71" a="1"/>
  <c r="P29" i="71" a="1"/>
  <c r="O29" i="71" a="1"/>
  <c r="N29" i="71" a="1"/>
  <c r="M29" i="71" a="1"/>
  <c r="L29" i="71" a="1"/>
  <c r="K29" i="71" a="1"/>
  <c r="J29" i="71" a="1"/>
  <c r="G29" i="71"/>
  <c r="AK28" i="71" a="1"/>
  <c r="AJ28" i="71" a="1"/>
  <c r="AI28" i="71" a="1"/>
  <c r="AH28" i="71" a="1"/>
  <c r="AG28" i="71" a="1"/>
  <c r="AF28" i="71" a="1"/>
  <c r="AE28" i="71" a="1"/>
  <c r="AD28" i="71" a="1"/>
  <c r="AC28" i="71" a="1"/>
  <c r="AB28" i="71" a="1"/>
  <c r="AA28" i="71" a="1"/>
  <c r="Z28" i="71" a="1"/>
  <c r="Y28" i="71" a="1"/>
  <c r="X28" i="71" a="1"/>
  <c r="W28" i="71" a="1"/>
  <c r="V28" i="71" a="1"/>
  <c r="U28" i="71" a="1"/>
  <c r="T28" i="71" a="1"/>
  <c r="S28" i="71" a="1"/>
  <c r="R28" i="71" a="1"/>
  <c r="Q28" i="71" a="1"/>
  <c r="P28" i="71" a="1"/>
  <c r="O28" i="71" a="1"/>
  <c r="N28" i="71" a="1"/>
  <c r="M28" i="71" a="1"/>
  <c r="L28" i="71" a="1"/>
  <c r="K28" i="71" a="1"/>
  <c r="J28" i="71" a="1"/>
  <c r="G28" i="71"/>
  <c r="AK27" i="71" a="1"/>
  <c r="AJ27" i="71" a="1"/>
  <c r="AI27" i="71" a="1"/>
  <c r="AH27" i="71" a="1"/>
  <c r="AG27" i="71" a="1"/>
  <c r="AF27" i="71" a="1"/>
  <c r="AE27" i="71" a="1"/>
  <c r="AD27" i="71" a="1"/>
  <c r="AC27" i="71" a="1"/>
  <c r="AB27" i="71" a="1"/>
  <c r="AA27" i="71" a="1"/>
  <c r="Z27" i="71" a="1"/>
  <c r="Y27" i="71" a="1"/>
  <c r="X27" i="71" a="1"/>
  <c r="W27" i="71" a="1"/>
  <c r="V27" i="71" a="1"/>
  <c r="U27" i="71" a="1"/>
  <c r="T27" i="71" a="1"/>
  <c r="S27" i="71" a="1"/>
  <c r="R27" i="71" a="1"/>
  <c r="Q27" i="71" a="1"/>
  <c r="P27" i="71" a="1"/>
  <c r="O27" i="71" a="1"/>
  <c r="N27" i="71" a="1"/>
  <c r="M27" i="71" a="1"/>
  <c r="L27" i="71" a="1"/>
  <c r="K27" i="71" a="1"/>
  <c r="J27" i="71" a="1"/>
  <c r="G27" i="71"/>
  <c r="AK26" i="71" a="1"/>
  <c r="AJ26" i="71" a="1"/>
  <c r="AI26" i="71" a="1"/>
  <c r="AH26" i="71" a="1"/>
  <c r="AG26" i="71" a="1"/>
  <c r="AF26" i="71" a="1"/>
  <c r="AE26" i="71" a="1"/>
  <c r="AD26" i="71" a="1"/>
  <c r="AC26" i="71" a="1"/>
  <c r="AB26" i="71" a="1"/>
  <c r="AA26" i="71" a="1"/>
  <c r="Z26" i="71" a="1"/>
  <c r="Y26" i="71" a="1"/>
  <c r="X26" i="71" a="1"/>
  <c r="W26" i="71" a="1"/>
  <c r="V26" i="71" a="1"/>
  <c r="U26" i="71" a="1"/>
  <c r="T26" i="71" a="1"/>
  <c r="S26" i="71" a="1"/>
  <c r="R26" i="71" a="1"/>
  <c r="Q26" i="71" a="1"/>
  <c r="P26" i="71" a="1"/>
  <c r="O26" i="71" a="1"/>
  <c r="N26" i="71" a="1"/>
  <c r="M26" i="71" a="1"/>
  <c r="L26" i="71" a="1"/>
  <c r="K26" i="71" a="1"/>
  <c r="J26" i="71" a="1"/>
  <c r="G26" i="71"/>
  <c r="AK25" i="71" a="1"/>
  <c r="AJ25" i="71" a="1"/>
  <c r="AI25" i="71" a="1"/>
  <c r="AH25" i="71" a="1"/>
  <c r="AG25" i="71" a="1"/>
  <c r="AF25" i="71" a="1"/>
  <c r="AE25" i="71" a="1"/>
  <c r="AD25" i="71" a="1"/>
  <c r="AC25" i="71" a="1"/>
  <c r="AB25" i="71" a="1"/>
  <c r="AA25" i="71" a="1"/>
  <c r="Z25" i="71" a="1"/>
  <c r="Y25" i="71" a="1"/>
  <c r="X25" i="71" a="1"/>
  <c r="W25" i="71" a="1"/>
  <c r="V25" i="71" a="1"/>
  <c r="U25" i="71" a="1"/>
  <c r="T25" i="71" a="1"/>
  <c r="S25" i="71" a="1"/>
  <c r="R25" i="71" a="1"/>
  <c r="Q25" i="71" a="1"/>
  <c r="P25" i="71" a="1"/>
  <c r="O25" i="71" a="1"/>
  <c r="N25" i="71" a="1"/>
  <c r="M25" i="71" a="1"/>
  <c r="L25" i="71" a="1"/>
  <c r="K25" i="71" a="1"/>
  <c r="J25" i="71" a="1"/>
  <c r="G25" i="71"/>
  <c r="AK24" i="71" a="1"/>
  <c r="AJ24" i="71" a="1"/>
  <c r="AI24" i="71" a="1"/>
  <c r="AH24" i="71" a="1"/>
  <c r="AG24" i="71" a="1"/>
  <c r="AF24" i="71" a="1"/>
  <c r="AE24" i="71" a="1"/>
  <c r="AD24" i="71" a="1"/>
  <c r="AC24" i="71" a="1"/>
  <c r="AB24" i="71" a="1"/>
  <c r="AA24" i="71" a="1"/>
  <c r="Z24" i="71" a="1"/>
  <c r="Y24" i="71" a="1"/>
  <c r="X24" i="71" a="1"/>
  <c r="W24" i="71" a="1"/>
  <c r="V24" i="71" a="1"/>
  <c r="U24" i="71" a="1"/>
  <c r="T24" i="71" a="1"/>
  <c r="S24" i="71" a="1"/>
  <c r="R24" i="71" a="1"/>
  <c r="Q24" i="71" a="1"/>
  <c r="P24" i="71" a="1"/>
  <c r="O24" i="71" a="1"/>
  <c r="N24" i="71" a="1"/>
  <c r="M24" i="71" a="1"/>
  <c r="L24" i="71" a="1"/>
  <c r="K24" i="71" a="1"/>
  <c r="J24" i="71" a="1"/>
  <c r="G24" i="71"/>
  <c r="AK23" i="71" a="1"/>
  <c r="AJ23" i="71" a="1"/>
  <c r="AI23" i="71" a="1"/>
  <c r="AH23" i="71" a="1"/>
  <c r="AG23" i="71" a="1"/>
  <c r="AF23" i="71" a="1"/>
  <c r="AE23" i="71" a="1"/>
  <c r="AD23" i="71" a="1"/>
  <c r="AC23" i="71" a="1"/>
  <c r="AB23" i="71" a="1"/>
  <c r="AA23" i="71" a="1"/>
  <c r="Z23" i="71" a="1"/>
  <c r="Y23" i="71" a="1"/>
  <c r="X23" i="71" a="1"/>
  <c r="W23" i="71" a="1"/>
  <c r="V23" i="71" a="1"/>
  <c r="U23" i="71" a="1"/>
  <c r="T23" i="71" a="1"/>
  <c r="S23" i="71" a="1"/>
  <c r="R23" i="71" a="1"/>
  <c r="Q23" i="71" a="1"/>
  <c r="P23" i="71" a="1"/>
  <c r="O23" i="71" a="1"/>
  <c r="N23" i="71" a="1"/>
  <c r="M23" i="71" a="1"/>
  <c r="L23" i="71" a="1"/>
  <c r="K23" i="71" a="1"/>
  <c r="J23" i="71" a="1"/>
  <c r="G23" i="71"/>
  <c r="AK22" i="71" a="1"/>
  <c r="AJ22" i="71" a="1"/>
  <c r="AI22" i="71" a="1"/>
  <c r="AH22" i="71" a="1"/>
  <c r="AG22" i="71" a="1"/>
  <c r="AF22" i="71" a="1"/>
  <c r="AE22" i="71" a="1"/>
  <c r="AD22" i="71" a="1"/>
  <c r="AC22" i="71" a="1"/>
  <c r="AB22" i="71" a="1"/>
  <c r="AA22" i="71" a="1"/>
  <c r="Z22" i="71" a="1"/>
  <c r="Y22" i="71" a="1"/>
  <c r="X22" i="71" a="1"/>
  <c r="W22" i="71" a="1"/>
  <c r="V22" i="71" a="1"/>
  <c r="U22" i="71" a="1"/>
  <c r="T22" i="71" a="1"/>
  <c r="S22" i="71" a="1"/>
  <c r="R22" i="71" a="1"/>
  <c r="Q22" i="71" a="1"/>
  <c r="P22" i="71" a="1"/>
  <c r="O22" i="71" a="1"/>
  <c r="N22" i="71" a="1"/>
  <c r="M22" i="71" a="1"/>
  <c r="L22" i="71" a="1"/>
  <c r="K22" i="71" a="1"/>
  <c r="J22" i="71" a="1"/>
  <c r="G22" i="71"/>
  <c r="AK21" i="71" a="1"/>
  <c r="AJ21" i="71" a="1"/>
  <c r="AI21" i="71" a="1"/>
  <c r="AH21" i="71" a="1"/>
  <c r="AG21" i="71" a="1"/>
  <c r="AF21" i="71" a="1"/>
  <c r="AE21" i="71" a="1"/>
  <c r="AD21" i="71" a="1"/>
  <c r="AC21" i="71" a="1"/>
  <c r="AB21" i="71" a="1"/>
  <c r="AA21" i="71" a="1"/>
  <c r="Z21" i="71" a="1"/>
  <c r="Y21" i="71" a="1"/>
  <c r="X21" i="71" a="1"/>
  <c r="W21" i="71" a="1"/>
  <c r="V21" i="71" a="1"/>
  <c r="U21" i="71" a="1"/>
  <c r="T21" i="71" a="1"/>
  <c r="S21" i="71" a="1"/>
  <c r="R21" i="71" a="1"/>
  <c r="Q21" i="71" a="1"/>
  <c r="P21" i="71" a="1"/>
  <c r="O21" i="71" a="1"/>
  <c r="N21" i="71" a="1"/>
  <c r="M21" i="71" a="1"/>
  <c r="L21" i="71" a="1"/>
  <c r="K21" i="71" a="1"/>
  <c r="J21" i="71" a="1"/>
  <c r="G21" i="71"/>
  <c r="AK20" i="71" a="1"/>
  <c r="AJ20" i="71" a="1"/>
  <c r="AI20" i="71" a="1"/>
  <c r="AH20" i="71" a="1"/>
  <c r="AG20" i="71" a="1"/>
  <c r="AF20" i="71" a="1"/>
  <c r="AE20" i="71" a="1"/>
  <c r="AD20" i="71" a="1"/>
  <c r="AC20" i="71" a="1"/>
  <c r="AB20" i="71" a="1"/>
  <c r="AA20" i="71" a="1"/>
  <c r="Z20" i="71" a="1"/>
  <c r="Y20" i="71" a="1"/>
  <c r="X20" i="71" a="1"/>
  <c r="W20" i="71" a="1"/>
  <c r="V20" i="71" a="1"/>
  <c r="U20" i="71" a="1"/>
  <c r="T20" i="71" a="1"/>
  <c r="S20" i="71" a="1"/>
  <c r="R20" i="71" a="1"/>
  <c r="Q20" i="71" a="1"/>
  <c r="P20" i="71" a="1"/>
  <c r="O20" i="71" a="1"/>
  <c r="N20" i="71" a="1"/>
  <c r="M20" i="71" a="1"/>
  <c r="L20" i="71" a="1"/>
  <c r="K20" i="71" a="1"/>
  <c r="J20" i="71" a="1"/>
  <c r="G20" i="71"/>
  <c r="AK19" i="71" a="1"/>
  <c r="AJ19" i="71" a="1"/>
  <c r="AI19" i="71" a="1"/>
  <c r="AH19" i="71" a="1"/>
  <c r="AG19" i="71" a="1"/>
  <c r="AF19" i="71" a="1"/>
  <c r="AE19" i="71" a="1"/>
  <c r="AD19" i="71" a="1"/>
  <c r="AC19" i="71" a="1"/>
  <c r="AB19" i="71" a="1"/>
  <c r="AA19" i="71" a="1"/>
  <c r="Z19" i="71" a="1"/>
  <c r="Y19" i="71" a="1"/>
  <c r="X19" i="71" a="1"/>
  <c r="W19" i="71" a="1"/>
  <c r="V19" i="71" a="1"/>
  <c r="U19" i="71" a="1"/>
  <c r="T19" i="71" a="1"/>
  <c r="S19" i="71" a="1"/>
  <c r="R19" i="71" a="1"/>
  <c r="Q19" i="71" a="1"/>
  <c r="P19" i="71" a="1"/>
  <c r="O19" i="71" a="1"/>
  <c r="N19" i="71" a="1"/>
  <c r="M19" i="71" a="1"/>
  <c r="L19" i="71" a="1"/>
  <c r="K19" i="71" a="1"/>
  <c r="J19" i="71" a="1"/>
  <c r="G19" i="71"/>
  <c r="AK18" i="71" a="1"/>
  <c r="AJ18" i="71" a="1"/>
  <c r="AI18" i="71" a="1"/>
  <c r="AH18" i="71" a="1"/>
  <c r="AG18" i="71" a="1"/>
  <c r="AF18" i="71" a="1"/>
  <c r="AE18" i="71" a="1"/>
  <c r="AD18" i="71" a="1"/>
  <c r="AC18" i="71" a="1"/>
  <c r="AB18" i="71" a="1"/>
  <c r="AA18" i="71" a="1"/>
  <c r="Z18" i="71" a="1"/>
  <c r="Y18" i="71" a="1"/>
  <c r="X18" i="71" a="1"/>
  <c r="W18" i="71" a="1"/>
  <c r="V18" i="71" a="1"/>
  <c r="U18" i="71" a="1"/>
  <c r="T18" i="71" a="1"/>
  <c r="S18" i="71" a="1"/>
  <c r="R18" i="71" a="1"/>
  <c r="Q18" i="71" a="1"/>
  <c r="P18" i="71" a="1"/>
  <c r="O18" i="71" a="1"/>
  <c r="N18" i="71" a="1"/>
  <c r="M18" i="71" a="1"/>
  <c r="L18" i="71" a="1"/>
  <c r="K18" i="71" a="1"/>
  <c r="J18" i="71" a="1"/>
  <c r="G18" i="71"/>
  <c r="AK17" i="71" a="1"/>
  <c r="AJ17" i="71" a="1"/>
  <c r="AI17" i="71" a="1"/>
  <c r="AH17" i="71" a="1"/>
  <c r="AG17" i="71" a="1"/>
  <c r="AF17" i="71" a="1"/>
  <c r="AE17" i="71" a="1"/>
  <c r="AD17" i="71" a="1"/>
  <c r="AC17" i="71" a="1"/>
  <c r="AB17" i="71" a="1"/>
  <c r="AA17" i="71" a="1"/>
  <c r="Z17" i="71" a="1"/>
  <c r="Y17" i="71" a="1"/>
  <c r="X17" i="71" a="1"/>
  <c r="W17" i="71" a="1"/>
  <c r="V17" i="71" a="1"/>
  <c r="U17" i="71" a="1"/>
  <c r="T17" i="71" a="1"/>
  <c r="S17" i="71" a="1"/>
  <c r="R17" i="71" a="1"/>
  <c r="Q17" i="71" a="1"/>
  <c r="P17" i="71" a="1"/>
  <c r="O17" i="71" a="1"/>
  <c r="N17" i="71" a="1"/>
  <c r="M17" i="71" a="1"/>
  <c r="L17" i="71" a="1"/>
  <c r="K17" i="71" a="1"/>
  <c r="J17" i="71" a="1"/>
  <c r="G17" i="71"/>
  <c r="AK16" i="71" a="1"/>
  <c r="AJ16" i="71" a="1"/>
  <c r="AI16" i="71" a="1"/>
  <c r="AH16" i="71" a="1"/>
  <c r="AG16" i="71" a="1"/>
  <c r="AF16" i="71" a="1"/>
  <c r="AE16" i="71" a="1"/>
  <c r="AD16" i="71" a="1"/>
  <c r="AC16" i="71" a="1"/>
  <c r="AB16" i="71" a="1"/>
  <c r="AA16" i="71" a="1"/>
  <c r="Z16" i="71" a="1"/>
  <c r="Y16" i="71" a="1"/>
  <c r="X16" i="71" a="1"/>
  <c r="W16" i="71" a="1"/>
  <c r="V16" i="71" a="1"/>
  <c r="U16" i="71" a="1"/>
  <c r="T16" i="71" a="1"/>
  <c r="S16" i="71" a="1"/>
  <c r="R16" i="71" a="1"/>
  <c r="Q16" i="71" a="1"/>
  <c r="P16" i="71" a="1"/>
  <c r="O16" i="71" a="1"/>
  <c r="N16" i="71" a="1"/>
  <c r="M16" i="71" a="1"/>
  <c r="L16" i="71" a="1"/>
  <c r="K16" i="71" a="1"/>
  <c r="J16" i="71" a="1"/>
  <c r="G16" i="71"/>
  <c r="AK15" i="71" a="1"/>
  <c r="AJ15" i="71" a="1"/>
  <c r="AI15" i="71" a="1"/>
  <c r="AH15" i="71" a="1"/>
  <c r="AG15" i="71" a="1"/>
  <c r="AF15" i="71" a="1"/>
  <c r="AE15" i="71" a="1"/>
  <c r="AD15" i="71" a="1"/>
  <c r="AC15" i="71" a="1"/>
  <c r="AB15" i="71" a="1"/>
  <c r="AA15" i="71" a="1"/>
  <c r="Z15" i="71" a="1"/>
  <c r="Y15" i="71" a="1"/>
  <c r="X15" i="71" a="1"/>
  <c r="W15" i="71" a="1"/>
  <c r="V15" i="71" a="1"/>
  <c r="U15" i="71" a="1"/>
  <c r="T15" i="71" a="1"/>
  <c r="S15" i="71" a="1"/>
  <c r="R15" i="71" a="1"/>
  <c r="Q15" i="71" a="1"/>
  <c r="P15" i="71" a="1"/>
  <c r="O15" i="71" a="1"/>
  <c r="N15" i="71" a="1"/>
  <c r="M15" i="71" a="1"/>
  <c r="L15" i="71" a="1"/>
  <c r="K15" i="71" a="1"/>
  <c r="J15" i="71" a="1"/>
  <c r="G15" i="71"/>
  <c r="AK14" i="71" a="1"/>
  <c r="AJ14" i="71" a="1"/>
  <c r="AI14" i="71" a="1"/>
  <c r="AH14" i="71" a="1"/>
  <c r="AG14" i="71" a="1"/>
  <c r="AF14" i="71" a="1"/>
  <c r="AE14" i="71" a="1"/>
  <c r="AD14" i="71" a="1"/>
  <c r="AC14" i="71" a="1"/>
  <c r="AB14" i="71" a="1"/>
  <c r="AA14" i="71" a="1"/>
  <c r="Z14" i="71" a="1"/>
  <c r="Y14" i="71" a="1"/>
  <c r="X14" i="71" a="1"/>
  <c r="W14" i="71" a="1"/>
  <c r="V14" i="71" a="1"/>
  <c r="U14" i="71" a="1"/>
  <c r="T14" i="71" a="1"/>
  <c r="S14" i="71" a="1"/>
  <c r="R14" i="71" a="1"/>
  <c r="Q14" i="71" a="1"/>
  <c r="P14" i="71" a="1"/>
  <c r="O14" i="71" a="1"/>
  <c r="N14" i="71" a="1"/>
  <c r="M14" i="71" a="1"/>
  <c r="L14" i="71" a="1"/>
  <c r="K14" i="71" a="1"/>
  <c r="J14" i="71" a="1"/>
  <c r="G14" i="71"/>
  <c r="AK13" i="71" a="1"/>
  <c r="AJ13" i="71" a="1"/>
  <c r="AI13" i="71" a="1"/>
  <c r="AH13" i="71" a="1"/>
  <c r="AG13" i="71" a="1"/>
  <c r="AF13" i="71" a="1"/>
  <c r="AE13" i="71" a="1"/>
  <c r="AD13" i="71" a="1"/>
  <c r="AC13" i="71" a="1"/>
  <c r="AB13" i="71" a="1"/>
  <c r="AA13" i="71" a="1"/>
  <c r="Z13" i="71" a="1"/>
  <c r="Y13" i="71" a="1"/>
  <c r="X13" i="71" a="1"/>
  <c r="W13" i="71" a="1"/>
  <c r="V13" i="71" a="1"/>
  <c r="U13" i="71" a="1"/>
  <c r="T13" i="71" a="1"/>
  <c r="S13" i="71" a="1"/>
  <c r="R13" i="71" a="1"/>
  <c r="Q13" i="71" a="1"/>
  <c r="P13" i="71" a="1"/>
  <c r="O13" i="71" a="1"/>
  <c r="N13" i="71" a="1"/>
  <c r="M13" i="71" a="1"/>
  <c r="L13" i="71" a="1"/>
  <c r="K13" i="71" a="1"/>
  <c r="J13" i="71" a="1"/>
  <c r="G13" i="71"/>
  <c r="AK12" i="71" a="1"/>
  <c r="AJ12" i="71" a="1"/>
  <c r="AI12" i="71" a="1"/>
  <c r="AH12" i="71" a="1"/>
  <c r="AG12" i="71" a="1"/>
  <c r="AF12" i="71" a="1"/>
  <c r="AE12" i="71" a="1"/>
  <c r="AD12" i="71" a="1"/>
  <c r="AC12" i="71" a="1"/>
  <c r="AB12" i="71" a="1"/>
  <c r="AA12" i="71" a="1"/>
  <c r="Z12" i="71" a="1"/>
  <c r="Y12" i="71" a="1"/>
  <c r="X12" i="71" a="1"/>
  <c r="W12" i="71" a="1"/>
  <c r="V12" i="71" a="1"/>
  <c r="U12" i="71" a="1"/>
  <c r="T12" i="71" a="1"/>
  <c r="S12" i="71" a="1"/>
  <c r="R12" i="71" a="1"/>
  <c r="Q12" i="71" a="1"/>
  <c r="P12" i="71" a="1"/>
  <c r="O12" i="71" a="1"/>
  <c r="N12" i="71" a="1"/>
  <c r="M12" i="71" a="1"/>
  <c r="L12" i="71" a="1"/>
  <c r="K12" i="71" a="1"/>
  <c r="J12" i="71" a="1"/>
  <c r="G12" i="71"/>
  <c r="AK11" i="71" a="1"/>
  <c r="AJ11" i="71" a="1"/>
  <c r="AI11" i="71" a="1"/>
  <c r="AH11" i="71" a="1"/>
  <c r="AG11" i="71" a="1"/>
  <c r="AF11" i="71" a="1"/>
  <c r="AE11" i="71" a="1"/>
  <c r="AD11" i="71" a="1"/>
  <c r="AC11" i="71" a="1"/>
  <c r="AB11" i="71" a="1"/>
  <c r="AA11" i="71" a="1"/>
  <c r="Z11" i="71" a="1"/>
  <c r="Y11" i="71" a="1"/>
  <c r="X11" i="71" a="1"/>
  <c r="W11" i="71" a="1"/>
  <c r="V11" i="71" a="1"/>
  <c r="U11" i="71" a="1"/>
  <c r="T11" i="71" a="1"/>
  <c r="S11" i="71" a="1"/>
  <c r="R11" i="71" a="1"/>
  <c r="Q11" i="71" a="1"/>
  <c r="P11" i="71" a="1"/>
  <c r="O11" i="71" a="1"/>
  <c r="N11" i="71" a="1"/>
  <c r="M11" i="71" a="1"/>
  <c r="L11" i="71" a="1"/>
  <c r="K11" i="71" a="1"/>
  <c r="J11" i="71" a="1"/>
  <c r="G11" i="71"/>
  <c r="AK10" i="71" a="1"/>
  <c r="AJ10" i="71" a="1"/>
  <c r="AI10" i="71" a="1"/>
  <c r="AH10" i="71" a="1"/>
  <c r="AG10" i="71" a="1"/>
  <c r="AF10" i="71" a="1"/>
  <c r="AE10" i="71" a="1"/>
  <c r="AD10" i="71" a="1"/>
  <c r="AC10" i="71" a="1"/>
  <c r="AB10" i="71" a="1"/>
  <c r="AA10" i="71" a="1"/>
  <c r="Z10" i="71" a="1"/>
  <c r="Y10" i="71" a="1"/>
  <c r="X10" i="71" a="1"/>
  <c r="W10" i="71" a="1"/>
  <c r="V10" i="71" a="1"/>
  <c r="U10" i="71" a="1"/>
  <c r="T10" i="71" a="1"/>
  <c r="S10" i="71" a="1"/>
  <c r="R10" i="71" a="1"/>
  <c r="Q10" i="71" a="1"/>
  <c r="P10" i="71" a="1"/>
  <c r="O10" i="71" a="1"/>
  <c r="N10" i="71" a="1"/>
  <c r="M10" i="71" a="1"/>
  <c r="L10" i="71" a="1"/>
  <c r="K10" i="71" a="1"/>
  <c r="J10" i="71" a="1"/>
  <c r="G10" i="71"/>
  <c r="AK9" i="71" a="1"/>
  <c r="AJ9" i="71" a="1"/>
  <c r="AI9" i="71" a="1"/>
  <c r="AH9" i="71" a="1"/>
  <c r="AG9" i="71" a="1"/>
  <c r="AF9" i="71" a="1"/>
  <c r="AE9" i="71" a="1"/>
  <c r="AD9" i="71" a="1"/>
  <c r="AC9" i="71" a="1"/>
  <c r="AB9" i="71" a="1"/>
  <c r="AA9" i="71" a="1"/>
  <c r="Z9" i="71" a="1"/>
  <c r="Y9" i="71" a="1"/>
  <c r="X9" i="71" a="1"/>
  <c r="W9" i="71" a="1"/>
  <c r="V9" i="71" a="1"/>
  <c r="U9" i="71" a="1"/>
  <c r="T9" i="71" a="1"/>
  <c r="S9" i="71" a="1"/>
  <c r="R9" i="71" a="1"/>
  <c r="Q9" i="71" a="1"/>
  <c r="P9" i="71" a="1"/>
  <c r="O9" i="71" a="1"/>
  <c r="N9" i="71" a="1"/>
  <c r="M9" i="71" a="1"/>
  <c r="L9" i="71" a="1"/>
  <c r="K9" i="71" a="1"/>
  <c r="J9" i="71" a="1"/>
  <c r="G9" i="71"/>
  <c r="AK8" i="71" a="1"/>
  <c r="AJ8" i="71" a="1"/>
  <c r="AI8" i="71" a="1"/>
  <c r="AH8" i="71" a="1"/>
  <c r="AG8" i="71" a="1"/>
  <c r="AF8" i="71" a="1"/>
  <c r="AE8" i="71" a="1"/>
  <c r="AD8" i="71" a="1"/>
  <c r="AC8" i="71" a="1"/>
  <c r="AB8" i="71" a="1"/>
  <c r="AA8" i="71" a="1"/>
  <c r="Z8" i="71" a="1"/>
  <c r="Y8" i="71" a="1"/>
  <c r="X8" i="71" a="1"/>
  <c r="W8" i="71" a="1"/>
  <c r="V8" i="71" a="1"/>
  <c r="U8" i="71" a="1"/>
  <c r="T8" i="71" a="1"/>
  <c r="S8" i="71" a="1"/>
  <c r="R8" i="71" a="1"/>
  <c r="Q8" i="71" a="1"/>
  <c r="P8" i="71" a="1"/>
  <c r="O8" i="71" a="1"/>
  <c r="N8" i="71" a="1"/>
  <c r="M8" i="71" a="1"/>
  <c r="L8" i="71" a="1"/>
  <c r="K8" i="71" a="1"/>
  <c r="J8" i="71" a="1"/>
  <c r="G8" i="71"/>
  <c r="AK7" i="71" a="1"/>
  <c r="AJ7" i="71" a="1"/>
  <c r="AI7" i="71" a="1"/>
  <c r="AH7" i="71" a="1"/>
  <c r="AG7" i="71" a="1"/>
  <c r="AF7" i="71" a="1"/>
  <c r="AE7" i="71" a="1"/>
  <c r="AD7" i="71" a="1"/>
  <c r="AC7" i="71" a="1"/>
  <c r="AB7" i="71" a="1"/>
  <c r="AA7" i="71" a="1"/>
  <c r="Z7" i="71" a="1"/>
  <c r="Y7" i="71" a="1"/>
  <c r="X7" i="71" a="1"/>
  <c r="W7" i="71" a="1"/>
  <c r="V7" i="71" a="1"/>
  <c r="U7" i="71" a="1"/>
  <c r="T7" i="71" a="1"/>
  <c r="S7" i="71" a="1"/>
  <c r="R7" i="71" a="1"/>
  <c r="Q7" i="71" a="1"/>
  <c r="P7" i="71" a="1"/>
  <c r="O7" i="71" a="1"/>
  <c r="N7" i="71" a="1"/>
  <c r="M7" i="71" a="1"/>
  <c r="L7" i="71" a="1"/>
  <c r="K7" i="71" a="1"/>
  <c r="J7" i="71" a="1"/>
  <c r="G7" i="71"/>
  <c r="AK6" i="71" a="1"/>
  <c r="AJ6" i="71" a="1"/>
  <c r="AI6" i="71" a="1"/>
  <c r="AH6" i="71" a="1"/>
  <c r="AG6" i="71" a="1"/>
  <c r="AF6" i="71" a="1"/>
  <c r="AE6" i="71" a="1"/>
  <c r="AD6" i="71" a="1"/>
  <c r="AC6" i="71" a="1"/>
  <c r="AB6" i="71" a="1"/>
  <c r="AA6" i="71" a="1"/>
  <c r="Z6" i="71" a="1"/>
  <c r="Y6" i="71" a="1"/>
  <c r="X6" i="71" a="1"/>
  <c r="W6" i="71" a="1"/>
  <c r="V6" i="71" a="1"/>
  <c r="U6" i="71" a="1"/>
  <c r="T6" i="71" a="1"/>
  <c r="S6" i="71" a="1"/>
  <c r="R6" i="71" a="1"/>
  <c r="Q6" i="71" a="1"/>
  <c r="P6" i="71" a="1"/>
  <c r="O6" i="71" a="1"/>
  <c r="N6" i="71" a="1"/>
  <c r="M6" i="71" a="1"/>
  <c r="L6" i="71" a="1"/>
  <c r="K6" i="71" a="1"/>
  <c r="J6" i="71" a="1"/>
  <c r="G6" i="71"/>
  <c r="AK5" i="71" a="1"/>
  <c r="AJ5" i="71" a="1"/>
  <c r="AI5" i="71" a="1"/>
  <c r="AH5" i="71" a="1"/>
  <c r="AG5" i="71" a="1"/>
  <c r="AF5" i="71" a="1"/>
  <c r="AE5" i="71" a="1"/>
  <c r="AD5" i="71" a="1"/>
  <c r="AC5" i="71" a="1"/>
  <c r="AB5" i="71" a="1"/>
  <c r="AA5" i="71" a="1"/>
  <c r="Z5" i="71" a="1"/>
  <c r="Y5" i="71" a="1"/>
  <c r="X5" i="71" a="1"/>
  <c r="W5" i="71" a="1"/>
  <c r="V5" i="71" a="1"/>
  <c r="U5" i="71" a="1"/>
  <c r="T5" i="71" a="1"/>
  <c r="S5" i="71" a="1"/>
  <c r="R5" i="71" a="1"/>
  <c r="Q5" i="71" a="1"/>
  <c r="P5" i="71" a="1"/>
  <c r="O5" i="71" a="1"/>
  <c r="N5" i="71" a="1"/>
  <c r="M5" i="71" a="1"/>
  <c r="L5" i="71" a="1"/>
  <c r="K5" i="71" a="1"/>
  <c r="J5" i="71" a="1"/>
  <c r="G5" i="71"/>
  <c r="AK4" i="71" a="1"/>
  <c r="AJ4" i="71" a="1"/>
  <c r="AI4" i="71" a="1"/>
  <c r="AH4" i="71" a="1"/>
  <c r="AG4" i="71" a="1"/>
  <c r="AF4" i="71" a="1"/>
  <c r="AE4" i="71" a="1"/>
  <c r="AD4" i="71" a="1"/>
  <c r="AC4" i="71" a="1"/>
  <c r="AB4" i="71" a="1"/>
  <c r="AA4" i="71" a="1"/>
  <c r="Z4" i="71" a="1"/>
  <c r="Y4" i="71" a="1"/>
  <c r="X4" i="71" a="1"/>
  <c r="W4" i="71" a="1"/>
  <c r="V4" i="71" a="1"/>
  <c r="U4" i="71" a="1"/>
  <c r="T4" i="71" a="1"/>
  <c r="S4" i="71" a="1"/>
  <c r="R4" i="71" a="1"/>
  <c r="Q4" i="71" a="1"/>
  <c r="P4" i="71" a="1"/>
  <c r="O4" i="71" a="1"/>
  <c r="N4" i="71" a="1"/>
  <c r="M4" i="71" a="1"/>
  <c r="L4" i="71" a="1"/>
  <c r="K4" i="71" a="1"/>
  <c r="J4" i="71" a="1"/>
  <c r="G4" i="71"/>
  <c r="AK3" i="71" a="1"/>
  <c r="AJ3" i="71" a="1"/>
  <c r="AI3" i="71" a="1"/>
  <c r="AH3" i="71" a="1"/>
  <c r="AG3" i="71" a="1"/>
  <c r="AF3" i="71" a="1"/>
  <c r="AE3" i="71" a="1"/>
  <c r="AD3" i="71" a="1"/>
  <c r="AC3" i="71" a="1"/>
  <c r="AB3" i="71" a="1"/>
  <c r="AA3" i="71" a="1"/>
  <c r="Z3" i="71" a="1"/>
  <c r="Y3" i="71" a="1"/>
  <c r="X3" i="71" a="1"/>
  <c r="W3" i="71" a="1"/>
  <c r="V3" i="71" a="1"/>
  <c r="U3" i="71" a="1"/>
  <c r="T3" i="71" a="1"/>
  <c r="S3" i="71" a="1"/>
  <c r="R3" i="71" a="1"/>
  <c r="Q3" i="71" a="1"/>
  <c r="P3" i="71" a="1"/>
  <c r="O3" i="71" a="1"/>
  <c r="N3" i="71" a="1"/>
  <c r="M3" i="71" a="1"/>
  <c r="L3" i="71" a="1"/>
  <c r="K3" i="71" a="1"/>
  <c r="J3" i="71" a="1"/>
  <c r="G3" i="71"/>
  <c r="I19" i="83" l="1"/>
  <c r="I19" i="82"/>
  <c r="I3" i="84"/>
  <c r="I22" i="84"/>
  <c r="I23" i="84"/>
  <c r="I13" i="82"/>
  <c r="I29" i="84"/>
  <c r="I5" i="84"/>
  <c r="I17" i="83"/>
  <c r="I15" i="83"/>
  <c r="I11" i="83"/>
  <c r="I5" i="83"/>
  <c r="I4" i="82"/>
  <c r="I17" i="84"/>
  <c r="I27" i="83"/>
  <c r="I21" i="82"/>
  <c r="I10" i="83"/>
  <c r="I15" i="84"/>
  <c r="I12" i="82"/>
  <c r="I30" i="84"/>
  <c r="I14" i="82"/>
  <c r="I20" i="82"/>
  <c r="I26" i="82"/>
  <c r="I16" i="84"/>
  <c r="I21" i="83"/>
  <c r="I12" i="83"/>
  <c r="I27" i="84"/>
  <c r="I9" i="84"/>
  <c r="I24" i="84"/>
  <c r="I17" i="82"/>
  <c r="I4" i="84"/>
  <c r="I4" i="83"/>
  <c r="I3" i="82"/>
  <c r="I28" i="84"/>
  <c r="I27" i="82"/>
  <c r="I9" i="83"/>
  <c r="I18" i="84"/>
  <c r="I25" i="82"/>
  <c r="I21" i="84"/>
  <c r="I9" i="82"/>
  <c r="I23" i="82"/>
  <c r="I10" i="84"/>
  <c r="I8" i="84"/>
  <c r="I6" i="83"/>
  <c r="I29" i="82"/>
  <c r="I18" i="83"/>
  <c r="I5" i="82"/>
  <c r="I10" i="82"/>
  <c r="I26" i="84"/>
  <c r="I25" i="84"/>
  <c r="I29" i="83"/>
  <c r="I24" i="83"/>
  <c r="I7" i="84"/>
  <c r="I11" i="82"/>
  <c r="I16" i="82"/>
  <c r="I16" i="83"/>
  <c r="I32" i="84"/>
  <c r="I18" i="82"/>
  <c r="I7" i="83"/>
  <c r="I3" i="83"/>
  <c r="I31" i="82"/>
  <c r="I23" i="83"/>
  <c r="I31" i="83"/>
  <c r="I14" i="83"/>
  <c r="I31" i="84"/>
  <c r="I22" i="83"/>
  <c r="I13" i="84"/>
  <c r="I15" i="82"/>
  <c r="I19" i="84"/>
  <c r="I20" i="84"/>
  <c r="I8" i="82"/>
  <c r="I20" i="83"/>
  <c r="I6" i="82"/>
  <c r="I11" i="84"/>
  <c r="I25" i="83"/>
  <c r="I32" i="82"/>
  <c r="I28" i="82"/>
  <c r="I14" i="84"/>
  <c r="I22" i="82"/>
  <c r="I13" i="83"/>
  <c r="I12" i="84"/>
  <c r="I32" i="83"/>
  <c r="I8" i="83"/>
  <c r="I6" i="84"/>
  <c r="I28" i="83"/>
  <c r="I24" i="82"/>
  <c r="I30" i="82"/>
  <c r="I30" i="83"/>
  <c r="I7" i="82"/>
  <c r="I26" i="83"/>
  <c r="I33" i="89"/>
  <c r="I33" i="88"/>
  <c r="I33" i="87"/>
  <c r="I33" i="86"/>
  <c r="I33" i="85"/>
  <c r="P33" i="78"/>
  <c r="O33" i="77"/>
  <c r="AD33" i="76"/>
  <c r="H13" i="79"/>
  <c r="H25" i="77"/>
  <c r="H26" i="80"/>
  <c r="H14" i="76"/>
  <c r="H20" i="80"/>
  <c r="H7" i="79"/>
  <c r="H18" i="80"/>
  <c r="H27" i="76"/>
  <c r="Q33" i="78"/>
  <c r="H8" i="79"/>
  <c r="H12" i="77"/>
  <c r="H20" i="78"/>
  <c r="H26" i="77"/>
  <c r="H31" i="79"/>
  <c r="H14" i="80"/>
  <c r="H32" i="80"/>
  <c r="H25" i="78"/>
  <c r="H13" i="77"/>
  <c r="H26" i="79"/>
  <c r="AC33" i="76"/>
  <c r="H6" i="78"/>
  <c r="AC33" i="75"/>
  <c r="H13" i="75"/>
  <c r="H14" i="75"/>
  <c r="H8" i="75"/>
  <c r="H8" i="74"/>
  <c r="H27" i="74"/>
  <c r="H13" i="74"/>
  <c r="H26" i="74"/>
  <c r="H14" i="73"/>
  <c r="H8" i="73"/>
  <c r="H28" i="73"/>
  <c r="H13" i="73"/>
  <c r="H7" i="73"/>
  <c r="H27" i="73"/>
  <c r="K33" i="72"/>
  <c r="L33" i="72"/>
  <c r="M33" i="72"/>
  <c r="H6" i="71"/>
  <c r="H25" i="71"/>
  <c r="AC33" i="71"/>
  <c r="H27" i="71"/>
  <c r="Q33" i="80"/>
  <c r="H19" i="80"/>
  <c r="S33" i="80"/>
  <c r="T33" i="80"/>
  <c r="H13" i="80"/>
  <c r="U33" i="80"/>
  <c r="H7" i="80"/>
  <c r="H21" i="80"/>
  <c r="H5" i="80"/>
  <c r="AC33" i="80"/>
  <c r="AD33" i="80"/>
  <c r="H8" i="80"/>
  <c r="AE33" i="80"/>
  <c r="AF33" i="80"/>
  <c r="AG33" i="80"/>
  <c r="AI33" i="80"/>
  <c r="K33" i="80"/>
  <c r="H31" i="80"/>
  <c r="L33" i="80"/>
  <c r="M33" i="80"/>
  <c r="H6" i="80"/>
  <c r="N33" i="80"/>
  <c r="O33" i="80"/>
  <c r="H25" i="80"/>
  <c r="H27" i="80"/>
  <c r="P33" i="80"/>
  <c r="AA33" i="80"/>
  <c r="H24" i="80"/>
  <c r="H10" i="80"/>
  <c r="H22" i="80"/>
  <c r="AJ33" i="80"/>
  <c r="H11" i="80"/>
  <c r="H23" i="80"/>
  <c r="AK33" i="80"/>
  <c r="H29" i="80"/>
  <c r="R33" i="80"/>
  <c r="H30" i="80"/>
  <c r="H15" i="80"/>
  <c r="H4" i="80"/>
  <c r="H9" i="80"/>
  <c r="H16" i="80"/>
  <c r="J33" i="80"/>
  <c r="H28" i="80"/>
  <c r="H3" i="80"/>
  <c r="V33" i="80"/>
  <c r="W33" i="80"/>
  <c r="X33" i="80"/>
  <c r="H12" i="80"/>
  <c r="Y33" i="80"/>
  <c r="AB33" i="80"/>
  <c r="AH33" i="80"/>
  <c r="Z33" i="80"/>
  <c r="H17" i="80"/>
  <c r="S33" i="79"/>
  <c r="T33" i="79"/>
  <c r="H14" i="79"/>
  <c r="AE33" i="79"/>
  <c r="AF33" i="79"/>
  <c r="AD33" i="79"/>
  <c r="M33" i="79"/>
  <c r="N33" i="79"/>
  <c r="H20" i="79"/>
  <c r="O33" i="79"/>
  <c r="K33" i="79"/>
  <c r="P33" i="79"/>
  <c r="H21" i="79"/>
  <c r="H32" i="79"/>
  <c r="H27" i="79"/>
  <c r="AG33" i="79"/>
  <c r="H19" i="79"/>
  <c r="Y33" i="79"/>
  <c r="H22" i="79"/>
  <c r="H5" i="79"/>
  <c r="H29" i="79"/>
  <c r="AB33" i="79"/>
  <c r="H11" i="79"/>
  <c r="H17" i="79"/>
  <c r="H23" i="79"/>
  <c r="AC33" i="79"/>
  <c r="H3" i="79"/>
  <c r="J33" i="79"/>
  <c r="L33" i="79"/>
  <c r="Q33" i="79"/>
  <c r="H25" i="79"/>
  <c r="X33" i="79"/>
  <c r="AH33" i="79"/>
  <c r="AA33" i="79"/>
  <c r="H6" i="79"/>
  <c r="H9" i="79"/>
  <c r="H18" i="79"/>
  <c r="Z33" i="79"/>
  <c r="H12" i="79"/>
  <c r="H15" i="79"/>
  <c r="H24" i="79"/>
  <c r="H4" i="79"/>
  <c r="H28" i="79"/>
  <c r="W33" i="79"/>
  <c r="AI33" i="79"/>
  <c r="H10" i="79"/>
  <c r="U33" i="79"/>
  <c r="AJ33" i="79"/>
  <c r="H30" i="79"/>
  <c r="AK33" i="79"/>
  <c r="R33" i="79"/>
  <c r="H16" i="79"/>
  <c r="V33" i="79"/>
  <c r="N33" i="78"/>
  <c r="O33" i="78"/>
  <c r="T33" i="78"/>
  <c r="R33" i="78"/>
  <c r="S33" i="78"/>
  <c r="H19" i="78"/>
  <c r="H21" i="78"/>
  <c r="H26" i="78"/>
  <c r="H7" i="78"/>
  <c r="H12" i="78"/>
  <c r="H31" i="78"/>
  <c r="I31" i="78" s="1"/>
  <c r="H13" i="78"/>
  <c r="AD33" i="78"/>
  <c r="H8" i="78"/>
  <c r="H32" i="78"/>
  <c r="I32" i="78" s="1"/>
  <c r="H27" i="78"/>
  <c r="AF33" i="78"/>
  <c r="AG33" i="78"/>
  <c r="AH33" i="78"/>
  <c r="L33" i="78"/>
  <c r="M33" i="78"/>
  <c r="H14" i="78"/>
  <c r="H15" i="78"/>
  <c r="H29" i="78"/>
  <c r="H11" i="78"/>
  <c r="AB33" i="78"/>
  <c r="H16" i="78"/>
  <c r="H5" i="78"/>
  <c r="H30" i="78"/>
  <c r="H3" i="78"/>
  <c r="H23" i="78"/>
  <c r="AC33" i="78"/>
  <c r="AE33" i="78"/>
  <c r="V33" i="78"/>
  <c r="H28" i="78"/>
  <c r="K33" i="78"/>
  <c r="H18" i="78"/>
  <c r="Z33" i="78"/>
  <c r="X33" i="78"/>
  <c r="H10" i="78"/>
  <c r="H9" i="78"/>
  <c r="AA33" i="78"/>
  <c r="H17" i="78"/>
  <c r="W33" i="78"/>
  <c r="AI33" i="78"/>
  <c r="H4" i="78"/>
  <c r="J33" i="78"/>
  <c r="U33" i="78"/>
  <c r="H22" i="78"/>
  <c r="AJ33" i="78"/>
  <c r="Y33" i="78"/>
  <c r="AK33" i="78"/>
  <c r="H24" i="78"/>
  <c r="AE33" i="77"/>
  <c r="AF33" i="77"/>
  <c r="H21" i="77"/>
  <c r="AD33" i="77"/>
  <c r="AG33" i="77"/>
  <c r="N33" i="77"/>
  <c r="H14" i="77"/>
  <c r="Q33" i="77"/>
  <c r="H27" i="77"/>
  <c r="T33" i="77"/>
  <c r="H6" i="77"/>
  <c r="U33" i="77"/>
  <c r="H7" i="77"/>
  <c r="H8" i="77"/>
  <c r="H5" i="77"/>
  <c r="H18" i="77"/>
  <c r="J33" i="77"/>
  <c r="M33" i="77"/>
  <c r="P33" i="77"/>
  <c r="H19" i="77"/>
  <c r="H31" i="77"/>
  <c r="I31" i="77" s="1"/>
  <c r="L33" i="77"/>
  <c r="S33" i="77"/>
  <c r="H20" i="77"/>
  <c r="AC33" i="77"/>
  <c r="H32" i="77"/>
  <c r="I32" i="77" s="1"/>
  <c r="AK33" i="77"/>
  <c r="R33" i="77"/>
  <c r="W33" i="77"/>
  <c r="H9" i="77"/>
  <c r="X33" i="77"/>
  <c r="Z33" i="77"/>
  <c r="Y33" i="77"/>
  <c r="AB33" i="77"/>
  <c r="H3" i="77"/>
  <c r="H28" i="77"/>
  <c r="H11" i="77"/>
  <c r="H29" i="77"/>
  <c r="H16" i="77"/>
  <c r="H10" i="77"/>
  <c r="H15" i="77"/>
  <c r="H24" i="77"/>
  <c r="H17" i="77"/>
  <c r="AH33" i="77"/>
  <c r="H4" i="77"/>
  <c r="H22" i="77"/>
  <c r="AA33" i="77"/>
  <c r="V33" i="77"/>
  <c r="AI33" i="77"/>
  <c r="H30" i="77"/>
  <c r="K33" i="77"/>
  <c r="AJ33" i="77"/>
  <c r="H23" i="77"/>
  <c r="M33" i="76"/>
  <c r="N33" i="76"/>
  <c r="H8" i="76"/>
  <c r="R33" i="76"/>
  <c r="H5" i="76"/>
  <c r="S33" i="76"/>
  <c r="H19" i="76"/>
  <c r="H30" i="76"/>
  <c r="T33" i="76"/>
  <c r="H15" i="76"/>
  <c r="H31" i="76"/>
  <c r="X33" i="76"/>
  <c r="H6" i="76"/>
  <c r="Y33" i="76"/>
  <c r="H20" i="76"/>
  <c r="V33" i="76"/>
  <c r="H26" i="76"/>
  <c r="AA33" i="76"/>
  <c r="W33" i="76"/>
  <c r="AI33" i="76"/>
  <c r="L33" i="76"/>
  <c r="H25" i="76"/>
  <c r="H10" i="76"/>
  <c r="AB33" i="76"/>
  <c r="H11" i="76"/>
  <c r="H16" i="76"/>
  <c r="H22" i="76"/>
  <c r="O33" i="76"/>
  <c r="H32" i="76"/>
  <c r="I32" i="76" s="1"/>
  <c r="H7" i="76"/>
  <c r="Q33" i="76"/>
  <c r="H21" i="76"/>
  <c r="AJ33" i="76"/>
  <c r="H13" i="76"/>
  <c r="Z33" i="76"/>
  <c r="H12" i="76"/>
  <c r="H23" i="76"/>
  <c r="AE33" i="76"/>
  <c r="K33" i="76"/>
  <c r="H29" i="76"/>
  <c r="H24" i="76"/>
  <c r="AF33" i="76"/>
  <c r="H17" i="76"/>
  <c r="H4" i="76"/>
  <c r="H18" i="76"/>
  <c r="U33" i="76"/>
  <c r="J33" i="76"/>
  <c r="AK33" i="76"/>
  <c r="H9" i="76"/>
  <c r="P33" i="76"/>
  <c r="AG33" i="76"/>
  <c r="H3" i="76"/>
  <c r="AH33" i="76"/>
  <c r="H28" i="76"/>
  <c r="L33" i="75"/>
  <c r="M33" i="75"/>
  <c r="N33" i="75"/>
  <c r="K33" i="75"/>
  <c r="AE33" i="75"/>
  <c r="AD33" i="75"/>
  <c r="P33" i="75"/>
  <c r="H7" i="75"/>
  <c r="H20" i="75"/>
  <c r="AF33" i="75"/>
  <c r="H21" i="75"/>
  <c r="H26" i="75"/>
  <c r="H27" i="75"/>
  <c r="H16" i="75"/>
  <c r="Q33" i="75"/>
  <c r="H4" i="75"/>
  <c r="H17" i="75"/>
  <c r="H23" i="75"/>
  <c r="H29" i="75"/>
  <c r="R33" i="75"/>
  <c r="S33" i="75"/>
  <c r="H3" i="75"/>
  <c r="T33" i="75"/>
  <c r="H32" i="75"/>
  <c r="I32" i="75" s="1"/>
  <c r="U33" i="75"/>
  <c r="H19" i="75"/>
  <c r="AG33" i="75"/>
  <c r="AH33" i="75"/>
  <c r="AK33" i="75"/>
  <c r="H10" i="75"/>
  <c r="V33" i="75"/>
  <c r="H12" i="75"/>
  <c r="H25" i="75"/>
  <c r="H31" i="75"/>
  <c r="H28" i="75"/>
  <c r="H9" i="75"/>
  <c r="AI33" i="75"/>
  <c r="H5" i="75"/>
  <c r="W33" i="75"/>
  <c r="H11" i="75"/>
  <c r="X33" i="75"/>
  <c r="J33" i="75"/>
  <c r="H6" i="75"/>
  <c r="AB33" i="75"/>
  <c r="AJ33" i="75"/>
  <c r="Y33" i="75"/>
  <c r="Z33" i="75"/>
  <c r="H18" i="75"/>
  <c r="H24" i="75"/>
  <c r="H22" i="75"/>
  <c r="O33" i="75"/>
  <c r="AA33" i="75"/>
  <c r="H15" i="75"/>
  <c r="H30" i="75"/>
  <c r="H32" i="74"/>
  <c r="H14" i="74"/>
  <c r="AC33" i="74"/>
  <c r="AD33" i="74"/>
  <c r="AE33" i="74"/>
  <c r="AF33" i="74"/>
  <c r="H19" i="74"/>
  <c r="H21" i="74"/>
  <c r="J33" i="74"/>
  <c r="K33" i="74"/>
  <c r="H20" i="74"/>
  <c r="L33" i="74"/>
  <c r="M33" i="74"/>
  <c r="N33" i="74"/>
  <c r="O33" i="74"/>
  <c r="H7" i="74"/>
  <c r="P33" i="74"/>
  <c r="H18" i="74"/>
  <c r="AK33" i="74"/>
  <c r="H31" i="74"/>
  <c r="H29" i="74"/>
  <c r="S33" i="74"/>
  <c r="AH33" i="74"/>
  <c r="U33" i="74"/>
  <c r="H23" i="74"/>
  <c r="X33" i="74"/>
  <c r="H6" i="74"/>
  <c r="H22" i="74"/>
  <c r="H5" i="74"/>
  <c r="W33" i="74"/>
  <c r="H12" i="74"/>
  <c r="Q33" i="74"/>
  <c r="T33" i="74"/>
  <c r="V33" i="74"/>
  <c r="H9" i="74"/>
  <c r="H16" i="74"/>
  <c r="H17" i="74"/>
  <c r="AG33" i="74"/>
  <c r="H28" i="74"/>
  <c r="H4" i="74"/>
  <c r="H24" i="74"/>
  <c r="H3" i="74"/>
  <c r="H10" i="74"/>
  <c r="H25" i="74"/>
  <c r="R33" i="74"/>
  <c r="Z33" i="74"/>
  <c r="AA33" i="74"/>
  <c r="AI33" i="74"/>
  <c r="H11" i="74"/>
  <c r="AJ33" i="74"/>
  <c r="H15" i="74"/>
  <c r="Y33" i="74"/>
  <c r="AB33" i="74"/>
  <c r="H30" i="74"/>
  <c r="AC33" i="73"/>
  <c r="AD33" i="73"/>
  <c r="AE33" i="73"/>
  <c r="K33" i="73"/>
  <c r="H26" i="73"/>
  <c r="L33" i="73"/>
  <c r="M33" i="73"/>
  <c r="N33" i="73"/>
  <c r="O33" i="73"/>
  <c r="H20" i="73"/>
  <c r="H21" i="73"/>
  <c r="AB33" i="73"/>
  <c r="H19" i="73"/>
  <c r="W33" i="73"/>
  <c r="H5" i="73"/>
  <c r="T33" i="73"/>
  <c r="H30" i="73"/>
  <c r="H6" i="73"/>
  <c r="H3" i="73"/>
  <c r="J33" i="73"/>
  <c r="AF33" i="73"/>
  <c r="H9" i="73"/>
  <c r="AG33" i="73"/>
  <c r="AH33" i="73"/>
  <c r="H23" i="73"/>
  <c r="H25" i="73"/>
  <c r="AI33" i="73"/>
  <c r="AJ33" i="73"/>
  <c r="H32" i="73"/>
  <c r="H4" i="73"/>
  <c r="H12" i="73"/>
  <c r="H24" i="73"/>
  <c r="H17" i="73"/>
  <c r="AK33" i="73"/>
  <c r="H29" i="73"/>
  <c r="P33" i="73"/>
  <c r="H18" i="73"/>
  <c r="H22" i="73"/>
  <c r="U33" i="73"/>
  <c r="V33" i="73"/>
  <c r="H31" i="73"/>
  <c r="AA33" i="73"/>
  <c r="H10" i="73"/>
  <c r="H11" i="73"/>
  <c r="Q33" i="73"/>
  <c r="H15" i="73"/>
  <c r="X33" i="73"/>
  <c r="H16" i="73"/>
  <c r="Y33" i="73"/>
  <c r="Z33" i="73"/>
  <c r="R33" i="73"/>
  <c r="S33" i="73"/>
  <c r="AG33" i="72"/>
  <c r="H13" i="72"/>
  <c r="I13" i="72" s="1"/>
  <c r="P33" i="72"/>
  <c r="H25" i="72"/>
  <c r="I25" i="72" s="1"/>
  <c r="Q33" i="72"/>
  <c r="H19" i="72"/>
  <c r="I19" i="72" s="1"/>
  <c r="H26" i="72"/>
  <c r="I26" i="72" s="1"/>
  <c r="O33" i="72"/>
  <c r="T33" i="72"/>
  <c r="H7" i="72"/>
  <c r="I7" i="72" s="1"/>
  <c r="H8" i="72"/>
  <c r="I8" i="72" s="1"/>
  <c r="H27" i="72"/>
  <c r="I27" i="72" s="1"/>
  <c r="S33" i="72"/>
  <c r="H20" i="72"/>
  <c r="I20" i="72" s="1"/>
  <c r="H14" i="72"/>
  <c r="I14" i="72" s="1"/>
  <c r="H6" i="72"/>
  <c r="I6" i="72" s="1"/>
  <c r="H32" i="72"/>
  <c r="I32" i="72" s="1"/>
  <c r="H31" i="72"/>
  <c r="I31" i="72" s="1"/>
  <c r="AC33" i="72"/>
  <c r="N33" i="72"/>
  <c r="AD33" i="72"/>
  <c r="AE33" i="72"/>
  <c r="H22" i="72"/>
  <c r="I22" i="72" s="1"/>
  <c r="H29" i="72"/>
  <c r="I29" i="72" s="1"/>
  <c r="AB33" i="72"/>
  <c r="U33" i="72"/>
  <c r="H3" i="72"/>
  <c r="I3" i="72" s="1"/>
  <c r="H16" i="72"/>
  <c r="I16" i="72" s="1"/>
  <c r="H23" i="72"/>
  <c r="I23" i="72" s="1"/>
  <c r="H12" i="72"/>
  <c r="I12" i="72" s="1"/>
  <c r="H28" i="72"/>
  <c r="I28" i="72" s="1"/>
  <c r="J33" i="72"/>
  <c r="V33" i="72"/>
  <c r="H30" i="72"/>
  <c r="I30" i="72" s="1"/>
  <c r="H21" i="72"/>
  <c r="I21" i="72" s="1"/>
  <c r="H17" i="72"/>
  <c r="I17" i="72" s="1"/>
  <c r="H15" i="72"/>
  <c r="I15" i="72" s="1"/>
  <c r="AA33" i="72"/>
  <c r="AI33" i="72"/>
  <c r="AJ33" i="72"/>
  <c r="Z33" i="72"/>
  <c r="H18" i="72"/>
  <c r="I18" i="72" s="1"/>
  <c r="AK33" i="72"/>
  <c r="W33" i="72"/>
  <c r="Y33" i="72"/>
  <c r="H10" i="72"/>
  <c r="I10" i="72" s="1"/>
  <c r="AF33" i="72"/>
  <c r="H4" i="72"/>
  <c r="I4" i="72" s="1"/>
  <c r="R33" i="72"/>
  <c r="H11" i="72"/>
  <c r="I11" i="72" s="1"/>
  <c r="H9" i="72"/>
  <c r="I9" i="72" s="1"/>
  <c r="X33" i="72"/>
  <c r="H5" i="72"/>
  <c r="I5" i="72" s="1"/>
  <c r="AH33" i="72"/>
  <c r="H24" i="72"/>
  <c r="I24" i="72" s="1"/>
  <c r="AE33" i="71"/>
  <c r="H20" i="71"/>
  <c r="AG33" i="71"/>
  <c r="H21" i="71"/>
  <c r="H19" i="71"/>
  <c r="Q33" i="71"/>
  <c r="J33" i="71"/>
  <c r="K33" i="71"/>
  <c r="H22" i="71"/>
  <c r="M33" i="71"/>
  <c r="O33" i="71"/>
  <c r="H32" i="71"/>
  <c r="L33" i="71"/>
  <c r="H8" i="71"/>
  <c r="H13" i="71"/>
  <c r="H14" i="71"/>
  <c r="N33" i="71"/>
  <c r="P33" i="71"/>
  <c r="H7" i="71"/>
  <c r="H26" i="71"/>
  <c r="H12" i="71"/>
  <c r="H17" i="71"/>
  <c r="H31" i="71"/>
  <c r="R33" i="71"/>
  <c r="Z33" i="71"/>
  <c r="AA33" i="71"/>
  <c r="AK33" i="71"/>
  <c r="AB33" i="71"/>
  <c r="H28" i="71"/>
  <c r="H29" i="71"/>
  <c r="U33" i="71"/>
  <c r="H18" i="71"/>
  <c r="H23" i="71"/>
  <c r="AF33" i="71"/>
  <c r="AJ33" i="71"/>
  <c r="H4" i="71"/>
  <c r="T33" i="71"/>
  <c r="H16" i="71"/>
  <c r="H5" i="71"/>
  <c r="AD33" i="71"/>
  <c r="H11" i="71"/>
  <c r="H24" i="71"/>
  <c r="V33" i="71"/>
  <c r="W33" i="71"/>
  <c r="H10" i="71"/>
  <c r="X33" i="71"/>
  <c r="Y33" i="71"/>
  <c r="AI33" i="71"/>
  <c r="H15" i="71"/>
  <c r="AH33" i="71"/>
  <c r="H9" i="71"/>
  <c r="S33" i="71"/>
  <c r="H30" i="71"/>
  <c r="H3" i="71"/>
  <c r="I33" i="83" l="1"/>
  <c r="I33" i="84"/>
  <c r="I33" i="82"/>
  <c r="I11" i="71"/>
  <c r="I22" i="71"/>
  <c r="I3" i="74"/>
  <c r="I12" i="75"/>
  <c r="I28" i="76"/>
  <c r="I25" i="76"/>
  <c r="I17" i="77"/>
  <c r="I6" i="77"/>
  <c r="I29" i="79"/>
  <c r="I3" i="78"/>
  <c r="I16" i="79"/>
  <c r="I5" i="71"/>
  <c r="I7" i="80"/>
  <c r="I19" i="71"/>
  <c r="I16" i="73"/>
  <c r="I16" i="77"/>
  <c r="I14" i="77"/>
  <c r="I5" i="78"/>
  <c r="I30" i="79"/>
  <c r="I19" i="79"/>
  <c r="I15" i="80"/>
  <c r="I32" i="80"/>
  <c r="I21" i="80"/>
  <c r="I10" i="77"/>
  <c r="I30" i="78"/>
  <c r="I16" i="78"/>
  <c r="I30" i="80"/>
  <c r="I13" i="80"/>
  <c r="I14" i="80"/>
  <c r="I28" i="74"/>
  <c r="I21" i="71"/>
  <c r="I5" i="73"/>
  <c r="I17" i="74"/>
  <c r="I9" i="76"/>
  <c r="I26" i="76"/>
  <c r="I29" i="77"/>
  <c r="I15" i="73"/>
  <c r="I11" i="77"/>
  <c r="I27" i="79"/>
  <c r="I31" i="79"/>
  <c r="I3" i="73"/>
  <c r="I5" i="80"/>
  <c r="I27" i="77"/>
  <c r="I22" i="79"/>
  <c r="I13" i="77"/>
  <c r="I16" i="71"/>
  <c r="I30" i="73"/>
  <c r="I19" i="74"/>
  <c r="I4" i="80"/>
  <c r="I25" i="78"/>
  <c r="I4" i="71"/>
  <c r="I16" i="74"/>
  <c r="I19" i="75"/>
  <c r="I20" i="71"/>
  <c r="I19" i="73"/>
  <c r="I9" i="74"/>
  <c r="I20" i="76"/>
  <c r="I28" i="77"/>
  <c r="I11" i="78"/>
  <c r="I10" i="79"/>
  <c r="I32" i="79"/>
  <c r="I29" i="80"/>
  <c r="I26" i="77"/>
  <c r="I4" i="74"/>
  <c r="I11" i="73"/>
  <c r="I14" i="74"/>
  <c r="I3" i="77"/>
  <c r="I21" i="77"/>
  <c r="I29" i="78"/>
  <c r="I21" i="79"/>
  <c r="I19" i="80"/>
  <c r="I20" i="78"/>
  <c r="I16" i="80"/>
  <c r="I6" i="76"/>
  <c r="I15" i="78"/>
  <c r="I23" i="80"/>
  <c r="I12" i="77"/>
  <c r="I23" i="71"/>
  <c r="I20" i="73"/>
  <c r="I30" i="75"/>
  <c r="I3" i="75"/>
  <c r="I4" i="76"/>
  <c r="I14" i="78"/>
  <c r="I28" i="79"/>
  <c r="I11" i="80"/>
  <c r="I27" i="71"/>
  <c r="I8" i="79"/>
  <c r="I5" i="79"/>
  <c r="I32" i="74"/>
  <c r="I31" i="73"/>
  <c r="I12" i="74"/>
  <c r="I15" i="75"/>
  <c r="I17" i="76"/>
  <c r="I31" i="76"/>
  <c r="I24" i="78"/>
  <c r="I4" i="79"/>
  <c r="I25" i="71"/>
  <c r="I27" i="76"/>
  <c r="I15" i="76"/>
  <c r="I24" i="79"/>
  <c r="I20" i="79"/>
  <c r="I22" i="80"/>
  <c r="I5" i="74"/>
  <c r="I29" i="75"/>
  <c r="I24" i="76"/>
  <c r="I9" i="77"/>
  <c r="I15" i="79"/>
  <c r="I10" i="80"/>
  <c r="I6" i="71"/>
  <c r="I18" i="80"/>
  <c r="I6" i="73"/>
  <c r="I21" i="74"/>
  <c r="I22" i="74"/>
  <c r="I12" i="79"/>
  <c r="I24" i="80"/>
  <c r="I7" i="79"/>
  <c r="I10" i="75"/>
  <c r="I29" i="76"/>
  <c r="I18" i="73"/>
  <c r="I6" i="74"/>
  <c r="I24" i="75"/>
  <c r="I19" i="76"/>
  <c r="I22" i="78"/>
  <c r="I20" i="80"/>
  <c r="I18" i="71"/>
  <c r="I18" i="76"/>
  <c r="I18" i="75"/>
  <c r="I4" i="75"/>
  <c r="I27" i="78"/>
  <c r="I18" i="79"/>
  <c r="I14" i="76"/>
  <c r="I15" i="77"/>
  <c r="I9" i="80"/>
  <c r="I29" i="73"/>
  <c r="I23" i="74"/>
  <c r="I23" i="76"/>
  <c r="I5" i="76"/>
  <c r="I9" i="79"/>
  <c r="I27" i="80"/>
  <c r="I27" i="73"/>
  <c r="I26" i="80"/>
  <c r="I24" i="74"/>
  <c r="I22" i="73"/>
  <c r="I4" i="78"/>
  <c r="I8" i="78"/>
  <c r="I6" i="79"/>
  <c r="I14" i="79"/>
  <c r="I25" i="80"/>
  <c r="I7" i="73"/>
  <c r="I25" i="77"/>
  <c r="I24" i="77"/>
  <c r="I26" i="79"/>
  <c r="I13" i="73"/>
  <c r="I13" i="79"/>
  <c r="I17" i="75"/>
  <c r="I30" i="74"/>
  <c r="I26" i="75"/>
  <c r="I13" i="76"/>
  <c r="I13" i="78"/>
  <c r="I28" i="73"/>
  <c r="I23" i="75"/>
  <c r="I30" i="76"/>
  <c r="I12" i="76"/>
  <c r="I3" i="71"/>
  <c r="I17" i="80"/>
  <c r="I6" i="80"/>
  <c r="I8" i="73"/>
  <c r="I10" i="73"/>
  <c r="I27" i="75"/>
  <c r="I20" i="77"/>
  <c r="I7" i="71"/>
  <c r="I4" i="73"/>
  <c r="I31" i="74"/>
  <c r="I21" i="76"/>
  <c r="I23" i="77"/>
  <c r="I12" i="78"/>
  <c r="I25" i="79"/>
  <c r="I14" i="73"/>
  <c r="I3" i="76"/>
  <c r="I8" i="76"/>
  <c r="I30" i="71"/>
  <c r="I32" i="73"/>
  <c r="I20" i="75"/>
  <c r="I19" i="77"/>
  <c r="I9" i="78"/>
  <c r="I7" i="78"/>
  <c r="I26" i="74"/>
  <c r="I21" i="73"/>
  <c r="I28" i="71"/>
  <c r="I22" i="75"/>
  <c r="I16" i="75"/>
  <c r="I17" i="71"/>
  <c r="I6" i="75"/>
  <c r="I15" i="74"/>
  <c r="I15" i="71"/>
  <c r="I18" i="74"/>
  <c r="I11" i="75"/>
  <c r="I7" i="75"/>
  <c r="I7" i="76"/>
  <c r="I10" i="78"/>
  <c r="I26" i="78"/>
  <c r="I31" i="80"/>
  <c r="I13" i="74"/>
  <c r="I12" i="71"/>
  <c r="I24" i="73"/>
  <c r="I26" i="71"/>
  <c r="I29" i="74"/>
  <c r="I14" i="71"/>
  <c r="I11" i="74"/>
  <c r="I30" i="77"/>
  <c r="I21" i="78"/>
  <c r="I27" i="74"/>
  <c r="I29" i="71"/>
  <c r="I31" i="71"/>
  <c r="I17" i="73"/>
  <c r="I21" i="75"/>
  <c r="I17" i="78"/>
  <c r="I9" i="71"/>
  <c r="I13" i="71"/>
  <c r="I25" i="73"/>
  <c r="I7" i="74"/>
  <c r="I5" i="75"/>
  <c r="I19" i="78"/>
  <c r="I3" i="79"/>
  <c r="I12" i="80"/>
  <c r="I8" i="74"/>
  <c r="I26" i="73"/>
  <c r="I12" i="73"/>
  <c r="I8" i="71"/>
  <c r="I23" i="73"/>
  <c r="I22" i="76"/>
  <c r="I18" i="77"/>
  <c r="I18" i="78"/>
  <c r="I8" i="75"/>
  <c r="I9" i="75"/>
  <c r="I16" i="76"/>
  <c r="I5" i="77"/>
  <c r="I23" i="79"/>
  <c r="I14" i="75"/>
  <c r="I10" i="71"/>
  <c r="I28" i="75"/>
  <c r="I11" i="76"/>
  <c r="I22" i="77"/>
  <c r="I8" i="77"/>
  <c r="I28" i="78"/>
  <c r="I17" i="79"/>
  <c r="I13" i="75"/>
  <c r="I11" i="79"/>
  <c r="I3" i="80"/>
  <c r="I8" i="80"/>
  <c r="I23" i="78"/>
  <c r="I32" i="71"/>
  <c r="I9" i="73"/>
  <c r="I25" i="74"/>
  <c r="I31" i="75"/>
  <c r="I4" i="77"/>
  <c r="I7" i="77"/>
  <c r="I24" i="71"/>
  <c r="I10" i="74"/>
  <c r="I20" i="74"/>
  <c r="I25" i="75"/>
  <c r="I10" i="76"/>
  <c r="I28" i="80"/>
  <c r="I6" i="78"/>
  <c r="I33" i="72"/>
  <c r="I33" i="79" l="1"/>
  <c r="I33" i="77"/>
  <c r="I33" i="75"/>
  <c r="I33" i="76"/>
  <c r="I33" i="73"/>
  <c r="I33" i="80"/>
  <c r="I33" i="78"/>
  <c r="I33" i="71"/>
  <c r="I33" i="74"/>
  <c r="L12" i="21" l="1"/>
  <c r="L40" i="21"/>
  <c r="L33" i="21"/>
  <c r="L17" i="21"/>
  <c r="L28" i="21"/>
  <c r="L34" i="21"/>
  <c r="L20" i="21"/>
  <c r="L13" i="21"/>
  <c r="L36" i="21"/>
  <c r="L15" i="21"/>
  <c r="L18" i="21"/>
  <c r="L21" i="21"/>
  <c r="L35" i="21"/>
  <c r="L16" i="21"/>
  <c r="L38" i="21"/>
  <c r="L27" i="21"/>
  <c r="L11" i="21"/>
  <c r="L39" i="21"/>
  <c r="L23" i="21"/>
  <c r="L30" i="21"/>
  <c r="L24" i="21"/>
  <c r="L14" i="21"/>
  <c r="L25" i="21"/>
  <c r="L26" i="21"/>
  <c r="L37" i="21"/>
  <c r="L19" i="21"/>
  <c r="L31" i="21"/>
  <c r="L32" i="21"/>
  <c r="L29" i="21"/>
  <c r="L22" i="21"/>
  <c r="A30" i="22"/>
  <c r="G40" i="21" l="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K60" i="21" l="1"/>
  <c r="N26" i="21" l="1"/>
  <c r="N23" i="21"/>
  <c r="N28" i="21"/>
  <c r="N17" i="21"/>
  <c r="N27" i="21"/>
  <c r="N12" i="21"/>
  <c r="N33" i="21"/>
  <c r="N16" i="21"/>
  <c r="N13" i="21"/>
  <c r="N19" i="21"/>
  <c r="N31" i="21"/>
  <c r="N20" i="21"/>
  <c r="N15" i="21"/>
  <c r="N21" i="21" l="1"/>
  <c r="N18" i="21"/>
  <c r="N37" i="21" l="1"/>
  <c r="N22" i="21" l="1"/>
  <c r="N25" i="21"/>
  <c r="N24" i="21" l="1"/>
  <c r="N14" i="21" l="1"/>
  <c r="L60" i="21" l="1"/>
  <c r="M60" i="21" l="1"/>
  <c r="N11" i="21"/>
  <c r="AL22" i="91" l="1"/>
  <c r="AL28" i="91"/>
  <c r="AL21" i="91"/>
  <c r="AL24" i="91"/>
  <c r="AL30" i="90"/>
  <c r="AL26" i="91"/>
  <c r="AL31" i="91"/>
  <c r="AL26" i="90"/>
  <c r="AL27" i="91"/>
  <c r="AL24" i="90"/>
  <c r="AL27" i="90"/>
  <c r="AL28" i="90"/>
  <c r="AL30" i="91"/>
  <c r="AL22" i="90"/>
  <c r="AL21" i="90"/>
  <c r="AL32" i="90"/>
  <c r="AL31" i="90"/>
  <c r="AL32" i="91"/>
  <c r="H22" i="90" l="1"/>
  <c r="I22" i="90" s="1"/>
  <c r="AM28" i="91" l="1"/>
  <c r="AM27" i="90"/>
  <c r="AM30" i="91"/>
  <c r="AM26" i="91"/>
  <c r="AM24" i="90"/>
  <c r="AM31" i="91"/>
  <c r="AM32" i="90"/>
  <c r="AM24" i="91"/>
  <c r="AM32" i="91"/>
  <c r="AM21" i="90"/>
  <c r="AM27" i="91"/>
  <c r="AM28" i="90"/>
  <c r="AM21" i="91"/>
  <c r="AM26" i="90"/>
  <c r="AM30" i="90"/>
  <c r="AM31" i="90"/>
  <c r="H21" i="90" l="1"/>
  <c r="I21" i="90" s="1"/>
  <c r="AN32" i="91"/>
  <c r="AN30" i="91"/>
  <c r="AN24" i="91"/>
  <c r="AN31" i="91"/>
  <c r="AN28" i="91"/>
  <c r="AN21" i="91"/>
  <c r="AN26" i="91"/>
  <c r="AN27" i="91"/>
  <c r="AO30" i="90"/>
  <c r="AO27" i="90"/>
  <c r="AO21" i="91"/>
  <c r="AO32" i="90"/>
  <c r="AO24" i="90"/>
  <c r="AO22" i="91"/>
  <c r="AO26" i="90"/>
  <c r="AO30" i="91"/>
  <c r="AO32" i="91"/>
  <c r="AO31" i="90"/>
  <c r="AO28" i="90"/>
  <c r="AO26" i="91"/>
  <c r="AO28" i="91"/>
  <c r="AO27" i="91"/>
  <c r="AO31" i="91"/>
  <c r="AO24" i="91"/>
  <c r="AP26" i="91"/>
  <c r="AP31" i="91"/>
  <c r="AP24" i="90"/>
  <c r="AP30" i="90"/>
  <c r="AP28" i="91"/>
  <c r="AP26" i="90"/>
  <c r="AP28" i="90"/>
  <c r="AP30" i="91"/>
  <c r="AP27" i="91"/>
  <c r="AP32" i="91"/>
  <c r="AP31" i="90"/>
  <c r="AP24" i="91"/>
  <c r="AP27" i="90"/>
  <c r="AP32" i="90"/>
  <c r="H32" i="91" l="1"/>
  <c r="H30" i="91"/>
  <c r="I30" i="91" s="1"/>
  <c r="H26" i="90"/>
  <c r="I26" i="90" s="1"/>
  <c r="H30" i="90"/>
  <c r="I30" i="90" s="1"/>
  <c r="H24" i="91"/>
  <c r="I24" i="91" s="1"/>
  <c r="H27" i="91"/>
  <c r="I27" i="91" s="1"/>
  <c r="H22" i="91"/>
  <c r="I22" i="91" s="1"/>
  <c r="H32" i="90"/>
  <c r="I32" i="90" s="1"/>
  <c r="H31" i="90"/>
  <c r="I31" i="90" s="1"/>
  <c r="H27" i="90"/>
  <c r="I27" i="90" s="1"/>
  <c r="H28" i="90"/>
  <c r="I28" i="90" s="1"/>
  <c r="H28" i="91"/>
  <c r="I28" i="91" s="1"/>
  <c r="H21" i="91"/>
  <c r="I21" i="91" s="1"/>
  <c r="H24" i="90"/>
  <c r="I24" i="90" s="1"/>
  <c r="H26" i="91"/>
  <c r="I26" i="91" s="1"/>
  <c r="H31" i="91"/>
  <c r="I32" i="91" l="1"/>
  <c r="I31" i="91"/>
  <c r="I33" i="90"/>
  <c r="I33" i="91" l="1"/>
  <c r="N30" i="21"/>
  <c r="J60" i="21"/>
  <c r="N29" i="21"/>
  <c r="N39" i="21"/>
  <c r="N35" i="21"/>
  <c r="N36" i="21"/>
  <c r="N40" i="21"/>
  <c r="N32" i="21" l="1"/>
  <c r="N34" i="21"/>
  <c r="N38" i="21"/>
  <c r="I60" i="21"/>
  <c r="N60" i="2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<sst xmlns="http://schemas.openxmlformats.org/spreadsheetml/2006/main" count="2834" uniqueCount="151">
  <si>
    <t>Sıra No</t>
  </si>
  <si>
    <t>İş Kalemi No</t>
  </si>
  <si>
    <t>Açıklama</t>
  </si>
  <si>
    <t>Birimi</t>
  </si>
  <si>
    <t>Miktarı</t>
  </si>
  <si>
    <t>Birim Fiyat</t>
  </si>
  <si>
    <t>Tutar</t>
  </si>
  <si>
    <t>018</t>
  </si>
  <si>
    <t>Geleneksel (NATM) Tünel Kazısı</t>
  </si>
  <si>
    <t>m³</t>
  </si>
  <si>
    <t>019.A</t>
  </si>
  <si>
    <t>Kazıdan çıkan veya Ariyetten alınan malzeme ile geri dolgu yapılması</t>
  </si>
  <si>
    <t>019.B</t>
  </si>
  <si>
    <t>Kum, Çakıl, Kırma Tas ve Benzeri Malzeme ile Dolgu Yapılması</t>
  </si>
  <si>
    <t>020</t>
  </si>
  <si>
    <t>Püskürtme Beton (Tünel ve Şaftlarda)</t>
  </si>
  <si>
    <t>021.A</t>
  </si>
  <si>
    <t>Delgi boyu =&lt; 30m</t>
  </si>
  <si>
    <t>m</t>
  </si>
  <si>
    <t>021.B</t>
  </si>
  <si>
    <t>Delgi boyu &gt; 30m</t>
  </si>
  <si>
    <t>022.A</t>
  </si>
  <si>
    <t>L=3 m Kaya Bulonu</t>
  </si>
  <si>
    <t>adet</t>
  </si>
  <si>
    <t>022.B</t>
  </si>
  <si>
    <t>L=4 m Kaya Bulonu</t>
  </si>
  <si>
    <t>022.C</t>
  </si>
  <si>
    <t>L=5 m Kaya Bulonu</t>
  </si>
  <si>
    <t>022.D</t>
  </si>
  <si>
    <t>L=6 m Kaya Bulonu</t>
  </si>
  <si>
    <t>022.E</t>
  </si>
  <si>
    <t>L=8 m Kaya Bulonu</t>
  </si>
  <si>
    <t>023.A</t>
  </si>
  <si>
    <t>125 mm Delik İçine 14 mm Kalınlığında S420a ile Zemin Çivisi Teşkili</t>
  </si>
  <si>
    <t>023.B</t>
  </si>
  <si>
    <t>125 mm Delik İçine 26 mm Kalınlığında S420a ile Zemin Çivisi Teşkili</t>
  </si>
  <si>
    <t>024</t>
  </si>
  <si>
    <t>Çelik İksa (Tünel ve Şaftlarda)</t>
  </si>
  <si>
    <t>ton</t>
  </si>
  <si>
    <t>025</t>
  </si>
  <si>
    <t>Umbrella Arch Yapılması</t>
  </si>
  <si>
    <t>026.A</t>
  </si>
  <si>
    <t>Tünel ve şaftlarda su yalıtımı, birim ağırlığı &gt;=500 g/metrekare geotekstil keçe</t>
  </si>
  <si>
    <t>m²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</si>
  <si>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</si>
  <si>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</si>
  <si>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</si>
  <si>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</si>
  <si>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</si>
  <si>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</si>
  <si>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</si>
  <si>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</si>
  <si>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</si>
  <si>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</si>
  <si>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</si>
  <si>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</si>
  <si>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</si>
  <si>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</si>
  <si>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</si>
  <si>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</si>
  <si>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</si>
  <si>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</si>
  <si>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</si>
  <si>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</si>
  <si>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</si>
  <si>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</si>
  <si>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</si>
  <si>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</si>
  <si>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</si>
  <si>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</si>
  <si>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</si>
  <si>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</si>
  <si>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</si>
  <si>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Toplam Metraj</t>
  </si>
  <si>
    <t>Toplam Tutar</t>
  </si>
  <si>
    <t>0625</t>
  </si>
  <si>
    <t>İMALAT MİKTARI</t>
  </si>
  <si>
    <t>0825</t>
  </si>
  <si>
    <t>T.C.</t>
  </si>
  <si>
    <t xml:space="preserve">İSTANBUL BÜYÜKŞEHİR BELEDİYESİ </t>
  </si>
  <si>
    <t>Raylı Sistem Dairesi Başkanlığı Avrupa Yakası Raylı Sistem Şube Müdürlüğü</t>
  </si>
  <si>
    <t>Kirazlı-Halkalı Üniversite Metro Hattı İnşaat Ve Elektromekanik İşler İle M1 Hattı Elektromekanik Sistemleri Yapım İşi</t>
  </si>
  <si>
    <t>MALAZGİRT İSTASYONU</t>
  </si>
  <si>
    <t>BARBAROS İSTASYONU</t>
  </si>
  <si>
    <t>HAKEDİŞ NATM METRAJ ÖZET RAPORLARI</t>
  </si>
  <si>
    <t>KÜMÜLATİF TOPLAM</t>
  </si>
  <si>
    <t>Raylı Sistem Dairesi Başkanlığı</t>
  </si>
  <si>
    <t>Avrupa Yakası Raylı Sistem Şube Müdürlüğü</t>
  </si>
  <si>
    <t>RAPORLAR</t>
  </si>
  <si>
    <t>Önceki Hakediş Miktarı</t>
  </si>
  <si>
    <t>Bu Hakediş Miktarı</t>
  </si>
  <si>
    <t>Toplam Miktar</t>
  </si>
  <si>
    <t>YÜKLENİCİ</t>
  </si>
  <si>
    <t>DANIŞMAN</t>
  </si>
  <si>
    <t>İDARE</t>
  </si>
  <si>
    <t>Kalyon-Özgün Metro İnşaatı Adi Ortaklığı</t>
  </si>
  <si>
    <t>Yüksel Proje A.Ş.</t>
  </si>
  <si>
    <t>T.C. İSTANBUL BÜYÜKŞEHİR BELEDİYESİ
Raylı Sistem Dairesi Başkanlığı
Avrupa Yakası Raylı Sistem Şube Müdürlüğü</t>
  </si>
  <si>
    <t>Özkan SAĞIR</t>
  </si>
  <si>
    <t>Sinan GENÇTÜRK</t>
  </si>
  <si>
    <t>Fatih AYDIN</t>
  </si>
  <si>
    <t>NATM Tünel Şefi</t>
  </si>
  <si>
    <t>Elektromekanik Kontrol Amiri</t>
  </si>
  <si>
    <t>Kemal YERLİ</t>
  </si>
  <si>
    <t>Orhan KOCA</t>
  </si>
  <si>
    <t>Osman ŞAHİN</t>
  </si>
  <si>
    <t>Proje Müdürü</t>
  </si>
  <si>
    <t>İnşaat Müdür Yardımcısı</t>
  </si>
  <si>
    <t>İnşaat Kontrol Mühendisi</t>
  </si>
  <si>
    <t>0925</t>
  </si>
  <si>
    <t>1125</t>
  </si>
  <si>
    <t>1025</t>
  </si>
  <si>
    <t>0725</t>
  </si>
  <si>
    <t>Hat-1-HY-P1-2.Aşama</t>
  </si>
  <si>
    <t>Hat-2-HY-P1-1.Aşama</t>
  </si>
  <si>
    <t>Hat-2-KY-P1-1.Aşama</t>
  </si>
  <si>
    <t>Hat-2-KY-P1-2.Aşama</t>
  </si>
  <si>
    <t>Hat-1-HY-P1-1.Aşama</t>
  </si>
  <si>
    <t>Hat-1-KY-P1-4.Aşama</t>
  </si>
  <si>
    <t>Hat-1-KY-P1-3.Aşama</t>
  </si>
  <si>
    <t>Hat-1-KY-P1-2.Aşama</t>
  </si>
  <si>
    <t>Hat-2-HY-P1-2.Aşama</t>
  </si>
  <si>
    <t>Hat-1-KY-P1-1.Aşama</t>
  </si>
  <si>
    <t>Hat-1-B1 Bağlantı-3 P2 Yönü Alt Yarı Aşaması (B1-102)</t>
  </si>
  <si>
    <t>Hat-2-B1 Bağlantı-2 P2 Yönü Üstyarı Aşaması (B1-103)</t>
  </si>
  <si>
    <t>Hat-1-B1 Bağlantı-1 P2 Yönü Üstyarı Aşaması (B1-106)</t>
  </si>
  <si>
    <t>Hat-1-B1 Bağlantı-2 P2 Yönü Üstyarı Aşaması (B1-104)</t>
  </si>
  <si>
    <t>Hat-2-KY-P1-3.Aşama</t>
  </si>
  <si>
    <t>Hat-2-KY-P1-4.Aşama</t>
  </si>
  <si>
    <t>Hat-1-HY-P1-3.Aşama</t>
  </si>
  <si>
    <t>Hat-1-HY-P1-4.Aşama</t>
  </si>
  <si>
    <t>1225</t>
  </si>
  <si>
    <t>0126</t>
  </si>
  <si>
    <t>Hat-1-B1 Bağlantı-1 P2 Yönü Alt Yarı Aşaması (B1-106)</t>
  </si>
  <si>
    <t>Hat-2-HY-P1-3.Aşama</t>
  </si>
  <si>
    <t>Hat-2-HY-P1-4.Aşama</t>
  </si>
  <si>
    <t>0226</t>
  </si>
  <si>
    <t>0326</t>
  </si>
  <si>
    <t>Hat-2-B1 Bağlantı-2 P2 Yönü Alt Yarı Aşaması (B1-105)</t>
  </si>
  <si>
    <t>Hat-2-B1 Bağlantı-3 P2 Yönü Üstyarı Aşaması (B1-101)</t>
  </si>
  <si>
    <t>Hat-2-B1 Bağlantı-3 P2 Yönü Altyarı Aşaması (B1-101)</t>
  </si>
  <si>
    <t>Hat1-B1 Bağlantı-3 P2 Yönü Üstyarı Aşaması (B1-102)</t>
  </si>
  <si>
    <t>Hat-2-B1 Bağlantı-2 P2 Yönü Alt Yarı Aşaması (B1-103)</t>
  </si>
  <si>
    <t>Hat-1-B1 Bağlantı-2 P2 Yönü Altyarı Aşaması (B1-104)</t>
  </si>
  <si>
    <t>Hat-2-B1 Bağlantı-1 P2 Yönü Üstyarı Aşaması (B1-105)</t>
  </si>
  <si>
    <t>B1 - 101 Tüneli Kalıcı Kaplama İcmali</t>
  </si>
  <si>
    <t>B1 - 102 Tüneli Kalıcı Kaplama İcmali</t>
  </si>
  <si>
    <t>B1 - 103 Tüneli Kalıcı Kaplama İcmali</t>
  </si>
  <si>
    <t>P1 - 101 Tüneli Kalıcı Kaplama İcmali</t>
  </si>
  <si>
    <t>P1 - 102 Tüneli Kalıcı Kaplama İcmali</t>
  </si>
  <si>
    <t>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</si>
</sst>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_-;\-* #,##0.000_-;_-* &quot;-&quot;??_-;_-@_-"/>
    <numFmt numFmtId="165" formatCode="&quot;HAKEDİŞ NO: &quot;#"/>
    <numFmt numFmtId="166" formatCode="_-* #,##0.000000000_-;\-* #,##0.000000000_-;_-* &quot;-&quot;?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u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1" xfId="0" applyNumberFormat="1" applyBorder="1" applyAlignment="1">
      <alignment vertical="center"/>
    </xf>
    <xf numFmtId="43" fontId="0" fillId="0" borderId="0" xfId="0" applyNumberFormat="1"/>
    <xf numFmtId="0" fontId="3" fillId="0" borderId="0" xfId="0" quotePrefix="1" applyFont="1"/>
    <xf numFmtId="43" fontId="3" fillId="0" borderId="0" xfId="0" applyNumberFormat="1" applyFont="1"/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2"/>
    <xf numFmtId="0" fontId="8" fillId="0" borderId="0" xfId="2" applyFont="1"/>
    <xf numFmtId="0" fontId="7" fillId="0" borderId="16" xfId="2" applyFont="1" applyBorder="1" applyAlignment="1">
      <alignment horizontal="center" wrapText="1"/>
    </xf>
    <xf numFmtId="0" fontId="7" fillId="0" borderId="0" xfId="2" applyFont="1" applyAlignment="1">
      <alignment horizontal="center" wrapText="1"/>
    </xf>
    <xf numFmtId="0" fontId="7" fillId="0" borderId="17" xfId="2" applyFont="1" applyBorder="1" applyAlignment="1">
      <alignment horizontal="center" wrapText="1"/>
    </xf>
    <xf numFmtId="0" fontId="4" fillId="0" borderId="0" xfId="2" applyFont="1"/>
    <xf numFmtId="0" fontId="7" fillId="0" borderId="21" xfId="2" applyFont="1" applyBorder="1" applyAlignment="1">
      <alignment horizontal="center" wrapText="1"/>
    </xf>
    <xf numFmtId="0" fontId="7" fillId="0" borderId="22" xfId="2" applyFont="1" applyBorder="1" applyAlignment="1">
      <alignment horizontal="center" wrapText="1"/>
    </xf>
    <xf numFmtId="0" fontId="7" fillId="0" borderId="23" xfId="2" applyFont="1" applyBorder="1" applyAlignment="1">
      <alignment horizontal="center" wrapText="1"/>
    </xf>
    <xf numFmtId="0" fontId="10" fillId="0" borderId="16" xfId="2" applyFont="1" applyBorder="1"/>
    <xf numFmtId="0" fontId="10" fillId="0" borderId="0" xfId="2" applyFont="1"/>
    <xf numFmtId="0" fontId="10" fillId="0" borderId="17" xfId="2" applyFont="1" applyBorder="1"/>
    <xf numFmtId="0" fontId="2" fillId="0" borderId="0" xfId="2" applyFont="1"/>
    <xf numFmtId="0" fontId="7" fillId="0" borderId="16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4" fontId="0" fillId="0" borderId="0" xfId="0" applyNumberFormat="1"/>
    <xf numFmtId="43" fontId="0" fillId="0" borderId="2" xfId="0" applyNumberFormat="1" applyBorder="1"/>
    <xf numFmtId="43" fontId="0" fillId="0" borderId="0" xfId="0" applyNumberFormat="1" applyAlignment="1">
      <alignment vertical="center"/>
    </xf>
    <xf numFmtId="164" fontId="0" fillId="0" borderId="0" xfId="0" applyNumberFormat="1"/>
    <xf numFmtId="166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/>
    </xf>
    <xf numFmtId="0" fontId="7" fillId="0" borderId="14" xfId="2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7" fillId="0" borderId="16" xfId="2" applyFont="1" applyBorder="1" applyAlignment="1">
      <alignment horizontal="center"/>
    </xf>
    <xf numFmtId="0" fontId="7" fillId="0" borderId="0" xfId="2" applyFont="1" applyAlignment="1">
      <alignment horizontal="center"/>
    </xf>
    <xf numFmtId="0" fontId="7" fillId="0" borderId="17" xfId="2" applyFont="1" applyBorder="1" applyAlignment="1">
      <alignment horizontal="center"/>
    </xf>
    <xf numFmtId="0" fontId="7" fillId="0" borderId="16" xfId="2" applyFont="1" applyBorder="1" applyAlignment="1">
      <alignment horizontal="center" wrapText="1"/>
    </xf>
    <xf numFmtId="0" fontId="7" fillId="0" borderId="0" xfId="2" applyFont="1" applyAlignment="1">
      <alignment horizontal="center" wrapText="1"/>
    </xf>
    <xf numFmtId="0" fontId="7" fillId="0" borderId="17" xfId="2" applyFont="1" applyBorder="1" applyAlignment="1">
      <alignment horizontal="center" wrapText="1"/>
    </xf>
    <xf numFmtId="0" fontId="7" fillId="0" borderId="18" xfId="2" applyFont="1" applyBorder="1" applyAlignment="1">
      <alignment horizontal="center" wrapText="1"/>
    </xf>
    <xf numFmtId="0" fontId="7" fillId="0" borderId="19" xfId="2" applyFont="1" applyBorder="1" applyAlignment="1">
      <alignment horizontal="center" wrapText="1"/>
    </xf>
    <xf numFmtId="0" fontId="7" fillId="0" borderId="20" xfId="2" applyFont="1" applyBorder="1" applyAlignment="1">
      <alignment horizontal="center" wrapText="1"/>
    </xf>
    <xf numFmtId="0" fontId="9" fillId="0" borderId="16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165" fontId="7" fillId="0" borderId="16" xfId="2" applyNumberFormat="1" applyFont="1" applyBorder="1" applyAlignment="1">
      <alignment horizontal="center" vertical="center"/>
    </xf>
    <xf numFmtId="165" fontId="7" fillId="0" borderId="0" xfId="2" applyNumberFormat="1" applyFont="1" applyAlignment="1">
      <alignment horizontal="center" vertical="center"/>
    </xf>
    <xf numFmtId="165" fontId="7" fillId="0" borderId="17" xfId="2" applyNumberFormat="1" applyFont="1" applyBorder="1" applyAlignment="1">
      <alignment horizontal="center" vertical="center"/>
    </xf>
    <xf numFmtId="165" fontId="7" fillId="0" borderId="16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165" fontId="7" fillId="0" borderId="17" xfId="2" applyNumberFormat="1" applyFont="1" applyBorder="1" applyAlignment="1">
      <alignment horizontal="center"/>
    </xf>
    <xf numFmtId="14" fontId="7" fillId="0" borderId="16" xfId="2" applyNumberFormat="1" applyFont="1" applyBorder="1" applyAlignment="1">
      <alignment horizontal="right" vertical="center"/>
    </xf>
    <xf numFmtId="14" fontId="7" fillId="0" borderId="0" xfId="2" applyNumberFormat="1" applyFont="1" applyAlignment="1">
      <alignment horizontal="right" vertical="center"/>
    </xf>
    <xf numFmtId="14" fontId="7" fillId="0" borderId="0" xfId="2" applyNumberFormat="1" applyFont="1" applyAlignment="1">
      <alignment horizontal="left" vertical="center"/>
    </xf>
    <xf numFmtId="14" fontId="7" fillId="0" borderId="17" xfId="2" applyNumberFormat="1" applyFont="1" applyBorder="1" applyAlignment="1">
      <alignment horizontal="left" vertical="center"/>
    </xf>
  </cellXfs>
  <cellStyles count="3">
    <cellStyle name="Normal" xfId="0" builtinId="0"/>
    <cellStyle name="Normal 2" xfId="2" xr:uid="{1BE29234-297B-45DA-8983-D8CFFF90100D}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63" Type="http://schemas.openxmlformats.org/officeDocument/2006/relationships/externalLink" Target="externalLinks/externalLink40.xml"/><Relationship Id="rId68" Type="http://schemas.openxmlformats.org/officeDocument/2006/relationships/externalLink" Target="externalLinks/externalLink45.xml"/><Relationship Id="rId84" Type="http://schemas.openxmlformats.org/officeDocument/2006/relationships/externalLink" Target="externalLinks/externalLink61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30.xml"/><Relationship Id="rId58" Type="http://schemas.openxmlformats.org/officeDocument/2006/relationships/externalLink" Target="externalLinks/externalLink35.xml"/><Relationship Id="rId74" Type="http://schemas.openxmlformats.org/officeDocument/2006/relationships/externalLink" Target="externalLinks/externalLink51.xml"/><Relationship Id="rId79" Type="http://schemas.openxmlformats.org/officeDocument/2006/relationships/externalLink" Target="externalLinks/externalLink56.xml"/><Relationship Id="rId5" Type="http://schemas.openxmlformats.org/officeDocument/2006/relationships/worksheet" Target="worksheets/sheet5.xml"/><Relationship Id="rId90" Type="http://schemas.openxmlformats.org/officeDocument/2006/relationships/sheetMetadata" Target="metadata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33.xml"/><Relationship Id="rId64" Type="http://schemas.openxmlformats.org/officeDocument/2006/relationships/externalLink" Target="externalLinks/externalLink41.xml"/><Relationship Id="rId69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5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8.xml"/><Relationship Id="rId72" Type="http://schemas.openxmlformats.org/officeDocument/2006/relationships/externalLink" Target="externalLinks/externalLink49.xml"/><Relationship Id="rId80" Type="http://schemas.openxmlformats.org/officeDocument/2006/relationships/externalLink" Target="externalLinks/externalLink57.xml"/><Relationship Id="rId85" Type="http://schemas.openxmlformats.org/officeDocument/2006/relationships/externalLink" Target="externalLinks/externalLink6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59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4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39.xml"/><Relationship Id="rId70" Type="http://schemas.openxmlformats.org/officeDocument/2006/relationships/externalLink" Target="externalLinks/externalLink47.xml"/><Relationship Id="rId75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60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3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29.xml"/><Relationship Id="rId60" Type="http://schemas.openxmlformats.org/officeDocument/2006/relationships/externalLink" Target="externalLinks/externalLink37.xml"/><Relationship Id="rId65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50.xml"/><Relationship Id="rId78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58.xml"/><Relationship Id="rId86" Type="http://schemas.openxmlformats.org/officeDocument/2006/relationships/externalLink" Target="externalLinks/externalLink6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11.xml"/><Relationship Id="rId50" Type="http://schemas.openxmlformats.org/officeDocument/2006/relationships/externalLink" Target="externalLinks/externalLink27.xml"/><Relationship Id="rId55" Type="http://schemas.openxmlformats.org/officeDocument/2006/relationships/externalLink" Target="externalLinks/externalLink32.xml"/><Relationship Id="rId76" Type="http://schemas.openxmlformats.org/officeDocument/2006/relationships/externalLink" Target="externalLinks/externalLink5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43.xml"/><Relationship Id="rId87" Type="http://schemas.openxmlformats.org/officeDocument/2006/relationships/theme" Target="theme/theme1.xml"/><Relationship Id="rId61" Type="http://schemas.openxmlformats.org/officeDocument/2006/relationships/externalLink" Target="externalLinks/externalLink38.xml"/><Relationship Id="rId82" Type="http://schemas.openxmlformats.org/officeDocument/2006/relationships/externalLink" Target="externalLinks/externalLink59.xml"/><Relationship Id="rId19" Type="http://schemas.openxmlformats.org/officeDocument/2006/relationships/worksheet" Target="worksheets/sheet19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5.%20Hakedi&#351;/5-__NATM%20Metraj%20&#304;cmali.xlsx" TargetMode="External"/><Relationship Id="rId2" Type="http://schemas.openxmlformats.org/officeDocument/2006/relationships/externalLinkPath" Target="file:///C:\Users\rbasak\Desktop\5.%20Hakedi&#351;\5-__NATM%20Metraj%20&#304;cmali.xlsx" TargetMode="External"/><Relationship Id="rId1" Type="http://schemas.openxmlformats.org/officeDocument/2006/relationships/externalLinkPath" Target="/Users/rbasak/Desktop/5.%20Hakedi&#351;/5-__NATM%20Metraj%20&#304;cmal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1-HY-P1-1.A&#351;ama.xlsx" TargetMode="External"/><Relationship Id="rId1" Type="http://schemas.openxmlformats.org/officeDocument/2006/relationships/externalLinkPath" Target="Barbaros/Metraj%20-%201.B%20-%20S06%20-%20Barbaros-Hat-1-HY-P1-1.A&#351;am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1-HY-P1-2.A&#351;ama.xlsx" TargetMode="External"/><Relationship Id="rId1" Type="http://schemas.openxmlformats.org/officeDocument/2006/relationships/externalLinkPath" Target="Barbaros/Metraj%20-%201.B%20-%20S06%20-%20Barbaros-Hat-1-HY-P1-2.A&#351;am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Yapay%20Zeka%20&#199;al&#305;&#351;mas&#305;\Barbaros\Metraj%20-%201.B%20-%20S06%20-%20Barbaros-Hat-1-HY-P1-3.A&#351;ama.xlsx" TargetMode="External"/><Relationship Id="rId1" Type="http://schemas.openxmlformats.org/officeDocument/2006/relationships/externalLinkPath" Target="Barbaros/Metraj%20-%201.B%20-%20S06%20-%20Barbaros-Hat-1-HY-P1-3.A&#351;ama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1-HY-P1-4.A&#351;ama.xlsx" TargetMode="External"/><Relationship Id="rId1" Type="http://schemas.openxmlformats.org/officeDocument/2006/relationships/externalLinkPath" Target="Barbaros/Metraj%20-%201.B%20-%20S06%20-%20Barbaros-Hat-1-HY-P1-4.A&#351;am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2-HY-P1-1.A&#351;ama.xlsx" TargetMode="External"/><Relationship Id="rId1" Type="http://schemas.openxmlformats.org/officeDocument/2006/relationships/externalLinkPath" Target="Barbaros/Metraj%20-%201.B%20-%20S06%20-%20Barbaros-Hat-2-HY-P1-1.A&#351;am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2-HY-P1-2.A&#351;ama.xlsx" TargetMode="External"/><Relationship Id="rId1" Type="http://schemas.openxmlformats.org/officeDocument/2006/relationships/externalLinkPath" Target="Barbaros/Metraj%20-%201.B%20-%20S06%20-%20Barbaros-Hat-2-HY-P1-2.A&#351;am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2-HY-P1-3.A&#351;ama.xlsx" TargetMode="External"/><Relationship Id="rId1" Type="http://schemas.openxmlformats.org/officeDocument/2006/relationships/externalLinkPath" Target="Barbaros/Metraj%20-%201.B%20-%20S06%20-%20Barbaros-Hat-2-HY-P1-3.A&#351;ama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Barbaros/15555555.xlsx" TargetMode="External"/><Relationship Id="rId2" Type="http://schemas.openxmlformats.org/officeDocument/2006/relationships/externalLinkPath" Target="file:///C:\Users\rbasak\Desktop\Hk06\Barbaros\15555555.xlsx" TargetMode="External"/><Relationship Id="rId1" Type="http://schemas.openxmlformats.org/officeDocument/2006/relationships/externalLinkPath" Target="/Users/rbasak/Desktop/Hk06/Barbaros/15555555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1-KY-P1-1.A&#351;ama.xlsx" TargetMode="External"/><Relationship Id="rId1" Type="http://schemas.openxmlformats.org/officeDocument/2006/relationships/externalLinkPath" Target="Barbaros/Metraj%20-%201.B%20-%20S06%20-%20Barbaros-Hat-1-KY-P1-1.A&#351;am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1-KY-P1-2.A&#351;ama.xlsx" TargetMode="External"/><Relationship Id="rId1" Type="http://schemas.openxmlformats.org/officeDocument/2006/relationships/externalLinkPath" Target="Barbaros/Metraj%20-%201.B%20-%20S06%20-%20Barbaros-Hat-1-KY-P1-2.A&#351;am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1-KY-P1-3.A&#351;ama.xlsx" TargetMode="External"/><Relationship Id="rId1" Type="http://schemas.openxmlformats.org/officeDocument/2006/relationships/externalLinkPath" Target="Barbaros/Metraj%20-%201.B%20-%20S06%20-%20Barbaros-Hat-1-KY-P1-3.A&#351;ama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1-KY-P1-4.A&#351;ama.xlsx" TargetMode="External"/><Relationship Id="rId1" Type="http://schemas.openxmlformats.org/officeDocument/2006/relationships/externalLinkPath" Target="Barbaros/Metraj%20-%201.B%20-%20S06%20-%20Barbaros-Hat-1-KY-P1-4.A&#351;am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2-KY-P1-1.A&#351;ama.xlsx" TargetMode="External"/><Relationship Id="rId1" Type="http://schemas.openxmlformats.org/officeDocument/2006/relationships/externalLinkPath" Target="Barbaros/Metraj%20-%201.B%20-%20S06%20-%20Barbaros-Hat-2-KY-P1-1.A&#351;am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2-KY-P1-2.A&#351;ama.xlsx" TargetMode="External"/><Relationship Id="rId1" Type="http://schemas.openxmlformats.org/officeDocument/2006/relationships/externalLinkPath" Target="Barbaros/Metraj%20-%201.B%20-%20S06%20-%20Barbaros-Hat-2-KY-P1-2.A&#351;am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2-KY-P1-3.A&#351;ama.xlsx" TargetMode="External"/><Relationship Id="rId1" Type="http://schemas.openxmlformats.org/officeDocument/2006/relationships/externalLinkPath" Target="Barbaros/Metraj%20-%201.B%20-%20S06%20-%20Barbaros-Hat-2-KY-P1-3.A&#351;ama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2-KY-P1-4.A&#351;ama.xlsx" TargetMode="External"/><Relationship Id="rId1" Type="http://schemas.openxmlformats.org/officeDocument/2006/relationships/externalLinkPath" Target="Barbaros/Metraj%20-%201.B%20-%20S06%20-%20Barbaros-Hat-2-KY-P1-4.A&#351;ama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2-B1%20Ba&#287;lant&#305;-3%20P2%20Y&#246;n&#252;%20&#220;styar&#305;%20A&#351;amas&#305;%20(B1-101).xlsx" TargetMode="External"/><Relationship Id="rId1" Type="http://schemas.openxmlformats.org/officeDocument/2006/relationships/externalLinkPath" Target="Barbaros/Metraj%20-%201.B%20-%20S06%20-%20Barbaros-Hat-2-B1%20Ba&#287;lant&#305;-3%20P2%20Y&#246;n&#252;%20&#220;styar&#305;%20A&#351;amas&#305;%20(B1-101)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2-B1%20Ba&#287;lant&#305;-3%20P2%20Y&#246;n&#252;%20Alt%20Yar&#305;%20A&#351;amas&#305;%20(B1-101).xlsx" TargetMode="External"/><Relationship Id="rId1" Type="http://schemas.openxmlformats.org/officeDocument/2006/relationships/externalLinkPath" Target="Barbaros/Metraj%20-%201.B%20-%20S06%20-%20Barbaros-Hat-2-B1%20Ba&#287;lant&#305;-3%20P2%20Y&#246;n&#252;%20Alt%20Yar&#305;%20A&#351;amas&#305;%20(B1-101)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1-B1%20Ba&#287;lant&#305;-3%20P2%20Y&#246;n&#252;%20&#220;styar&#305;%20A&#351;amas&#305;%20(B1-102).xlsx" TargetMode="External"/><Relationship Id="rId1" Type="http://schemas.openxmlformats.org/officeDocument/2006/relationships/externalLinkPath" Target="Barbaros/Metraj%20-%201.B%20-%20S06%20-%20Barbaros-1-B1%20Ba&#287;lant&#305;-3%20P2%20Y&#246;n&#252;%20&#220;styar&#305;%20A&#351;amas&#305;%20(B1-102)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1-B1%20Ba&#287;lant&#305;-3%20P2%20Y&#246;n&#252;%20Alt%20Yar&#305;%20A&#351;amas&#305;%20(B1-102).xlsx" TargetMode="External"/><Relationship Id="rId1" Type="http://schemas.openxmlformats.org/officeDocument/2006/relationships/externalLinkPath" Target="Barbaros/Metraj%20-%201.B%20-%20S06%20-%20Barbaros-Hat-1-B1%20Ba&#287;lant&#305;-3%20P2%20Y&#246;n&#252;%20Alt%20Yar&#305;%20A&#351;amas&#305;%20(B1-102)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2-B1%20Ba&#287;lant&#305;-2%20P2%20Y&#246;n&#252;%20&#220;styar&#305;%20A&#351;amas&#305;%20(B1-103).xlsx" TargetMode="External"/><Relationship Id="rId1" Type="http://schemas.openxmlformats.org/officeDocument/2006/relationships/externalLinkPath" Target="Barbaros/Metraj%20-%201.B%20-%20S06%20-%20Barbaros-Hat-2-B1%20Ba&#287;lant&#305;-2%20P2%20Y&#246;n&#252;%20&#220;styar&#305;%20A&#351;amas&#305;%20(B1-103)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2-B1%20Ba&#287;lant&#305;-2%20P2%20Y&#246;n&#252;%20Alt%20Yar&#305;%20A&#351;amas&#305;%20(B1-103).xlsx" TargetMode="External"/><Relationship Id="rId1" Type="http://schemas.openxmlformats.org/officeDocument/2006/relationships/externalLinkPath" Target="Barbaros/Metraj%20-%201.B%20-%20S06%20-%20Barbaros-Hat-2-B1%20Ba&#287;lant&#305;-2%20P2%20Y&#246;n&#252;%20Alt%20Yar&#305;%20A&#351;amas&#305;%20(B1-103)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1-B1%20Ba&#287;lant&#305;-2%20P2%20Y&#246;n&#252;%20&#220;styar&#305;%20A&#351;amas&#305;%20(B1-104).xlsx" TargetMode="External"/><Relationship Id="rId1" Type="http://schemas.openxmlformats.org/officeDocument/2006/relationships/externalLinkPath" Target="Barbaros/Metraj%20-%201.B%20-%20S06%20-%20Barbaros-Hat-1-B1%20Ba&#287;lant&#305;-2%20P2%20Y&#246;n&#252;%20&#220;styar&#305;%20A&#351;amas&#305;%20(B1-104)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1-B1%20Ba&#287;lant&#305;-2%20P2%20Y&#246;n&#252;%20Altyar&#305;%20A&#351;amas&#305;%20(B1-104).xlsx" TargetMode="External"/><Relationship Id="rId1" Type="http://schemas.openxmlformats.org/officeDocument/2006/relationships/externalLinkPath" Target="Barbaros/Metraj%20-%201.B%20-%20S06%20-%20Barbaros-Hat-1-B1%20Ba&#287;lant&#305;-2%20P2%20Y&#246;n&#252;%20Altyar&#305;%20A&#351;amas&#305;%20(B1-104)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2-B1%20Ba&#287;lant&#305;-1%20P2%20Y&#246;n&#252;%20&#220;styar&#305;%20A&#351;amas&#305;%20(B1-105).xlsx" TargetMode="External"/><Relationship Id="rId1" Type="http://schemas.openxmlformats.org/officeDocument/2006/relationships/externalLinkPath" Target="Barbaros/Metraj%20-%201.B%20-%20S06%20-%20Barbaros-Hat-2-B1%20Ba&#287;lant&#305;-1%20P2%20Y&#246;n&#252;%20&#220;styar&#305;%20A&#351;amas&#305;%20(B1-105)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2-B1%20Ba&#287;lant&#305;-2%20P2%20Y&#246;n&#252;%20Alt%20Yar&#305;%20A&#351;amas&#305;%20(B1-105).xlsx" TargetMode="External"/><Relationship Id="rId1" Type="http://schemas.openxmlformats.org/officeDocument/2006/relationships/externalLinkPath" Target="Barbaros/Metraj%20-%201.B%20-%20S06%20-%20Barbaros-Hat-2-B1%20Ba&#287;lant&#305;-2%20P2%20Y&#246;n&#252;%20Alt%20Yar&#305;%20A&#351;amas&#305;%20(B1-105)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Mart%202026\Barbaros\Metraj%20-%201.B%20-%20S06%20-%20Barbaros-Hat-1-B1%20Ba&#287;lant&#305;-1%20P2%20Y&#246;n&#252;%20&#220;styar&#305;%20A&#351;amas&#305;%20(B1-106).xlsx" TargetMode="External"/><Relationship Id="rId1" Type="http://schemas.openxmlformats.org/officeDocument/2006/relationships/externalLinkPath" Target="Barbaros/Metraj%20-%201.B%20-%20S06%20-%20Barbaros-Hat-1-B1%20Ba&#287;lant&#305;-1%20P2%20Y&#246;n&#252;%20&#220;styar&#305;%20A&#351;amas&#305;%20(B1-106)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Hk06\Barbaros\Metraj%20-%201.B%20-%20S06%20-%20Barbaros-Hat-1-B1%20Ba&#287;lant&#305;-1%20P2%20Y&#246;n&#252;%20Alt%20Yar&#305;%20A&#351;amas&#305;%20(B1-106).xlsx" TargetMode="External"/><Relationship Id="rId1" Type="http://schemas.openxmlformats.org/officeDocument/2006/relationships/externalLinkPath" Target="Barbaros/Metraj%20-%201.B%20-%20S06%20-%20Barbaros-Hat-1-B1%20Ba&#287;lant&#305;-1%20P2%20Y&#246;n&#252;%20Alt%20Yar&#305;%20A&#351;amas&#305;%20(B1-106)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5.01.2025/r00-Aral&#305;k%202025%20D&#246;nemi/Metraj%20-%201.B%20-%20S06%20-%20Barbaros-Hat-1-HY-P1-1.A&#351;ama.xlsx" TargetMode="External"/><Relationship Id="rId2" Type="http://schemas.openxmlformats.org/officeDocument/2006/relationships/externalLinkPath" Target="file:///C:\Users\rbasak\Desktop\Kas&#305;m%20Sonu%20Hakedi&#351;\r00-Kas&#305;m%202025%20D&#246;nemi\Metraj%20-%201.B%20-%20S06%20-%20Barbaros-Hat-1-HY-P1-1.A&#351;ama.xlsx" TargetMode="External"/><Relationship Id="rId1" Type="http://schemas.openxmlformats.org/officeDocument/2006/relationships/externalLinkPath" Target="/Users/rbasak/Desktop/25.01.2025/r00-Aral&#305;k%202025%20D&#246;nemi/Metraj%20-%201.B%20-%20S06%20-%20Barbaros-Hat-1-HY-P1-1.A&#351;ama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HY-P1-1.A&#351;ama.xlsx" TargetMode="External"/><Relationship Id="rId2" Type="http://schemas.openxmlformats.org/officeDocument/2006/relationships/externalLinkPath" Target="file:///C:\Users\rbasak\Desktop\Hk06\Malazgirt\Metraj%20-%201.B%20-%20S07%20-%20Malazgirt-Hat-1-HY-P1-1.A&#351;ama.xlsx" TargetMode="External"/><Relationship Id="rId1" Type="http://schemas.openxmlformats.org/officeDocument/2006/relationships/externalLinkPath" Target="/Users/rbasak/Desktop/Hk06/Malazgirt/Metraj%20-%201.B%20-%20S07%20-%20Malazgirt-Hat-1-HY-P1-1.A&#351;ama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HY-P1-2.A&#351;ama.xlsx" TargetMode="External"/><Relationship Id="rId2" Type="http://schemas.openxmlformats.org/officeDocument/2006/relationships/externalLinkPath" Target="file:///C:\Users\rbasak\Desktop\Hk06\Malazgirt\Metraj%20-%201.B%20-%20S07%20-%20Malazgirt-Hat-1-HY-P1-2.A&#351;ama.xlsx" TargetMode="External"/><Relationship Id="rId1" Type="http://schemas.openxmlformats.org/officeDocument/2006/relationships/externalLinkPath" Target="/Users/rbasak/Desktop/Hk06/Malazgirt/Metraj%20-%201.B%20-%20S07%20-%20Malazgirt-Hat-1-HY-P1-2.A&#351;ama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HY-P1-3.A&#351;ama.xlsx" TargetMode="External"/><Relationship Id="rId2" Type="http://schemas.openxmlformats.org/officeDocument/2006/relationships/externalLinkPath" Target="file:///C:\Users\rbasak\Desktop\Hk06\Malazgirt\Metraj%20-%201.B%20-%20S07%20-%20Malazgirt-Hat-1-HY-P1-3.A&#351;ama.xlsx" TargetMode="External"/><Relationship Id="rId1" Type="http://schemas.openxmlformats.org/officeDocument/2006/relationships/externalLinkPath" Target="/Users/rbasak/Desktop/Hk06/Malazgirt/Metraj%20-%201.B%20-%20S07%20-%20Malazgirt-Hat-1-HY-P1-3.A&#351;ama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HY-P1-4.A&#351;ama.xlsx" TargetMode="External"/><Relationship Id="rId2" Type="http://schemas.openxmlformats.org/officeDocument/2006/relationships/externalLinkPath" Target="file:///C:\Users\rbasak\Desktop\Hk06\Malazgirt\Metraj%20-%201.B%20-%20S07%20-%20Malazgirt-Hat-1-HY-P1-4.A&#351;ama.xlsx" TargetMode="External"/><Relationship Id="rId1" Type="http://schemas.openxmlformats.org/officeDocument/2006/relationships/externalLinkPath" Target="/Users/rbasak/Desktop/Hk06/Malazgirt/Metraj%20-%201.B%20-%20S07%20-%20Malazgirt-Hat-1-HY-P1-4.A&#351;ama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HY-P1-1.A&#351;ama.xlsx" TargetMode="External"/><Relationship Id="rId2" Type="http://schemas.openxmlformats.org/officeDocument/2006/relationships/externalLinkPath" Target="file:///C:\Users\rbasak\Desktop\Hk06\Malazgirt\Metraj%20-%201.B%20-%20S07%20-%20Malazgirt-Hat-2-HY-P1-1.A&#351;ama.xlsx" TargetMode="External"/><Relationship Id="rId1" Type="http://schemas.openxmlformats.org/officeDocument/2006/relationships/externalLinkPath" Target="/Users/rbasak/Desktop/Hk06/Malazgirt/Metraj%20-%201.B%20-%20S07%20-%20Malazgirt-Hat-2-HY-P1-1.A&#351;ama.xlsx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HY-P1-2.A&#351;ama.xlsx" TargetMode="External"/><Relationship Id="rId2" Type="http://schemas.openxmlformats.org/officeDocument/2006/relationships/externalLinkPath" Target="file:///C:\Users\rbasak\Desktop\Hk06\Malazgirt\Metraj%20-%201.B%20-%20S07%20-%20Malazgirt-Hat-2-HY-P1-2.A&#351;ama.xlsx" TargetMode="External"/><Relationship Id="rId1" Type="http://schemas.openxmlformats.org/officeDocument/2006/relationships/externalLinkPath" Target="/Users/rbasak/Desktop/Hk06/Malazgirt/Metraj%20-%201.B%20-%20S07%20-%20Malazgirt-Hat-2-HY-P1-2.A&#351;ama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HY-P1-3.A&#351;ama.xlsx" TargetMode="External"/><Relationship Id="rId2" Type="http://schemas.openxmlformats.org/officeDocument/2006/relationships/externalLinkPath" Target="file:///C:\Users\rbasak\Desktop\Hk06\Malazgirt\Metraj%20-%201.B%20-%20S07%20-%20Malazgirt-Hat-2-HY-P1-3.A&#351;ama.xlsx" TargetMode="External"/><Relationship Id="rId1" Type="http://schemas.openxmlformats.org/officeDocument/2006/relationships/externalLinkPath" Target="/Users/rbasak/Desktop/Hk06/Malazgirt/Metraj%20-%201.B%20-%20S07%20-%20Malazgirt-Hat-2-HY-P1-3.A&#351;ama.xlsx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HY-P1-4.A&#351;ama.xlsx" TargetMode="External"/><Relationship Id="rId2" Type="http://schemas.openxmlformats.org/officeDocument/2006/relationships/externalLinkPath" Target="file:///C:\Users\rbasak\Desktop\Hk06\Malazgirt\Metraj%20-%201.B%20-%20S07%20-%20Malazgirt-Hat-2-HY-P1-4.A&#351;ama.xlsx" TargetMode="External"/><Relationship Id="rId1" Type="http://schemas.openxmlformats.org/officeDocument/2006/relationships/externalLinkPath" Target="/Users/rbasak/Desktop/Hk06/Malazgirt/Metraj%20-%201.B%20-%20S07%20-%20Malazgirt-Hat-2-HY-P1-4.A&#351;ama.xlsx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KY-P1-1.A&#351;ama.xlsx" TargetMode="External"/><Relationship Id="rId2" Type="http://schemas.openxmlformats.org/officeDocument/2006/relationships/externalLinkPath" Target="file:///C:\Users\rbasak\Desktop\Hk06\Malazgirt\Metraj%20-%201.B%20-%20S07%20-%20Malazgirt-Hat-1-KY-P1-1.A&#351;ama.xlsx" TargetMode="External"/><Relationship Id="rId1" Type="http://schemas.openxmlformats.org/officeDocument/2006/relationships/externalLinkPath" Target="/Users/rbasak/Desktop/Hk06/Malazgirt/Metraj%20-%201.B%20-%20S07%20-%20Malazgirt-Hat-1-KY-P1-1.A&#351;ama.xlsx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KY-P1-2.A&#351;ama.xlsx" TargetMode="External"/><Relationship Id="rId2" Type="http://schemas.openxmlformats.org/officeDocument/2006/relationships/externalLinkPath" Target="file:///C:\Users\rbasak\Desktop\Hk06\Malazgirt\Metraj%20-%201.B%20-%20S07%20-%20Malazgirt-Hat-1-KY-P1-2.A&#351;ama.xlsx" TargetMode="External"/><Relationship Id="rId1" Type="http://schemas.openxmlformats.org/officeDocument/2006/relationships/externalLinkPath" Target="/Users/rbasak/Desktop/Hk06/Malazgirt/Metraj%20-%201.B%20-%20S07%20-%20Malazgirt-Hat-1-KY-P1-2.A&#351;ama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KY-P1-3.A&#351;ama.xlsx" TargetMode="External"/><Relationship Id="rId2" Type="http://schemas.openxmlformats.org/officeDocument/2006/relationships/externalLinkPath" Target="file:///C:\Users\rbasak\Desktop\Hk06\Malazgirt\Metraj%20-%201.B%20-%20S07%20-%20Malazgirt-Hat-1-KY-P1-3.A&#351;ama.xlsx" TargetMode="External"/><Relationship Id="rId1" Type="http://schemas.openxmlformats.org/officeDocument/2006/relationships/externalLinkPath" Target="/Users/rbasak/Desktop/Hk06/Malazgirt/Metraj%20-%201.B%20-%20S07%20-%20Malazgirt-Hat-1-KY-P1-3.A&#351;ama.xlsx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KY-P1-4.A&#351;ama.xlsx" TargetMode="External"/><Relationship Id="rId2" Type="http://schemas.openxmlformats.org/officeDocument/2006/relationships/externalLinkPath" Target="file:///C:\Users\rbasak\Desktop\Hk06\Malazgirt\Metraj%20-%201.B%20-%20S07%20-%20Malazgirt-Hat-1-KY-P1-4.A&#351;ama.xlsx" TargetMode="External"/><Relationship Id="rId1" Type="http://schemas.openxmlformats.org/officeDocument/2006/relationships/externalLinkPath" Target="/Users/rbasak/Desktop/Hk06/Malazgirt/Metraj%20-%201.B%20-%20S07%20-%20Malazgirt-Hat-1-KY-P1-4.A&#351;ama.xlsx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KY-P1-1.A&#351;ama.xlsx" TargetMode="External"/><Relationship Id="rId2" Type="http://schemas.openxmlformats.org/officeDocument/2006/relationships/externalLinkPath" Target="file:///C:\Users\rbasak\Desktop\Hk06\Malazgirt\Metraj%20-%201.B%20-%20S07%20-%20Malazgirt-Hat-2-KY-P1-1.A&#351;ama.xlsx" TargetMode="External"/><Relationship Id="rId1" Type="http://schemas.openxmlformats.org/officeDocument/2006/relationships/externalLinkPath" Target="/Users/rbasak/Desktop/Hk06/Malazgirt/Metraj%20-%201.B%20-%20S07%20-%20Malazgirt-Hat-2-KY-P1-1.A&#351;ama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KY-P1-2.A&#351;ama.xlsx" TargetMode="External"/><Relationship Id="rId2" Type="http://schemas.openxmlformats.org/officeDocument/2006/relationships/externalLinkPath" Target="file:///C:\Users\rbasak\Desktop\Hk06\Malazgirt\Metraj%20-%201.B%20-%20S07%20-%20Malazgirt-Hat-2-KY-P1-2.A&#351;ama.xlsx" TargetMode="External"/><Relationship Id="rId1" Type="http://schemas.openxmlformats.org/officeDocument/2006/relationships/externalLinkPath" Target="/Users/rbasak/Desktop/Hk06/Malazgirt/Metraj%20-%201.B%20-%20S07%20-%20Malazgirt-Hat-2-KY-P1-2.A&#351;ama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KY-P1-3.A&#351;ama.xlsx" TargetMode="External"/><Relationship Id="rId2" Type="http://schemas.openxmlformats.org/officeDocument/2006/relationships/externalLinkPath" Target="file:///C:\Users\rbasak\Desktop\Hk06\Malazgirt\Metraj%20-%201.B%20-%20S07%20-%20Malazgirt-Hat-2-KY-P1-3.A&#351;ama.xlsx" TargetMode="External"/><Relationship Id="rId1" Type="http://schemas.openxmlformats.org/officeDocument/2006/relationships/externalLinkPath" Target="/Users/rbasak/Desktop/Hk06/Malazgirt/Metraj%20-%201.B%20-%20S07%20-%20Malazgirt-Hat-2-KY-P1-3.A&#351;ama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KY-P1-4.A&#351;ama.xlsx" TargetMode="External"/><Relationship Id="rId2" Type="http://schemas.openxmlformats.org/officeDocument/2006/relationships/externalLinkPath" Target="file:///C:\Users\rbasak\Desktop\Hk06\Malazgirt\Metraj%20-%201.B%20-%20S07%20-%20Malazgirt-Hat-2-KY-P1-4.A&#351;ama.xlsx" TargetMode="External"/><Relationship Id="rId1" Type="http://schemas.openxmlformats.org/officeDocument/2006/relationships/externalLinkPath" Target="/Users/rbasak/Desktop/Hk06/Malazgirt/Metraj%20-%201.B%20-%20S07%20-%20Malazgirt-Hat-2-KY-P1-4.A&#351;ama.xlsx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B1%20Ba&#287;lant&#305;-3%20P2%20Y&#246;n&#252;%20&#220;styar&#305;%20A&#351;amas&#305;%20(B1-101).xlsx" TargetMode="External"/><Relationship Id="rId2" Type="http://schemas.openxmlformats.org/officeDocument/2006/relationships/externalLinkPath" Target="file:///C:\Users\rbasak\Desktop\Hk06\Malazgirt\Metraj%20-%201.B%20-%20S07%20-%20Malazgirt-Hat-2-B1%20Ba&#287;lant&#305;-3%20P2%20Y&#246;n&#252;%20&#220;styar&#305;%20A&#351;amas&#305;%20(B1-101).xlsx" TargetMode="External"/><Relationship Id="rId1" Type="http://schemas.openxmlformats.org/officeDocument/2006/relationships/externalLinkPath" Target="/Users/rbasak/Desktop/Hk06/Malazgirt/Metraj%20-%201.B%20-%20S07%20-%20Malazgirt-Hat-2-B1%20Ba&#287;lant&#305;-3%20P2%20Y&#246;n&#252;%20&#220;styar&#305;%20A&#351;amas&#305;%20(B1-101).xlsx" TargetMode="External"/></Relationships>
</file>

<file path=xl/externalLinks/_rels/externalLink48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B1%20Ba&#287;lant&#305;-3%20P2%20Y&#246;n&#252;%20Altyar&#305;%20A&#351;amas&#305;%20(B1-101).xlsx" TargetMode="External"/><Relationship Id="rId2" Type="http://schemas.openxmlformats.org/officeDocument/2006/relationships/externalLinkPath" Target="file:///C:\Users\rbasak\Desktop\Hk06\Malazgirt\Metraj%20-%201.B%20-%20S07%20-%20Malazgirt-Hat-2-B1%20Ba&#287;lant&#305;-3%20P2%20Y&#246;n&#252;%20Altyar&#305;%20A&#351;amas&#305;%20(B1-101).xlsx" TargetMode="External"/><Relationship Id="rId1" Type="http://schemas.openxmlformats.org/officeDocument/2006/relationships/externalLinkPath" Target="/Users/rbasak/Desktop/Hk06/Malazgirt/Metraj%20-%201.B%20-%20S07%20-%20Malazgirt-Hat-2-B1%20Ba&#287;lant&#305;-3%20P2%20Y&#246;n&#252;%20Altyar&#305;%20A&#351;amas&#305;%20(B1-101).xlsx" TargetMode="External"/></Relationships>
</file>

<file path=xl/externalLinks/_rels/externalLink49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B1%20Ba&#287;lant&#305;-3%20P2%20Y&#246;n&#252;%20&#220;styar&#305;%20A&#351;amas&#305;%20(B1-102).xlsx" TargetMode="External"/><Relationship Id="rId2" Type="http://schemas.openxmlformats.org/officeDocument/2006/relationships/externalLinkPath" Target="file:///C:\Users\rbasak\Desktop\Hk06\Malazgirt\Metraj%20-%201.B%20-%20S07%20-%20Malazgirt-Hat-1-B1%20Ba&#287;lant&#305;-3%20P2%20Y&#246;n&#252;%20&#220;styar&#305;%20A&#351;amas&#305;%20(B1-102).xlsx" TargetMode="External"/><Relationship Id="rId1" Type="http://schemas.openxmlformats.org/officeDocument/2006/relationships/externalLinkPath" Target="/Users/rbasak/Desktop/Hk06/Malazgirt/Metraj%20-%201.B%20-%20S07%20-%20Malazgirt-Hat-1-B1%20Ba&#287;lant&#305;-3%20P2%20Y&#246;n&#252;%20&#220;styar&#305;%20A&#351;amas&#305;%20(B1-102).xlsx" TargetMode="External"/></Relationships>
</file>

<file path=xl/externalLinks/_rels/externalLink50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B1%20Ba&#287;lant&#305;-3%20P2%20Y&#246;n&#252;%20Alt%20Yar&#305;%20A&#351;amas&#305;%20(B1-102).xlsx" TargetMode="External"/><Relationship Id="rId2" Type="http://schemas.openxmlformats.org/officeDocument/2006/relationships/externalLinkPath" Target="file:///C:\Users\rbasak\Desktop\Hk06\Malazgirt\Metraj%20-%201.B%20-%20S07%20-%20Malazgirt-Hat-1-B1%20Ba&#287;lant&#305;-3%20P2%20Y&#246;n&#252;%20Alt%20Yar&#305;%20A&#351;amas&#305;%20(B1-102).xlsx" TargetMode="External"/><Relationship Id="rId1" Type="http://schemas.openxmlformats.org/officeDocument/2006/relationships/externalLinkPath" Target="/Users/rbasak/Desktop/Hk06/Malazgirt/Metraj%20-%201.B%20-%20S07%20-%20Malazgirt-Hat-1-B1%20Ba&#287;lant&#305;-3%20P2%20Y&#246;n&#252;%20Alt%20Yar&#305;%20A&#351;amas&#305;%20(B1-102).xlsx" TargetMode="External"/></Relationships>
</file>

<file path=xl/externalLinks/_rels/externalLink5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B1%20Ba&#287;lant&#305;-2%20P2%20Y&#246;n&#252;%20&#220;styar&#305;%20A&#351;amas&#305;%20(B1-103).xlsx" TargetMode="External"/><Relationship Id="rId2" Type="http://schemas.openxmlformats.org/officeDocument/2006/relationships/externalLinkPath" Target="file:///C:\Users\rbasak\Desktop\Hk06\Malazgirt\Metraj%20-%201.B%20-%20S07%20-%20Malazgirt-Hat-2-B1%20Ba&#287;lant&#305;-2%20P2%20Y&#246;n&#252;%20&#220;styar&#305;%20A&#351;amas&#305;%20(B1-103).xlsx" TargetMode="External"/><Relationship Id="rId1" Type="http://schemas.openxmlformats.org/officeDocument/2006/relationships/externalLinkPath" Target="/Users/rbasak/Desktop/Hk06/Malazgirt/Metraj%20-%201.B%20-%20S07%20-%20Malazgirt-Hat-2-B1%20Ba&#287;lant&#305;-2%20P2%20Y&#246;n&#252;%20&#220;styar&#305;%20A&#351;amas&#305;%20(B1-103).xlsx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B1%20Ba&#287;lant&#305;-2%20P2%20Y&#246;n&#252;%20Altyar&#305;%20A&#351;amas&#305;%20(B1-103).xlsx" TargetMode="External"/><Relationship Id="rId2" Type="http://schemas.openxmlformats.org/officeDocument/2006/relationships/externalLinkPath" Target="file:///C:\Users\rbasak\Desktop\Hk06\Malazgirt\Metraj%20-%201.B%20-%20S07%20-%20Malazgirt-Hat-2-B1%20Ba&#287;lant&#305;-2%20P2%20Y&#246;n&#252;%20Altyar&#305;%20A&#351;amas&#305;%20(B1-103).xlsx" TargetMode="External"/><Relationship Id="rId1" Type="http://schemas.openxmlformats.org/officeDocument/2006/relationships/externalLinkPath" Target="/Users/rbasak/Desktop/Hk06/Malazgirt/Metraj%20-%201.B%20-%20S07%20-%20Malazgirt-Hat-2-B1%20Ba&#287;lant&#305;-2%20P2%20Y&#246;n&#252;%20Altyar&#305;%20A&#351;amas&#305;%20(B1-103).xlsx" TargetMode="External"/></Relationships>
</file>

<file path=xl/externalLinks/_rels/externalLink53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B1%20Ba&#287;lant&#305;-2%20P2%20Y&#246;n&#252;%20&#220;styar&#305;%20A&#351;amas&#305;%20(B1-104).xlsx" TargetMode="External"/><Relationship Id="rId2" Type="http://schemas.openxmlformats.org/officeDocument/2006/relationships/externalLinkPath" Target="file:///C:\Users\rbasak\Desktop\Hk06\Malazgirt\Metraj%20-%201.B%20-%20S07%20-%20Malazgirt-Hat-1-B1%20Ba&#287;lant&#305;-2%20P2%20Y&#246;n&#252;%20&#220;styar&#305;%20A&#351;amas&#305;%20(B1-104).xlsx" TargetMode="External"/><Relationship Id="rId1" Type="http://schemas.openxmlformats.org/officeDocument/2006/relationships/externalLinkPath" Target="/Users/rbasak/Desktop/Hk06/Malazgirt/Metraj%20-%201.B%20-%20S07%20-%20Malazgirt-Hat-1-B1%20Ba&#287;lant&#305;-2%20P2%20Y&#246;n&#252;%20&#220;styar&#305;%20A&#351;amas&#305;%20(B1-104).xlsx" TargetMode="External"/></Relationships>
</file>

<file path=xl/externalLinks/_rels/externalLink54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B1%20Ba&#287;lant&#305;-2%20P2%20Y&#246;n&#252;%20Alt%20Yar&#305;%20A&#351;amas&#305;%20(B1-104).xlsx" TargetMode="External"/><Relationship Id="rId2" Type="http://schemas.openxmlformats.org/officeDocument/2006/relationships/externalLinkPath" Target="file:///C:\Users\rbasak\Desktop\Hk06\Malazgirt\Metraj%20-%201.B%20-%20S07%20-%20Malazgirt-Hat-1-B1%20Ba&#287;lant&#305;-2%20P2%20Y&#246;n&#252;%20Alt%20Yar&#305;%20A&#351;amas&#305;%20(B1-104).xlsx" TargetMode="External"/><Relationship Id="rId1" Type="http://schemas.openxmlformats.org/officeDocument/2006/relationships/externalLinkPath" Target="/Users/rbasak/Desktop/Hk06/Malazgirt/Metraj%20-%201.B%20-%20S07%20-%20Malazgirt-Hat-1-B1%20Ba&#287;lant&#305;-2%20P2%20Y&#246;n&#252;%20Alt%20Yar&#305;%20A&#351;amas&#305;%20(B1-104).xlsx" TargetMode="External"/></Relationships>
</file>

<file path=xl/externalLinks/_rels/externalLink55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B1%20Ba&#287;lant&#305;-1%20P2%20Y&#246;n&#252;%20&#220;styar&#305;%20A&#351;amas&#305;%20(B1-105).xlsx" TargetMode="External"/><Relationship Id="rId2" Type="http://schemas.openxmlformats.org/officeDocument/2006/relationships/externalLinkPath" Target="file:///C:\Users\rbasak\Desktop\Hk06\Malazgirt\Metraj%20-%201.B%20-%20S07%20-%20Malazgirt-Hat-2-B1%20Ba&#287;lant&#305;-1%20P2%20Y&#246;n&#252;%20&#220;styar&#305;%20A&#351;amas&#305;%20(B1-105).xlsx" TargetMode="External"/><Relationship Id="rId1" Type="http://schemas.openxmlformats.org/officeDocument/2006/relationships/externalLinkPath" Target="/Users/rbasak/Desktop/Hk06/Malazgirt/Metraj%20-%201.B%20-%20S07%20-%20Malazgirt-Hat-2-B1%20Ba&#287;lant&#305;-1%20P2%20Y&#246;n&#252;%20&#220;styar&#305;%20A&#351;amas&#305;%20(B1-105).xlsx" TargetMode="External"/></Relationships>
</file>

<file path=xl/externalLinks/_rels/externalLink56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2-B1%20Ba&#287;lant&#305;-1%20P2%20Y&#246;n&#252;%20Altyar&#305;%20A&#351;amas&#305;%20(B1-105).xlsx" TargetMode="External"/><Relationship Id="rId2" Type="http://schemas.openxmlformats.org/officeDocument/2006/relationships/externalLinkPath" Target="file:///C:\Users\rbasak\Desktop\Hk06\Malazgirt\Metraj%20-%201.B%20-%20S07%20-%20Malazgirt-Hat-2-B1%20Ba&#287;lant&#305;-1%20P2%20Y&#246;n&#252;%20Altyar&#305;%20A&#351;amas&#305;%20(B1-105).xlsx" TargetMode="External"/><Relationship Id="rId1" Type="http://schemas.openxmlformats.org/officeDocument/2006/relationships/externalLinkPath" Target="/Users/rbasak/Desktop/Hk06/Malazgirt/Metraj%20-%201.B%20-%20S07%20-%20Malazgirt-Hat-2-B1%20Ba&#287;lant&#305;-1%20P2%20Y&#246;n&#252;%20Altyar&#305;%20A&#351;amas&#305;%20(B1-105).xlsx" TargetMode="External"/></Relationships>
</file>

<file path=xl/externalLinks/_rels/externalLink57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B1%20Ba&#287;lant&#305;-1%20P2%20Y&#246;n&#252;%20&#220;styar&#305;%20A&#351;amas&#305;%20(B1-106).xlsx" TargetMode="External"/><Relationship Id="rId2" Type="http://schemas.openxmlformats.org/officeDocument/2006/relationships/externalLinkPath" Target="file:///C:\Users\rbasak\Desktop\Hk06\Malazgirt\Metraj%20-%201.B%20-%20S07%20-%20Malazgirt-Hat-1-B1%20Ba&#287;lant&#305;-1%20P2%20Y&#246;n&#252;%20&#220;styar&#305;%20A&#351;amas&#305;%20(B1-106).xlsx" TargetMode="External"/><Relationship Id="rId1" Type="http://schemas.openxmlformats.org/officeDocument/2006/relationships/externalLinkPath" Target="/Users/rbasak/Desktop/Hk06/Malazgirt/Metraj%20-%201.B%20-%20S07%20-%20Malazgirt-Hat-1-B1%20Ba&#287;lant&#305;-1%20P2%20Y&#246;n&#252;%20&#220;styar&#305;%20A&#351;amas&#305;%20(B1-106).xlsx" TargetMode="External"/></Relationships>
</file>

<file path=xl/externalLinks/_rels/externalLink58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/Malazgirt/Metraj%20-%201.B%20-%20S07%20-%20Malazgirt-Hat-1-B1%20Ba&#287;lant&#305;-1%20P2%20Y&#246;n&#252;%20Alt%20Yar&#305;%20A&#351;amas&#305;%20(B1-106).xlsx" TargetMode="External"/><Relationship Id="rId2" Type="http://schemas.openxmlformats.org/officeDocument/2006/relationships/externalLinkPath" Target="file:///C:\Users\rbasak\Desktop\Hk06\Malazgirt\Metraj%20-%201.B%20-%20S07%20-%20Malazgirt-Hat-1-B1%20Ba&#287;lant&#305;-1%20P2%20Y&#246;n&#252;%20Alt%20Yar&#305;%20A&#351;amas&#305;%20(B1-106).xlsx" TargetMode="External"/><Relationship Id="rId1" Type="http://schemas.openxmlformats.org/officeDocument/2006/relationships/externalLinkPath" Target="/Users/rbasak/Desktop/Hk06/Malazgirt/Metraj%20-%201.B%20-%20S07%20-%20Malazgirt-Hat-1-B1%20Ba&#287;lant&#305;-1%20P2%20Y&#246;n&#252;%20Alt%20Yar&#305;%20A&#351;amas&#305;%20(B1-106).xlsx" TargetMode="External"/></Relationships>
</file>

<file path=xl/externalLinks/_rels/externalLink59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%20-%20Onay/Kal&#305;c&#305;%20Kaplama/Malazgirt/Malazgirt%20&#304;stasyonu%20B1%20-%20101%20T&#252;neli%20Kal&#305;c&#305;%20Kaplama.xlsx" TargetMode="External"/><Relationship Id="rId2" Type="http://schemas.openxmlformats.org/officeDocument/2006/relationships/externalLinkPath" Target="file:///C:\Users\rbasak\Desktop\Hk06\Kal&#305;c&#305;%20Kaplama\Malazgirt\Malazgirt%20&#304;stasyonu%20B1%20-%20101%20T&#252;neli%20Kal&#305;c&#305;%20Kaplama.xlsx" TargetMode="External"/><Relationship Id="rId1" Type="http://schemas.openxmlformats.org/officeDocument/2006/relationships/externalLinkPath" Target="/Users/rbasak/Desktop/Hk06%20-%20Onay/Kal&#305;c&#305;%20Kaplama/Malazgirt/Malazgirt%20&#304;stasyonu%20B1%20-%20101%20T&#252;neli%20Kal&#305;c&#305;%20Kaplama.xlsx" TargetMode="External"/></Relationships>
</file>

<file path=xl/externalLinks/_rels/externalLink60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%20-%20Onay/Kal&#305;c&#305;%20Kaplama/Malazgirt/Malazgirt%20&#304;stasyonu%20B1%20-%20102%20T&#252;neli%20Kal&#305;c&#305;%20Kaplama.xlsx" TargetMode="External"/><Relationship Id="rId2" Type="http://schemas.openxmlformats.org/officeDocument/2006/relationships/externalLinkPath" Target="file:///C:\Users\rbasak\Desktop\Hk06\Kal&#305;c&#305;%20Kaplama\Malazgirt\Malazgirt%20&#304;stasyonu%20B1%20-%20102%20T&#252;neli%20Kal&#305;c&#305;%20Kaplama.xlsx" TargetMode="External"/><Relationship Id="rId1" Type="http://schemas.openxmlformats.org/officeDocument/2006/relationships/externalLinkPath" Target="/Users/rbasak/Desktop/Hk06%20-%20Onay/Kal&#305;c&#305;%20Kaplama/Malazgirt/Malazgirt%20&#304;stasyonu%20B1%20-%20102%20T&#252;neli%20Kal&#305;c&#305;%20Kaplama.xlsx" TargetMode="External"/></Relationships>
</file>

<file path=xl/externalLinks/_rels/externalLink6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%20-%20Onay/Kal&#305;c&#305;%20Kaplama/Malazgirt/Malazgirt%20&#304;stasyonu%20B1%20-%20103%20T&#252;neli%20Kal&#305;c&#305;%20Kaplama.xlsx" TargetMode="External"/><Relationship Id="rId2" Type="http://schemas.openxmlformats.org/officeDocument/2006/relationships/externalLinkPath" Target="file:///C:\Users\rbasak\Desktop\Hk06\Kal&#305;c&#305;%20Kaplama\Malazgirt\Malazgirt%20&#304;stasyonu%20B1%20-%20103%20T&#252;neli%20Kal&#305;c&#305;%20Kaplama.xlsx" TargetMode="External"/><Relationship Id="rId1" Type="http://schemas.openxmlformats.org/officeDocument/2006/relationships/externalLinkPath" Target="/Users/rbasak/Desktop/Hk06%20-%20Onay/Kal&#305;c&#305;%20Kaplama/Malazgirt/Malazgirt%20&#304;stasyonu%20B1%20-%20103%20T&#252;neli%20Kal&#305;c&#305;%20Kaplama.xlsx" TargetMode="External"/></Relationships>
</file>

<file path=xl/externalLinks/_rels/externalLink62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%20-%20Onay/Kal&#305;c&#305;%20Kaplama/Malazgirt/Malazgirt%20&#304;stasyonu%20P1%20-%20101%20T&#252;neli%20Kal&#305;c&#305;%20Kaplama.xlsx" TargetMode="External"/><Relationship Id="rId2" Type="http://schemas.openxmlformats.org/officeDocument/2006/relationships/externalLinkPath" Target="file:///C:\Users\rbasak\Desktop\Hk06\Kal&#305;c&#305;%20Kaplama\Malazgirt\Malazgirt%20&#304;stasyonu%20P1%20-%20101%20T&#252;neli%20Kal&#305;c&#305;%20Kaplama.xlsx" TargetMode="External"/><Relationship Id="rId1" Type="http://schemas.openxmlformats.org/officeDocument/2006/relationships/externalLinkPath" Target="/Users/rbasak/Desktop/Hk06%20-%20Onay/Kal&#305;c&#305;%20Kaplama/Malazgirt/Malazgirt%20&#304;stasyonu%20P1%20-%20101%20T&#252;neli%20Kal&#305;c&#305;%20Kaplama.xlsx" TargetMode="External"/></Relationships>
</file>

<file path=xl/externalLinks/_rels/externalLink63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%20-%20Onay/Kal&#305;c&#305;%20Kaplama/Malazgirt/Malazgirt%20&#304;stasyonu%20P1%20-%20102%20T&#252;neli%20Kal&#305;c&#305;%20Kaplama.xlsx" TargetMode="External"/><Relationship Id="rId2" Type="http://schemas.openxmlformats.org/officeDocument/2006/relationships/externalLinkPath" Target="file:///C:\Users\rbasak\Desktop\Hk06\Kal&#305;c&#305;%20Kaplama\Malazgirt\Malazgirt%20&#304;stasyonu%20P1%20-%20102%20T&#252;neli%20Kal&#305;c&#305;%20Kaplama.xlsx" TargetMode="External"/><Relationship Id="rId1" Type="http://schemas.openxmlformats.org/officeDocument/2006/relationships/externalLinkPath" Target="/Users/rbasak/Desktop/Hk06%20-%20Onay/Kal&#305;c&#305;%20Kaplama/Malazgirt/Malazgirt%20&#304;stasyonu%20P1%20-%20102%20T&#252;neli%20Kal&#305;c&#305;%20Kapla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rbaros 1225"/>
      <sheetName val="Barbaros 1125"/>
      <sheetName val="Barbaros 1025"/>
      <sheetName val="Barbaros 0925"/>
      <sheetName val="Barbaros 0825"/>
      <sheetName val="Barbaros 0725"/>
      <sheetName val="Barbaros 0625"/>
      <sheetName val="Kapak"/>
      <sheetName val="ÖZET"/>
      <sheetName val="Barbaros Toplam   "/>
      <sheetName val="Malazgirt Toplam   "/>
      <sheetName val="Malazgirt 0625"/>
      <sheetName val="Malazgirt 0725"/>
      <sheetName val="Malazgirt 0825"/>
      <sheetName val="Malazgirt 0925"/>
      <sheetName val="Malazgirt 1025"/>
      <sheetName val="Malazgirt 1125"/>
      <sheetName val="Malazgirt 1225"/>
      <sheetName val="Barbaros 0126"/>
      <sheetName val="Malazgirt 0126"/>
      <sheetName val="Barbaros 0226"/>
      <sheetName val="Malazgirt 0226"/>
      <sheetName val="Barbaros 0326"/>
      <sheetName val="Malazgirt 03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J11">
            <v>24205.252000000008</v>
          </cell>
        </row>
        <row r="41">
          <cell r="P41">
            <v>1454267286.056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 t="str">
            <v>BİRİM</v>
          </cell>
          <cell r="J19" t="str">
            <v>ÖNCEKİ HAKEDİŞ MİKTARI</v>
          </cell>
          <cell r="K19" t="str">
            <v>BU HAKEDİŞ MİKTARI</v>
          </cell>
          <cell r="L19" t="str">
            <v>TOPLAM HAKEDİŞ MİKTARI</v>
          </cell>
          <cell r="O19" t="str">
            <v>0525</v>
          </cell>
          <cell r="P19" t="str">
            <v>0625</v>
          </cell>
          <cell r="Q19" t="str">
            <v>0725</v>
          </cell>
          <cell r="R19" t="str">
            <v>0825</v>
          </cell>
          <cell r="S19" t="str">
            <v>0925</v>
          </cell>
          <cell r="T19" t="str">
            <v>1025</v>
          </cell>
          <cell r="U19" t="str">
            <v>1125</v>
          </cell>
          <cell r="V19" t="str">
            <v>1225</v>
          </cell>
          <cell r="W19" t="str">
            <v>0126</v>
          </cell>
          <cell r="X19" t="str">
            <v>0226</v>
          </cell>
          <cell r="Y19" t="str">
            <v>0326</v>
          </cell>
          <cell r="Z19" t="str">
            <v>0426</v>
          </cell>
          <cell r="AA19" t="str">
            <v>0526</v>
          </cell>
          <cell r="AB19" t="str">
            <v>0626</v>
          </cell>
          <cell r="AC19" t="str">
            <v>0726</v>
          </cell>
          <cell r="AD19" t="str">
            <v>0826</v>
          </cell>
          <cell r="AE19" t="str">
            <v>0926</v>
          </cell>
          <cell r="AF19" t="str">
            <v>1026</v>
          </cell>
          <cell r="AG19" t="str">
            <v>1126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 t="str">
            <v>m³</v>
          </cell>
          <cell r="J20">
            <v>2044.3040000000001</v>
          </cell>
          <cell r="K20">
            <v>0</v>
          </cell>
          <cell r="L20">
            <v>2044.3040000000001</v>
          </cell>
          <cell r="O20"/>
          <cell r="P20"/>
          <cell r="Q20">
            <v>591.59400000000005</v>
          </cell>
          <cell r="R20">
            <v>804.50199999999984</v>
          </cell>
          <cell r="S20">
            <v>638.07000000000005</v>
          </cell>
          <cell r="T20">
            <v>10.138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 t="str">
            <v>m³</v>
          </cell>
          <cell r="J21" t="str">
            <v/>
          </cell>
          <cell r="K21" t="e">
            <v>#VALUE!</v>
          </cell>
          <cell r="L21" t="str">
            <v/>
          </cell>
          <cell r="O21"/>
          <cell r="P21"/>
          <cell r="Q21"/>
          <cell r="R21"/>
          <cell r="S21"/>
          <cell r="T21"/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 t="str">
            <v>m³</v>
          </cell>
          <cell r="J22" t="str">
            <v/>
          </cell>
          <cell r="K22" t="e">
            <v>#VALUE!</v>
          </cell>
          <cell r="L22" t="str">
            <v/>
          </cell>
          <cell r="O22"/>
          <cell r="P22"/>
          <cell r="Q22"/>
          <cell r="R22"/>
          <cell r="S22"/>
          <cell r="T22"/>
          <cell r="U22"/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 t="str">
            <v>m³</v>
          </cell>
          <cell r="J23">
            <v>496.02699999999999</v>
          </cell>
          <cell r="K23">
            <v>0</v>
          </cell>
          <cell r="L23">
            <v>496.02699999999999</v>
          </cell>
          <cell r="O23"/>
          <cell r="P23"/>
          <cell r="Q23">
            <v>126.86500000000002</v>
          </cell>
          <cell r="R23">
            <v>184.86300000000003</v>
          </cell>
          <cell r="S23">
            <v>149.73800000000003</v>
          </cell>
          <cell r="T23">
            <v>10.653999999999998</v>
          </cell>
          <cell r="U23"/>
          <cell r="V23">
            <v>23.094999999999857</v>
          </cell>
          <cell r="W23">
            <v>0.81200000000001182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 t="str">
            <v>m</v>
          </cell>
          <cell r="J24" t="str">
            <v/>
          </cell>
          <cell r="K24" t="e">
            <v>#VALUE!</v>
          </cell>
          <cell r="L24" t="str">
            <v/>
          </cell>
          <cell r="O24"/>
          <cell r="P24"/>
          <cell r="Q24"/>
          <cell r="R24"/>
          <cell r="S24"/>
          <cell r="T24"/>
          <cell r="U24"/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 t="str">
            <v>m</v>
          </cell>
          <cell r="J25" t="str">
            <v/>
          </cell>
          <cell r="K25" t="e">
            <v>#VALUE!</v>
          </cell>
          <cell r="L25" t="str">
            <v/>
          </cell>
          <cell r="O25"/>
          <cell r="P25"/>
          <cell r="Q25"/>
          <cell r="R25"/>
          <cell r="S25"/>
          <cell r="T25"/>
          <cell r="U25"/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 t="str">
            <v>adet</v>
          </cell>
          <cell r="J26" t="str">
            <v/>
          </cell>
          <cell r="K26" t="e">
            <v>#VALUE!</v>
          </cell>
          <cell r="L26" t="str">
            <v/>
          </cell>
          <cell r="O26"/>
          <cell r="P26"/>
          <cell r="Q26"/>
          <cell r="R26"/>
          <cell r="S26"/>
          <cell r="T26"/>
          <cell r="U26"/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 t="str">
            <v>adet</v>
          </cell>
          <cell r="J27">
            <v>275</v>
          </cell>
          <cell r="K27">
            <v>0</v>
          </cell>
          <cell r="L27">
            <v>275</v>
          </cell>
          <cell r="O27"/>
          <cell r="P27"/>
          <cell r="Q27">
            <v>41</v>
          </cell>
          <cell r="R27">
            <v>85</v>
          </cell>
          <cell r="S27">
            <v>149</v>
          </cell>
          <cell r="T27"/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 t="str">
            <v>adet</v>
          </cell>
          <cell r="J28" t="str">
            <v/>
          </cell>
          <cell r="K28" t="e">
            <v>#VALUE!</v>
          </cell>
          <cell r="L28" t="str">
            <v/>
          </cell>
          <cell r="O28"/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 t="str">
            <v>adet</v>
          </cell>
          <cell r="J29" t="str">
            <v/>
          </cell>
          <cell r="K29" t="e">
            <v>#VALUE!</v>
          </cell>
          <cell r="L29" t="str">
            <v/>
          </cell>
          <cell r="O29"/>
          <cell r="P29"/>
          <cell r="Q29"/>
          <cell r="R29"/>
          <cell r="S29"/>
          <cell r="T29"/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 t="str">
            <v>adet</v>
          </cell>
          <cell r="J30">
            <v>287</v>
          </cell>
          <cell r="K30">
            <v>0</v>
          </cell>
          <cell r="L30">
            <v>287</v>
          </cell>
          <cell r="O30"/>
          <cell r="P30"/>
          <cell r="Q30">
            <v>27</v>
          </cell>
          <cell r="R30">
            <v>57</v>
          </cell>
          <cell r="S30">
            <v>99</v>
          </cell>
          <cell r="T30">
            <v>94</v>
          </cell>
          <cell r="U30">
            <v>10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 t="str">
            <v>m</v>
          </cell>
          <cell r="J31">
            <v>1854</v>
          </cell>
          <cell r="K31">
            <v>0</v>
          </cell>
          <cell r="L31">
            <v>1854</v>
          </cell>
          <cell r="O31"/>
          <cell r="P31"/>
          <cell r="Q31">
            <v>396</v>
          </cell>
          <cell r="R31">
            <v>1035</v>
          </cell>
          <cell r="S31">
            <v>423</v>
          </cell>
          <cell r="T31"/>
          <cell r="U31"/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 t="str">
            <v>m</v>
          </cell>
          <cell r="J32" t="str">
            <v/>
          </cell>
          <cell r="K32" t="e">
            <v>#VALUE!</v>
          </cell>
          <cell r="L32" t="str">
            <v/>
          </cell>
          <cell r="O32"/>
          <cell r="P32"/>
          <cell r="Q32"/>
          <cell r="R32"/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 t="str">
            <v>ton</v>
          </cell>
          <cell r="J33">
            <v>92.102999999999994</v>
          </cell>
          <cell r="K33">
            <v>0</v>
          </cell>
          <cell r="L33">
            <v>92.102999999999994</v>
          </cell>
          <cell r="O33"/>
          <cell r="P33"/>
          <cell r="Q33">
            <v>24.742000000000001</v>
          </cell>
          <cell r="R33">
            <v>36.502000000000002</v>
          </cell>
          <cell r="S33">
            <v>28.446000000000005</v>
          </cell>
          <cell r="T33">
            <v>2.4129999999999998</v>
          </cell>
          <cell r="U33"/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 t="str">
            <v>m</v>
          </cell>
          <cell r="J34">
            <v>4653</v>
          </cell>
          <cell r="K34">
            <v>0</v>
          </cell>
          <cell r="L34">
            <v>4653</v>
          </cell>
          <cell r="O34"/>
          <cell r="P34"/>
          <cell r="Q34">
            <v>1044</v>
          </cell>
          <cell r="R34">
            <v>2610</v>
          </cell>
          <cell r="S34">
            <v>999</v>
          </cell>
          <cell r="T34"/>
          <cell r="U34"/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 t="str">
            <v>m²</v>
          </cell>
          <cell r="J35" t="str">
            <v/>
          </cell>
          <cell r="K35" t="e">
            <v>#VALUE!</v>
          </cell>
          <cell r="L35" t="str">
            <v/>
          </cell>
          <cell r="O35"/>
          <cell r="P35"/>
          <cell r="Q35"/>
          <cell r="R35"/>
          <cell r="S35"/>
          <cell r="T35"/>
          <cell r="U35"/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 t="str">
            <v>m²</v>
          </cell>
          <cell r="J36" t="str">
            <v/>
          </cell>
          <cell r="K36" t="e">
            <v>#VALUE!</v>
          </cell>
          <cell r="L36" t="str">
            <v/>
          </cell>
          <cell r="O36"/>
          <cell r="P36"/>
          <cell r="Q36"/>
          <cell r="R36"/>
          <cell r="S36"/>
          <cell r="T36"/>
          <cell r="U36"/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 t="str">
            <v>m</v>
          </cell>
          <cell r="J37" t="str">
            <v/>
          </cell>
          <cell r="K37" t="e">
            <v>#VALUE!</v>
          </cell>
          <cell r="L37" t="str">
            <v/>
          </cell>
          <cell r="O37"/>
          <cell r="P37"/>
          <cell r="Q37"/>
          <cell r="R37"/>
          <cell r="S37"/>
          <cell r="T37"/>
          <cell r="U37"/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 t="str">
            <v>m²</v>
          </cell>
          <cell r="J38" t="str">
            <v/>
          </cell>
          <cell r="K38" t="e">
            <v>#VALUE!</v>
          </cell>
          <cell r="L38" t="str">
            <v/>
          </cell>
          <cell r="O38"/>
          <cell r="P38"/>
          <cell r="Q38"/>
          <cell r="R38"/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 t="str">
            <v>m²</v>
          </cell>
          <cell r="J39" t="str">
            <v/>
          </cell>
          <cell r="K39" t="e">
            <v>#VALUE!</v>
          </cell>
          <cell r="L39" t="str">
            <v/>
          </cell>
          <cell r="O39"/>
          <cell r="P39"/>
          <cell r="Q39"/>
          <cell r="R39"/>
          <cell r="S39"/>
          <cell r="T39"/>
          <cell r="U39"/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 t="str">
            <v>m²</v>
          </cell>
          <cell r="J40" t="str">
            <v/>
          </cell>
          <cell r="K40" t="e">
            <v>#VALUE!</v>
          </cell>
          <cell r="L40" t="str">
            <v/>
          </cell>
          <cell r="O40"/>
          <cell r="P40"/>
          <cell r="Q40"/>
          <cell r="R40"/>
          <cell r="S40"/>
          <cell r="T40"/>
          <cell r="U40"/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 t="str">
            <v>m³</v>
          </cell>
          <cell r="J41" t="str">
            <v/>
          </cell>
          <cell r="K41" t="e">
            <v>#VALUE!</v>
          </cell>
          <cell r="L41" t="str">
            <v/>
          </cell>
          <cell r="O41"/>
          <cell r="P41"/>
          <cell r="Q41"/>
          <cell r="R41"/>
          <cell r="S41"/>
          <cell r="T41"/>
          <cell r="U41"/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 t="str">
            <v>m³</v>
          </cell>
          <cell r="J42" t="str">
            <v/>
          </cell>
          <cell r="K42" t="e">
            <v>#VALUE!</v>
          </cell>
          <cell r="L42" t="str">
            <v/>
          </cell>
          <cell r="O42"/>
          <cell r="P42"/>
          <cell r="Q42"/>
          <cell r="R42"/>
          <cell r="S42"/>
          <cell r="T42"/>
          <cell r="U42"/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 t="str">
            <v>m³</v>
          </cell>
          <cell r="J43" t="str">
            <v/>
          </cell>
          <cell r="K43" t="e">
            <v>#VALUE!</v>
          </cell>
          <cell r="L43" t="str">
            <v/>
          </cell>
          <cell r="O43"/>
          <cell r="P43"/>
          <cell r="Q43"/>
          <cell r="R43"/>
          <cell r="S43"/>
          <cell r="T43"/>
          <cell r="U43"/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 t="str">
            <v>m³</v>
          </cell>
          <cell r="J44" t="str">
            <v/>
          </cell>
          <cell r="K44" t="e">
            <v>#VALUE!</v>
          </cell>
          <cell r="L44" t="str">
            <v/>
          </cell>
          <cell r="O44"/>
          <cell r="P44"/>
          <cell r="Q44"/>
          <cell r="R44"/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 t="str">
            <v>ton</v>
          </cell>
          <cell r="J45">
            <v>6.8220000000000001</v>
          </cell>
          <cell r="K45">
            <v>0</v>
          </cell>
          <cell r="L45">
            <v>6.8220000000000001</v>
          </cell>
          <cell r="O45"/>
          <cell r="P45"/>
          <cell r="Q45">
            <v>1.9239999999999999</v>
          </cell>
          <cell r="R45">
            <v>2.7149999999999999</v>
          </cell>
          <cell r="S45">
            <v>2.1279999999999997</v>
          </cell>
          <cell r="T45">
            <v>5.5E-2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 t="str">
            <v>ton</v>
          </cell>
          <cell r="J46">
            <v>0</v>
          </cell>
          <cell r="K46">
            <v>0</v>
          </cell>
          <cell r="L46">
            <v>0</v>
          </cell>
          <cell r="O46"/>
          <cell r="P46"/>
          <cell r="Q46"/>
          <cell r="R46"/>
          <cell r="S46"/>
          <cell r="T46"/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 t="str">
            <v>ton</v>
          </cell>
          <cell r="J47">
            <v>31.791</v>
          </cell>
          <cell r="K47">
            <v>0</v>
          </cell>
          <cell r="L47">
            <v>31.791</v>
          </cell>
          <cell r="O47"/>
          <cell r="P47"/>
          <cell r="Q47">
            <v>8.1210000000000004</v>
          </cell>
          <cell r="R47">
            <v>12.370000000000001</v>
          </cell>
          <cell r="S47">
            <v>10.246</v>
          </cell>
          <cell r="T47">
            <v>1.054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 t="str">
            <v>kg</v>
          </cell>
          <cell r="J48" t="str">
            <v/>
          </cell>
          <cell r="K48" t="e">
            <v>#VALUE!</v>
          </cell>
          <cell r="L48" t="str">
            <v/>
          </cell>
          <cell r="O48"/>
          <cell r="P48"/>
          <cell r="Q48"/>
          <cell r="R48"/>
          <cell r="S48"/>
          <cell r="T48"/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 t="str">
            <v>kg</v>
          </cell>
          <cell r="J49" t="str">
            <v/>
          </cell>
          <cell r="K49" t="e">
            <v>#VALUE!</v>
          </cell>
          <cell r="L49" t="str">
            <v/>
          </cell>
          <cell r="O49"/>
          <cell r="P49"/>
          <cell r="Q49"/>
          <cell r="R49"/>
          <cell r="S49"/>
          <cell r="T49"/>
          <cell r="U49"/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2255.9549999999999</v>
          </cell>
          <cell r="L20">
            <v>0</v>
          </cell>
          <cell r="M20">
            <v>2255.9549999999999</v>
          </cell>
          <cell r="P20"/>
          <cell r="Q20"/>
          <cell r="R20">
            <v>291.90899999999999</v>
          </cell>
          <cell r="S20">
            <v>745.279</v>
          </cell>
          <cell r="T20">
            <v>742.67900000000009</v>
          </cell>
          <cell r="U20">
            <v>468.96</v>
          </cell>
          <cell r="V20">
            <v>7.1280000000000001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475.98099999999999</v>
          </cell>
          <cell r="L23">
            <v>0</v>
          </cell>
          <cell r="M23">
            <v>475.98099999999999</v>
          </cell>
          <cell r="P23"/>
          <cell r="Q23"/>
          <cell r="R23">
            <v>54.018999999999991</v>
          </cell>
          <cell r="S23">
            <v>150.55499999999998</v>
          </cell>
          <cell r="T23">
            <v>147.95499999999998</v>
          </cell>
          <cell r="U23">
            <v>95.316000000000017</v>
          </cell>
          <cell r="V23">
            <v>7.4770000000000003</v>
          </cell>
          <cell r="W23">
            <v>20.188000000000045</v>
          </cell>
          <cell r="X23">
            <v>0.47100000000000364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0</v>
          </cell>
          <cell r="L27">
            <v>0</v>
          </cell>
          <cell r="M27">
            <v>0</v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455</v>
          </cell>
          <cell r="L30">
            <v>0</v>
          </cell>
          <cell r="M30">
            <v>455</v>
          </cell>
          <cell r="P30"/>
          <cell r="Q30"/>
          <cell r="R30">
            <v>15</v>
          </cell>
          <cell r="S30">
            <v>54</v>
          </cell>
          <cell r="T30">
            <v>120</v>
          </cell>
          <cell r="U30">
            <v>57</v>
          </cell>
          <cell r="V30">
            <v>27</v>
          </cell>
          <cell r="W30">
            <v>182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2268</v>
          </cell>
          <cell r="L31">
            <v>0</v>
          </cell>
          <cell r="M31">
            <v>2268</v>
          </cell>
          <cell r="P31"/>
          <cell r="Q31"/>
          <cell r="R31">
            <v>162</v>
          </cell>
          <cell r="S31">
            <v>972</v>
          </cell>
          <cell r="T31">
            <v>810</v>
          </cell>
          <cell r="U31">
            <v>324</v>
          </cell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87.048000000000002</v>
          </cell>
          <cell r="L33">
            <v>0</v>
          </cell>
          <cell r="M33">
            <v>87.048000000000002</v>
          </cell>
          <cell r="P33"/>
          <cell r="Q33"/>
          <cell r="R33">
            <v>9.9469999999999974</v>
          </cell>
          <cell r="S33">
            <v>28.685000000000002</v>
          </cell>
          <cell r="T33">
            <v>28.685000000000002</v>
          </cell>
          <cell r="U33">
            <v>17.981999999999992</v>
          </cell>
          <cell r="V33">
            <v>1.7490000000000001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5922</v>
          </cell>
          <cell r="L34">
            <v>0</v>
          </cell>
          <cell r="M34">
            <v>5922</v>
          </cell>
          <cell r="P34"/>
          <cell r="Q34"/>
          <cell r="R34">
            <v>423</v>
          </cell>
          <cell r="S34">
            <v>2538</v>
          </cell>
          <cell r="T34">
            <v>2115</v>
          </cell>
          <cell r="U34">
            <v>846</v>
          </cell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4.5679999999999996</v>
          </cell>
          <cell r="L45">
            <v>0</v>
          </cell>
          <cell r="M45">
            <v>4.5679999999999996</v>
          </cell>
          <cell r="P45"/>
          <cell r="Q45"/>
          <cell r="R45">
            <v>0.57300000000000006</v>
          </cell>
          <cell r="S45">
            <v>1.5119999999999996</v>
          </cell>
          <cell r="T45">
            <v>1.5119999999999996</v>
          </cell>
          <cell r="U45">
            <v>0.93400000000000005</v>
          </cell>
          <cell r="V45">
            <v>3.6999999999999998E-2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28.62</v>
          </cell>
          <cell r="L47">
            <v>0</v>
          </cell>
          <cell r="M47">
            <v>28.62</v>
          </cell>
          <cell r="P47"/>
          <cell r="Q47"/>
          <cell r="R47">
            <v>3.0840000000000001</v>
          </cell>
          <cell r="S47">
            <v>9.3060000000000027</v>
          </cell>
          <cell r="T47">
            <v>9.2160000000000011</v>
          </cell>
          <cell r="U47">
            <v>6.2690000000000001</v>
          </cell>
          <cell r="V47">
            <v>0.745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I19" t="str">
            <v>BİRİM</v>
          </cell>
          <cell r="J19" t="str">
            <v>ÖNCEKİ HAKEDİŞ MİKTARI</v>
          </cell>
          <cell r="K19" t="str">
            <v>BU HAKEDİŞ MİKTARI</v>
          </cell>
          <cell r="L19" t="str">
            <v>TOPLAM HAKEDİŞ MİKTARI</v>
          </cell>
          <cell r="O19" t="str">
            <v>0525</v>
          </cell>
          <cell r="P19" t="str">
            <v>0625</v>
          </cell>
          <cell r="Q19" t="str">
            <v>0725</v>
          </cell>
          <cell r="R19" t="str">
            <v>0825</v>
          </cell>
          <cell r="S19" t="str">
            <v>0925</v>
          </cell>
          <cell r="T19" t="str">
            <v>1025</v>
          </cell>
          <cell r="U19" t="str">
            <v>1125</v>
          </cell>
          <cell r="V19" t="str">
            <v>1225</v>
          </cell>
          <cell r="W19" t="str">
            <v>0126</v>
          </cell>
          <cell r="X19" t="str">
            <v>0226</v>
          </cell>
          <cell r="Y19" t="str">
            <v>0326</v>
          </cell>
          <cell r="Z19" t="str">
            <v>0426</v>
          </cell>
          <cell r="AA19" t="str">
            <v>0526</v>
          </cell>
          <cell r="AB19" t="str">
            <v>0626</v>
          </cell>
          <cell r="AC19" t="str">
            <v>0726</v>
          </cell>
          <cell r="AD19" t="str">
            <v>0826</v>
          </cell>
          <cell r="AE19" t="str">
            <v>0926</v>
          </cell>
          <cell r="AF19" t="str">
            <v>1026</v>
          </cell>
          <cell r="AG19" t="str">
            <v>1126</v>
          </cell>
        </row>
        <row r="20">
          <cell r="B20" t="str">
            <v>018</v>
          </cell>
          <cell r="C20" t="str">
            <v>Geleneksel (NATM) Tünel Kazısı</v>
          </cell>
          <cell r="I20" t="str">
            <v>m³</v>
          </cell>
          <cell r="J20">
            <v>1103.145</v>
          </cell>
          <cell r="K20">
            <v>191.3610000000001</v>
          </cell>
          <cell r="L20">
            <v>1294.5060000000001</v>
          </cell>
          <cell r="W20">
            <v>623.55100000000004</v>
          </cell>
          <cell r="X20">
            <v>479.59399999999999</v>
          </cell>
          <cell r="Y20">
            <v>0</v>
          </cell>
          <cell r="Z20">
            <v>191.3610000000001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I21" t="str">
            <v>m³</v>
          </cell>
          <cell r="J21" t="str">
            <v/>
          </cell>
          <cell r="K21" t="e">
            <v>#VALUE!</v>
          </cell>
          <cell r="L21" t="str">
            <v/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I22" t="str">
            <v>m³</v>
          </cell>
          <cell r="J22" t="str">
            <v/>
          </cell>
          <cell r="K22" t="e">
            <v>#VALUE!</v>
          </cell>
          <cell r="L22" t="str">
            <v/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I23" t="str">
            <v>m³</v>
          </cell>
          <cell r="J23">
            <v>161.36500000000001</v>
          </cell>
          <cell r="K23">
            <v>27.064999999999998</v>
          </cell>
          <cell r="L23">
            <v>188.43</v>
          </cell>
          <cell r="W23">
            <v>84.241</v>
          </cell>
          <cell r="X23">
            <v>77.124000000000009</v>
          </cell>
          <cell r="Y23">
            <v>0</v>
          </cell>
          <cell r="Z23">
            <v>27.064999999999998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I24" t="str">
            <v>m</v>
          </cell>
          <cell r="J24" t="str">
            <v/>
          </cell>
          <cell r="K24" t="e">
            <v>#VALUE!</v>
          </cell>
          <cell r="L24" t="str">
            <v/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I25" t="str">
            <v>m</v>
          </cell>
          <cell r="J25" t="str">
            <v/>
          </cell>
          <cell r="K25" t="e">
            <v>#VALUE!</v>
          </cell>
          <cell r="L25" t="str">
            <v/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I26" t="str">
            <v>adet</v>
          </cell>
          <cell r="J26" t="str">
            <v/>
          </cell>
          <cell r="K26" t="e">
            <v>#VALUE!</v>
          </cell>
          <cell r="L26" t="str">
            <v/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I27" t="str">
            <v>adet</v>
          </cell>
          <cell r="J27">
            <v>0</v>
          </cell>
          <cell r="K27">
            <v>0</v>
          </cell>
          <cell r="L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I28" t="str">
            <v>adet</v>
          </cell>
          <cell r="J28" t="str">
            <v/>
          </cell>
          <cell r="K28" t="e">
            <v>#VALUE!</v>
          </cell>
          <cell r="L28" t="str">
            <v/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I29" t="str">
            <v>adet</v>
          </cell>
          <cell r="J29" t="str">
            <v/>
          </cell>
          <cell r="K29" t="e">
            <v>#VALUE!</v>
          </cell>
          <cell r="L29" t="str">
            <v/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I30" t="str">
            <v>adet</v>
          </cell>
          <cell r="J30">
            <v>240</v>
          </cell>
          <cell r="K30">
            <v>0</v>
          </cell>
          <cell r="L30">
            <v>240</v>
          </cell>
          <cell r="W30">
            <v>42</v>
          </cell>
          <cell r="X30">
            <v>189</v>
          </cell>
          <cell r="Y30">
            <v>9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I31" t="str">
            <v>m</v>
          </cell>
          <cell r="J31" t="str">
            <v>0</v>
          </cell>
          <cell r="K31">
            <v>0</v>
          </cell>
          <cell r="L31" t="str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I32" t="str">
            <v>m</v>
          </cell>
          <cell r="J32" t="str">
            <v/>
          </cell>
          <cell r="K32" t="e">
            <v>#VALUE!</v>
          </cell>
          <cell r="L32" t="str">
            <v/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I33" t="str">
            <v>ton</v>
          </cell>
          <cell r="J33">
            <v>47.094999999999999</v>
          </cell>
          <cell r="K33">
            <v>2.7430000000000021</v>
          </cell>
          <cell r="L33">
            <v>49.838000000000001</v>
          </cell>
          <cell r="W33">
            <v>1.1720000000000002</v>
          </cell>
          <cell r="X33">
            <v>20.547999999999998</v>
          </cell>
          <cell r="Y33">
            <v>25.375</v>
          </cell>
          <cell r="Z33">
            <v>2.7430000000000021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I34" t="str">
            <v>m</v>
          </cell>
          <cell r="J34">
            <v>0</v>
          </cell>
          <cell r="K34">
            <v>0</v>
          </cell>
          <cell r="L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I35" t="str">
            <v>m²</v>
          </cell>
          <cell r="J35" t="str">
            <v/>
          </cell>
          <cell r="K35" t="e">
            <v>#VALUE!</v>
          </cell>
          <cell r="L35" t="str">
            <v/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I36" t="str">
            <v>m²</v>
          </cell>
          <cell r="J36" t="str">
            <v/>
          </cell>
          <cell r="K36" t="e">
            <v>#VALUE!</v>
          </cell>
          <cell r="L36" t="str">
            <v/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I37" t="str">
            <v>m</v>
          </cell>
          <cell r="J37" t="str">
            <v/>
          </cell>
          <cell r="K37" t="e">
            <v>#VALUE!</v>
          </cell>
          <cell r="L37" t="str">
            <v/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I38" t="str">
            <v>m²</v>
          </cell>
          <cell r="J38" t="str">
            <v/>
          </cell>
          <cell r="K38" t="e">
            <v>#VALUE!</v>
          </cell>
          <cell r="L38" t="str">
            <v/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I39" t="str">
            <v>m²</v>
          </cell>
          <cell r="J39" t="str">
            <v/>
          </cell>
          <cell r="K39" t="e">
            <v>#VALUE!</v>
          </cell>
          <cell r="L39" t="str">
            <v/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I40" t="str">
            <v>m²</v>
          </cell>
          <cell r="J40" t="str">
            <v/>
          </cell>
          <cell r="K40" t="e">
            <v>#VALUE!</v>
          </cell>
          <cell r="L40" t="str">
            <v/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I41" t="str">
            <v>m³</v>
          </cell>
          <cell r="J41" t="str">
            <v/>
          </cell>
          <cell r="K41" t="e">
            <v>#VALUE!</v>
          </cell>
          <cell r="L41" t="str">
            <v/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I42" t="str">
            <v>m³</v>
          </cell>
          <cell r="J42" t="str">
            <v/>
          </cell>
          <cell r="K42" t="e">
            <v>#VALUE!</v>
          </cell>
          <cell r="L42" t="str">
            <v/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I43" t="str">
            <v>m³</v>
          </cell>
          <cell r="J43" t="str">
            <v/>
          </cell>
          <cell r="K43" t="e">
            <v>#VALUE!</v>
          </cell>
          <cell r="L43" t="str">
            <v/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I44" t="str">
            <v>m³</v>
          </cell>
          <cell r="J44" t="str">
            <v/>
          </cell>
          <cell r="K44" t="e">
            <v>#VALUE!</v>
          </cell>
          <cell r="L44" t="str">
            <v/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I45" t="str">
            <v>ton</v>
          </cell>
          <cell r="J45">
            <v>2.081</v>
          </cell>
          <cell r="K45">
            <v>1.5659999999999998</v>
          </cell>
          <cell r="L45">
            <v>3.6469999999999998</v>
          </cell>
          <cell r="W45">
            <v>1.1720000000000002</v>
          </cell>
          <cell r="X45">
            <v>0.90900000000000003</v>
          </cell>
          <cell r="Y45">
            <v>0</v>
          </cell>
          <cell r="Z45">
            <v>1.5659999999999994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I46" t="str">
            <v>ton</v>
          </cell>
          <cell r="J46">
            <v>0</v>
          </cell>
          <cell r="K46">
            <v>0</v>
          </cell>
          <cell r="L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I47" t="str">
            <v>ton</v>
          </cell>
          <cell r="J47">
            <v>12.135</v>
          </cell>
          <cell r="K47">
            <v>1.9459999999999997</v>
          </cell>
          <cell r="L47">
            <v>14.081</v>
          </cell>
          <cell r="W47">
            <v>6.9589999999999996</v>
          </cell>
          <cell r="X47">
            <v>5.1760000000000002</v>
          </cell>
          <cell r="Y47">
            <v>0</v>
          </cell>
          <cell r="Z47">
            <v>1.9459999999999997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I48" t="str">
            <v>kg</v>
          </cell>
          <cell r="J48" t="str">
            <v/>
          </cell>
          <cell r="K48" t="e">
            <v>#VALUE!</v>
          </cell>
          <cell r="L48" t="str">
            <v/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I49" t="str">
            <v>kg</v>
          </cell>
          <cell r="J49" t="str">
            <v/>
          </cell>
          <cell r="K49" t="e">
            <v>#VALUE!</v>
          </cell>
          <cell r="L49" t="str">
            <v/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 t="str">
            <v>BİRİM</v>
          </cell>
          <cell r="J19" t="str">
            <v>ÖNCEKİ HAKEDİŞ MİKTARI</v>
          </cell>
          <cell r="K19" t="str">
            <v>BU HAKEDİŞ MİKTARI</v>
          </cell>
          <cell r="L19" t="str">
            <v>TOPLAM HAKEDİŞ MİKTARI</v>
          </cell>
          <cell r="O19" t="str">
            <v>0525</v>
          </cell>
          <cell r="P19" t="str">
            <v>0625</v>
          </cell>
          <cell r="Q19" t="str">
            <v>0725</v>
          </cell>
          <cell r="R19" t="str">
            <v>0825</v>
          </cell>
          <cell r="S19" t="str">
            <v>0925</v>
          </cell>
          <cell r="T19" t="str">
            <v>1025</v>
          </cell>
          <cell r="U19" t="str">
            <v>1125</v>
          </cell>
          <cell r="V19" t="str">
            <v>1225</v>
          </cell>
          <cell r="W19" t="str">
            <v>0126</v>
          </cell>
          <cell r="X19" t="str">
            <v>0226</v>
          </cell>
          <cell r="Y19" t="str">
            <v>0326</v>
          </cell>
          <cell r="Z19" t="str">
            <v>0426</v>
          </cell>
          <cell r="AA19" t="str">
            <v>0526</v>
          </cell>
          <cell r="AB19" t="str">
            <v>0626</v>
          </cell>
          <cell r="AC19" t="str">
            <v>0726</v>
          </cell>
          <cell r="AD19" t="str">
            <v>0826</v>
          </cell>
          <cell r="AE19" t="str">
            <v>0926</v>
          </cell>
          <cell r="AF19" t="str">
            <v>1026</v>
          </cell>
          <cell r="AG19" t="str">
            <v>1126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 t="str">
            <v>m³</v>
          </cell>
          <cell r="J20">
            <v>908.96500000000003</v>
          </cell>
          <cell r="K20">
            <v>157.74400000000003</v>
          </cell>
          <cell r="L20">
            <v>1066.7090000000001</v>
          </cell>
          <cell r="O20"/>
          <cell r="P20"/>
          <cell r="Q20"/>
          <cell r="R20"/>
          <cell r="S20"/>
          <cell r="T20"/>
          <cell r="U20"/>
          <cell r="V20"/>
          <cell r="W20">
            <v>486.45100000000002</v>
          </cell>
          <cell r="X20">
            <v>422.51400000000001</v>
          </cell>
          <cell r="Y20">
            <v>0</v>
          </cell>
          <cell r="Z20">
            <v>157.74400000000003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 t="str">
            <v>m³</v>
          </cell>
          <cell r="J21" t="str">
            <v/>
          </cell>
          <cell r="K21" t="e">
            <v>#VALUE!</v>
          </cell>
          <cell r="L21" t="str">
            <v/>
          </cell>
          <cell r="O21"/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 t="str">
            <v>m³</v>
          </cell>
          <cell r="J22" t="str">
            <v/>
          </cell>
          <cell r="K22" t="e">
            <v>#VALUE!</v>
          </cell>
          <cell r="L22" t="str">
            <v/>
          </cell>
          <cell r="O22"/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 t="str">
            <v>m³</v>
          </cell>
          <cell r="J23">
            <v>160.53899999999999</v>
          </cell>
          <cell r="K23">
            <v>27.077000000000027</v>
          </cell>
          <cell r="L23">
            <v>187.61600000000001</v>
          </cell>
          <cell r="O23"/>
          <cell r="P23"/>
          <cell r="Q23"/>
          <cell r="R23"/>
          <cell r="S23"/>
          <cell r="T23"/>
          <cell r="U23"/>
          <cell r="V23"/>
          <cell r="W23">
            <v>79.197999999999993</v>
          </cell>
          <cell r="X23">
            <v>81.340999999999994</v>
          </cell>
          <cell r="Y23">
            <v>0</v>
          </cell>
          <cell r="Z23">
            <v>27.077000000000027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 t="str">
            <v>m</v>
          </cell>
          <cell r="J24" t="str">
            <v/>
          </cell>
          <cell r="K24" t="e">
            <v>#VALUE!</v>
          </cell>
          <cell r="L24" t="str">
            <v/>
          </cell>
          <cell r="O24"/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 t="str">
            <v>m</v>
          </cell>
          <cell r="J25" t="str">
            <v/>
          </cell>
          <cell r="K25" t="e">
            <v>#VALUE!</v>
          </cell>
          <cell r="L25" t="str">
            <v/>
          </cell>
          <cell r="O25"/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 t="str">
            <v>adet</v>
          </cell>
          <cell r="J26" t="str">
            <v/>
          </cell>
          <cell r="K26" t="e">
            <v>#VALUE!</v>
          </cell>
          <cell r="L26" t="str">
            <v/>
          </cell>
          <cell r="O26"/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 t="str">
            <v>adet</v>
          </cell>
          <cell r="J27">
            <v>0</v>
          </cell>
          <cell r="K27">
            <v>0</v>
          </cell>
          <cell r="L27">
            <v>0</v>
          </cell>
          <cell r="O27"/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 t="str">
            <v>adet</v>
          </cell>
          <cell r="J28" t="str">
            <v/>
          </cell>
          <cell r="K28" t="e">
            <v>#VALUE!</v>
          </cell>
          <cell r="L28" t="str">
            <v/>
          </cell>
          <cell r="O28"/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 t="str">
            <v>adet</v>
          </cell>
          <cell r="J29" t="str">
            <v/>
          </cell>
          <cell r="K29" t="e">
            <v>#VALUE!</v>
          </cell>
          <cell r="L29" t="str">
            <v/>
          </cell>
          <cell r="O29"/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 t="str">
            <v>adet</v>
          </cell>
          <cell r="J30">
            <v>306</v>
          </cell>
          <cell r="K30">
            <v>0</v>
          </cell>
          <cell r="L30">
            <v>306</v>
          </cell>
          <cell r="O30"/>
          <cell r="P30"/>
          <cell r="Q30"/>
          <cell r="R30"/>
          <cell r="S30"/>
          <cell r="T30"/>
          <cell r="U30"/>
          <cell r="V30"/>
          <cell r="W30">
            <v>90</v>
          </cell>
          <cell r="X30">
            <v>207</v>
          </cell>
          <cell r="Y30">
            <v>9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 t="str">
            <v>m</v>
          </cell>
          <cell r="J31" t="str">
            <v>0</v>
          </cell>
          <cell r="K31">
            <v>0</v>
          </cell>
          <cell r="L31" t="str">
            <v>0</v>
          </cell>
          <cell r="O31"/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 t="str">
            <v>m</v>
          </cell>
          <cell r="J32" t="str">
            <v/>
          </cell>
          <cell r="K32" t="e">
            <v>#VALUE!</v>
          </cell>
          <cell r="L32" t="str">
            <v/>
          </cell>
          <cell r="O32"/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 t="str">
            <v>ton</v>
          </cell>
          <cell r="J33">
            <v>47.256</v>
          </cell>
          <cell r="K33">
            <v>2.7520000000000024</v>
          </cell>
          <cell r="L33">
            <v>50.008000000000003</v>
          </cell>
          <cell r="O33"/>
          <cell r="P33"/>
          <cell r="Q33"/>
          <cell r="R33"/>
          <cell r="S33"/>
          <cell r="T33"/>
          <cell r="U33"/>
          <cell r="V33"/>
          <cell r="W33">
            <v>25.24</v>
          </cell>
          <cell r="X33">
            <v>22.016000000000002</v>
          </cell>
          <cell r="Y33">
            <v>0</v>
          </cell>
          <cell r="Z33">
            <v>2.7520000000000024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 t="str">
            <v>m</v>
          </cell>
          <cell r="J34">
            <v>0</v>
          </cell>
          <cell r="K34">
            <v>0</v>
          </cell>
          <cell r="L34">
            <v>0</v>
          </cell>
          <cell r="O34"/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 t="str">
            <v>m²</v>
          </cell>
          <cell r="J35" t="str">
            <v/>
          </cell>
          <cell r="K35" t="e">
            <v>#VALUE!</v>
          </cell>
          <cell r="L35" t="str">
            <v/>
          </cell>
          <cell r="O35"/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 t="str">
            <v>m²</v>
          </cell>
          <cell r="J36" t="str">
            <v/>
          </cell>
          <cell r="K36" t="e">
            <v>#VALUE!</v>
          </cell>
          <cell r="L36" t="str">
            <v/>
          </cell>
          <cell r="O36"/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 t="str">
            <v>m</v>
          </cell>
          <cell r="J37" t="str">
            <v/>
          </cell>
          <cell r="K37" t="e">
            <v>#VALUE!</v>
          </cell>
          <cell r="L37" t="str">
            <v/>
          </cell>
          <cell r="O37"/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 t="str">
            <v>m²</v>
          </cell>
          <cell r="J38" t="str">
            <v/>
          </cell>
          <cell r="K38" t="e">
            <v>#VALUE!</v>
          </cell>
          <cell r="L38" t="str">
            <v/>
          </cell>
          <cell r="O38"/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 t="str">
            <v>m²</v>
          </cell>
          <cell r="J39" t="str">
            <v/>
          </cell>
          <cell r="K39" t="e">
            <v>#VALUE!</v>
          </cell>
          <cell r="L39" t="str">
            <v/>
          </cell>
          <cell r="O39"/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 t="str">
            <v>m²</v>
          </cell>
          <cell r="J40" t="str">
            <v/>
          </cell>
          <cell r="K40" t="e">
            <v>#VALUE!</v>
          </cell>
          <cell r="L40" t="str">
            <v/>
          </cell>
          <cell r="O40"/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 t="str">
            <v>m³</v>
          </cell>
          <cell r="J41" t="str">
            <v/>
          </cell>
          <cell r="K41" t="e">
            <v>#VALUE!</v>
          </cell>
          <cell r="L41" t="str">
            <v/>
          </cell>
          <cell r="O41"/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 t="str">
            <v>m³</v>
          </cell>
          <cell r="J42" t="str">
            <v/>
          </cell>
          <cell r="K42" t="e">
            <v>#VALUE!</v>
          </cell>
          <cell r="L42" t="str">
            <v/>
          </cell>
          <cell r="O42"/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 t="str">
            <v>m³</v>
          </cell>
          <cell r="J43" t="str">
            <v/>
          </cell>
          <cell r="K43" t="e">
            <v>#VALUE!</v>
          </cell>
          <cell r="L43" t="str">
            <v/>
          </cell>
          <cell r="O43"/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 t="str">
            <v>m³</v>
          </cell>
          <cell r="J44" t="str">
            <v/>
          </cell>
          <cell r="K44" t="e">
            <v>#VALUE!</v>
          </cell>
          <cell r="L44" t="str">
            <v/>
          </cell>
          <cell r="O44"/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 t="str">
            <v>ton</v>
          </cell>
          <cell r="J45">
            <v>0.71</v>
          </cell>
          <cell r="K45">
            <v>3.400000000000003E-2</v>
          </cell>
          <cell r="L45">
            <v>0.74399999999999999</v>
          </cell>
          <cell r="O45"/>
          <cell r="P45"/>
          <cell r="Q45"/>
          <cell r="R45"/>
          <cell r="S45"/>
          <cell r="T45"/>
          <cell r="V45"/>
          <cell r="W45">
            <v>0.379</v>
          </cell>
          <cell r="X45">
            <v>0.33100000000000002</v>
          </cell>
          <cell r="Y45">
            <v>0</v>
          </cell>
          <cell r="Z45">
            <v>3.400000000000003E-2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 t="str">
            <v>ton</v>
          </cell>
          <cell r="J46">
            <v>0</v>
          </cell>
          <cell r="K46">
            <v>0</v>
          </cell>
          <cell r="L46">
            <v>0</v>
          </cell>
          <cell r="O46"/>
          <cell r="P46"/>
          <cell r="Q46"/>
          <cell r="R46"/>
          <cell r="S46"/>
          <cell r="T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 t="str">
            <v>ton</v>
          </cell>
          <cell r="J47">
            <v>12.143000000000001</v>
          </cell>
          <cell r="K47">
            <v>1.9469999999999992</v>
          </cell>
          <cell r="L47">
            <v>14.09</v>
          </cell>
          <cell r="O47"/>
          <cell r="P47"/>
          <cell r="Q47"/>
          <cell r="R47"/>
          <cell r="S47"/>
          <cell r="T47"/>
          <cell r="V47"/>
          <cell r="W47">
            <v>6.6180000000000003</v>
          </cell>
          <cell r="X47">
            <v>5.5250000000000004</v>
          </cell>
          <cell r="Y47">
            <v>0</v>
          </cell>
          <cell r="Z47">
            <v>1.9469999999999992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 t="str">
            <v>kg</v>
          </cell>
          <cell r="J48" t="str">
            <v/>
          </cell>
          <cell r="K48" t="e">
            <v>#VALUE!</v>
          </cell>
          <cell r="L48" t="str">
            <v/>
          </cell>
          <cell r="O48"/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 t="str">
            <v>kg</v>
          </cell>
          <cell r="J49" t="str">
            <v/>
          </cell>
          <cell r="K49" t="e">
            <v>#VALUE!</v>
          </cell>
          <cell r="L49" t="str">
            <v/>
          </cell>
          <cell r="O49"/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3641.1030000000001</v>
          </cell>
          <cell r="L20">
            <v>0</v>
          </cell>
          <cell r="M20">
            <v>3641.1030000000001</v>
          </cell>
          <cell r="P20"/>
          <cell r="Q20"/>
          <cell r="R20"/>
          <cell r="S20">
            <v>336.59400000000005</v>
          </cell>
          <cell r="T20">
            <v>849.98100000000011</v>
          </cell>
          <cell r="U20">
            <v>882.57399999999984</v>
          </cell>
          <cell r="V20">
            <v>910.48099999999988</v>
          </cell>
          <cell r="W20">
            <v>650.04599999999982</v>
          </cell>
          <cell r="X20">
            <v>11.427000000000135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868.58399999999995</v>
          </cell>
          <cell r="L23">
            <v>0</v>
          </cell>
          <cell r="M23">
            <v>868.58399999999995</v>
          </cell>
          <cell r="P23"/>
          <cell r="Q23"/>
          <cell r="R23"/>
          <cell r="S23">
            <v>67.432999999999993</v>
          </cell>
          <cell r="T23">
            <v>200.43900000000002</v>
          </cell>
          <cell r="U23">
            <v>192.71600000000001</v>
          </cell>
          <cell r="V23">
            <v>206.15199999999999</v>
          </cell>
          <cell r="W23">
            <v>147.43899999999996</v>
          </cell>
          <cell r="X23">
            <v>11.942999999999984</v>
          </cell>
          <cell r="Y23">
            <v>0</v>
          </cell>
          <cell r="Z23">
            <v>42.461999999999989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486</v>
          </cell>
          <cell r="L27">
            <v>0</v>
          </cell>
          <cell r="M27">
            <v>486</v>
          </cell>
          <cell r="P27"/>
          <cell r="Q27"/>
          <cell r="R27"/>
          <cell r="T27">
            <v>122</v>
          </cell>
          <cell r="U27">
            <v>139</v>
          </cell>
          <cell r="V27">
            <v>86</v>
          </cell>
          <cell r="W27">
            <v>139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557</v>
          </cell>
          <cell r="L30">
            <v>0</v>
          </cell>
          <cell r="M30">
            <v>557</v>
          </cell>
          <cell r="P30"/>
          <cell r="Q30"/>
          <cell r="R30"/>
          <cell r="S30"/>
          <cell r="T30">
            <v>86</v>
          </cell>
          <cell r="U30">
            <v>93</v>
          </cell>
          <cell r="V30">
            <v>57</v>
          </cell>
          <cell r="W30">
            <v>93</v>
          </cell>
          <cell r="X30">
            <v>0</v>
          </cell>
          <cell r="Y30">
            <v>0</v>
          </cell>
          <cell r="Z30">
            <v>228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3420</v>
          </cell>
          <cell r="L31">
            <v>0</v>
          </cell>
          <cell r="M31">
            <v>3420</v>
          </cell>
          <cell r="P31"/>
          <cell r="Q31"/>
          <cell r="R31"/>
          <cell r="S31">
            <v>198</v>
          </cell>
          <cell r="T31">
            <v>990</v>
          </cell>
          <cell r="U31">
            <v>846</v>
          </cell>
          <cell r="V31">
            <v>990</v>
          </cell>
          <cell r="W31">
            <v>396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164.48599999999999</v>
          </cell>
          <cell r="L33">
            <v>0</v>
          </cell>
          <cell r="M33">
            <v>164.48599999999999</v>
          </cell>
          <cell r="P33"/>
          <cell r="Q33"/>
          <cell r="R33"/>
          <cell r="S33">
            <v>14.391000000000002</v>
          </cell>
          <cell r="T33">
            <v>39.582000000000008</v>
          </cell>
          <cell r="U33">
            <v>39.058000000000007</v>
          </cell>
          <cell r="V33">
            <v>40.289000000000001</v>
          </cell>
          <cell r="W33">
            <v>28.44599999999997</v>
          </cell>
          <cell r="X33">
            <v>2.7199999999999989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9351</v>
          </cell>
          <cell r="L34">
            <v>0</v>
          </cell>
          <cell r="M34">
            <v>9351</v>
          </cell>
          <cell r="P34"/>
          <cell r="Q34"/>
          <cell r="R34"/>
          <cell r="S34">
            <v>1044</v>
          </cell>
          <cell r="T34">
            <v>2610</v>
          </cell>
          <cell r="U34">
            <v>2088</v>
          </cell>
          <cell r="V34">
            <v>2610</v>
          </cell>
          <cell r="W34">
            <v>999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12.284000000000001</v>
          </cell>
          <cell r="L45">
            <v>0</v>
          </cell>
          <cell r="M45">
            <v>12.284000000000001</v>
          </cell>
          <cell r="P45"/>
          <cell r="Q45"/>
          <cell r="R45"/>
          <cell r="S45">
            <v>1.2029999999999998</v>
          </cell>
          <cell r="T45">
            <v>2.8530000000000002</v>
          </cell>
          <cell r="U45">
            <v>3.0389999999999993</v>
          </cell>
          <cell r="V45">
            <v>3.0069999999999997</v>
          </cell>
          <cell r="W45">
            <v>2.1280000000000019</v>
          </cell>
          <cell r="X45">
            <v>5.400000000000027E-2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55.661000000000001</v>
          </cell>
          <cell r="L47">
            <v>0</v>
          </cell>
          <cell r="M47">
            <v>55.661000000000001</v>
          </cell>
          <cell r="P47"/>
          <cell r="Q47"/>
          <cell r="R47"/>
          <cell r="S47">
            <v>4.2719999999999994</v>
          </cell>
          <cell r="T47">
            <v>13.586999999999998</v>
          </cell>
          <cell r="U47">
            <v>12.884</v>
          </cell>
          <cell r="V47">
            <v>13.562000000000001</v>
          </cell>
          <cell r="W47">
            <v>10.170999999999999</v>
          </cell>
          <cell r="X47">
            <v>1.1850000000000023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2680.14</v>
          </cell>
          <cell r="L20">
            <v>0</v>
          </cell>
          <cell r="M20">
            <v>2680.14</v>
          </cell>
          <cell r="P20"/>
          <cell r="Q20"/>
          <cell r="R20"/>
          <cell r="S20"/>
          <cell r="T20">
            <v>281.39</v>
          </cell>
          <cell r="U20">
            <v>741.8130000000001</v>
          </cell>
          <cell r="V20">
            <v>442.81500000000005</v>
          </cell>
          <cell r="W20">
            <v>731.25599999999986</v>
          </cell>
          <cell r="X20">
            <v>482.86599999999999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555.54600000000005</v>
          </cell>
          <cell r="L23">
            <v>0</v>
          </cell>
          <cell r="M23">
            <v>555.54600000000005</v>
          </cell>
          <cell r="P23"/>
          <cell r="Q23"/>
          <cell r="R23"/>
          <cell r="S23"/>
          <cell r="T23">
            <v>52.653999999999996</v>
          </cell>
          <cell r="U23">
            <v>147.089</v>
          </cell>
          <cell r="V23">
            <v>85.980000000000018</v>
          </cell>
          <cell r="W23">
            <v>141.16199999999998</v>
          </cell>
          <cell r="X23">
            <v>104.03200000000004</v>
          </cell>
          <cell r="Y23">
            <v>0</v>
          </cell>
          <cell r="Z23">
            <v>24.629000000000019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8</v>
          </cell>
          <cell r="L27">
            <v>0</v>
          </cell>
          <cell r="M27">
            <v>8</v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8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490</v>
          </cell>
          <cell r="L30">
            <v>0</v>
          </cell>
          <cell r="M30">
            <v>490</v>
          </cell>
          <cell r="P30"/>
          <cell r="Q30"/>
          <cell r="R30"/>
          <cell r="S30"/>
          <cell r="T30">
            <v>9</v>
          </cell>
          <cell r="U30">
            <v>90</v>
          </cell>
          <cell r="V30">
            <v>36</v>
          </cell>
          <cell r="W30">
            <v>105</v>
          </cell>
          <cell r="X30">
            <v>84</v>
          </cell>
          <cell r="Y30">
            <v>0</v>
          </cell>
          <cell r="Z30">
            <v>166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2754</v>
          </cell>
          <cell r="L31">
            <v>0</v>
          </cell>
          <cell r="M31">
            <v>2754</v>
          </cell>
          <cell r="P31"/>
          <cell r="Q31"/>
          <cell r="R31"/>
          <cell r="S31"/>
          <cell r="T31">
            <v>162</v>
          </cell>
          <cell r="U31">
            <v>810</v>
          </cell>
          <cell r="V31">
            <v>486</v>
          </cell>
          <cell r="W31">
            <v>972</v>
          </cell>
          <cell r="X31">
            <v>324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104.26</v>
          </cell>
          <cell r="L33">
            <v>0</v>
          </cell>
          <cell r="M33">
            <v>104.26</v>
          </cell>
          <cell r="P33"/>
          <cell r="Q33"/>
          <cell r="R33"/>
          <cell r="S33"/>
          <cell r="T33">
            <v>9.9469999999999974</v>
          </cell>
          <cell r="U33">
            <v>28.466000000000001</v>
          </cell>
          <cell r="V33">
            <v>17.211999999999996</v>
          </cell>
          <cell r="W33">
            <v>28.247000000000007</v>
          </cell>
          <cell r="X33">
            <v>20.388000000000005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7614</v>
          </cell>
          <cell r="L34">
            <v>0</v>
          </cell>
          <cell r="M34">
            <v>7614</v>
          </cell>
          <cell r="P34"/>
          <cell r="Q34"/>
          <cell r="R34"/>
          <cell r="S34"/>
          <cell r="T34">
            <v>846</v>
          </cell>
          <cell r="U34">
            <v>2115</v>
          </cell>
          <cell r="V34">
            <v>1269</v>
          </cell>
          <cell r="W34">
            <v>2538</v>
          </cell>
          <cell r="X34">
            <v>846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5.4690000000000003</v>
          </cell>
          <cell r="L45">
            <v>0</v>
          </cell>
          <cell r="M45">
            <v>5.4690000000000003</v>
          </cell>
          <cell r="P45"/>
          <cell r="Q45"/>
          <cell r="R45"/>
          <cell r="S45"/>
          <cell r="T45">
            <v>0.57300000000000006</v>
          </cell>
          <cell r="U45">
            <v>1.5069999999999997</v>
          </cell>
          <cell r="V45">
            <v>0.90800000000000003</v>
          </cell>
          <cell r="W45">
            <v>1.5030000000000001</v>
          </cell>
          <cell r="X45">
            <v>0.97800000000000065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33.899000000000001</v>
          </cell>
          <cell r="L47">
            <v>0</v>
          </cell>
          <cell r="M47">
            <v>33.899000000000001</v>
          </cell>
          <cell r="P47"/>
          <cell r="Q47"/>
          <cell r="R47"/>
          <cell r="S47"/>
          <cell r="T47">
            <v>2.9739999999999998</v>
          </cell>
          <cell r="U47">
            <v>9.1260000000000012</v>
          </cell>
          <cell r="V47">
            <v>5.5339999999999998</v>
          </cell>
          <cell r="W47">
            <v>9.0139999999999993</v>
          </cell>
          <cell r="X47">
            <v>7.2510000000000012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 t="str">
            <v>BİRİM</v>
          </cell>
          <cell r="J19" t="str">
            <v>ÖNCEKİ HAKEDİŞ MİKTARI</v>
          </cell>
          <cell r="K19" t="str">
            <v>BU HAKEDİŞ MİKTARI</v>
          </cell>
          <cell r="L19" t="str">
            <v>TOPLAM HAKEDİŞ MİKTARI</v>
          </cell>
          <cell r="O19" t="str">
            <v>0525</v>
          </cell>
          <cell r="P19" t="str">
            <v>0625</v>
          </cell>
          <cell r="Q19" t="str">
            <v>0725</v>
          </cell>
          <cell r="R19" t="str">
            <v>0825</v>
          </cell>
          <cell r="S19" t="str">
            <v>0925</v>
          </cell>
          <cell r="T19" t="str">
            <v>1025</v>
          </cell>
          <cell r="U19" t="str">
            <v>1125</v>
          </cell>
          <cell r="V19" t="str">
            <v>1225</v>
          </cell>
          <cell r="W19" t="str">
            <v>0126</v>
          </cell>
          <cell r="X19" t="str">
            <v>0226</v>
          </cell>
          <cell r="Y19" t="str">
            <v>0326</v>
          </cell>
          <cell r="Z19" t="str">
            <v>0426</v>
          </cell>
          <cell r="AA19" t="str">
            <v>0526</v>
          </cell>
          <cell r="AB19" t="str">
            <v>0626</v>
          </cell>
          <cell r="AC19" t="str">
            <v>0726</v>
          </cell>
          <cell r="AD19" t="str">
            <v>0826</v>
          </cell>
          <cell r="AE19" t="str">
            <v>0926</v>
          </cell>
          <cell r="AF19" t="str">
            <v>1026</v>
          </cell>
          <cell r="AG19" t="str">
            <v>1126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 t="str">
            <v>m³</v>
          </cell>
          <cell r="J20">
            <v>623.85</v>
          </cell>
          <cell r="K20">
            <v>538.72500000000002</v>
          </cell>
          <cell r="L20">
            <v>1162.575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>
            <v>623.85</v>
          </cell>
          <cell r="Z20">
            <v>538.72500000000002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 t="str">
            <v>m³</v>
          </cell>
          <cell r="J21" t="str">
            <v/>
          </cell>
          <cell r="K21" t="e">
            <v>#VALUE!</v>
          </cell>
          <cell r="L21" t="str">
            <v/>
          </cell>
          <cell r="O21"/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 t="str">
            <v>m³</v>
          </cell>
          <cell r="J22" t="str">
            <v/>
          </cell>
          <cell r="K22" t="e">
            <v>#VALUE!</v>
          </cell>
          <cell r="L22" t="str">
            <v/>
          </cell>
          <cell r="O22"/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 t="str">
            <v>m³</v>
          </cell>
          <cell r="J23">
            <v>93.128</v>
          </cell>
          <cell r="K23">
            <v>76.672000000000011</v>
          </cell>
          <cell r="L23">
            <v>169.8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>
            <v>93.128</v>
          </cell>
          <cell r="Z23">
            <v>76.672000000000011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 t="str">
            <v>m</v>
          </cell>
          <cell r="J24" t="str">
            <v/>
          </cell>
          <cell r="K24" t="e">
            <v>#VALUE!</v>
          </cell>
          <cell r="L24" t="str">
            <v/>
          </cell>
          <cell r="O24"/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 t="str">
            <v>m</v>
          </cell>
          <cell r="J25" t="str">
            <v/>
          </cell>
          <cell r="K25" t="e">
            <v>#VALUE!</v>
          </cell>
          <cell r="L25" t="str">
            <v/>
          </cell>
          <cell r="O25"/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 t="str">
            <v>adet</v>
          </cell>
          <cell r="J26" t="str">
            <v/>
          </cell>
          <cell r="K26" t="e">
            <v>#VALUE!</v>
          </cell>
          <cell r="L26" t="str">
            <v/>
          </cell>
          <cell r="O26"/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 t="str">
            <v>adet</v>
          </cell>
          <cell r="J27">
            <v>0</v>
          </cell>
          <cell r="K27">
            <v>0</v>
          </cell>
          <cell r="L27">
            <v>0</v>
          </cell>
          <cell r="O27"/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 t="str">
            <v>adet</v>
          </cell>
          <cell r="J28" t="str">
            <v/>
          </cell>
          <cell r="K28" t="e">
            <v>#VALUE!</v>
          </cell>
          <cell r="L28" t="str">
            <v/>
          </cell>
          <cell r="O28"/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 t="str">
            <v>adet</v>
          </cell>
          <cell r="J29" t="str">
            <v/>
          </cell>
          <cell r="K29" t="e">
            <v>#VALUE!</v>
          </cell>
          <cell r="L29" t="str">
            <v/>
          </cell>
          <cell r="O29"/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 t="str">
            <v>adet</v>
          </cell>
          <cell r="J30">
            <v>99</v>
          </cell>
          <cell r="K30">
            <v>135</v>
          </cell>
          <cell r="L30">
            <v>234</v>
          </cell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>
            <v>99</v>
          </cell>
          <cell r="Z30">
            <v>135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 t="str">
            <v>m</v>
          </cell>
          <cell r="J31" t="str">
            <v>0</v>
          </cell>
          <cell r="K31">
            <v>0</v>
          </cell>
          <cell r="L31" t="str">
            <v>0</v>
          </cell>
          <cell r="O31"/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 t="str">
            <v>m</v>
          </cell>
          <cell r="J32" t="str">
            <v/>
          </cell>
          <cell r="K32" t="e">
            <v>#VALUE!</v>
          </cell>
          <cell r="L32" t="str">
            <v/>
          </cell>
          <cell r="O32"/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 t="str">
            <v>ton</v>
          </cell>
          <cell r="J33">
            <v>26.547000000000001</v>
          </cell>
          <cell r="K33">
            <v>23.291</v>
          </cell>
          <cell r="L33">
            <v>49.838000000000001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>
            <v>26.547000000000001</v>
          </cell>
          <cell r="Z33">
            <v>23.291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 t="str">
            <v>m</v>
          </cell>
          <cell r="J34">
            <v>0</v>
          </cell>
          <cell r="K34">
            <v>0</v>
          </cell>
          <cell r="L34">
            <v>0</v>
          </cell>
          <cell r="O34"/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 t="str">
            <v>m²</v>
          </cell>
          <cell r="J35" t="str">
            <v/>
          </cell>
          <cell r="K35" t="e">
            <v>#VALUE!</v>
          </cell>
          <cell r="L35" t="str">
            <v/>
          </cell>
          <cell r="O35"/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 t="str">
            <v>m²</v>
          </cell>
          <cell r="J36" t="str">
            <v/>
          </cell>
          <cell r="K36" t="e">
            <v>#VALUE!</v>
          </cell>
          <cell r="L36" t="str">
            <v/>
          </cell>
          <cell r="O36"/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 t="str">
            <v>m</v>
          </cell>
          <cell r="J37" t="str">
            <v/>
          </cell>
          <cell r="K37" t="e">
            <v>#VALUE!</v>
          </cell>
          <cell r="L37" t="str">
            <v/>
          </cell>
          <cell r="O37"/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 t="str">
            <v>m²</v>
          </cell>
          <cell r="J38" t="str">
            <v/>
          </cell>
          <cell r="K38" t="e">
            <v>#VALUE!</v>
          </cell>
          <cell r="L38" t="str">
            <v/>
          </cell>
          <cell r="O38"/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 t="str">
            <v>m²</v>
          </cell>
          <cell r="J39" t="str">
            <v/>
          </cell>
          <cell r="K39" t="e">
            <v>#VALUE!</v>
          </cell>
          <cell r="L39" t="str">
            <v/>
          </cell>
          <cell r="O39"/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 t="str">
            <v>m²</v>
          </cell>
          <cell r="J40" t="str">
            <v/>
          </cell>
          <cell r="K40" t="e">
            <v>#VALUE!</v>
          </cell>
          <cell r="L40" t="str">
            <v/>
          </cell>
          <cell r="O40"/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 t="str">
            <v>m³</v>
          </cell>
          <cell r="J41" t="str">
            <v/>
          </cell>
          <cell r="K41" t="e">
            <v>#VALUE!</v>
          </cell>
          <cell r="L41" t="str">
            <v/>
          </cell>
          <cell r="O41"/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 t="str">
            <v>m³</v>
          </cell>
          <cell r="J42" t="str">
            <v/>
          </cell>
          <cell r="K42" t="e">
            <v>#VALUE!</v>
          </cell>
          <cell r="L42" t="str">
            <v/>
          </cell>
          <cell r="O42"/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 t="str">
            <v>m³</v>
          </cell>
          <cell r="J43" t="str">
            <v/>
          </cell>
          <cell r="K43" t="e">
            <v>#VALUE!</v>
          </cell>
          <cell r="L43" t="str">
            <v/>
          </cell>
          <cell r="O43"/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 t="str">
            <v>m³</v>
          </cell>
          <cell r="J44" t="str">
            <v/>
          </cell>
          <cell r="K44" t="e">
            <v>#VALUE!</v>
          </cell>
          <cell r="L44" t="str">
            <v/>
          </cell>
          <cell r="O44"/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 t="str">
            <v>ton</v>
          </cell>
          <cell r="J45">
            <v>1.1719999999999999</v>
          </cell>
          <cell r="K45">
            <v>2.4720000000000004</v>
          </cell>
          <cell r="L45">
            <v>3.6440000000000001</v>
          </cell>
          <cell r="O45"/>
          <cell r="P45"/>
          <cell r="Q45"/>
          <cell r="R45"/>
          <cell r="S45"/>
          <cell r="T45"/>
          <cell r="V45"/>
          <cell r="W45"/>
          <cell r="X45"/>
          <cell r="Y45">
            <v>1.1720000000000002</v>
          </cell>
          <cell r="Z45">
            <v>2.472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 t="str">
            <v>ton</v>
          </cell>
          <cell r="J46">
            <v>0</v>
          </cell>
          <cell r="K46">
            <v>0</v>
          </cell>
          <cell r="L46">
            <v>0</v>
          </cell>
          <cell r="O46"/>
          <cell r="P46"/>
          <cell r="Q46"/>
          <cell r="R46"/>
          <cell r="S46"/>
          <cell r="T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 t="str">
            <v>ton</v>
          </cell>
          <cell r="J47">
            <v>6.9619999999999997</v>
          </cell>
          <cell r="K47">
            <v>5.8090000000000011</v>
          </cell>
          <cell r="L47">
            <v>12.771000000000001</v>
          </cell>
          <cell r="O47"/>
          <cell r="P47"/>
          <cell r="Q47"/>
          <cell r="R47"/>
          <cell r="S47"/>
          <cell r="T47"/>
          <cell r="V47"/>
          <cell r="W47"/>
          <cell r="X47"/>
          <cell r="Y47">
            <v>6.9619999999999997</v>
          </cell>
          <cell r="Z47">
            <v>5.8090000000000011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 t="str">
            <v>kg</v>
          </cell>
          <cell r="J48" t="str">
            <v/>
          </cell>
          <cell r="K48" t="e">
            <v>#VALUE!</v>
          </cell>
          <cell r="L48" t="str">
            <v/>
          </cell>
          <cell r="O48"/>
          <cell r="P48"/>
          <cell r="Q48"/>
          <cell r="R48"/>
          <cell r="S48"/>
          <cell r="T48"/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 t="str">
            <v>kg</v>
          </cell>
          <cell r="J49" t="str">
            <v/>
          </cell>
          <cell r="K49" t="e">
            <v>#VALUE!</v>
          </cell>
          <cell r="L49" t="str">
            <v/>
          </cell>
          <cell r="O49"/>
          <cell r="P49"/>
          <cell r="Q49"/>
          <cell r="R49"/>
          <cell r="S49"/>
          <cell r="T49"/>
          <cell r="U49"/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I19" t="str">
            <v>BİRİM</v>
          </cell>
          <cell r="J19" t="str">
            <v>ÖNCEKİ HAKEDİŞ MİKTARI</v>
          </cell>
          <cell r="K19" t="str">
            <v>BU HAKEDİŞ MİKTARI</v>
          </cell>
          <cell r="L19" t="str">
            <v>TOPLAM HAKEDİŞ MİKTARI</v>
          </cell>
          <cell r="O19" t="str">
            <v>0525</v>
          </cell>
          <cell r="P19" t="str">
            <v>0625</v>
          </cell>
          <cell r="Q19" t="str">
            <v>0725</v>
          </cell>
          <cell r="R19" t="str">
            <v>0825</v>
          </cell>
          <cell r="S19" t="str">
            <v>0925</v>
          </cell>
          <cell r="T19" t="str">
            <v>1025</v>
          </cell>
          <cell r="U19" t="str">
            <v>1125</v>
          </cell>
          <cell r="V19" t="str">
            <v>1225</v>
          </cell>
          <cell r="W19" t="str">
            <v>0126</v>
          </cell>
          <cell r="X19" t="str">
            <v>0226</v>
          </cell>
          <cell r="Y19" t="str">
            <v>0326</v>
          </cell>
          <cell r="Z19" t="str">
            <v>0426</v>
          </cell>
          <cell r="AA19" t="str">
            <v>0526</v>
          </cell>
          <cell r="AB19" t="str">
            <v>0626</v>
          </cell>
          <cell r="AC19" t="str">
            <v>0726</v>
          </cell>
          <cell r="AD19" t="str">
            <v>0826</v>
          </cell>
          <cell r="AE19" t="str">
            <v>0926</v>
          </cell>
          <cell r="AF19" t="str">
            <v>1026</v>
          </cell>
          <cell r="AG19" t="str">
            <v>1126</v>
          </cell>
        </row>
        <row r="20">
          <cell r="B20" t="str">
            <v>018</v>
          </cell>
          <cell r="C20" t="str">
            <v>Geleneksel (NATM) Tünel Kazısı</v>
          </cell>
          <cell r="I20" t="str">
            <v>m³</v>
          </cell>
          <cell r="J20">
            <v>486.69</v>
          </cell>
          <cell r="K20">
            <v>471.11600000000004</v>
          </cell>
          <cell r="L20">
            <v>957.80600000000004</v>
          </cell>
          <cell r="Y20">
            <v>486.69</v>
          </cell>
          <cell r="Z20">
            <v>471.11600000000004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I21" t="str">
            <v>m³</v>
          </cell>
          <cell r="J21" t="str">
            <v/>
          </cell>
          <cell r="K21" t="e">
            <v>#VALUE!</v>
          </cell>
          <cell r="L21" t="str">
            <v/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I22" t="str">
            <v>m³</v>
          </cell>
          <cell r="J22" t="str">
            <v/>
          </cell>
          <cell r="K22" t="e">
            <v>#VALUE!</v>
          </cell>
          <cell r="L22" t="str">
            <v/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I23" t="str">
            <v>m³</v>
          </cell>
          <cell r="J23">
            <v>87.634</v>
          </cell>
          <cell r="K23">
            <v>81.343000000000004</v>
          </cell>
          <cell r="L23">
            <v>168.977</v>
          </cell>
          <cell r="Y23">
            <v>87.634</v>
          </cell>
          <cell r="Z23">
            <v>81.343000000000004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I24" t="str">
            <v>m</v>
          </cell>
          <cell r="J24" t="str">
            <v/>
          </cell>
          <cell r="K24" t="e">
            <v>#VALUE!</v>
          </cell>
          <cell r="L24" t="str">
            <v/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I25" t="str">
            <v>m</v>
          </cell>
          <cell r="J25" t="str">
            <v/>
          </cell>
          <cell r="K25" t="e">
            <v>#VALUE!</v>
          </cell>
          <cell r="L25" t="str">
            <v/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I26" t="str">
            <v>adet</v>
          </cell>
          <cell r="J26" t="str">
            <v/>
          </cell>
          <cell r="K26" t="e">
            <v>#VALUE!</v>
          </cell>
          <cell r="L26" t="str">
            <v/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I27" t="str">
            <v>adet</v>
          </cell>
          <cell r="J27">
            <v>0</v>
          </cell>
          <cell r="K27">
            <v>0</v>
          </cell>
          <cell r="L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I28" t="str">
            <v>adet</v>
          </cell>
          <cell r="J28" t="str">
            <v/>
          </cell>
          <cell r="K28" t="e">
            <v>#VALUE!</v>
          </cell>
          <cell r="L28" t="str">
            <v/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I29" t="str">
            <v>adet</v>
          </cell>
          <cell r="J29" t="str">
            <v/>
          </cell>
          <cell r="K29" t="e">
            <v>#VALUE!</v>
          </cell>
          <cell r="L29" t="str">
            <v/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I30" t="str">
            <v>adet</v>
          </cell>
          <cell r="J30">
            <v>66</v>
          </cell>
          <cell r="K30">
            <v>108</v>
          </cell>
          <cell r="L30">
            <v>174</v>
          </cell>
          <cell r="Y30">
            <v>66</v>
          </cell>
          <cell r="Z30">
            <v>108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I31" t="str">
            <v>m</v>
          </cell>
          <cell r="J31" t="str">
            <v>0</v>
          </cell>
          <cell r="K31">
            <v>0</v>
          </cell>
          <cell r="L31" t="str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I32" t="str">
            <v>m</v>
          </cell>
          <cell r="J32" t="str">
            <v/>
          </cell>
          <cell r="K32" t="e">
            <v>#VALUE!</v>
          </cell>
          <cell r="L32" t="str">
            <v/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I33" t="str">
            <v>ton</v>
          </cell>
          <cell r="J33">
            <v>25.24</v>
          </cell>
          <cell r="K33">
            <v>24.768000000000004</v>
          </cell>
          <cell r="L33">
            <v>50.008000000000003</v>
          </cell>
          <cell r="Y33">
            <v>25.24</v>
          </cell>
          <cell r="Z33">
            <v>24.768000000000004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I34" t="str">
            <v>m</v>
          </cell>
          <cell r="J34" t="str">
            <v>0</v>
          </cell>
          <cell r="K34">
            <v>0</v>
          </cell>
          <cell r="L34" t="str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I35" t="str">
            <v>m²</v>
          </cell>
          <cell r="J35" t="str">
            <v/>
          </cell>
          <cell r="K35" t="e">
            <v>#VALUE!</v>
          </cell>
          <cell r="L35" t="str">
            <v/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I36" t="str">
            <v>m²</v>
          </cell>
          <cell r="J36" t="str">
            <v/>
          </cell>
          <cell r="K36" t="e">
            <v>#VALUE!</v>
          </cell>
          <cell r="L36" t="str">
            <v/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I37" t="str">
            <v>m</v>
          </cell>
          <cell r="J37" t="str">
            <v/>
          </cell>
          <cell r="K37" t="e">
            <v>#VALUE!</v>
          </cell>
          <cell r="L37" t="str">
            <v/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I38" t="str">
            <v>m²</v>
          </cell>
          <cell r="J38" t="str">
            <v/>
          </cell>
          <cell r="K38" t="e">
            <v>#VALUE!</v>
          </cell>
          <cell r="L38" t="str">
            <v/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I39" t="str">
            <v>m²</v>
          </cell>
          <cell r="J39" t="str">
            <v/>
          </cell>
          <cell r="K39" t="e">
            <v>#VALUE!</v>
          </cell>
          <cell r="L39" t="str">
            <v/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I40" t="str">
            <v>m²</v>
          </cell>
          <cell r="J40" t="str">
            <v/>
          </cell>
          <cell r="K40" t="e">
            <v>#VALUE!</v>
          </cell>
          <cell r="L40" t="str">
            <v/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I41" t="str">
            <v>m³</v>
          </cell>
          <cell r="J41" t="str">
            <v/>
          </cell>
          <cell r="K41" t="e">
            <v>#VALUE!</v>
          </cell>
          <cell r="L41" t="str">
            <v/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I42" t="str">
            <v>m³</v>
          </cell>
          <cell r="J42" t="str">
            <v/>
          </cell>
          <cell r="K42" t="e">
            <v>#VALUE!</v>
          </cell>
          <cell r="L42" t="str">
            <v/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I43" t="str">
            <v>m³</v>
          </cell>
          <cell r="J43" t="str">
            <v/>
          </cell>
          <cell r="K43" t="e">
            <v>#VALUE!</v>
          </cell>
          <cell r="L43" t="str">
            <v/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I44" t="str">
            <v>m³</v>
          </cell>
          <cell r="J44" t="str">
            <v/>
          </cell>
          <cell r="K44" t="e">
            <v>#VALUE!</v>
          </cell>
          <cell r="L44" t="str">
            <v/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I45" t="str">
            <v>ton</v>
          </cell>
          <cell r="J45">
            <v>0.379</v>
          </cell>
          <cell r="K45">
            <v>0.36499999999999999</v>
          </cell>
          <cell r="L45">
            <v>0.74399999999999999</v>
          </cell>
          <cell r="Y45">
            <v>0.379</v>
          </cell>
          <cell r="Z45">
            <v>0.36499999999999999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I46" t="str">
            <v>ton</v>
          </cell>
          <cell r="J46">
            <v>0</v>
          </cell>
          <cell r="K46">
            <v>0</v>
          </cell>
          <cell r="L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I47" t="str">
            <v>ton</v>
          </cell>
          <cell r="J47">
            <v>6.6210000000000004</v>
          </cell>
          <cell r="K47">
            <v>6.1589999999999989</v>
          </cell>
          <cell r="L47">
            <v>12.78</v>
          </cell>
          <cell r="Y47">
            <v>6.6210000000000004</v>
          </cell>
          <cell r="Z47">
            <v>6.1589999999999989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I48" t="str">
            <v>kg</v>
          </cell>
          <cell r="J48" t="str">
            <v/>
          </cell>
          <cell r="K48" t="e">
            <v>#VALUE!</v>
          </cell>
          <cell r="L48" t="str">
            <v/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I49" t="str">
            <v>kg</v>
          </cell>
          <cell r="J49" t="str">
            <v/>
          </cell>
          <cell r="K49" t="e">
            <v>#VALUE!</v>
          </cell>
          <cell r="L49" t="str">
            <v/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3125.6419999999998</v>
          </cell>
          <cell r="L20">
            <v>0</v>
          </cell>
          <cell r="M20">
            <v>3125.6419999999998</v>
          </cell>
          <cell r="P20"/>
          <cell r="Q20"/>
          <cell r="R20">
            <v>256.97700000000003</v>
          </cell>
          <cell r="S20"/>
          <cell r="T20">
            <v>539.101</v>
          </cell>
          <cell r="U20">
            <v>863.46400000000006</v>
          </cell>
          <cell r="V20">
            <v>833.48199999999997</v>
          </cell>
          <cell r="W20">
            <v>620.51400000000012</v>
          </cell>
          <cell r="X20">
            <v>12.104000000000001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773.93399999999997</v>
          </cell>
          <cell r="L23">
            <v>0</v>
          </cell>
          <cell r="M23">
            <v>773.93399999999997</v>
          </cell>
          <cell r="P23"/>
          <cell r="Q23"/>
          <cell r="R23">
            <v>56.869000000000014</v>
          </cell>
          <cell r="T23">
            <v>119.56900000000003</v>
          </cell>
          <cell r="U23">
            <v>198.62800000000001</v>
          </cell>
          <cell r="V23">
            <v>204.35500000000002</v>
          </cell>
          <cell r="W23">
            <v>144.08899999999994</v>
          </cell>
          <cell r="X23">
            <v>12.620000000000001</v>
          </cell>
          <cell r="Y23">
            <v>0</v>
          </cell>
          <cell r="Z23">
            <v>37.803999999999974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432</v>
          </cell>
          <cell r="L27">
            <v>0</v>
          </cell>
          <cell r="M27">
            <v>432</v>
          </cell>
          <cell r="P27"/>
          <cell r="Q27"/>
          <cell r="S27"/>
          <cell r="T27">
            <v>68</v>
          </cell>
          <cell r="U27">
            <v>135</v>
          </cell>
          <cell r="V27">
            <v>85</v>
          </cell>
          <cell r="W27">
            <v>113</v>
          </cell>
          <cell r="X27">
            <v>31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497</v>
          </cell>
          <cell r="L30">
            <v>0</v>
          </cell>
          <cell r="M30">
            <v>497</v>
          </cell>
          <cell r="P30"/>
          <cell r="Q30"/>
          <cell r="R30"/>
          <cell r="S30"/>
          <cell r="T30">
            <v>50</v>
          </cell>
          <cell r="U30">
            <v>90</v>
          </cell>
          <cell r="V30">
            <v>57</v>
          </cell>
          <cell r="W30">
            <v>75</v>
          </cell>
          <cell r="X30">
            <v>21</v>
          </cell>
          <cell r="Y30">
            <v>74</v>
          </cell>
          <cell r="Z30">
            <v>130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2952</v>
          </cell>
          <cell r="L31">
            <v>0</v>
          </cell>
          <cell r="M31">
            <v>2952</v>
          </cell>
          <cell r="P31"/>
          <cell r="Q31"/>
          <cell r="R31">
            <v>198</v>
          </cell>
          <cell r="S31"/>
          <cell r="T31">
            <v>594</v>
          </cell>
          <cell r="U31">
            <v>774</v>
          </cell>
          <cell r="V31">
            <v>990</v>
          </cell>
          <cell r="W31">
            <v>396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146.39099999999999</v>
          </cell>
          <cell r="L33">
            <v>0</v>
          </cell>
          <cell r="M33">
            <v>146.39099999999999</v>
          </cell>
          <cell r="P33"/>
          <cell r="Q33"/>
          <cell r="R33">
            <v>11.016</v>
          </cell>
          <cell r="S33"/>
          <cell r="T33">
            <v>23.082000000000001</v>
          </cell>
          <cell r="U33">
            <v>40.258000000000003</v>
          </cell>
          <cell r="V33">
            <v>41.177999999999997</v>
          </cell>
          <cell r="W33">
            <v>27.836000000000013</v>
          </cell>
          <cell r="X33">
            <v>3.0209999999999866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8307</v>
          </cell>
          <cell r="L34">
            <v>0</v>
          </cell>
          <cell r="M34">
            <v>8307</v>
          </cell>
          <cell r="P34"/>
          <cell r="Q34"/>
          <cell r="R34">
            <v>1044</v>
          </cell>
          <cell r="T34">
            <v>1566</v>
          </cell>
          <cell r="U34">
            <v>2088</v>
          </cell>
          <cell r="V34">
            <v>2610</v>
          </cell>
          <cell r="W34">
            <v>999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10.218</v>
          </cell>
          <cell r="L45">
            <v>0</v>
          </cell>
          <cell r="M45">
            <v>10.218</v>
          </cell>
          <cell r="P45"/>
          <cell r="Q45"/>
          <cell r="R45">
            <v>0.91700000000000015</v>
          </cell>
          <cell r="S45"/>
          <cell r="T45">
            <v>1.7429999999999999</v>
          </cell>
          <cell r="U45">
            <v>2.9979999999999993</v>
          </cell>
          <cell r="V45">
            <v>2.4869999999999997</v>
          </cell>
          <cell r="W45">
            <v>2.0039999999999996</v>
          </cell>
          <cell r="X45">
            <v>6.9000000000000838E-2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 t="str">
            <v/>
          </cell>
          <cell r="L46" t="e">
            <v>#VALUE!</v>
          </cell>
          <cell r="M46" t="str">
            <v/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49.96</v>
          </cell>
          <cell r="L47">
            <v>0</v>
          </cell>
          <cell r="M47">
            <v>49.96</v>
          </cell>
          <cell r="P47"/>
          <cell r="Q47"/>
          <cell r="R47">
            <v>3.7559999999999998</v>
          </cell>
          <cell r="S47"/>
          <cell r="T47">
            <v>7.6959999999999997</v>
          </cell>
          <cell r="U47">
            <v>13.675000000000001</v>
          </cell>
          <cell r="V47">
            <v>13.778</v>
          </cell>
          <cell r="W47">
            <v>9.7959999999999994</v>
          </cell>
          <cell r="X47">
            <v>1.2590000000000003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2386.8739999999998</v>
          </cell>
          <cell r="L20">
            <v>0</v>
          </cell>
          <cell r="M20">
            <v>2386.8739999999998</v>
          </cell>
          <cell r="P20"/>
          <cell r="Q20"/>
          <cell r="R20"/>
          <cell r="S20"/>
          <cell r="T20"/>
          <cell r="U20">
            <v>441.48500000000001</v>
          </cell>
          <cell r="V20">
            <v>590.00699999999983</v>
          </cell>
          <cell r="W20">
            <v>884.51200000000017</v>
          </cell>
          <cell r="X20">
            <v>470.86999999999989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538.87</v>
          </cell>
          <cell r="L23">
            <v>0</v>
          </cell>
          <cell r="M23">
            <v>538.87</v>
          </cell>
          <cell r="P23"/>
          <cell r="Q23"/>
          <cell r="R23"/>
          <cell r="S23"/>
          <cell r="T23"/>
          <cell r="U23">
            <v>84.65</v>
          </cell>
          <cell r="V23">
            <v>114.23000000000002</v>
          </cell>
          <cell r="W23">
            <v>175.47599999999997</v>
          </cell>
          <cell r="X23">
            <v>142.58699999999999</v>
          </cell>
          <cell r="Y23"/>
          <cell r="Z23">
            <v>21.927000000000021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28</v>
          </cell>
          <cell r="L27">
            <v>0</v>
          </cell>
          <cell r="M27">
            <v>28</v>
          </cell>
          <cell r="P27"/>
          <cell r="Q27"/>
          <cell r="R27"/>
          <cell r="S27"/>
          <cell r="T27"/>
          <cell r="U27">
            <v>18</v>
          </cell>
          <cell r="V27"/>
          <cell r="W27">
            <v>0</v>
          </cell>
          <cell r="X27">
            <v>0</v>
          </cell>
          <cell r="Y27">
            <v>0</v>
          </cell>
          <cell r="Z27">
            <v>10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>0</v>
          </cell>
          <cell r="L29">
            <v>0</v>
          </cell>
          <cell r="M29" t="str">
            <v>0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447</v>
          </cell>
          <cell r="L30">
            <v>0</v>
          </cell>
          <cell r="M30">
            <v>447</v>
          </cell>
          <cell r="P30"/>
          <cell r="Q30"/>
          <cell r="R30"/>
          <cell r="S30"/>
          <cell r="T30"/>
          <cell r="U30">
            <v>24</v>
          </cell>
          <cell r="V30">
            <v>75</v>
          </cell>
          <cell r="W30">
            <v>105</v>
          </cell>
          <cell r="X30">
            <v>54</v>
          </cell>
          <cell r="Y30">
            <v>115</v>
          </cell>
          <cell r="Z30">
            <v>74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2430</v>
          </cell>
          <cell r="L31">
            <v>0</v>
          </cell>
          <cell r="M31">
            <v>2430</v>
          </cell>
          <cell r="P31"/>
          <cell r="Q31"/>
          <cell r="R31"/>
          <cell r="S31"/>
          <cell r="T31"/>
          <cell r="U31">
            <v>486</v>
          </cell>
          <cell r="V31">
            <v>648</v>
          </cell>
          <cell r="W31">
            <v>810</v>
          </cell>
          <cell r="X31">
            <v>486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92.789000000000001</v>
          </cell>
          <cell r="L33">
            <v>0</v>
          </cell>
          <cell r="M33">
            <v>92.789000000000001</v>
          </cell>
          <cell r="P33"/>
          <cell r="Q33"/>
          <cell r="R33"/>
          <cell r="S33"/>
          <cell r="T33"/>
          <cell r="U33">
            <v>15.683999999999997</v>
          </cell>
          <cell r="V33">
            <v>22.949999999999996</v>
          </cell>
          <cell r="W33">
            <v>34.205000000000005</v>
          </cell>
          <cell r="X33">
            <v>19.950000000000003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6759</v>
          </cell>
          <cell r="L34">
            <v>0</v>
          </cell>
          <cell r="M34">
            <v>6759</v>
          </cell>
          <cell r="P34"/>
          <cell r="Q34"/>
          <cell r="R34"/>
          <cell r="S34"/>
          <cell r="T34"/>
          <cell r="U34">
            <v>1692</v>
          </cell>
          <cell r="V34">
            <v>1692</v>
          </cell>
          <cell r="W34">
            <v>2106</v>
          </cell>
          <cell r="X34">
            <v>1269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4.8789999999999996</v>
          </cell>
          <cell r="L45">
            <v>0</v>
          </cell>
          <cell r="M45">
            <v>4.8789999999999996</v>
          </cell>
          <cell r="P45"/>
          <cell r="Q45"/>
          <cell r="R45"/>
          <cell r="S45"/>
          <cell r="T45"/>
          <cell r="U45">
            <v>0.87500000000000011</v>
          </cell>
          <cell r="V45">
            <v>1.2089999999999999</v>
          </cell>
          <cell r="W45">
            <v>1.81</v>
          </cell>
          <cell r="X45">
            <v>0.98499999999999943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30.273</v>
          </cell>
          <cell r="L47">
            <v>0</v>
          </cell>
          <cell r="M47">
            <v>30.273</v>
          </cell>
          <cell r="P47"/>
          <cell r="Q47"/>
          <cell r="R47"/>
          <cell r="S47"/>
          <cell r="T47"/>
          <cell r="U47">
            <v>4.9630000000000001</v>
          </cell>
          <cell r="V47">
            <v>7.3849999999999998</v>
          </cell>
          <cell r="W47">
            <v>10.976000000000003</v>
          </cell>
          <cell r="X47">
            <v>6.9489999999999981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 t="str">
            <v>BİRİM</v>
          </cell>
          <cell r="J19" t="str">
            <v>ÖNCEKİ HAKEDİŞ MİKTARI</v>
          </cell>
          <cell r="K19" t="str">
            <v>BU HAKEDİŞ MİKTARI</v>
          </cell>
          <cell r="L19" t="str">
            <v>TOPLAM HAKEDİŞ MİKTARI</v>
          </cell>
          <cell r="O19" t="str">
            <v>0525</v>
          </cell>
          <cell r="P19" t="str">
            <v>0625</v>
          </cell>
          <cell r="Q19" t="str">
            <v>0725</v>
          </cell>
          <cell r="R19" t="str">
            <v>0825</v>
          </cell>
          <cell r="S19" t="str">
            <v>0925</v>
          </cell>
          <cell r="T19" t="str">
            <v>1025</v>
          </cell>
          <cell r="U19" t="str">
            <v>1125</v>
          </cell>
          <cell r="V19" t="str">
            <v>1225</v>
          </cell>
          <cell r="W19" t="str">
            <v>0126</v>
          </cell>
          <cell r="X19" t="str">
            <v>0226</v>
          </cell>
          <cell r="Y19" t="str">
            <v>0326</v>
          </cell>
          <cell r="Z19" t="str">
            <v>0426</v>
          </cell>
          <cell r="AA19" t="str">
            <v>0526</v>
          </cell>
          <cell r="AB19" t="str">
            <v>0626</v>
          </cell>
          <cell r="AC19" t="str">
            <v>0726</v>
          </cell>
          <cell r="AD19" t="str">
            <v>0826</v>
          </cell>
          <cell r="AE19" t="str">
            <v>0926</v>
          </cell>
          <cell r="AF19" t="str">
            <v>1026</v>
          </cell>
          <cell r="AG19" t="str">
            <v>1126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 t="str">
            <v>m³</v>
          </cell>
          <cell r="J20">
            <v>939.41800000000001</v>
          </cell>
          <cell r="K20">
            <v>95.164000000000101</v>
          </cell>
          <cell r="L20">
            <v>1034.5820000000001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>
            <v>201.64800000000002</v>
          </cell>
          <cell r="Y20">
            <v>737.77</v>
          </cell>
          <cell r="Z20">
            <v>95.164000000000101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 t="str">
            <v>m³</v>
          </cell>
          <cell r="J21" t="str">
            <v/>
          </cell>
          <cell r="K21" t="e">
            <v>#VALUE!</v>
          </cell>
          <cell r="L21" t="str">
            <v/>
          </cell>
          <cell r="O21"/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 t="str">
            <v>m³</v>
          </cell>
          <cell r="J22" t="str">
            <v/>
          </cell>
          <cell r="K22" t="e">
            <v>#VALUE!</v>
          </cell>
          <cell r="L22" t="str">
            <v/>
          </cell>
          <cell r="O22"/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 t="str">
            <v>m³</v>
          </cell>
          <cell r="J23">
            <v>140.006</v>
          </cell>
          <cell r="K23">
            <v>13.593999999999994</v>
          </cell>
          <cell r="L23">
            <v>153.6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>
            <v>32.260000000000005</v>
          </cell>
          <cell r="Y23">
            <v>107.746</v>
          </cell>
          <cell r="Z23">
            <v>13.593999999999994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 t="str">
            <v>m</v>
          </cell>
          <cell r="J24" t="str">
            <v/>
          </cell>
          <cell r="K24" t="e">
            <v>#VALUE!</v>
          </cell>
          <cell r="L24" t="str">
            <v/>
          </cell>
          <cell r="O24"/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 t="str">
            <v>m</v>
          </cell>
          <cell r="J25" t="str">
            <v/>
          </cell>
          <cell r="K25" t="e">
            <v>#VALUE!</v>
          </cell>
          <cell r="L25" t="str">
            <v/>
          </cell>
          <cell r="O25"/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 t="str">
            <v>adet</v>
          </cell>
          <cell r="J26" t="str">
            <v/>
          </cell>
          <cell r="K26" t="e">
            <v>#VALUE!</v>
          </cell>
          <cell r="L26" t="str">
            <v/>
          </cell>
          <cell r="O26"/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 t="str">
            <v>adet</v>
          </cell>
          <cell r="J27">
            <v>0</v>
          </cell>
          <cell r="K27">
            <v>0</v>
          </cell>
          <cell r="L27">
            <v>0</v>
          </cell>
          <cell r="O27"/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 t="str">
            <v>adet</v>
          </cell>
          <cell r="J28" t="str">
            <v/>
          </cell>
          <cell r="K28" t="e">
            <v>#VALUE!</v>
          </cell>
          <cell r="L28" t="str">
            <v/>
          </cell>
          <cell r="O28"/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 t="str">
            <v>adet</v>
          </cell>
          <cell r="J29" t="str">
            <v/>
          </cell>
          <cell r="K29" t="e">
            <v>#VALUE!</v>
          </cell>
          <cell r="L29" t="str">
            <v/>
          </cell>
          <cell r="O29"/>
          <cell r="P29"/>
          <cell r="Q29"/>
          <cell r="R29"/>
          <cell r="S29"/>
          <cell r="T29"/>
          <cell r="U29"/>
          <cell r="V29"/>
          <cell r="W29"/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 t="str">
            <v>adet</v>
          </cell>
          <cell r="J30">
            <v>171</v>
          </cell>
          <cell r="K30">
            <v>99</v>
          </cell>
          <cell r="L30">
            <v>270</v>
          </cell>
          <cell r="O30"/>
          <cell r="P30"/>
          <cell r="Q30"/>
          <cell r="R30"/>
          <cell r="S30"/>
          <cell r="T30"/>
          <cell r="U30"/>
          <cell r="V30"/>
          <cell r="W30"/>
          <cell r="X30">
            <v>0</v>
          </cell>
          <cell r="Y30">
            <v>171</v>
          </cell>
          <cell r="Z30">
            <v>99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 t="str">
            <v>m</v>
          </cell>
          <cell r="J31" t="str">
            <v>0</v>
          </cell>
          <cell r="K31">
            <v>0</v>
          </cell>
          <cell r="L31" t="str">
            <v>0</v>
          </cell>
          <cell r="O31"/>
          <cell r="P31"/>
          <cell r="Q31"/>
          <cell r="R31"/>
          <cell r="S31"/>
          <cell r="T31"/>
          <cell r="U31"/>
          <cell r="V31"/>
          <cell r="W31"/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 t="str">
            <v>m</v>
          </cell>
          <cell r="J32" t="str">
            <v/>
          </cell>
          <cell r="K32" t="e">
            <v>#VALUE!</v>
          </cell>
          <cell r="L32" t="str">
            <v/>
          </cell>
          <cell r="O32"/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 t="str">
            <v>ton</v>
          </cell>
          <cell r="J33">
            <v>40.261000000000003</v>
          </cell>
          <cell r="K33">
            <v>4.0919999999999987</v>
          </cell>
          <cell r="L33">
            <v>44.353000000000002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>
            <v>8.6989999999999998</v>
          </cell>
          <cell r="Y33">
            <v>31.562000000000005</v>
          </cell>
          <cell r="Z33">
            <v>4.0919999999999987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 t="str">
            <v>m</v>
          </cell>
          <cell r="J34">
            <v>0</v>
          </cell>
          <cell r="K34">
            <v>0</v>
          </cell>
          <cell r="L34">
            <v>0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 t="str">
            <v>m²</v>
          </cell>
          <cell r="J35" t="str">
            <v/>
          </cell>
          <cell r="K35" t="e">
            <v>#VALUE!</v>
          </cell>
          <cell r="L35" t="str">
            <v/>
          </cell>
          <cell r="O35"/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 t="str">
            <v>m²</v>
          </cell>
          <cell r="J36" t="str">
            <v/>
          </cell>
          <cell r="K36" t="e">
            <v>#VALUE!</v>
          </cell>
          <cell r="L36" t="str">
            <v/>
          </cell>
          <cell r="O36"/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 t="str">
            <v>m</v>
          </cell>
          <cell r="J37" t="str">
            <v/>
          </cell>
          <cell r="K37" t="e">
            <v>#VALUE!</v>
          </cell>
          <cell r="L37" t="str">
            <v/>
          </cell>
          <cell r="O37"/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 t="str">
            <v>m²</v>
          </cell>
          <cell r="J38" t="str">
            <v/>
          </cell>
          <cell r="K38" t="e">
            <v>#VALUE!</v>
          </cell>
          <cell r="L38" t="str">
            <v/>
          </cell>
          <cell r="O38"/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 t="str">
            <v>m²</v>
          </cell>
          <cell r="J39" t="str">
            <v/>
          </cell>
          <cell r="K39" t="e">
            <v>#VALUE!</v>
          </cell>
          <cell r="L39" t="str">
            <v/>
          </cell>
          <cell r="O39"/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 t="str">
            <v>m²</v>
          </cell>
          <cell r="J40" t="str">
            <v/>
          </cell>
          <cell r="K40" t="e">
            <v>#VALUE!</v>
          </cell>
          <cell r="L40" t="str">
            <v/>
          </cell>
          <cell r="O40"/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 t="str">
            <v>m³</v>
          </cell>
          <cell r="J41" t="str">
            <v/>
          </cell>
          <cell r="K41" t="e">
            <v>#VALUE!</v>
          </cell>
          <cell r="L41" t="str">
            <v/>
          </cell>
          <cell r="O41"/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 t="str">
            <v>m³</v>
          </cell>
          <cell r="J42" t="str">
            <v/>
          </cell>
          <cell r="K42" t="e">
            <v>#VALUE!</v>
          </cell>
          <cell r="L42" t="str">
            <v/>
          </cell>
          <cell r="O42"/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 t="str">
            <v>m³</v>
          </cell>
          <cell r="J43" t="str">
            <v/>
          </cell>
          <cell r="K43" t="e">
            <v>#VALUE!</v>
          </cell>
          <cell r="L43" t="str">
            <v/>
          </cell>
          <cell r="O43"/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 t="str">
            <v>m³</v>
          </cell>
          <cell r="J44" t="str">
            <v/>
          </cell>
          <cell r="K44" t="e">
            <v>#VALUE!</v>
          </cell>
          <cell r="L44" t="str">
            <v/>
          </cell>
          <cell r="O44"/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 t="str">
            <v>ton</v>
          </cell>
          <cell r="J45">
            <v>1.778</v>
          </cell>
          <cell r="K45">
            <v>1.4670000000000001</v>
          </cell>
          <cell r="L45">
            <v>3.2450000000000001</v>
          </cell>
          <cell r="O45"/>
          <cell r="P45"/>
          <cell r="Q45"/>
          <cell r="R45"/>
          <cell r="S45"/>
          <cell r="T45"/>
          <cell r="V45"/>
          <cell r="W45"/>
          <cell r="X45">
            <v>0.38400000000000001</v>
          </cell>
          <cell r="Y45">
            <v>1.3940000000000001</v>
          </cell>
          <cell r="Z45">
            <v>1.4670000000000001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 t="str">
            <v>ton</v>
          </cell>
          <cell r="J46">
            <v>0</v>
          </cell>
          <cell r="K46">
            <v>0</v>
          </cell>
          <cell r="L46">
            <v>0</v>
          </cell>
          <cell r="O46"/>
          <cell r="P46"/>
          <cell r="Q46"/>
          <cell r="R46"/>
          <cell r="S46"/>
          <cell r="T46"/>
          <cell r="V46"/>
          <cell r="W46"/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 t="str">
            <v>ton</v>
          </cell>
          <cell r="J47">
            <v>10.364000000000001</v>
          </cell>
          <cell r="K47">
            <v>1.0349999999999984</v>
          </cell>
          <cell r="L47">
            <v>11.398999999999999</v>
          </cell>
          <cell r="O47"/>
          <cell r="P47"/>
          <cell r="Q47"/>
          <cell r="R47"/>
          <cell r="S47"/>
          <cell r="T47"/>
          <cell r="V47"/>
          <cell r="W47"/>
          <cell r="X47">
            <v>2.4269999999999996</v>
          </cell>
          <cell r="Y47">
            <v>7.9370000000000012</v>
          </cell>
          <cell r="Z47">
            <v>1.0349999999999984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 t="str">
            <v>kg</v>
          </cell>
          <cell r="J48" t="str">
            <v/>
          </cell>
          <cell r="K48" t="e">
            <v>#VALUE!</v>
          </cell>
          <cell r="L48" t="str">
            <v/>
          </cell>
          <cell r="O48"/>
          <cell r="P48"/>
          <cell r="Q48"/>
          <cell r="R48"/>
          <cell r="S48"/>
          <cell r="T48"/>
          <cell r="U48"/>
          <cell r="V48">
            <v>0</v>
          </cell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 t="str">
            <v>kg</v>
          </cell>
          <cell r="J49" t="str">
            <v/>
          </cell>
          <cell r="K49" t="e">
            <v>#VALUE!</v>
          </cell>
          <cell r="L49" t="str">
            <v/>
          </cell>
          <cell r="O49"/>
          <cell r="P49"/>
          <cell r="Q49"/>
          <cell r="R49"/>
          <cell r="S49"/>
          <cell r="T49"/>
          <cell r="U49"/>
          <cell r="V49">
            <v>0</v>
          </cell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 t="str">
            <v>BİRİM</v>
          </cell>
          <cell r="J19" t="str">
            <v>ÖNCEKİ HAKEDİŞ MİKTARI</v>
          </cell>
          <cell r="K19" t="str">
            <v>BU HAKEDİŞ MİKTARI</v>
          </cell>
          <cell r="L19" t="str">
            <v>TOPLAM HAKEDİŞ MİKTARI</v>
          </cell>
          <cell r="O19" t="str">
            <v>0525</v>
          </cell>
          <cell r="P19" t="str">
            <v>0625</v>
          </cell>
          <cell r="Q19" t="str">
            <v>0725</v>
          </cell>
          <cell r="R19" t="str">
            <v>0825</v>
          </cell>
          <cell r="S19" t="str">
            <v>0925</v>
          </cell>
          <cell r="T19" t="str">
            <v>1025</v>
          </cell>
          <cell r="U19" t="str">
            <v>1125</v>
          </cell>
          <cell r="V19" t="str">
            <v>1225</v>
          </cell>
          <cell r="W19" t="str">
            <v>0126</v>
          </cell>
          <cell r="X19" t="str">
            <v>0226</v>
          </cell>
          <cell r="Y19" t="str">
            <v>0326</v>
          </cell>
          <cell r="Z19" t="str">
            <v>0426</v>
          </cell>
          <cell r="AA19" t="str">
            <v>0526</v>
          </cell>
          <cell r="AB19" t="str">
            <v>0626</v>
          </cell>
          <cell r="AC19" t="str">
            <v>0726</v>
          </cell>
          <cell r="AD19" t="str">
            <v>0826</v>
          </cell>
          <cell r="AE19" t="str">
            <v>0926</v>
          </cell>
          <cell r="AF19" t="str">
            <v>1026</v>
          </cell>
          <cell r="AG19" t="str">
            <v>1126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 t="str">
            <v>m³</v>
          </cell>
          <cell r="J20">
            <v>746.93799999999999</v>
          </cell>
          <cell r="K20">
            <v>105.63099999999997</v>
          </cell>
          <cell r="L20">
            <v>852.56899999999996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>
            <v>139.81499999999997</v>
          </cell>
          <cell r="Y20">
            <v>607.12300000000005</v>
          </cell>
          <cell r="Z20">
            <v>105.63099999999997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 t="str">
            <v>m³</v>
          </cell>
          <cell r="J21" t="str">
            <v/>
          </cell>
          <cell r="K21" t="e">
            <v>#VALUE!</v>
          </cell>
          <cell r="L21" t="str">
            <v/>
          </cell>
          <cell r="O21"/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 t="str">
            <v>m³</v>
          </cell>
          <cell r="J22" t="str">
            <v/>
          </cell>
          <cell r="K22" t="e">
            <v>#VALUE!</v>
          </cell>
          <cell r="L22" t="str">
            <v/>
          </cell>
          <cell r="O22"/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 t="str">
            <v>m³</v>
          </cell>
          <cell r="J23">
            <v>132.55799999999999</v>
          </cell>
          <cell r="K23">
            <v>18.236000000000018</v>
          </cell>
          <cell r="L23">
            <v>150.79400000000001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>
            <v>25.363000000000003</v>
          </cell>
          <cell r="Y23">
            <v>107.19499999999999</v>
          </cell>
          <cell r="Z23">
            <v>18.236000000000018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 t="str">
            <v>m</v>
          </cell>
          <cell r="J24" t="str">
            <v/>
          </cell>
          <cell r="K24" t="e">
            <v>#VALUE!</v>
          </cell>
          <cell r="L24" t="str">
            <v/>
          </cell>
          <cell r="O24"/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 t="str">
            <v>m</v>
          </cell>
          <cell r="J25" t="str">
            <v/>
          </cell>
          <cell r="K25" t="e">
            <v>#VALUE!</v>
          </cell>
          <cell r="L25" t="str">
            <v/>
          </cell>
          <cell r="O25"/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 t="str">
            <v>adet</v>
          </cell>
          <cell r="J26" t="str">
            <v/>
          </cell>
          <cell r="K26" t="e">
            <v>#VALUE!</v>
          </cell>
          <cell r="L26" t="str">
            <v/>
          </cell>
          <cell r="O26"/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 t="str">
            <v>adet</v>
          </cell>
          <cell r="J27">
            <v>0</v>
          </cell>
          <cell r="K27">
            <v>0</v>
          </cell>
          <cell r="L27">
            <v>0</v>
          </cell>
          <cell r="O27"/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 t="str">
            <v>adet</v>
          </cell>
          <cell r="J28" t="str">
            <v/>
          </cell>
          <cell r="K28" t="e">
            <v>#VALUE!</v>
          </cell>
          <cell r="L28" t="str">
            <v/>
          </cell>
          <cell r="O28"/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 t="str">
            <v>adet</v>
          </cell>
          <cell r="J29" t="str">
            <v/>
          </cell>
          <cell r="K29" t="e">
            <v>#VALUE!</v>
          </cell>
          <cell r="L29" t="str">
            <v/>
          </cell>
          <cell r="O29"/>
          <cell r="P29"/>
          <cell r="Q29"/>
          <cell r="R29"/>
          <cell r="S29"/>
          <cell r="T29"/>
          <cell r="U29"/>
          <cell r="V29"/>
          <cell r="W29"/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 t="str">
            <v>adet</v>
          </cell>
          <cell r="J30">
            <v>138</v>
          </cell>
          <cell r="K30">
            <v>96</v>
          </cell>
          <cell r="L30">
            <v>234</v>
          </cell>
          <cell r="O30"/>
          <cell r="P30"/>
          <cell r="Q30"/>
          <cell r="R30"/>
          <cell r="S30"/>
          <cell r="T30"/>
          <cell r="U30"/>
          <cell r="V30"/>
          <cell r="W30"/>
          <cell r="X30">
            <v>0</v>
          </cell>
          <cell r="Y30">
            <v>138</v>
          </cell>
          <cell r="Z30">
            <v>96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 t="str">
            <v>m</v>
          </cell>
          <cell r="J31" t="str">
            <v>0</v>
          </cell>
          <cell r="K31">
            <v>0</v>
          </cell>
          <cell r="L31" t="str">
            <v>0</v>
          </cell>
          <cell r="O31"/>
          <cell r="P31"/>
          <cell r="Q31"/>
          <cell r="R31"/>
          <cell r="S31"/>
          <cell r="T31"/>
          <cell r="U31"/>
          <cell r="V31"/>
          <cell r="W31"/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 t="str">
            <v>m</v>
          </cell>
          <cell r="J32" t="str">
            <v/>
          </cell>
          <cell r="K32" t="e">
            <v>#VALUE!</v>
          </cell>
          <cell r="L32" t="str">
            <v/>
          </cell>
          <cell r="O32"/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 t="str">
            <v>ton</v>
          </cell>
          <cell r="J33">
            <v>39.000999999999998</v>
          </cell>
          <cell r="K33">
            <v>5.5050000000000026</v>
          </cell>
          <cell r="L33">
            <v>44.506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>
            <v>7.375</v>
          </cell>
          <cell r="Y33">
            <v>31.625999999999998</v>
          </cell>
          <cell r="Z33">
            <v>5.5050000000000026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 t="str">
            <v>m</v>
          </cell>
          <cell r="J34">
            <v>0</v>
          </cell>
          <cell r="K34">
            <v>0</v>
          </cell>
          <cell r="L34">
            <v>0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 t="str">
            <v>m²</v>
          </cell>
          <cell r="J35" t="str">
            <v/>
          </cell>
          <cell r="K35" t="e">
            <v>#VALUE!</v>
          </cell>
          <cell r="L35" t="str">
            <v/>
          </cell>
          <cell r="O35"/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 t="str">
            <v>m²</v>
          </cell>
          <cell r="J36" t="str">
            <v/>
          </cell>
          <cell r="K36" t="e">
            <v>#VALUE!</v>
          </cell>
          <cell r="L36" t="str">
            <v/>
          </cell>
          <cell r="O36"/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 t="str">
            <v>m</v>
          </cell>
          <cell r="J37" t="str">
            <v/>
          </cell>
          <cell r="K37" t="e">
            <v>#VALUE!</v>
          </cell>
          <cell r="L37" t="str">
            <v/>
          </cell>
          <cell r="O37"/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 t="str">
            <v>m²</v>
          </cell>
          <cell r="J38" t="str">
            <v/>
          </cell>
          <cell r="K38" t="e">
            <v>#VALUE!</v>
          </cell>
          <cell r="L38" t="str">
            <v/>
          </cell>
          <cell r="O38"/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 t="str">
            <v>m²</v>
          </cell>
          <cell r="J39" t="str">
            <v/>
          </cell>
          <cell r="K39" t="e">
            <v>#VALUE!</v>
          </cell>
          <cell r="L39" t="str">
            <v/>
          </cell>
          <cell r="O39"/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 t="str">
            <v>m²</v>
          </cell>
          <cell r="J40" t="str">
            <v/>
          </cell>
          <cell r="K40" t="e">
            <v>#VALUE!</v>
          </cell>
          <cell r="L40" t="str">
            <v/>
          </cell>
          <cell r="O40"/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 t="str">
            <v>m³</v>
          </cell>
          <cell r="J41" t="str">
            <v/>
          </cell>
          <cell r="K41" t="e">
            <v>#VALUE!</v>
          </cell>
          <cell r="L41" t="str">
            <v/>
          </cell>
          <cell r="O41"/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 t="str">
            <v>m³</v>
          </cell>
          <cell r="J42" t="str">
            <v/>
          </cell>
          <cell r="K42" t="e">
            <v>#VALUE!</v>
          </cell>
          <cell r="L42" t="str">
            <v/>
          </cell>
          <cell r="O42"/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 t="str">
            <v>m³</v>
          </cell>
          <cell r="J43" t="str">
            <v/>
          </cell>
          <cell r="K43" t="e">
            <v>#VALUE!</v>
          </cell>
          <cell r="L43" t="str">
            <v/>
          </cell>
          <cell r="O43"/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 t="str">
            <v>m³</v>
          </cell>
          <cell r="J44" t="str">
            <v/>
          </cell>
          <cell r="K44" t="e">
            <v>#VALUE!</v>
          </cell>
          <cell r="L44" t="str">
            <v/>
          </cell>
          <cell r="O44"/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 t="str">
            <v>ton</v>
          </cell>
          <cell r="J45">
            <v>0.58499999999999996</v>
          </cell>
          <cell r="K45">
            <v>7.6000000000000068E-2</v>
          </cell>
          <cell r="L45">
            <v>0.66100000000000003</v>
          </cell>
          <cell r="O45"/>
          <cell r="P45"/>
          <cell r="Q45"/>
          <cell r="R45"/>
          <cell r="S45"/>
          <cell r="T45"/>
          <cell r="V45"/>
          <cell r="W45"/>
          <cell r="X45">
            <v>0.11</v>
          </cell>
          <cell r="Y45">
            <v>0.47499999999999998</v>
          </cell>
          <cell r="Z45">
            <v>7.6000000000000068E-2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 t="str">
            <v>ton</v>
          </cell>
          <cell r="J46">
            <v>0</v>
          </cell>
          <cell r="K46">
            <v>0</v>
          </cell>
          <cell r="L46">
            <v>0</v>
          </cell>
          <cell r="O46"/>
          <cell r="P46"/>
          <cell r="Q46"/>
          <cell r="R46"/>
          <cell r="S46"/>
          <cell r="T46"/>
          <cell r="V46"/>
          <cell r="W46"/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 t="str">
            <v>ton</v>
          </cell>
          <cell r="J47">
            <v>10.025</v>
          </cell>
          <cell r="K47">
            <v>1.3810000000000002</v>
          </cell>
          <cell r="L47">
            <v>11.406000000000001</v>
          </cell>
          <cell r="O47"/>
          <cell r="P47"/>
          <cell r="Q47"/>
          <cell r="R47"/>
          <cell r="S47"/>
          <cell r="T47"/>
          <cell r="V47"/>
          <cell r="W47"/>
          <cell r="X47">
            <v>2.0830000000000002</v>
          </cell>
          <cell r="Y47">
            <v>7.9420000000000002</v>
          </cell>
          <cell r="Z47">
            <v>1.3810000000000002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 t="str">
            <v>kg</v>
          </cell>
          <cell r="J48" t="str">
            <v/>
          </cell>
          <cell r="K48" t="e">
            <v>#VALUE!</v>
          </cell>
          <cell r="L48" t="str">
            <v/>
          </cell>
          <cell r="O48"/>
          <cell r="P48"/>
          <cell r="Q48"/>
          <cell r="R48"/>
          <cell r="S48"/>
          <cell r="T48"/>
          <cell r="U48"/>
          <cell r="V48"/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 t="str">
            <v>kg</v>
          </cell>
          <cell r="J49" t="str">
            <v/>
          </cell>
          <cell r="K49" t="e">
            <v>#VALUE!</v>
          </cell>
          <cell r="L49" t="str">
            <v/>
          </cell>
          <cell r="O49"/>
          <cell r="P49"/>
          <cell r="Q49"/>
          <cell r="R49"/>
          <cell r="S49"/>
          <cell r="T49"/>
          <cell r="U49"/>
          <cell r="V49"/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1823.653</v>
          </cell>
          <cell r="L20">
            <v>0</v>
          </cell>
          <cell r="M20">
            <v>1823.653</v>
          </cell>
          <cell r="P20"/>
          <cell r="Q20"/>
          <cell r="R20">
            <v>600.09500000000014</v>
          </cell>
          <cell r="S20">
            <v>793.19999999999993</v>
          </cell>
          <cell r="T20">
            <v>420.83999999999992</v>
          </cell>
          <cell r="U20">
            <v>9.5180000000000007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442.10899999999998</v>
          </cell>
          <cell r="L23">
            <v>0</v>
          </cell>
          <cell r="M23">
            <v>442.10899999999998</v>
          </cell>
          <cell r="P23"/>
          <cell r="Q23"/>
          <cell r="R23">
            <v>135.36600000000001</v>
          </cell>
          <cell r="S23">
            <v>173.56100000000004</v>
          </cell>
          <cell r="T23">
            <v>101.77100000000002</v>
          </cell>
          <cell r="U23">
            <v>10.034000000000001</v>
          </cell>
          <cell r="V23">
            <v>0</v>
          </cell>
          <cell r="W23">
            <v>0</v>
          </cell>
          <cell r="X23">
            <v>0</v>
          </cell>
          <cell r="Y23">
            <v>21.376999999999953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248</v>
          </cell>
          <cell r="L27">
            <v>0</v>
          </cell>
          <cell r="M27">
            <v>248</v>
          </cell>
          <cell r="P27"/>
          <cell r="Q27"/>
          <cell r="R27">
            <v>45</v>
          </cell>
          <cell r="S27">
            <v>81</v>
          </cell>
          <cell r="T27">
            <v>122</v>
          </cell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259</v>
          </cell>
          <cell r="L30">
            <v>0</v>
          </cell>
          <cell r="M30">
            <v>259</v>
          </cell>
          <cell r="P30"/>
          <cell r="Q30"/>
          <cell r="R30">
            <v>30</v>
          </cell>
          <cell r="S30">
            <v>54</v>
          </cell>
          <cell r="T30">
            <v>81</v>
          </cell>
          <cell r="U30">
            <v>94</v>
          </cell>
          <cell r="V30"/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1557</v>
          </cell>
          <cell r="L31">
            <v>0</v>
          </cell>
          <cell r="M31">
            <v>1557</v>
          </cell>
          <cell r="P31"/>
          <cell r="Q31"/>
          <cell r="R31">
            <v>396</v>
          </cell>
          <cell r="S31">
            <v>963</v>
          </cell>
          <cell r="T31">
            <v>198</v>
          </cell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83.052999999999997</v>
          </cell>
          <cell r="L33">
            <v>0</v>
          </cell>
          <cell r="M33">
            <v>83.052999999999997</v>
          </cell>
          <cell r="P33"/>
          <cell r="Q33"/>
          <cell r="R33">
            <v>26.831000000000007</v>
          </cell>
          <cell r="S33">
            <v>34.412000000000006</v>
          </cell>
          <cell r="T33">
            <v>19.397000000000002</v>
          </cell>
          <cell r="U33">
            <v>2.4129999999999998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4131</v>
          </cell>
          <cell r="L34">
            <v>0</v>
          </cell>
          <cell r="M34">
            <v>4131</v>
          </cell>
          <cell r="P34"/>
          <cell r="Q34"/>
          <cell r="R34">
            <v>1044</v>
          </cell>
          <cell r="S34">
            <v>2610</v>
          </cell>
          <cell r="T34">
            <v>477</v>
          </cell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6.1459999999999999</v>
          </cell>
          <cell r="L45">
            <v>0</v>
          </cell>
          <cell r="M45">
            <v>6.1459999999999999</v>
          </cell>
          <cell r="P45"/>
          <cell r="Q45"/>
          <cell r="R45">
            <v>1.972</v>
          </cell>
          <cell r="S45">
            <v>2.6669999999999998</v>
          </cell>
          <cell r="T45">
            <v>1.452</v>
          </cell>
          <cell r="U45">
            <v>5.5E-2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28.396000000000001</v>
          </cell>
          <cell r="L47">
            <v>0</v>
          </cell>
          <cell r="M47">
            <v>28.396000000000001</v>
          </cell>
          <cell r="P47"/>
          <cell r="Q47"/>
          <cell r="R47">
            <v>9.016</v>
          </cell>
          <cell r="S47">
            <v>11.376000000000001</v>
          </cell>
          <cell r="T47">
            <v>7.0109999999999992</v>
          </cell>
          <cell r="U47">
            <v>0.99299999999999999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2389.9009999999998</v>
          </cell>
          <cell r="L20">
            <v>0</v>
          </cell>
          <cell r="M20">
            <v>2389.9009999999998</v>
          </cell>
          <cell r="P20"/>
          <cell r="Q20"/>
          <cell r="R20"/>
          <cell r="S20">
            <v>738.83399999999995</v>
          </cell>
          <cell r="T20">
            <v>840.14499999999998</v>
          </cell>
          <cell r="U20">
            <v>647.04300000000001</v>
          </cell>
          <cell r="V20">
            <v>163.87900000000005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502.327</v>
          </cell>
          <cell r="L23">
            <v>0</v>
          </cell>
          <cell r="M23">
            <v>502.327</v>
          </cell>
          <cell r="P23"/>
          <cell r="Q23"/>
          <cell r="R23"/>
          <cell r="S23">
            <v>144.11000000000001</v>
          </cell>
          <cell r="T23">
            <v>168.02500000000001</v>
          </cell>
          <cell r="U23">
            <v>129.71899999999999</v>
          </cell>
          <cell r="V23">
            <v>38.563999999999993</v>
          </cell>
          <cell r="W23">
            <v>0</v>
          </cell>
          <cell r="X23">
            <v>0</v>
          </cell>
          <cell r="Y23">
            <v>21.908999999999992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0</v>
          </cell>
          <cell r="L27">
            <v>0</v>
          </cell>
          <cell r="M27">
            <v>0</v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492</v>
          </cell>
          <cell r="L30">
            <v>0</v>
          </cell>
          <cell r="M30">
            <v>492</v>
          </cell>
          <cell r="P30"/>
          <cell r="Q30"/>
          <cell r="R30"/>
          <cell r="S30">
            <v>45</v>
          </cell>
          <cell r="T30">
            <v>126</v>
          </cell>
          <cell r="U30">
            <v>90</v>
          </cell>
          <cell r="V30"/>
          <cell r="W30">
            <v>0</v>
          </cell>
          <cell r="X30">
            <v>231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2430</v>
          </cell>
          <cell r="L31">
            <v>0</v>
          </cell>
          <cell r="M31">
            <v>2430</v>
          </cell>
          <cell r="P31"/>
          <cell r="Q31"/>
          <cell r="R31"/>
          <cell r="S31">
            <v>810</v>
          </cell>
          <cell r="T31">
            <v>810</v>
          </cell>
          <cell r="U31">
            <v>810</v>
          </cell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92.786000000000001</v>
          </cell>
          <cell r="L33">
            <v>0</v>
          </cell>
          <cell r="M33">
            <v>92.786000000000001</v>
          </cell>
          <cell r="P33"/>
          <cell r="Q33"/>
          <cell r="R33"/>
          <cell r="S33">
            <v>27.157999999999994</v>
          </cell>
          <cell r="T33">
            <v>32.896000000000001</v>
          </cell>
          <cell r="U33">
            <v>25.783000000000001</v>
          </cell>
          <cell r="V33">
            <v>6.9490000000000007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6768</v>
          </cell>
          <cell r="L34">
            <v>0</v>
          </cell>
          <cell r="M34">
            <v>6768</v>
          </cell>
          <cell r="P34"/>
          <cell r="Q34"/>
          <cell r="R34">
            <v>423</v>
          </cell>
          <cell r="S34">
            <v>2115</v>
          </cell>
          <cell r="T34">
            <v>2115</v>
          </cell>
          <cell r="U34">
            <v>2115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4.88</v>
          </cell>
          <cell r="L45">
            <v>0</v>
          </cell>
          <cell r="M45">
            <v>4.88</v>
          </cell>
          <cell r="P45"/>
          <cell r="Q45"/>
          <cell r="R45"/>
          <cell r="S45">
            <v>1.4799999999999998</v>
          </cell>
          <cell r="T45">
            <v>1.7399999999999998</v>
          </cell>
          <cell r="U45">
            <v>1.3119999999999998</v>
          </cell>
          <cell r="V45">
            <v>0.34799999999999998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30.37</v>
          </cell>
          <cell r="L47">
            <v>0</v>
          </cell>
          <cell r="M47">
            <v>30.37</v>
          </cell>
          <cell r="P47"/>
          <cell r="Q47"/>
          <cell r="R47"/>
          <cell r="S47">
            <v>8.66</v>
          </cell>
          <cell r="T47">
            <v>10.575000000000001</v>
          </cell>
          <cell r="U47">
            <v>8.4819999999999993</v>
          </cell>
          <cell r="V47">
            <v>2.6529999999999996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 t="str">
            <v>BİRİM</v>
          </cell>
          <cell r="J19" t="str">
            <v>ÖNCEKİ HAKEDİŞ MİKTARI</v>
          </cell>
          <cell r="K19" t="str">
            <v>BU HAKEDİŞ MİKTARI</v>
          </cell>
          <cell r="L19" t="str">
            <v>TOPLAM HAKEDİŞ MİKTARI</v>
          </cell>
          <cell r="O19" t="str">
            <v>0525</v>
          </cell>
          <cell r="P19" t="str">
            <v>0625</v>
          </cell>
          <cell r="Q19" t="str">
            <v>0725</v>
          </cell>
          <cell r="R19" t="str">
            <v>0825</v>
          </cell>
          <cell r="S19" t="str">
            <v>0925</v>
          </cell>
          <cell r="T19" t="str">
            <v>1025</v>
          </cell>
          <cell r="U19" t="str">
            <v>1125</v>
          </cell>
          <cell r="V19" t="str">
            <v>1225</v>
          </cell>
          <cell r="W19" t="str">
            <v>0126</v>
          </cell>
          <cell r="X19" t="str">
            <v>0226</v>
          </cell>
          <cell r="Y19" t="str">
            <v>0326</v>
          </cell>
          <cell r="Z19" t="str">
            <v>0426</v>
          </cell>
          <cell r="AA19" t="str">
            <v>0526</v>
          </cell>
          <cell r="AB19" t="str">
            <v>0626</v>
          </cell>
          <cell r="AC19" t="str">
            <v>0726</v>
          </cell>
          <cell r="AD19" t="str">
            <v>0826</v>
          </cell>
          <cell r="AE19" t="str">
            <v>0926</v>
          </cell>
          <cell r="AF19" t="str">
            <v>1026</v>
          </cell>
          <cell r="AG19" t="str">
            <v>1126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 t="str">
            <v>m³</v>
          </cell>
          <cell r="J20">
            <v>969.61199999999997</v>
          </cell>
          <cell r="K20">
            <v>191.92999999999995</v>
          </cell>
          <cell r="L20">
            <v>1161.5419999999999</v>
          </cell>
          <cell r="O20"/>
          <cell r="P20"/>
          <cell r="Q20"/>
          <cell r="R20"/>
          <cell r="S20"/>
          <cell r="T20"/>
          <cell r="U20"/>
          <cell r="V20"/>
          <cell r="W20">
            <v>233.72900000000001</v>
          </cell>
          <cell r="X20">
            <v>640.71900000000005</v>
          </cell>
          <cell r="Y20">
            <v>95.163999999999874</v>
          </cell>
          <cell r="Z20">
            <v>191.92999999999995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 t="str">
            <v>m³</v>
          </cell>
          <cell r="J21" t="str">
            <v/>
          </cell>
          <cell r="K21" t="e">
            <v>#VALUE!</v>
          </cell>
          <cell r="L21" t="str">
            <v/>
          </cell>
          <cell r="O21"/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 t="str">
            <v>m³</v>
          </cell>
          <cell r="J22" t="str">
            <v/>
          </cell>
          <cell r="K22" t="e">
            <v>#VALUE!</v>
          </cell>
          <cell r="L22" t="str">
            <v/>
          </cell>
          <cell r="O22"/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 t="str">
            <v>m³</v>
          </cell>
          <cell r="J23">
            <v>142.38900000000001</v>
          </cell>
          <cell r="K23">
            <v>27.145999999999987</v>
          </cell>
          <cell r="L23">
            <v>169.535</v>
          </cell>
          <cell r="O23"/>
          <cell r="P23"/>
          <cell r="Q23"/>
          <cell r="R23"/>
          <cell r="S23"/>
          <cell r="T23"/>
          <cell r="U23"/>
          <cell r="V23"/>
          <cell r="W23">
            <v>34.348999999999997</v>
          </cell>
          <cell r="X23">
            <v>82.02600000000001</v>
          </cell>
          <cell r="Y23">
            <v>26.01400000000001</v>
          </cell>
          <cell r="Z23">
            <v>27.145999999999987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 t="str">
            <v>m</v>
          </cell>
          <cell r="J24" t="str">
            <v/>
          </cell>
          <cell r="K24" t="e">
            <v>#VALUE!</v>
          </cell>
          <cell r="L24" t="str">
            <v/>
          </cell>
          <cell r="O24"/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 t="str">
            <v>m</v>
          </cell>
          <cell r="J25" t="str">
            <v/>
          </cell>
          <cell r="K25" t="e">
            <v>#VALUE!</v>
          </cell>
          <cell r="L25" t="str">
            <v/>
          </cell>
          <cell r="O25"/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 t="str">
            <v>adet</v>
          </cell>
          <cell r="J26" t="str">
            <v/>
          </cell>
          <cell r="K26" t="e">
            <v>#VALUE!</v>
          </cell>
          <cell r="L26" t="str">
            <v/>
          </cell>
          <cell r="O26"/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 t="str">
            <v>adet</v>
          </cell>
          <cell r="J27">
            <v>0</v>
          </cell>
          <cell r="K27">
            <v>0</v>
          </cell>
          <cell r="L27">
            <v>0</v>
          </cell>
          <cell r="O27"/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 t="str">
            <v>adet</v>
          </cell>
          <cell r="J28" t="str">
            <v/>
          </cell>
          <cell r="K28" t="e">
            <v>#VALUE!</v>
          </cell>
          <cell r="L28" t="str">
            <v/>
          </cell>
          <cell r="O28"/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 t="str">
            <v>adet</v>
          </cell>
          <cell r="J29" t="str">
            <v/>
          </cell>
          <cell r="K29" t="e">
            <v>#VALUE!</v>
          </cell>
          <cell r="L29" t="str">
            <v/>
          </cell>
          <cell r="O29"/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 t="str">
            <v>adet</v>
          </cell>
          <cell r="J30">
            <v>237</v>
          </cell>
          <cell r="K30">
            <v>0</v>
          </cell>
          <cell r="L30">
            <v>237</v>
          </cell>
          <cell r="O30"/>
          <cell r="P30"/>
          <cell r="Q30"/>
          <cell r="R30"/>
          <cell r="S30"/>
          <cell r="T30"/>
          <cell r="U30"/>
          <cell r="V30"/>
          <cell r="W30">
            <v>15</v>
          </cell>
          <cell r="X30">
            <v>138</v>
          </cell>
          <cell r="Y30">
            <v>84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 t="str">
            <v>m</v>
          </cell>
          <cell r="J31" t="str">
            <v>0</v>
          </cell>
          <cell r="K31">
            <v>0</v>
          </cell>
          <cell r="L31" t="str">
            <v>0</v>
          </cell>
          <cell r="O31"/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 t="str">
            <v>m</v>
          </cell>
          <cell r="J32" t="str">
            <v/>
          </cell>
          <cell r="K32" t="e">
            <v>#VALUE!</v>
          </cell>
          <cell r="L32" t="str">
            <v/>
          </cell>
          <cell r="O32"/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 t="str">
            <v>ton</v>
          </cell>
          <cell r="J33">
            <v>41.61</v>
          </cell>
          <cell r="K33">
            <v>2.7430000000000021</v>
          </cell>
          <cell r="L33">
            <v>44.353000000000002</v>
          </cell>
          <cell r="O33"/>
          <cell r="P33"/>
          <cell r="Q33"/>
          <cell r="R33"/>
          <cell r="S33"/>
          <cell r="T33"/>
          <cell r="U33"/>
          <cell r="V33"/>
          <cell r="W33">
            <v>10.092000000000001</v>
          </cell>
          <cell r="X33">
            <v>27.426000000000002</v>
          </cell>
          <cell r="Y33">
            <v>4.0919999999999987</v>
          </cell>
          <cell r="Z33">
            <v>2.7430000000000021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 t="str">
            <v>m</v>
          </cell>
          <cell r="J34">
            <v>0</v>
          </cell>
          <cell r="K34">
            <v>0</v>
          </cell>
          <cell r="L34">
            <v>0</v>
          </cell>
          <cell r="O34"/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 t="str">
            <v>m²</v>
          </cell>
          <cell r="J35" t="str">
            <v/>
          </cell>
          <cell r="K35" t="e">
            <v>#VALUE!</v>
          </cell>
          <cell r="L35" t="str">
            <v/>
          </cell>
          <cell r="O35"/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 t="str">
            <v>m²</v>
          </cell>
          <cell r="J36" t="str">
            <v/>
          </cell>
          <cell r="K36" t="e">
            <v>#VALUE!</v>
          </cell>
          <cell r="L36" t="str">
            <v/>
          </cell>
          <cell r="O36"/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 t="str">
            <v>m</v>
          </cell>
          <cell r="J37" t="str">
            <v/>
          </cell>
          <cell r="K37" t="e">
            <v>#VALUE!</v>
          </cell>
          <cell r="L37" t="str">
            <v/>
          </cell>
          <cell r="O37"/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 t="str">
            <v>m²</v>
          </cell>
          <cell r="J38" t="str">
            <v/>
          </cell>
          <cell r="K38" t="e">
            <v>#VALUE!</v>
          </cell>
          <cell r="L38" t="str">
            <v/>
          </cell>
          <cell r="O38"/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 t="str">
            <v>m²</v>
          </cell>
          <cell r="J39" t="str">
            <v/>
          </cell>
          <cell r="K39" t="e">
            <v>#VALUE!</v>
          </cell>
          <cell r="L39" t="str">
            <v/>
          </cell>
          <cell r="O39"/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 t="str">
            <v>m²</v>
          </cell>
          <cell r="J40" t="str">
            <v/>
          </cell>
          <cell r="K40" t="e">
            <v>#VALUE!</v>
          </cell>
          <cell r="L40" t="str">
            <v/>
          </cell>
          <cell r="O40"/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 t="str">
            <v>m³</v>
          </cell>
          <cell r="J41" t="str">
            <v/>
          </cell>
          <cell r="K41" t="e">
            <v>#VALUE!</v>
          </cell>
          <cell r="L41" t="str">
            <v/>
          </cell>
          <cell r="O41"/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 t="str">
            <v>m³</v>
          </cell>
          <cell r="J42" t="str">
            <v/>
          </cell>
          <cell r="K42" t="e">
            <v>#VALUE!</v>
          </cell>
          <cell r="L42" t="str">
            <v/>
          </cell>
          <cell r="O42"/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 t="str">
            <v>m³</v>
          </cell>
          <cell r="J43" t="str">
            <v/>
          </cell>
          <cell r="K43" t="e">
            <v>#VALUE!</v>
          </cell>
          <cell r="L43" t="str">
            <v/>
          </cell>
          <cell r="O43"/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 t="str">
            <v>m³</v>
          </cell>
          <cell r="J44" t="str">
            <v/>
          </cell>
          <cell r="K44" t="e">
            <v>#VALUE!</v>
          </cell>
          <cell r="L44" t="str">
            <v/>
          </cell>
          <cell r="O44"/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 t="str">
            <v>ton</v>
          </cell>
          <cell r="J45">
            <v>1.8380000000000001</v>
          </cell>
          <cell r="K45">
            <v>1.4060000000000001</v>
          </cell>
          <cell r="L45">
            <v>3.2440000000000002</v>
          </cell>
          <cell r="O45"/>
          <cell r="P45"/>
          <cell r="Q45"/>
          <cell r="R45"/>
          <cell r="S45"/>
          <cell r="T45"/>
          <cell r="V45"/>
          <cell r="W45">
            <v>0.44399999999999995</v>
          </cell>
          <cell r="X45">
            <v>1.212</v>
          </cell>
          <cell r="Y45">
            <v>0.182</v>
          </cell>
          <cell r="Z45">
            <v>1.4060000000000004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 t="str">
            <v>ton</v>
          </cell>
          <cell r="J46">
            <v>0</v>
          </cell>
          <cell r="K46">
            <v>0</v>
          </cell>
          <cell r="L46">
            <v>0</v>
          </cell>
          <cell r="O46"/>
          <cell r="P46"/>
          <cell r="Q46"/>
          <cell r="R46"/>
          <cell r="S46"/>
          <cell r="T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 t="str">
            <v>ton</v>
          </cell>
          <cell r="J47">
            <v>10.699</v>
          </cell>
          <cell r="K47">
            <v>1.952</v>
          </cell>
          <cell r="L47">
            <v>12.651</v>
          </cell>
          <cell r="O47"/>
          <cell r="P47"/>
          <cell r="Q47"/>
          <cell r="R47"/>
          <cell r="S47"/>
          <cell r="T47"/>
          <cell r="V47"/>
          <cell r="W47">
            <v>2.7629999999999999</v>
          </cell>
          <cell r="X47">
            <v>6.9009999999999998</v>
          </cell>
          <cell r="Y47">
            <v>1.0350000000000001</v>
          </cell>
          <cell r="Z47">
            <v>1.952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 t="str">
            <v>kg</v>
          </cell>
          <cell r="J48" t="str">
            <v/>
          </cell>
          <cell r="K48" t="e">
            <v>#VALUE!</v>
          </cell>
          <cell r="L48" t="str">
            <v/>
          </cell>
          <cell r="O48"/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 t="str">
            <v>kg</v>
          </cell>
          <cell r="J49" t="str">
            <v/>
          </cell>
          <cell r="K49" t="e">
            <v>#VALUE!</v>
          </cell>
          <cell r="L49" t="str">
            <v/>
          </cell>
          <cell r="O49"/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 t="str">
            <v>BİRİM</v>
          </cell>
          <cell r="J19" t="str">
            <v>ÖNCEKİ HAKEDİŞ MİKTARI</v>
          </cell>
          <cell r="K19" t="str">
            <v>BU HAKEDİŞ MİKTARI</v>
          </cell>
          <cell r="L19" t="str">
            <v>TOPLAM HAKEDİŞ MİKTARI</v>
          </cell>
          <cell r="O19" t="str">
            <v>0525</v>
          </cell>
          <cell r="P19" t="str">
            <v>0625</v>
          </cell>
          <cell r="Q19" t="str">
            <v>0725</v>
          </cell>
          <cell r="R19" t="str">
            <v>0825</v>
          </cell>
          <cell r="S19" t="str">
            <v>0925</v>
          </cell>
          <cell r="T19" t="str">
            <v>1025</v>
          </cell>
          <cell r="U19" t="str">
            <v>1125</v>
          </cell>
          <cell r="V19" t="str">
            <v>1225</v>
          </cell>
          <cell r="W19" t="str">
            <v>0126</v>
          </cell>
          <cell r="X19" t="str">
            <v>0226</v>
          </cell>
          <cell r="Y19" t="str">
            <v>0326</v>
          </cell>
          <cell r="Z19" t="str">
            <v>0426</v>
          </cell>
          <cell r="AA19" t="str">
            <v>0526</v>
          </cell>
          <cell r="AB19" t="str">
            <v>0626</v>
          </cell>
          <cell r="AC19" t="str">
            <v>0726</v>
          </cell>
          <cell r="AD19" t="str">
            <v>0826</v>
          </cell>
          <cell r="AE19" t="str">
            <v>0926</v>
          </cell>
          <cell r="AF19" t="str">
            <v>1026</v>
          </cell>
          <cell r="AG19" t="str">
            <v>1126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 t="str">
            <v>m³</v>
          </cell>
          <cell r="J20">
            <v>799.03399999999999</v>
          </cell>
          <cell r="K20">
            <v>158.21299999999997</v>
          </cell>
          <cell r="L20">
            <v>957.24699999999996</v>
          </cell>
          <cell r="O20"/>
          <cell r="P20"/>
          <cell r="Q20"/>
          <cell r="R20"/>
          <cell r="S20"/>
          <cell r="T20"/>
          <cell r="U20"/>
          <cell r="V20"/>
          <cell r="W20">
            <v>191.90799999999999</v>
          </cell>
          <cell r="X20">
            <v>528.14499999999998</v>
          </cell>
          <cell r="Y20">
            <v>78.980999999999995</v>
          </cell>
          <cell r="Z20">
            <v>158.21299999999997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 t="str">
            <v>m³</v>
          </cell>
          <cell r="J21" t="str">
            <v/>
          </cell>
          <cell r="K21" t="e">
            <v>#VALUE!</v>
          </cell>
          <cell r="L21" t="str">
            <v/>
          </cell>
          <cell r="O21"/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 t="str">
            <v>m³</v>
          </cell>
          <cell r="J22" t="str">
            <v/>
          </cell>
          <cell r="K22" t="e">
            <v>#VALUE!</v>
          </cell>
          <cell r="L22" t="str">
            <v/>
          </cell>
          <cell r="O22"/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 t="str">
            <v>m³</v>
          </cell>
          <cell r="J23">
            <v>141.55099999999999</v>
          </cell>
          <cell r="K23">
            <v>27.158000000000015</v>
          </cell>
          <cell r="L23">
            <v>168.709</v>
          </cell>
          <cell r="O23"/>
          <cell r="P23"/>
          <cell r="Q23"/>
          <cell r="R23"/>
          <cell r="S23"/>
          <cell r="T23"/>
          <cell r="U23"/>
          <cell r="V23"/>
          <cell r="W23">
            <v>33.459000000000003</v>
          </cell>
          <cell r="X23">
            <v>82.066000000000003</v>
          </cell>
          <cell r="Y23">
            <v>26.025999999999982</v>
          </cell>
          <cell r="Z23">
            <v>27.158000000000015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 t="str">
            <v>m</v>
          </cell>
          <cell r="J24" t="str">
            <v/>
          </cell>
          <cell r="K24" t="e">
            <v>#VALUE!</v>
          </cell>
          <cell r="L24" t="str">
            <v/>
          </cell>
          <cell r="O24"/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 t="str">
            <v>m</v>
          </cell>
          <cell r="J25" t="str">
            <v/>
          </cell>
          <cell r="K25" t="e">
            <v>#VALUE!</v>
          </cell>
          <cell r="L25" t="str">
            <v/>
          </cell>
          <cell r="O25"/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 t="str">
            <v>adet</v>
          </cell>
          <cell r="J26" t="str">
            <v/>
          </cell>
          <cell r="K26" t="e">
            <v>#VALUE!</v>
          </cell>
          <cell r="L26" t="str">
            <v/>
          </cell>
          <cell r="O26"/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 t="str">
            <v>adet</v>
          </cell>
          <cell r="J27">
            <v>0</v>
          </cell>
          <cell r="K27">
            <v>0</v>
          </cell>
          <cell r="L27">
            <v>0</v>
          </cell>
          <cell r="O27"/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 t="str">
            <v>adet</v>
          </cell>
          <cell r="J28" t="str">
            <v/>
          </cell>
          <cell r="K28" t="e">
            <v>#VALUE!</v>
          </cell>
          <cell r="L28" t="str">
            <v/>
          </cell>
          <cell r="O28"/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 t="str">
            <v>adet</v>
          </cell>
          <cell r="J29" t="str">
            <v/>
          </cell>
          <cell r="K29" t="e">
            <v>#VALUE!</v>
          </cell>
          <cell r="L29" t="str">
            <v/>
          </cell>
          <cell r="O29"/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 t="str">
            <v>adet</v>
          </cell>
          <cell r="J30">
            <v>270</v>
          </cell>
          <cell r="K30">
            <v>0</v>
          </cell>
          <cell r="L30">
            <v>270</v>
          </cell>
          <cell r="O30"/>
          <cell r="P30"/>
          <cell r="Q30"/>
          <cell r="R30"/>
          <cell r="S30"/>
          <cell r="T30"/>
          <cell r="U30"/>
          <cell r="V30"/>
          <cell r="W30">
            <v>18</v>
          </cell>
          <cell r="X30">
            <v>171</v>
          </cell>
          <cell r="Y30">
            <v>81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 t="str">
            <v>m</v>
          </cell>
          <cell r="J31" t="str">
            <v>0</v>
          </cell>
          <cell r="K31">
            <v>0</v>
          </cell>
          <cell r="L31" t="str">
            <v>0</v>
          </cell>
          <cell r="O31"/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 t="str">
            <v>m</v>
          </cell>
          <cell r="J32" t="str">
            <v/>
          </cell>
          <cell r="K32" t="e">
            <v>#VALUE!</v>
          </cell>
          <cell r="L32" t="str">
            <v/>
          </cell>
          <cell r="O32"/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 t="str">
            <v>ton</v>
          </cell>
          <cell r="J33">
            <v>41.752000000000002</v>
          </cell>
          <cell r="K33">
            <v>2.7519999999999953</v>
          </cell>
          <cell r="L33">
            <v>44.503999999999998</v>
          </cell>
          <cell r="O33"/>
          <cell r="P33"/>
          <cell r="Q33"/>
          <cell r="R33"/>
          <cell r="S33"/>
          <cell r="T33"/>
          <cell r="U33"/>
          <cell r="V33"/>
          <cell r="W33">
            <v>10.125</v>
          </cell>
          <cell r="X33">
            <v>27.520000000000003</v>
          </cell>
          <cell r="Y33">
            <v>4.1069999999999993</v>
          </cell>
          <cell r="Z33">
            <v>2.7519999999999953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 t="str">
            <v>m</v>
          </cell>
          <cell r="J34" t="str">
            <v>0</v>
          </cell>
          <cell r="K34">
            <v>0</v>
          </cell>
          <cell r="L34" t="str">
            <v>0</v>
          </cell>
          <cell r="O34"/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 t="str">
            <v>m²</v>
          </cell>
          <cell r="J35" t="str">
            <v/>
          </cell>
          <cell r="K35" t="e">
            <v>#VALUE!</v>
          </cell>
          <cell r="L35" t="str">
            <v/>
          </cell>
          <cell r="O35"/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 t="str">
            <v>m²</v>
          </cell>
          <cell r="J36" t="str">
            <v/>
          </cell>
          <cell r="K36" t="e">
            <v>#VALUE!</v>
          </cell>
          <cell r="L36" t="str">
            <v/>
          </cell>
          <cell r="O36"/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 t="str">
            <v>m</v>
          </cell>
          <cell r="J37" t="str">
            <v/>
          </cell>
          <cell r="K37" t="e">
            <v>#VALUE!</v>
          </cell>
          <cell r="L37" t="str">
            <v/>
          </cell>
          <cell r="O37"/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 t="str">
            <v>m²</v>
          </cell>
          <cell r="J38" t="str">
            <v/>
          </cell>
          <cell r="K38" t="e">
            <v>#VALUE!</v>
          </cell>
          <cell r="L38" t="str">
            <v/>
          </cell>
          <cell r="O38"/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 t="str">
            <v>m²</v>
          </cell>
          <cell r="J39" t="str">
            <v/>
          </cell>
          <cell r="K39" t="e">
            <v>#VALUE!</v>
          </cell>
          <cell r="L39" t="str">
            <v/>
          </cell>
          <cell r="O39"/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 t="str">
            <v>m²</v>
          </cell>
          <cell r="J40" t="str">
            <v/>
          </cell>
          <cell r="K40" t="e">
            <v>#VALUE!</v>
          </cell>
          <cell r="L40" t="str">
            <v/>
          </cell>
          <cell r="O40"/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 t="str">
            <v>m³</v>
          </cell>
          <cell r="J41" t="str">
            <v/>
          </cell>
          <cell r="K41" t="e">
            <v>#VALUE!</v>
          </cell>
          <cell r="L41" t="str">
            <v/>
          </cell>
          <cell r="O41"/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 t="str">
            <v>m³</v>
          </cell>
          <cell r="J42" t="str">
            <v/>
          </cell>
          <cell r="K42" t="e">
            <v>#VALUE!</v>
          </cell>
          <cell r="L42" t="str">
            <v/>
          </cell>
          <cell r="O42"/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 t="str">
            <v>m³</v>
          </cell>
          <cell r="J43" t="str">
            <v/>
          </cell>
          <cell r="K43" t="e">
            <v>#VALUE!</v>
          </cell>
          <cell r="L43" t="str">
            <v/>
          </cell>
          <cell r="O43"/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 t="str">
            <v>m³</v>
          </cell>
          <cell r="J44" t="str">
            <v/>
          </cell>
          <cell r="K44" t="e">
            <v>#VALUE!</v>
          </cell>
          <cell r="L44" t="str">
            <v/>
          </cell>
          <cell r="O44"/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 t="str">
            <v>ton</v>
          </cell>
          <cell r="J45">
            <v>0.626</v>
          </cell>
          <cell r="K45">
            <v>3.400000000000003E-2</v>
          </cell>
          <cell r="L45">
            <v>0.66</v>
          </cell>
          <cell r="O45"/>
          <cell r="P45"/>
          <cell r="Q45"/>
          <cell r="R45"/>
          <cell r="S45"/>
          <cell r="T45"/>
          <cell r="V45"/>
          <cell r="W45">
            <v>0.151</v>
          </cell>
          <cell r="X45">
            <v>0.41299999999999998</v>
          </cell>
          <cell r="Y45">
            <v>6.2E-2</v>
          </cell>
          <cell r="Z45">
            <v>3.4000000000000141E-2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 t="str">
            <v>ton</v>
          </cell>
          <cell r="J46">
            <v>0</v>
          </cell>
          <cell r="K46">
            <v>0</v>
          </cell>
          <cell r="L46">
            <v>0</v>
          </cell>
          <cell r="O46"/>
          <cell r="P46"/>
          <cell r="Q46"/>
          <cell r="R46"/>
          <cell r="S46"/>
          <cell r="T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 t="str">
            <v>ton</v>
          </cell>
          <cell r="J47">
            <v>10.707000000000001</v>
          </cell>
          <cell r="K47">
            <v>1.9539999999999988</v>
          </cell>
          <cell r="L47">
            <v>12.661</v>
          </cell>
          <cell r="O47"/>
          <cell r="P47"/>
          <cell r="Q47"/>
          <cell r="R47"/>
          <cell r="S47"/>
          <cell r="T47"/>
          <cell r="V47"/>
          <cell r="W47">
            <v>2.7650000000000001</v>
          </cell>
          <cell r="X47">
            <v>6.9059999999999988</v>
          </cell>
          <cell r="Y47">
            <v>1.0360000000000014</v>
          </cell>
          <cell r="Z47">
            <v>1.9539999999999988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 t="str">
            <v>kg</v>
          </cell>
          <cell r="J48" t="str">
            <v/>
          </cell>
          <cell r="K48" t="e">
            <v>#VALUE!</v>
          </cell>
          <cell r="L48" t="str">
            <v/>
          </cell>
          <cell r="O48"/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 t="str">
            <v>kg</v>
          </cell>
          <cell r="J49" t="str">
            <v/>
          </cell>
          <cell r="K49" t="e">
            <v>#VALUE!</v>
          </cell>
          <cell r="L49" t="str">
            <v/>
          </cell>
          <cell r="O49"/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354.87</v>
          </cell>
          <cell r="L20">
            <v>0</v>
          </cell>
          <cell r="M20">
            <v>354.87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>
            <v>0</v>
          </cell>
          <cell r="Y20">
            <v>354.87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83.593999999999994</v>
          </cell>
          <cell r="L23">
            <v>0</v>
          </cell>
          <cell r="M23">
            <v>83.593999999999994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>
            <v>0</v>
          </cell>
          <cell r="Y23">
            <v>79.956999999999994</v>
          </cell>
          <cell r="Z23">
            <v>3.6370000000000005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175</v>
          </cell>
          <cell r="L29">
            <v>0</v>
          </cell>
          <cell r="M29">
            <v>175</v>
          </cell>
          <cell r="P29"/>
          <cell r="Q29"/>
          <cell r="R29"/>
          <cell r="S29"/>
          <cell r="T29"/>
          <cell r="U29"/>
          <cell r="V29"/>
          <cell r="W29"/>
          <cell r="X29">
            <v>0</v>
          </cell>
          <cell r="Y29">
            <v>0</v>
          </cell>
          <cell r="Z29">
            <v>175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</v>
          </cell>
          <cell r="L30">
            <v>0</v>
          </cell>
          <cell r="M30">
            <v>22</v>
          </cell>
          <cell r="P30"/>
          <cell r="Q30"/>
          <cell r="R30"/>
          <cell r="S30"/>
          <cell r="T30"/>
          <cell r="U30"/>
          <cell r="V30"/>
          <cell r="W30"/>
          <cell r="X30">
            <v>22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/>
          <cell r="U31"/>
          <cell r="V31"/>
          <cell r="W31"/>
          <cell r="X31">
            <v>0</v>
          </cell>
          <cell r="Y31">
            <v>360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8.8520000000000003</v>
          </cell>
          <cell r="L33">
            <v>0</v>
          </cell>
          <cell r="M33">
            <v>8.8520000000000003</v>
          </cell>
          <cell r="P33"/>
          <cell r="Q33"/>
          <cell r="R33"/>
          <cell r="S33"/>
          <cell r="T33"/>
          <cell r="U33"/>
          <cell r="V33"/>
          <cell r="W33"/>
          <cell r="X33">
            <v>0</v>
          </cell>
          <cell r="Y33">
            <v>8.8520000000000003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666</v>
          </cell>
          <cell r="L34">
            <v>0</v>
          </cell>
          <cell r="M34">
            <v>666</v>
          </cell>
          <cell r="P34"/>
          <cell r="Q34"/>
          <cell r="R34"/>
          <cell r="S34"/>
          <cell r="T34"/>
          <cell r="U34"/>
          <cell r="V34"/>
          <cell r="W34"/>
          <cell r="X34">
            <v>0</v>
          </cell>
          <cell r="Y34">
            <v>666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0.498</v>
          </cell>
          <cell r="L45">
            <v>0</v>
          </cell>
          <cell r="M45">
            <v>0.498</v>
          </cell>
          <cell r="P45"/>
          <cell r="Q45"/>
          <cell r="R45"/>
          <cell r="S45"/>
          <cell r="T45"/>
          <cell r="U45"/>
          <cell r="V45"/>
          <cell r="W45"/>
          <cell r="X45">
            <v>0</v>
          </cell>
          <cell r="Y45">
            <v>0.498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4.109</v>
          </cell>
          <cell r="L47">
            <v>0</v>
          </cell>
          <cell r="M47">
            <v>4.109</v>
          </cell>
          <cell r="O47"/>
          <cell r="P47"/>
          <cell r="Q47"/>
          <cell r="R47"/>
          <cell r="S47"/>
          <cell r="T47"/>
          <cell r="U47"/>
          <cell r="V47"/>
          <cell r="W47"/>
          <cell r="X47">
            <v>0</v>
          </cell>
          <cell r="Y47">
            <v>4.109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83.763999999999996</v>
          </cell>
          <cell r="L20">
            <v>0</v>
          </cell>
          <cell r="M20">
            <v>83.763999999999996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>
            <v>83.763999999999996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21.931999999999999</v>
          </cell>
          <cell r="L23">
            <v>0</v>
          </cell>
          <cell r="M23">
            <v>21.931999999999999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>
            <v>21.931999999999999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>0</v>
          </cell>
          <cell r="L27">
            <v>0</v>
          </cell>
          <cell r="M27" t="str">
            <v>0</v>
          </cell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0</v>
          </cell>
          <cell r="L29">
            <v>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18</v>
          </cell>
          <cell r="L30">
            <v>0</v>
          </cell>
          <cell r="M30">
            <v>18</v>
          </cell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>
            <v>18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4.383</v>
          </cell>
          <cell r="L33">
            <v>0</v>
          </cell>
          <cell r="M33">
            <v>4.383</v>
          </cell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>
            <v>4.383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>
            <v>8.6999999999999994E-2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0.97</v>
          </cell>
          <cell r="L47">
            <v>0</v>
          </cell>
          <cell r="M47">
            <v>0.97</v>
          </cell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>
            <v>0.97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354.87</v>
          </cell>
          <cell r="L20">
            <v>0</v>
          </cell>
          <cell r="M20">
            <v>354.87</v>
          </cell>
          <cell r="O20"/>
          <cell r="P20"/>
          <cell r="Q20"/>
          <cell r="R20"/>
          <cell r="S20"/>
          <cell r="T20"/>
          <cell r="U20"/>
          <cell r="V20">
            <v>344.86</v>
          </cell>
          <cell r="W20">
            <v>10.009999999999991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83.165000000000006</v>
          </cell>
          <cell r="L23">
            <v>0</v>
          </cell>
          <cell r="M23">
            <v>83.165000000000006</v>
          </cell>
          <cell r="O23"/>
          <cell r="P23"/>
          <cell r="Q23"/>
          <cell r="R23"/>
          <cell r="S23"/>
          <cell r="T23"/>
          <cell r="U23"/>
          <cell r="V23">
            <v>69.518000000000001</v>
          </cell>
          <cell r="W23">
            <v>10.010000000000005</v>
          </cell>
          <cell r="X23">
            <v>0</v>
          </cell>
          <cell r="Y23">
            <v>3.6370000000000005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175</v>
          </cell>
          <cell r="L29">
            <v>0</v>
          </cell>
          <cell r="M29">
            <v>175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175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</v>
          </cell>
          <cell r="L30">
            <v>0</v>
          </cell>
          <cell r="M30">
            <v>22</v>
          </cell>
          <cell r="P30"/>
          <cell r="Q30"/>
          <cell r="R30"/>
          <cell r="S30"/>
          <cell r="T30"/>
          <cell r="U30"/>
          <cell r="V30">
            <v>22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/>
          <cell r="U31"/>
          <cell r="V31">
            <v>180</v>
          </cell>
          <cell r="W31">
            <v>180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8.8520000000000003</v>
          </cell>
          <cell r="L33">
            <v>0</v>
          </cell>
          <cell r="M33">
            <v>8.8520000000000003</v>
          </cell>
          <cell r="P33"/>
          <cell r="Q33"/>
          <cell r="R33"/>
          <cell r="S33"/>
          <cell r="T33"/>
          <cell r="U33"/>
          <cell r="V33">
            <v>8.8520000000000003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666</v>
          </cell>
          <cell r="L34">
            <v>0</v>
          </cell>
          <cell r="M34">
            <v>666</v>
          </cell>
          <cell r="P34"/>
          <cell r="Q34"/>
          <cell r="R34"/>
          <cell r="S34"/>
          <cell r="T34"/>
          <cell r="U34"/>
          <cell r="V34">
            <v>666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0.498</v>
          </cell>
          <cell r="L45">
            <v>0</v>
          </cell>
          <cell r="M45">
            <v>0.498</v>
          </cell>
          <cell r="P45"/>
          <cell r="Q45"/>
          <cell r="R45"/>
          <cell r="S45"/>
          <cell r="T45"/>
          <cell r="U45"/>
          <cell r="V45">
            <v>0.56299999999999994</v>
          </cell>
          <cell r="W45">
            <v>0</v>
          </cell>
          <cell r="X45">
            <v>-6.4999999999999891E-2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3.9039999999999999</v>
          </cell>
          <cell r="L47">
            <v>0</v>
          </cell>
          <cell r="M47">
            <v>3.9039999999999999</v>
          </cell>
          <cell r="O47"/>
          <cell r="P47"/>
          <cell r="Q47"/>
          <cell r="R47"/>
          <cell r="S47"/>
          <cell r="T47"/>
          <cell r="U47"/>
          <cell r="V47">
            <v>3.0309999999999997</v>
          </cell>
          <cell r="W47">
            <v>0.87300000000000022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83.763999999999996</v>
          </cell>
          <cell r="L20">
            <v>0</v>
          </cell>
          <cell r="M20">
            <v>83.763999999999996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>
            <v>83.763999999999996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18.341999999999999</v>
          </cell>
          <cell r="L23">
            <v>0</v>
          </cell>
          <cell r="M23">
            <v>18.341999999999999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>
            <v>16.507999999999999</v>
          </cell>
          <cell r="Y23">
            <v>1.8339999999999996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>0</v>
          </cell>
          <cell r="L27">
            <v>0</v>
          </cell>
          <cell r="M27" t="str">
            <v>0</v>
          </cell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0</v>
          </cell>
          <cell r="L29">
            <v>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/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</v>
          </cell>
          <cell r="L30">
            <v>0</v>
          </cell>
          <cell r="M30">
            <v>22</v>
          </cell>
          <cell r="P30"/>
          <cell r="Q30"/>
          <cell r="R30"/>
          <cell r="S30"/>
          <cell r="T30"/>
          <cell r="U30"/>
          <cell r="V30"/>
          <cell r="W30"/>
          <cell r="X30">
            <v>22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/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4.383</v>
          </cell>
          <cell r="L33">
            <v>0</v>
          </cell>
          <cell r="M33">
            <v>4.383</v>
          </cell>
          <cell r="P33"/>
          <cell r="Q33"/>
          <cell r="R33"/>
          <cell r="S33"/>
          <cell r="T33"/>
          <cell r="U33"/>
          <cell r="V33"/>
          <cell r="W33"/>
          <cell r="X33">
            <v>4.383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/>
          <cell r="V45"/>
          <cell r="W45"/>
          <cell r="X45">
            <v>8.6999999999999994E-2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0.84599999999999997</v>
          </cell>
          <cell r="L47">
            <v>0</v>
          </cell>
          <cell r="M47">
            <v>0.84599999999999997</v>
          </cell>
          <cell r="O47"/>
          <cell r="P47"/>
          <cell r="Q47"/>
          <cell r="R47"/>
          <cell r="S47"/>
          <cell r="T47"/>
          <cell r="U47"/>
          <cell r="V47"/>
          <cell r="W47"/>
          <cell r="X47">
            <v>0.84599999999999997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354.87</v>
          </cell>
          <cell r="L20">
            <v>0</v>
          </cell>
          <cell r="M20">
            <v>354.87</v>
          </cell>
          <cell r="O20"/>
          <cell r="P20"/>
          <cell r="Q20"/>
          <cell r="R20"/>
          <cell r="S20"/>
          <cell r="T20"/>
          <cell r="U20"/>
          <cell r="V20"/>
          <cell r="W20">
            <v>25.29</v>
          </cell>
          <cell r="X20">
            <v>329.58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99.96</v>
          </cell>
          <cell r="L23">
            <v>0</v>
          </cell>
          <cell r="M23">
            <v>99.96</v>
          </cell>
          <cell r="O23"/>
          <cell r="P23"/>
          <cell r="Q23"/>
          <cell r="R23"/>
          <cell r="S23"/>
          <cell r="T23"/>
          <cell r="U23"/>
          <cell r="V23"/>
          <cell r="W23">
            <v>21.003</v>
          </cell>
          <cell r="X23">
            <v>75.319999999999993</v>
          </cell>
          <cell r="Y23">
            <v>0</v>
          </cell>
          <cell r="Z23">
            <v>3.6370000000000005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175</v>
          </cell>
          <cell r="L29">
            <v>0</v>
          </cell>
          <cell r="M29">
            <v>175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175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20</v>
          </cell>
          <cell r="L30">
            <v>0</v>
          </cell>
          <cell r="M30">
            <v>20</v>
          </cell>
          <cell r="P30"/>
          <cell r="Q30"/>
          <cell r="R30"/>
          <cell r="S30"/>
          <cell r="T30"/>
          <cell r="U30"/>
          <cell r="V30"/>
          <cell r="W30">
            <v>20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360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8.8510000000000009</v>
          </cell>
          <cell r="L33">
            <v>0</v>
          </cell>
          <cell r="M33">
            <v>8.8510000000000009</v>
          </cell>
          <cell r="P33"/>
          <cell r="Q33"/>
          <cell r="R33"/>
          <cell r="S33"/>
          <cell r="T33"/>
          <cell r="U33"/>
          <cell r="V33"/>
          <cell r="W33">
            <v>1.5609999999999999</v>
          </cell>
          <cell r="X33">
            <v>7.2900000000000009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666</v>
          </cell>
          <cell r="L34">
            <v>0</v>
          </cell>
          <cell r="M34">
            <v>666</v>
          </cell>
          <cell r="P34"/>
          <cell r="Q34"/>
          <cell r="R34"/>
          <cell r="S34"/>
          <cell r="T34"/>
          <cell r="U34"/>
          <cell r="V34"/>
          <cell r="W34">
            <v>333</v>
          </cell>
          <cell r="X34">
            <v>333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0.498</v>
          </cell>
          <cell r="L45">
            <v>0</v>
          </cell>
          <cell r="M45">
            <v>0.498</v>
          </cell>
          <cell r="O45"/>
          <cell r="P45"/>
          <cell r="Q45"/>
          <cell r="R45"/>
          <cell r="S45"/>
          <cell r="T45"/>
          <cell r="U45"/>
          <cell r="V45"/>
          <cell r="W45">
            <v>4.4999999999999998E-2</v>
          </cell>
          <cell r="X45">
            <v>0.45300000000000001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4.1079999999999997</v>
          </cell>
          <cell r="L47">
            <v>0</v>
          </cell>
          <cell r="M47">
            <v>4.1079999999999997</v>
          </cell>
          <cell r="O47"/>
          <cell r="P47"/>
          <cell r="Q47"/>
          <cell r="R47"/>
          <cell r="S47"/>
          <cell r="T47"/>
          <cell r="U47"/>
          <cell r="V47"/>
          <cell r="W47">
            <v>0.154</v>
          </cell>
          <cell r="X47">
            <v>3.9539999999999997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83.763999999999996</v>
          </cell>
          <cell r="L20">
            <v>0</v>
          </cell>
          <cell r="M20">
            <v>83.763999999999996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>
            <v>83.763999999999996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21.931999999999999</v>
          </cell>
          <cell r="L23">
            <v>0</v>
          </cell>
          <cell r="M23">
            <v>21.931999999999999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>
            <v>21.931999999999999</v>
          </cell>
          <cell r="Y23"/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>0</v>
          </cell>
          <cell r="L27">
            <v>0</v>
          </cell>
          <cell r="M27" t="str">
            <v>0</v>
          </cell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0</v>
          </cell>
          <cell r="L29">
            <v>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/>
          <cell r="X29">
            <v>175</v>
          </cell>
          <cell r="Y29">
            <v>-175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0</v>
          </cell>
          <cell r="L30">
            <v>20</v>
          </cell>
          <cell r="M30">
            <v>20</v>
          </cell>
          <cell r="P30"/>
          <cell r="Q30"/>
          <cell r="R30"/>
          <cell r="S30"/>
          <cell r="T30"/>
          <cell r="U30"/>
          <cell r="V30"/>
          <cell r="W30"/>
          <cell r="X30">
            <v>0</v>
          </cell>
          <cell r="Y30">
            <v>0</v>
          </cell>
          <cell r="Z30">
            <v>0</v>
          </cell>
          <cell r="AA30">
            <v>20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/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4.383</v>
          </cell>
          <cell r="L33">
            <v>0</v>
          </cell>
          <cell r="M33">
            <v>4.383</v>
          </cell>
          <cell r="P33"/>
          <cell r="Q33"/>
          <cell r="R33"/>
          <cell r="S33"/>
          <cell r="T33"/>
          <cell r="U33"/>
          <cell r="V33"/>
          <cell r="W33"/>
          <cell r="X33">
            <v>4.383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/>
          <cell r="V45"/>
          <cell r="W45"/>
          <cell r="X45">
            <v>8.6999999999999994E-2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0.97</v>
          </cell>
          <cell r="L47">
            <v>0</v>
          </cell>
          <cell r="M47">
            <v>0.97</v>
          </cell>
          <cell r="O47"/>
          <cell r="P47"/>
          <cell r="Q47"/>
          <cell r="R47"/>
          <cell r="S47"/>
          <cell r="T47"/>
          <cell r="U47"/>
          <cell r="V47"/>
          <cell r="W47"/>
          <cell r="X47">
            <v>0.97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343.375</v>
          </cell>
          <cell r="L20">
            <v>0</v>
          </cell>
          <cell r="M20">
            <v>343.375</v>
          </cell>
          <cell r="O20"/>
          <cell r="P20"/>
          <cell r="Q20"/>
          <cell r="R20"/>
          <cell r="S20"/>
          <cell r="T20"/>
          <cell r="U20"/>
          <cell r="V20">
            <v>229.90700000000001</v>
          </cell>
          <cell r="W20">
            <v>113.46799999999999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71.668000000000006</v>
          </cell>
          <cell r="L23">
            <v>0</v>
          </cell>
          <cell r="M23">
            <v>71.668000000000006</v>
          </cell>
          <cell r="O23"/>
          <cell r="P23"/>
          <cell r="Q23"/>
          <cell r="R23"/>
          <cell r="S23"/>
          <cell r="T23"/>
          <cell r="U23"/>
          <cell r="V23">
            <v>33.706000000000003</v>
          </cell>
          <cell r="W23">
            <v>34.325000000000003</v>
          </cell>
          <cell r="X23">
            <v>0</v>
          </cell>
          <cell r="Y23">
            <v>3.6370000000000005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175</v>
          </cell>
          <cell r="L29">
            <v>0</v>
          </cell>
          <cell r="M29">
            <v>175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175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20</v>
          </cell>
          <cell r="L30">
            <v>0</v>
          </cell>
          <cell r="M30">
            <v>20</v>
          </cell>
          <cell r="P30"/>
          <cell r="Q30"/>
          <cell r="R30"/>
          <cell r="S30"/>
          <cell r="T30"/>
          <cell r="U30"/>
          <cell r="V30"/>
          <cell r="W30">
            <v>0</v>
          </cell>
          <cell r="X30">
            <v>20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/>
          <cell r="U31"/>
          <cell r="V31">
            <v>180</v>
          </cell>
          <cell r="W31">
            <v>180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8.8529999999999998</v>
          </cell>
          <cell r="L33">
            <v>0</v>
          </cell>
          <cell r="M33">
            <v>8.8529999999999998</v>
          </cell>
          <cell r="P33"/>
          <cell r="Q33"/>
          <cell r="R33"/>
          <cell r="S33"/>
          <cell r="T33"/>
          <cell r="U33"/>
          <cell r="V33">
            <v>6.3670000000000009</v>
          </cell>
          <cell r="W33">
            <v>2.4859999999999989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666</v>
          </cell>
          <cell r="L34">
            <v>0</v>
          </cell>
          <cell r="M34">
            <v>666</v>
          </cell>
          <cell r="P34"/>
          <cell r="Q34"/>
          <cell r="R34"/>
          <cell r="S34"/>
          <cell r="T34"/>
          <cell r="U34"/>
          <cell r="V34">
            <v>666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0.498</v>
          </cell>
          <cell r="L45">
            <v>0</v>
          </cell>
          <cell r="M45">
            <v>0.498</v>
          </cell>
          <cell r="P45"/>
          <cell r="Q45"/>
          <cell r="R45"/>
          <cell r="S45"/>
          <cell r="T45"/>
          <cell r="U45"/>
          <cell r="V45">
            <v>0.42799999999999999</v>
          </cell>
          <cell r="W45">
            <v>0.13499999999999995</v>
          </cell>
          <cell r="X45">
            <v>-6.4999999999999947E-2</v>
          </cell>
          <cell r="Y45"/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3.9039999999999999</v>
          </cell>
          <cell r="L47">
            <v>0</v>
          </cell>
          <cell r="M47">
            <v>3.9039999999999999</v>
          </cell>
          <cell r="O47"/>
          <cell r="P47"/>
          <cell r="Q47"/>
          <cell r="R47"/>
          <cell r="S47"/>
          <cell r="T47"/>
          <cell r="U47"/>
          <cell r="V47">
            <v>1.6850000000000001</v>
          </cell>
          <cell r="W47">
            <v>2.2189999999999999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83.763999999999996</v>
          </cell>
          <cell r="L20">
            <v>0</v>
          </cell>
          <cell r="M20">
            <v>83.763999999999996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>
            <v>83.763999999999996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21.931999999999999</v>
          </cell>
          <cell r="L23">
            <v>0</v>
          </cell>
          <cell r="M23">
            <v>21.931999999999999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>
            <v>20.097999999999999</v>
          </cell>
          <cell r="Y23">
            <v>1.8339999999999996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>0</v>
          </cell>
          <cell r="L27">
            <v>0</v>
          </cell>
          <cell r="M27" t="str">
            <v>0</v>
          </cell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0</v>
          </cell>
          <cell r="L29">
            <v>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/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</v>
          </cell>
          <cell r="L30">
            <v>0</v>
          </cell>
          <cell r="M30">
            <v>22</v>
          </cell>
          <cell r="P30"/>
          <cell r="Q30"/>
          <cell r="R30"/>
          <cell r="S30"/>
          <cell r="T30"/>
          <cell r="U30"/>
          <cell r="V30"/>
          <cell r="W30"/>
          <cell r="X30">
            <v>0</v>
          </cell>
          <cell r="Y30">
            <v>22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/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4.383</v>
          </cell>
          <cell r="L33">
            <v>0</v>
          </cell>
          <cell r="M33">
            <v>4.383</v>
          </cell>
          <cell r="P33"/>
          <cell r="Q33"/>
          <cell r="R33"/>
          <cell r="S33"/>
          <cell r="T33"/>
          <cell r="U33"/>
          <cell r="V33"/>
          <cell r="W33"/>
          <cell r="X33">
            <v>4.383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/>
          <cell r="V45"/>
          <cell r="W45"/>
          <cell r="X45">
            <v>8.6999999999999994E-2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0.97</v>
          </cell>
          <cell r="L47">
            <v>0</v>
          </cell>
          <cell r="M47">
            <v>0.97</v>
          </cell>
          <cell r="O47"/>
          <cell r="P47"/>
          <cell r="Q47"/>
          <cell r="R47"/>
          <cell r="S47"/>
          <cell r="T47"/>
          <cell r="U47"/>
          <cell r="V47"/>
          <cell r="W47"/>
          <cell r="X47">
            <v>0.97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352.57100000000003</v>
          </cell>
          <cell r="L20">
            <v>0</v>
          </cell>
          <cell r="M20">
            <v>352.57100000000003</v>
          </cell>
          <cell r="O20"/>
          <cell r="P20"/>
          <cell r="Q20"/>
          <cell r="R20"/>
          <cell r="S20"/>
          <cell r="T20"/>
          <cell r="U20"/>
          <cell r="V20">
            <v>342.56099999999992</v>
          </cell>
          <cell r="W20">
            <v>10.010000000000105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80.866</v>
          </cell>
          <cell r="L23">
            <v>0</v>
          </cell>
          <cell r="M23">
            <v>80.866</v>
          </cell>
          <cell r="O23"/>
          <cell r="P23"/>
          <cell r="Q23"/>
          <cell r="R23"/>
          <cell r="S23"/>
          <cell r="T23"/>
          <cell r="U23"/>
          <cell r="V23">
            <v>67.218999999999994</v>
          </cell>
          <cell r="W23">
            <v>10.010000000000005</v>
          </cell>
          <cell r="X23">
            <v>0</v>
          </cell>
          <cell r="Y23">
            <v>3.6370000000000005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175</v>
          </cell>
          <cell r="L29">
            <v>0</v>
          </cell>
          <cell r="M29">
            <v>175</v>
          </cell>
          <cell r="P29"/>
          <cell r="Q29"/>
          <cell r="R29"/>
          <cell r="S29"/>
          <cell r="T29"/>
          <cell r="U29"/>
          <cell r="V29"/>
          <cell r="W29">
            <v>175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20</v>
          </cell>
          <cell r="L30">
            <v>0</v>
          </cell>
          <cell r="M30">
            <v>20</v>
          </cell>
          <cell r="P30"/>
          <cell r="Q30"/>
          <cell r="R30"/>
          <cell r="S30"/>
          <cell r="T30"/>
          <cell r="U30"/>
          <cell r="V30"/>
          <cell r="W30">
            <v>0</v>
          </cell>
          <cell r="X30">
            <v>20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/>
          <cell r="U31"/>
          <cell r="V31">
            <v>180</v>
          </cell>
          <cell r="W31">
            <v>180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8.8520000000000003</v>
          </cell>
          <cell r="L33">
            <v>0</v>
          </cell>
          <cell r="M33">
            <v>8.8520000000000003</v>
          </cell>
          <cell r="P33"/>
          <cell r="Q33"/>
          <cell r="R33"/>
          <cell r="S33"/>
          <cell r="T33"/>
          <cell r="U33"/>
          <cell r="V33">
            <v>8.8520000000000003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666</v>
          </cell>
          <cell r="L34">
            <v>0</v>
          </cell>
          <cell r="M34">
            <v>666</v>
          </cell>
          <cell r="P34"/>
          <cell r="Q34"/>
          <cell r="R34"/>
          <cell r="S34"/>
          <cell r="T34"/>
          <cell r="U34"/>
          <cell r="V34">
            <v>666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0.498</v>
          </cell>
          <cell r="L45">
            <v>0</v>
          </cell>
          <cell r="M45">
            <v>0.498</v>
          </cell>
          <cell r="P45"/>
          <cell r="Q45"/>
          <cell r="R45"/>
          <cell r="S45"/>
          <cell r="T45"/>
          <cell r="U45"/>
          <cell r="V45">
            <v>0.56299999999999994</v>
          </cell>
          <cell r="W45">
            <v>0</v>
          </cell>
          <cell r="X45">
            <v>-6.4999999999999947E-2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3.9039999999999999</v>
          </cell>
          <cell r="L47">
            <v>0</v>
          </cell>
          <cell r="M47">
            <v>3.9039999999999999</v>
          </cell>
          <cell r="O47"/>
          <cell r="P47"/>
          <cell r="Q47"/>
          <cell r="R47"/>
          <cell r="S47"/>
          <cell r="T47"/>
          <cell r="U47"/>
          <cell r="V47">
            <v>3.0309999999999997</v>
          </cell>
          <cell r="W47">
            <v>0.87300000000000022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83.763999999999996</v>
          </cell>
          <cell r="L20">
            <v>0</v>
          </cell>
          <cell r="M20">
            <v>83.763999999999996</v>
          </cell>
          <cell r="O20"/>
          <cell r="P20"/>
          <cell r="Q20"/>
          <cell r="R20"/>
          <cell r="S20"/>
          <cell r="T20"/>
          <cell r="U20"/>
          <cell r="V20"/>
          <cell r="W20">
            <v>83.763999999999996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21.931999999999999</v>
          </cell>
          <cell r="L23">
            <v>0</v>
          </cell>
          <cell r="M23">
            <v>21.931999999999999</v>
          </cell>
          <cell r="O23"/>
          <cell r="P23"/>
          <cell r="Q23"/>
          <cell r="R23"/>
          <cell r="S23"/>
          <cell r="T23"/>
          <cell r="U23"/>
          <cell r="V23"/>
          <cell r="W23">
            <v>16.507999999999999</v>
          </cell>
          <cell r="X23">
            <v>3.59</v>
          </cell>
          <cell r="Y23">
            <v>1.8339999999999996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>0</v>
          </cell>
          <cell r="L27">
            <v>0</v>
          </cell>
          <cell r="M27" t="str">
            <v>0</v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0</v>
          </cell>
          <cell r="L29">
            <v>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</v>
          </cell>
          <cell r="L30">
            <v>0</v>
          </cell>
          <cell r="M30">
            <v>22</v>
          </cell>
          <cell r="P30"/>
          <cell r="Q30"/>
          <cell r="R30"/>
          <cell r="S30"/>
          <cell r="T30"/>
          <cell r="U30"/>
          <cell r="V30"/>
          <cell r="W30">
            <v>0</v>
          </cell>
          <cell r="X30">
            <v>0</v>
          </cell>
          <cell r="Y30">
            <v>22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4.383</v>
          </cell>
          <cell r="L33">
            <v>0</v>
          </cell>
          <cell r="M33">
            <v>4.383</v>
          </cell>
          <cell r="P33"/>
          <cell r="Q33"/>
          <cell r="R33"/>
          <cell r="S33"/>
          <cell r="T33"/>
          <cell r="U33"/>
          <cell r="V33"/>
          <cell r="W33">
            <v>4.383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/>
          <cell r="V45"/>
          <cell r="W45">
            <v>0.10100000000000001</v>
          </cell>
          <cell r="X45">
            <v>-1.4000000000000012E-2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0.97</v>
          </cell>
          <cell r="L47">
            <v>0</v>
          </cell>
          <cell r="M47">
            <v>0.97</v>
          </cell>
          <cell r="O47"/>
          <cell r="P47"/>
          <cell r="Q47"/>
          <cell r="R47"/>
          <cell r="S47"/>
          <cell r="T47"/>
          <cell r="U47"/>
          <cell r="V47"/>
          <cell r="W47">
            <v>0.97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352.572</v>
          </cell>
          <cell r="L20">
            <v>0</v>
          </cell>
          <cell r="M20">
            <v>352.572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>
            <v>278.23699999999997</v>
          </cell>
          <cell r="Y20">
            <v>74.335000000000036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83.593000000000004</v>
          </cell>
          <cell r="L23">
            <v>0</v>
          </cell>
          <cell r="M23">
            <v>83.593000000000004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>
            <v>51.057000000000002</v>
          </cell>
          <cell r="Y23">
            <v>28.898999999999997</v>
          </cell>
          <cell r="Z23">
            <v>3.6370000000000005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175</v>
          </cell>
          <cell r="L29">
            <v>0</v>
          </cell>
          <cell r="M29">
            <v>175</v>
          </cell>
          <cell r="P29"/>
          <cell r="Q29"/>
          <cell r="R29"/>
          <cell r="S29"/>
          <cell r="T29"/>
          <cell r="U29"/>
          <cell r="V29"/>
          <cell r="W29"/>
          <cell r="X29">
            <v>0</v>
          </cell>
          <cell r="Y29">
            <v>0</v>
          </cell>
          <cell r="Z29">
            <v>175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0</v>
          </cell>
          <cell r="L30">
            <v>0</v>
          </cell>
          <cell r="M30">
            <v>0</v>
          </cell>
          <cell r="P30"/>
          <cell r="Q30"/>
          <cell r="R30"/>
          <cell r="S30"/>
          <cell r="T30"/>
          <cell r="U30"/>
          <cell r="V30"/>
          <cell r="W30"/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/>
          <cell r="U31"/>
          <cell r="V31"/>
          <cell r="W31"/>
          <cell r="X31">
            <v>180</v>
          </cell>
          <cell r="Y31">
            <v>180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8.8529999999999998</v>
          </cell>
          <cell r="L33">
            <v>0</v>
          </cell>
          <cell r="M33">
            <v>8.8529999999999998</v>
          </cell>
          <cell r="P33"/>
          <cell r="Q33"/>
          <cell r="R33"/>
          <cell r="S33"/>
          <cell r="T33"/>
          <cell r="U33"/>
          <cell r="V33"/>
          <cell r="W33"/>
          <cell r="X33">
            <v>7.1790000000000012</v>
          </cell>
          <cell r="Y33">
            <v>1.6739999999999986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666</v>
          </cell>
          <cell r="L34">
            <v>0</v>
          </cell>
          <cell r="M34">
            <v>666</v>
          </cell>
          <cell r="P34"/>
          <cell r="Q34"/>
          <cell r="R34"/>
          <cell r="S34"/>
          <cell r="T34"/>
          <cell r="U34"/>
          <cell r="V34"/>
          <cell r="W34"/>
          <cell r="X34">
            <v>666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0.498</v>
          </cell>
          <cell r="L45">
            <v>0</v>
          </cell>
          <cell r="M45">
            <v>0.498</v>
          </cell>
          <cell r="P45"/>
          <cell r="Q45"/>
          <cell r="R45"/>
          <cell r="S45"/>
          <cell r="T45"/>
          <cell r="U45"/>
          <cell r="V45"/>
          <cell r="W45"/>
          <cell r="X45">
            <v>0.40800000000000003</v>
          </cell>
          <cell r="Y45">
            <v>0.09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3.9020000000000001</v>
          </cell>
          <cell r="L47">
            <v>0</v>
          </cell>
          <cell r="M47">
            <v>3.9020000000000001</v>
          </cell>
          <cell r="O47"/>
          <cell r="P47"/>
          <cell r="Q47"/>
          <cell r="R47"/>
          <cell r="S47"/>
          <cell r="T47"/>
          <cell r="U47"/>
          <cell r="V47"/>
          <cell r="W47"/>
          <cell r="X47">
            <v>2.3210000000000002</v>
          </cell>
          <cell r="Y47">
            <v>1.581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83.763999999999996</v>
          </cell>
          <cell r="L20">
            <v>0</v>
          </cell>
          <cell r="M20">
            <v>83.763999999999996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>
            <v>0</v>
          </cell>
          <cell r="Y20"/>
          <cell r="Z20">
            <v>83.763999999999996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/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/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21.931999999999999</v>
          </cell>
          <cell r="L23">
            <v>0</v>
          </cell>
          <cell r="M23">
            <v>21.931999999999999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>
            <v>0</v>
          </cell>
          <cell r="Y23"/>
          <cell r="Z23">
            <v>21.931999999999999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/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/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/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>0</v>
          </cell>
          <cell r="L27">
            <v>0</v>
          </cell>
          <cell r="M27" t="str">
            <v>0</v>
          </cell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/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0</v>
          </cell>
          <cell r="L29">
            <v>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/>
          <cell r="X29">
            <v>0</v>
          </cell>
          <cell r="Y29"/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</v>
          </cell>
          <cell r="L30">
            <v>22</v>
          </cell>
          <cell r="M30">
            <v>44</v>
          </cell>
          <cell r="P30"/>
          <cell r="Q30"/>
          <cell r="R30"/>
          <cell r="S30"/>
          <cell r="T30"/>
          <cell r="U30"/>
          <cell r="V30"/>
          <cell r="W30"/>
          <cell r="X30">
            <v>22</v>
          </cell>
          <cell r="Y30"/>
          <cell r="Z30">
            <v>0</v>
          </cell>
          <cell r="AA30">
            <v>22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/>
          <cell r="X31">
            <v>0</v>
          </cell>
          <cell r="Y31"/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/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4.383</v>
          </cell>
          <cell r="L33">
            <v>0</v>
          </cell>
          <cell r="M33">
            <v>4.383</v>
          </cell>
          <cell r="P33"/>
          <cell r="Q33"/>
          <cell r="R33"/>
          <cell r="S33"/>
          <cell r="T33"/>
          <cell r="U33"/>
          <cell r="V33"/>
          <cell r="W33"/>
          <cell r="X33">
            <v>0</v>
          </cell>
          <cell r="Y33"/>
          <cell r="Z33">
            <v>4.383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X34">
            <v>0</v>
          </cell>
          <cell r="Y34"/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/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/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/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/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/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/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/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/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/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/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/>
          <cell r="V45"/>
          <cell r="W45"/>
          <cell r="X45">
            <v>0</v>
          </cell>
          <cell r="Y45"/>
          <cell r="Z45">
            <v>8.6999999999999994E-2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X46">
            <v>0</v>
          </cell>
          <cell r="Y46"/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0.97</v>
          </cell>
          <cell r="L47">
            <v>0</v>
          </cell>
          <cell r="M47">
            <v>0.97</v>
          </cell>
          <cell r="O47"/>
          <cell r="P47"/>
          <cell r="Q47"/>
          <cell r="R47"/>
          <cell r="S47"/>
          <cell r="T47"/>
          <cell r="U47"/>
          <cell r="V47"/>
          <cell r="W47"/>
          <cell r="X47">
            <v>0</v>
          </cell>
          <cell r="Y47"/>
          <cell r="Z47">
            <v>0.97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/>
          <cell r="X48">
            <v>0</v>
          </cell>
          <cell r="Y48"/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/>
          <cell r="X49">
            <v>0</v>
          </cell>
          <cell r="Y49"/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6">
          <cell r="B16" t="str">
            <v>Hakediş Tarihi:</v>
          </cell>
        </row>
      </sheetData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441.077</v>
          </cell>
          <cell r="L20">
            <v>0</v>
          </cell>
          <cell r="M20">
            <v>441.077</v>
          </cell>
          <cell r="O20">
            <v>431.90300000000008</v>
          </cell>
          <cell r="P20"/>
          <cell r="Q20">
            <v>225.137</v>
          </cell>
          <cell r="R20">
            <v>206.76600000000008</v>
          </cell>
          <cell r="S20">
            <v>9.1739999999999995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O21">
            <v>0</v>
          </cell>
          <cell r="P21"/>
          <cell r="Q21">
            <v>0</v>
          </cell>
          <cell r="R21">
            <v>0</v>
          </cell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O22">
            <v>0</v>
          </cell>
          <cell r="P22"/>
          <cell r="Q22">
            <v>0</v>
          </cell>
          <cell r="R22">
            <v>0</v>
          </cell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103.48699999999999</v>
          </cell>
          <cell r="L23">
            <v>0</v>
          </cell>
          <cell r="M23">
            <v>103.48699999999999</v>
          </cell>
          <cell r="O23">
            <v>89.471999999999994</v>
          </cell>
          <cell r="P23"/>
          <cell r="Q23">
            <v>47.170999999999999</v>
          </cell>
          <cell r="R23">
            <v>42.300999999999995</v>
          </cell>
          <cell r="S23">
            <v>9.1739999999999995</v>
          </cell>
          <cell r="T23">
            <v>4.3310000000000004</v>
          </cell>
          <cell r="U23">
            <v>0</v>
          </cell>
          <cell r="V23">
            <v>0</v>
          </cell>
          <cell r="W23">
            <v>0</v>
          </cell>
          <cell r="X23">
            <v>0.51000000000000512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O24">
            <v>0</v>
          </cell>
          <cell r="P24"/>
          <cell r="Q24">
            <v>0</v>
          </cell>
          <cell r="R24">
            <v>0</v>
          </cell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O25">
            <v>0</v>
          </cell>
          <cell r="P25"/>
          <cell r="Q25">
            <v>0</v>
          </cell>
          <cell r="R25">
            <v>0</v>
          </cell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O26">
            <v>0</v>
          </cell>
          <cell r="P26"/>
          <cell r="Q26">
            <v>0</v>
          </cell>
          <cell r="R26">
            <v>0</v>
          </cell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54</v>
          </cell>
          <cell r="L27">
            <v>0</v>
          </cell>
          <cell r="M27">
            <v>54</v>
          </cell>
          <cell r="O27">
            <v>54</v>
          </cell>
          <cell r="P27"/>
          <cell r="Q27">
            <v>0</v>
          </cell>
          <cell r="R27">
            <v>54</v>
          </cell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O28">
            <v>0</v>
          </cell>
          <cell r="P28"/>
          <cell r="Q28">
            <v>0</v>
          </cell>
          <cell r="R28">
            <v>0</v>
          </cell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>0</v>
          </cell>
          <cell r="L29">
            <v>0</v>
          </cell>
          <cell r="M29" t="str">
            <v>0</v>
          </cell>
          <cell r="O29">
            <v>0</v>
          </cell>
          <cell r="P29"/>
          <cell r="Q29">
            <v>0</v>
          </cell>
          <cell r="R29">
            <v>0</v>
          </cell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60</v>
          </cell>
          <cell r="L30">
            <v>0</v>
          </cell>
          <cell r="M30">
            <v>60</v>
          </cell>
          <cell r="O30">
            <v>36</v>
          </cell>
          <cell r="P30"/>
          <cell r="Q30">
            <v>0</v>
          </cell>
          <cell r="R30">
            <v>36</v>
          </cell>
          <cell r="T30"/>
          <cell r="U30">
            <v>24</v>
          </cell>
          <cell r="V30"/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396</v>
          </cell>
          <cell r="L31">
            <v>0</v>
          </cell>
          <cell r="M31">
            <v>396</v>
          </cell>
          <cell r="O31">
            <v>396</v>
          </cell>
          <cell r="P31"/>
          <cell r="Q31">
            <v>396</v>
          </cell>
          <cell r="R31">
            <v>0</v>
          </cell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O32">
            <v>0</v>
          </cell>
          <cell r="P32"/>
          <cell r="Q32">
            <v>0</v>
          </cell>
          <cell r="R32">
            <v>0</v>
          </cell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18.097999999999999</v>
          </cell>
          <cell r="L33">
            <v>0</v>
          </cell>
          <cell r="M33">
            <v>18.097999999999999</v>
          </cell>
          <cell r="O33">
            <v>16.001000000000001</v>
          </cell>
          <cell r="P33"/>
          <cell r="Q33">
            <v>9.8320000000000007</v>
          </cell>
          <cell r="R33">
            <v>6.1690000000000005</v>
          </cell>
          <cell r="S33">
            <v>2.097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990</v>
          </cell>
          <cell r="L34">
            <v>0</v>
          </cell>
          <cell r="M34">
            <v>990</v>
          </cell>
          <cell r="O34">
            <v>990</v>
          </cell>
          <cell r="P34"/>
          <cell r="Q34">
            <v>990</v>
          </cell>
          <cell r="R34">
            <v>0</v>
          </cell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O35">
            <v>0</v>
          </cell>
          <cell r="P35"/>
          <cell r="Q35">
            <v>0</v>
          </cell>
          <cell r="R35">
            <v>0</v>
          </cell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O36">
            <v>0</v>
          </cell>
          <cell r="P36"/>
          <cell r="Q36">
            <v>0</v>
          </cell>
          <cell r="R36">
            <v>0</v>
          </cell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O37">
            <v>0</v>
          </cell>
          <cell r="P37"/>
          <cell r="Q37">
            <v>0</v>
          </cell>
          <cell r="R37">
            <v>0</v>
          </cell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O38">
            <v>0</v>
          </cell>
          <cell r="P38"/>
          <cell r="Q38">
            <v>0</v>
          </cell>
          <cell r="R38">
            <v>0</v>
          </cell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O39">
            <v>0</v>
          </cell>
          <cell r="P39"/>
          <cell r="Q39">
            <v>0</v>
          </cell>
          <cell r="R39">
            <v>0</v>
          </cell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O40">
            <v>0</v>
          </cell>
          <cell r="P40"/>
          <cell r="Q40">
            <v>0</v>
          </cell>
          <cell r="R40">
            <v>0</v>
          </cell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O41">
            <v>0</v>
          </cell>
          <cell r="P41"/>
          <cell r="Q41">
            <v>0</v>
          </cell>
          <cell r="R41">
            <v>0</v>
          </cell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O42">
            <v>0</v>
          </cell>
          <cell r="P42"/>
          <cell r="Q42">
            <v>0</v>
          </cell>
          <cell r="R42">
            <v>0</v>
          </cell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O43">
            <v>0</v>
          </cell>
          <cell r="P43"/>
          <cell r="Q43">
            <v>0</v>
          </cell>
          <cell r="R43">
            <v>0</v>
          </cell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O44">
            <v>0</v>
          </cell>
          <cell r="P44"/>
          <cell r="Q44">
            <v>0</v>
          </cell>
          <cell r="R44">
            <v>0</v>
          </cell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1.3</v>
          </cell>
          <cell r="L45">
            <v>0</v>
          </cell>
          <cell r="M45">
            <v>1.3</v>
          </cell>
          <cell r="O45">
            <v>1.2520000000000002</v>
          </cell>
          <cell r="P45"/>
          <cell r="Q45">
            <v>0.63100000000000001</v>
          </cell>
          <cell r="R45">
            <v>0.62100000000000022</v>
          </cell>
          <cell r="S45">
            <v>4.8000000000000001E-2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O46">
            <v>0</v>
          </cell>
          <cell r="P46"/>
          <cell r="Q46">
            <v>5.2999999999999999E-2</v>
          </cell>
          <cell r="R46">
            <v>-5.2999999999999999E-2</v>
          </cell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6.9809999999999999</v>
          </cell>
          <cell r="L47">
            <v>0</v>
          </cell>
          <cell r="M47">
            <v>6.9809999999999999</v>
          </cell>
          <cell r="O47">
            <v>6.0210000000000008</v>
          </cell>
          <cell r="P47"/>
          <cell r="Q47">
            <v>2.593</v>
          </cell>
          <cell r="R47">
            <v>3.4280000000000008</v>
          </cell>
          <cell r="S47">
            <v>0.96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O48">
            <v>0</v>
          </cell>
          <cell r="P48"/>
          <cell r="Q48">
            <v>0</v>
          </cell>
          <cell r="R48">
            <v>0</v>
          </cell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O49">
            <v>0</v>
          </cell>
          <cell r="P49"/>
          <cell r="Q49">
            <v>0</v>
          </cell>
          <cell r="R49">
            <v>0</v>
          </cell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779.86099999999999</v>
          </cell>
          <cell r="L20">
            <v>0</v>
          </cell>
          <cell r="M20">
            <v>779.86099999999999</v>
          </cell>
          <cell r="O20"/>
          <cell r="P20"/>
          <cell r="Q20">
            <v>0</v>
          </cell>
          <cell r="R20">
            <v>538.029</v>
          </cell>
          <cell r="S20">
            <v>241.83199999999997</v>
          </cell>
          <cell r="T20">
            <v>0</v>
          </cell>
          <cell r="U20">
            <v>0</v>
          </cell>
          <cell r="V20"/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O21">
            <v>0</v>
          </cell>
          <cell r="P21"/>
          <cell r="Q21">
            <v>0</v>
          </cell>
          <cell r="R21">
            <v>0</v>
          </cell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O22">
            <v>0</v>
          </cell>
          <cell r="P22"/>
          <cell r="Q22">
            <v>0</v>
          </cell>
          <cell r="R22">
            <v>0</v>
          </cell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168.46100000000001</v>
          </cell>
          <cell r="L23">
            <v>0</v>
          </cell>
          <cell r="M23">
            <v>168.46100000000001</v>
          </cell>
          <cell r="O23"/>
          <cell r="P23"/>
          <cell r="Q23">
            <v>0</v>
          </cell>
          <cell r="R23">
            <v>102.15200000000003</v>
          </cell>
          <cell r="S23">
            <v>59.269000000000005</v>
          </cell>
          <cell r="T23">
            <v>6.835</v>
          </cell>
          <cell r="U23">
            <v>0</v>
          </cell>
          <cell r="V23"/>
          <cell r="W23">
            <v>0</v>
          </cell>
          <cell r="X23">
            <v>0.20499999999995566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O24">
            <v>0</v>
          </cell>
          <cell r="P24"/>
          <cell r="Q24">
            <v>0</v>
          </cell>
          <cell r="R24">
            <v>0</v>
          </cell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O25">
            <v>0</v>
          </cell>
          <cell r="P25"/>
          <cell r="Q25">
            <v>0</v>
          </cell>
          <cell r="R25">
            <v>0</v>
          </cell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O26">
            <v>0</v>
          </cell>
          <cell r="P26"/>
          <cell r="Q26">
            <v>0</v>
          </cell>
          <cell r="R26">
            <v>0</v>
          </cell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0</v>
          </cell>
          <cell r="L27">
            <v>0</v>
          </cell>
          <cell r="M27">
            <v>0</v>
          </cell>
          <cell r="O27">
            <v>0</v>
          </cell>
          <cell r="P27"/>
          <cell r="Q27">
            <v>0</v>
          </cell>
          <cell r="R27">
            <v>0</v>
          </cell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O28">
            <v>0</v>
          </cell>
          <cell r="P28"/>
          <cell r="Q28">
            <v>0</v>
          </cell>
          <cell r="R28">
            <v>0</v>
          </cell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O29">
            <v>0</v>
          </cell>
          <cell r="P29"/>
          <cell r="Q29">
            <v>0</v>
          </cell>
          <cell r="R29">
            <v>0</v>
          </cell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165</v>
          </cell>
          <cell r="L30">
            <v>0</v>
          </cell>
          <cell r="M30">
            <v>165</v>
          </cell>
          <cell r="O30"/>
          <cell r="P30"/>
          <cell r="Q30">
            <v>0</v>
          </cell>
          <cell r="R30">
            <v>54</v>
          </cell>
          <cell r="S30">
            <v>45</v>
          </cell>
          <cell r="T30"/>
          <cell r="U30">
            <v>66</v>
          </cell>
          <cell r="V30"/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810</v>
          </cell>
          <cell r="L31">
            <v>0</v>
          </cell>
          <cell r="M31">
            <v>810</v>
          </cell>
          <cell r="O31"/>
          <cell r="P31"/>
          <cell r="Q31">
            <v>162</v>
          </cell>
          <cell r="R31">
            <v>486</v>
          </cell>
          <cell r="S31">
            <v>162</v>
          </cell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O32">
            <v>0</v>
          </cell>
          <cell r="P32"/>
          <cell r="Q32">
            <v>0</v>
          </cell>
          <cell r="R32">
            <v>0</v>
          </cell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29.454000000000001</v>
          </cell>
          <cell r="L33">
            <v>0</v>
          </cell>
          <cell r="M33">
            <v>29.454000000000001</v>
          </cell>
          <cell r="O33"/>
          <cell r="P33"/>
          <cell r="Q33">
            <v>0</v>
          </cell>
          <cell r="R33">
            <v>19.479000000000003</v>
          </cell>
          <cell r="S33">
            <v>9.9750000000000032</v>
          </cell>
          <cell r="T33">
            <v>0</v>
          </cell>
          <cell r="U33">
            <v>0</v>
          </cell>
          <cell r="V33"/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2106</v>
          </cell>
          <cell r="L34">
            <v>0</v>
          </cell>
          <cell r="M34">
            <v>2106</v>
          </cell>
          <cell r="O34"/>
          <cell r="P34"/>
          <cell r="Q34">
            <v>414</v>
          </cell>
          <cell r="R34">
            <v>1269</v>
          </cell>
          <cell r="S34">
            <v>423</v>
          </cell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O35">
            <v>0</v>
          </cell>
          <cell r="P35"/>
          <cell r="Q35">
            <v>0</v>
          </cell>
          <cell r="R35">
            <v>0</v>
          </cell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O36">
            <v>0</v>
          </cell>
          <cell r="P36"/>
          <cell r="Q36">
            <v>0</v>
          </cell>
          <cell r="R36">
            <v>0</v>
          </cell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O37">
            <v>0</v>
          </cell>
          <cell r="P37"/>
          <cell r="Q37">
            <v>0</v>
          </cell>
          <cell r="R37">
            <v>0</v>
          </cell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O38">
            <v>0</v>
          </cell>
          <cell r="P38"/>
          <cell r="Q38">
            <v>0</v>
          </cell>
          <cell r="R38">
            <v>0</v>
          </cell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O39">
            <v>0</v>
          </cell>
          <cell r="P39"/>
          <cell r="Q39">
            <v>0</v>
          </cell>
          <cell r="R39">
            <v>0</v>
          </cell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O40">
            <v>0</v>
          </cell>
          <cell r="P40"/>
          <cell r="Q40">
            <v>0</v>
          </cell>
          <cell r="R40">
            <v>0</v>
          </cell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O41">
            <v>0</v>
          </cell>
          <cell r="P41"/>
          <cell r="Q41">
            <v>0</v>
          </cell>
          <cell r="R41">
            <v>0</v>
          </cell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O42">
            <v>0</v>
          </cell>
          <cell r="P42"/>
          <cell r="Q42">
            <v>0</v>
          </cell>
          <cell r="R42">
            <v>0</v>
          </cell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O43">
            <v>0</v>
          </cell>
          <cell r="P43"/>
          <cell r="Q43">
            <v>0</v>
          </cell>
          <cell r="R43">
            <v>0</v>
          </cell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O44">
            <v>0</v>
          </cell>
          <cell r="P44"/>
          <cell r="Q44">
            <v>0</v>
          </cell>
          <cell r="R44">
            <v>0</v>
          </cell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1.5529999999999999</v>
          </cell>
          <cell r="L45">
            <v>0</v>
          </cell>
          <cell r="M45">
            <v>1.5529999999999999</v>
          </cell>
          <cell r="O45"/>
          <cell r="P45"/>
          <cell r="Q45">
            <v>0</v>
          </cell>
          <cell r="R45">
            <v>1.0939999999999999</v>
          </cell>
          <cell r="S45">
            <v>0.45899999999999996</v>
          </cell>
          <cell r="T45"/>
          <cell r="U45">
            <v>0</v>
          </cell>
          <cell r="V45"/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O46">
            <v>0</v>
          </cell>
          <cell r="P46"/>
          <cell r="Q46">
            <v>0</v>
          </cell>
          <cell r="R46">
            <v>0</v>
          </cell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10.24</v>
          </cell>
          <cell r="L47">
            <v>0</v>
          </cell>
          <cell r="M47">
            <v>10.24</v>
          </cell>
          <cell r="O47"/>
          <cell r="P47"/>
          <cell r="Q47">
            <v>0</v>
          </cell>
          <cell r="R47">
            <v>6.1039999999999992</v>
          </cell>
          <cell r="S47">
            <v>4.1360000000000001</v>
          </cell>
          <cell r="T47"/>
          <cell r="U47">
            <v>0</v>
          </cell>
          <cell r="V47"/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O48">
            <v>0</v>
          </cell>
          <cell r="P48"/>
          <cell r="Q48">
            <v>0</v>
          </cell>
          <cell r="R48">
            <v>0</v>
          </cell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O49">
            <v>0</v>
          </cell>
          <cell r="P49"/>
          <cell r="Q49">
            <v>0</v>
          </cell>
          <cell r="R49">
            <v>0</v>
          </cell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1286.7750000000001</v>
          </cell>
          <cell r="L20">
            <v>0</v>
          </cell>
          <cell r="M20">
            <v>1286.7750000000001</v>
          </cell>
          <cell r="O20"/>
          <cell r="P20"/>
          <cell r="Q20"/>
          <cell r="R20"/>
          <cell r="S20"/>
          <cell r="T20"/>
          <cell r="U20">
            <v>107.102</v>
          </cell>
          <cell r="V20">
            <v>619.29200000000003</v>
          </cell>
          <cell r="W20">
            <v>384.43200000000002</v>
          </cell>
          <cell r="X20">
            <v>54.641000000000076</v>
          </cell>
          <cell r="Y20">
            <v>121.30800000000001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187.48699999999999</v>
          </cell>
          <cell r="L23">
            <v>0</v>
          </cell>
          <cell r="M23">
            <v>187.48699999999999</v>
          </cell>
          <cell r="O23"/>
          <cell r="P23"/>
          <cell r="Q23"/>
          <cell r="R23"/>
          <cell r="S23"/>
          <cell r="T23"/>
          <cell r="U23">
            <v>17.574999999999999</v>
          </cell>
          <cell r="V23">
            <v>79.409000000000006</v>
          </cell>
          <cell r="W23">
            <v>49.21599999999998</v>
          </cell>
          <cell r="X23">
            <v>7.5560000000000009</v>
          </cell>
          <cell r="Y23">
            <v>33.730999999999995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27</v>
          </cell>
          <cell r="L27">
            <v>0</v>
          </cell>
          <cell r="M27">
            <v>27</v>
          </cell>
          <cell r="P27"/>
          <cell r="Q27"/>
          <cell r="R27"/>
          <cell r="S27"/>
          <cell r="T27"/>
          <cell r="U27"/>
          <cell r="V27"/>
          <cell r="W27"/>
          <cell r="X27">
            <v>9</v>
          </cell>
          <cell r="Y27">
            <v>18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231</v>
          </cell>
          <cell r="L30">
            <v>0</v>
          </cell>
          <cell r="M30">
            <v>231</v>
          </cell>
          <cell r="P30"/>
          <cell r="Q30"/>
          <cell r="R30"/>
          <cell r="S30"/>
          <cell r="T30"/>
          <cell r="U30"/>
          <cell r="V30">
            <v>99</v>
          </cell>
          <cell r="W30">
            <v>96</v>
          </cell>
          <cell r="X30">
            <v>36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49.837000000000003</v>
          </cell>
          <cell r="L33">
            <v>0</v>
          </cell>
          <cell r="M33">
            <v>49.837000000000003</v>
          </cell>
          <cell r="P33"/>
          <cell r="Q33"/>
          <cell r="R33"/>
          <cell r="S33"/>
          <cell r="T33"/>
          <cell r="U33">
            <v>4.1360000000000001</v>
          </cell>
          <cell r="V33">
            <v>26.503</v>
          </cell>
          <cell r="W33">
            <v>16.455000000000002</v>
          </cell>
          <cell r="X33">
            <v>2.7430000000000003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2.1829999999999998</v>
          </cell>
          <cell r="L45">
            <v>1.4370000000000003</v>
          </cell>
          <cell r="M45">
            <v>3.62</v>
          </cell>
          <cell r="P45"/>
          <cell r="Q45"/>
          <cell r="R45"/>
          <cell r="S45"/>
          <cell r="T45"/>
          <cell r="U45">
            <v>0.182</v>
          </cell>
          <cell r="V45">
            <v>1.1720000000000002</v>
          </cell>
          <cell r="W45">
            <v>0.72799999999999976</v>
          </cell>
          <cell r="X45">
            <v>0.10099999999999998</v>
          </cell>
          <cell r="Y45">
            <v>0</v>
          </cell>
          <cell r="Z45">
            <v>0</v>
          </cell>
          <cell r="AA45">
            <v>1.4370000000000003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14.103999999999999</v>
          </cell>
          <cell r="L47">
            <v>0</v>
          </cell>
          <cell r="M47">
            <v>14.103999999999999</v>
          </cell>
          <cell r="O47"/>
          <cell r="P47"/>
          <cell r="Q47"/>
          <cell r="R47"/>
          <cell r="S47"/>
          <cell r="T47"/>
          <cell r="U47">
            <v>1.482</v>
          </cell>
          <cell r="V47">
            <v>7.4539999999999997</v>
          </cell>
          <cell r="W47">
            <v>4.6280000000000001</v>
          </cell>
          <cell r="X47">
            <v>-0.7669999999999999</v>
          </cell>
          <cell r="Y47">
            <v>1.3069999999999986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1067.7429999999999</v>
          </cell>
          <cell r="L20">
            <v>0</v>
          </cell>
          <cell r="M20">
            <v>1067.7429999999999</v>
          </cell>
          <cell r="O20"/>
          <cell r="P20"/>
          <cell r="Q20"/>
          <cell r="R20"/>
          <cell r="S20"/>
          <cell r="T20"/>
          <cell r="U20">
            <v>112.96299999999999</v>
          </cell>
          <cell r="V20">
            <v>485.07800000000003</v>
          </cell>
          <cell r="W20">
            <v>316.88799999999992</v>
          </cell>
          <cell r="X20">
            <v>52.815000000000055</v>
          </cell>
          <cell r="Y20">
            <v>99.99899999999991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187.68700000000001</v>
          </cell>
          <cell r="L23">
            <v>0</v>
          </cell>
          <cell r="M23">
            <v>187.68700000000001</v>
          </cell>
          <cell r="O23"/>
          <cell r="P23"/>
          <cell r="Q23"/>
          <cell r="R23"/>
          <cell r="S23"/>
          <cell r="T23"/>
          <cell r="U23">
            <v>20.604000000000003</v>
          </cell>
          <cell r="V23">
            <v>75.391999999999996</v>
          </cell>
          <cell r="W23">
            <v>49.239999999999995</v>
          </cell>
          <cell r="X23">
            <v>8.2050000000000125</v>
          </cell>
          <cell r="Y23">
            <v>34.246000000000009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0</v>
          </cell>
          <cell r="L27">
            <v>0</v>
          </cell>
          <cell r="M27">
            <v>0</v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>0</v>
          </cell>
          <cell r="L29">
            <v>0</v>
          </cell>
          <cell r="M29" t="str">
            <v>0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324</v>
          </cell>
          <cell r="L30">
            <v>0</v>
          </cell>
          <cell r="M30">
            <v>324</v>
          </cell>
          <cell r="P30"/>
          <cell r="Q30"/>
          <cell r="R30"/>
          <cell r="S30"/>
          <cell r="T30"/>
          <cell r="V30">
            <v>138</v>
          </cell>
          <cell r="W30">
            <v>114</v>
          </cell>
          <cell r="X30">
            <v>54</v>
          </cell>
          <cell r="Y30">
            <v>18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50.01</v>
          </cell>
          <cell r="L33">
            <v>0</v>
          </cell>
          <cell r="M33">
            <v>50.01</v>
          </cell>
          <cell r="P33"/>
          <cell r="Q33"/>
          <cell r="R33"/>
          <cell r="S33"/>
          <cell r="T33"/>
          <cell r="U33">
            <v>5.5049999999999999</v>
          </cell>
          <cell r="V33">
            <v>25.240000000000002</v>
          </cell>
          <cell r="W33">
            <v>16.513000000000002</v>
          </cell>
          <cell r="X33">
            <v>2.7519999999999953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0.751</v>
          </cell>
          <cell r="L45">
            <v>0</v>
          </cell>
          <cell r="M45">
            <v>0.751</v>
          </cell>
          <cell r="P45"/>
          <cell r="Q45"/>
          <cell r="R45"/>
          <cell r="S45"/>
          <cell r="T45"/>
          <cell r="U45">
            <v>0.24299999999999999</v>
          </cell>
          <cell r="V45">
            <v>1.1120000000000001</v>
          </cell>
          <cell r="W45">
            <v>0.7280000000000002</v>
          </cell>
          <cell r="X45">
            <v>-1.3320000000000003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14.170999999999999</v>
          </cell>
          <cell r="L47">
            <v>0</v>
          </cell>
          <cell r="M47">
            <v>14.170999999999999</v>
          </cell>
          <cell r="O47"/>
          <cell r="P47"/>
          <cell r="Q47"/>
          <cell r="R47"/>
          <cell r="S47"/>
          <cell r="T47"/>
          <cell r="U47">
            <v>1.855</v>
          </cell>
          <cell r="V47">
            <v>7.0869999999999997</v>
          </cell>
          <cell r="W47">
            <v>4.6310000000000002</v>
          </cell>
          <cell r="X47">
            <v>-0.71000000000000085</v>
          </cell>
          <cell r="Y47">
            <v>1.3079999999999998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2070.4229999999998</v>
          </cell>
          <cell r="L20">
            <v>0</v>
          </cell>
          <cell r="M20">
            <v>2070.4229999999998</v>
          </cell>
          <cell r="O20">
            <v>790.83000000000015</v>
          </cell>
          <cell r="P20"/>
          <cell r="Q20">
            <v>191.59200000000001</v>
          </cell>
          <cell r="R20">
            <v>599.23800000000017</v>
          </cell>
          <cell r="S20">
            <v>800.84599999999978</v>
          </cell>
          <cell r="T20">
            <v>470.65099999999995</v>
          </cell>
          <cell r="U20">
            <v>8.0960000000000001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O21">
            <v>0</v>
          </cell>
          <cell r="P21"/>
          <cell r="Q21">
            <v>0</v>
          </cell>
          <cell r="R21">
            <v>0</v>
          </cell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O22">
            <v>0</v>
          </cell>
          <cell r="P22"/>
          <cell r="Q22">
            <v>0</v>
          </cell>
          <cell r="R22">
            <v>0</v>
          </cell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498.89</v>
          </cell>
          <cell r="L23">
            <v>0</v>
          </cell>
          <cell r="M23">
            <v>498.89</v>
          </cell>
          <cell r="O23">
            <v>171.19099999999997</v>
          </cell>
          <cell r="P23"/>
          <cell r="Q23">
            <v>36.689</v>
          </cell>
          <cell r="R23">
            <v>134.50199999999998</v>
          </cell>
          <cell r="S23">
            <v>181.20700000000002</v>
          </cell>
          <cell r="T23">
            <v>113.86400000000002</v>
          </cell>
          <cell r="U23">
            <v>8.6120000000000001</v>
          </cell>
          <cell r="V23">
            <v>0</v>
          </cell>
          <cell r="W23">
            <v>0</v>
          </cell>
          <cell r="X23">
            <v>24.015999999999906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O24">
            <v>0</v>
          </cell>
          <cell r="P24"/>
          <cell r="Q24">
            <v>0</v>
          </cell>
          <cell r="R24">
            <v>0</v>
          </cell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O25">
            <v>0</v>
          </cell>
          <cell r="P25"/>
          <cell r="Q25">
            <v>0</v>
          </cell>
          <cell r="R25">
            <v>0</v>
          </cell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O26">
            <v>0</v>
          </cell>
          <cell r="P26"/>
          <cell r="Q26">
            <v>0</v>
          </cell>
          <cell r="R26">
            <v>0</v>
          </cell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279</v>
          </cell>
          <cell r="L27">
            <v>0</v>
          </cell>
          <cell r="M27">
            <v>279</v>
          </cell>
          <cell r="O27">
            <v>54</v>
          </cell>
          <cell r="P27"/>
          <cell r="Q27">
            <v>0</v>
          </cell>
          <cell r="R27">
            <v>54</v>
          </cell>
          <cell r="S27">
            <v>76</v>
          </cell>
          <cell r="T27">
            <v>149</v>
          </cell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O28">
            <v>0</v>
          </cell>
          <cell r="P28"/>
          <cell r="Q28">
            <v>0</v>
          </cell>
          <cell r="R28">
            <v>0</v>
          </cell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>0</v>
          </cell>
          <cell r="L29">
            <v>0</v>
          </cell>
          <cell r="M29" t="str">
            <v>0</v>
          </cell>
          <cell r="O29">
            <v>0</v>
          </cell>
          <cell r="P29"/>
          <cell r="Q29">
            <v>0</v>
          </cell>
          <cell r="R29">
            <v>0</v>
          </cell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318</v>
          </cell>
          <cell r="L30">
            <v>0</v>
          </cell>
          <cell r="M30">
            <v>318</v>
          </cell>
          <cell r="O30">
            <v>36</v>
          </cell>
          <cell r="P30"/>
          <cell r="Q30">
            <v>0</v>
          </cell>
          <cell r="R30">
            <v>36</v>
          </cell>
          <cell r="S30">
            <v>51</v>
          </cell>
          <cell r="T30">
            <v>99</v>
          </cell>
          <cell r="U30">
            <v>122</v>
          </cell>
          <cell r="V30"/>
          <cell r="W30">
            <v>0</v>
          </cell>
          <cell r="X30">
            <v>10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2214</v>
          </cell>
          <cell r="L31">
            <v>0</v>
          </cell>
          <cell r="M31">
            <v>2214</v>
          </cell>
          <cell r="O31">
            <v>198</v>
          </cell>
          <cell r="P31"/>
          <cell r="Q31">
            <v>198</v>
          </cell>
          <cell r="R31">
            <v>900</v>
          </cell>
          <cell r="S31">
            <v>900</v>
          </cell>
          <cell r="T31">
            <v>216</v>
          </cell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O32">
            <v>0</v>
          </cell>
          <cell r="P32"/>
          <cell r="Q32">
            <v>0</v>
          </cell>
          <cell r="R32">
            <v>0</v>
          </cell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92.102999999999994</v>
          </cell>
          <cell r="L33">
            <v>0</v>
          </cell>
          <cell r="M33">
            <v>92.102999999999994</v>
          </cell>
          <cell r="O33">
            <v>33.488999999999997</v>
          </cell>
          <cell r="P33"/>
          <cell r="Q33">
            <v>7.2530000000000001</v>
          </cell>
          <cell r="R33">
            <v>26.235999999999997</v>
          </cell>
          <cell r="S33">
            <v>35.899000000000008</v>
          </cell>
          <cell r="T33">
            <v>20.893000000000001</v>
          </cell>
          <cell r="U33">
            <v>1.8220000000000001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5175</v>
          </cell>
          <cell r="L34">
            <v>0</v>
          </cell>
          <cell r="M34">
            <v>5175</v>
          </cell>
          <cell r="O34">
            <v>2610</v>
          </cell>
          <cell r="P34"/>
          <cell r="Q34">
            <v>522</v>
          </cell>
          <cell r="R34">
            <v>2088</v>
          </cell>
          <cell r="S34">
            <v>2088</v>
          </cell>
          <cell r="T34">
            <v>477</v>
          </cell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O35">
            <v>0</v>
          </cell>
          <cell r="P35"/>
          <cell r="Q35">
            <v>0</v>
          </cell>
          <cell r="R35">
            <v>0</v>
          </cell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O36">
            <v>0</v>
          </cell>
          <cell r="P36"/>
          <cell r="Q36">
            <v>0</v>
          </cell>
          <cell r="R36">
            <v>0</v>
          </cell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O37">
            <v>0</v>
          </cell>
          <cell r="P37"/>
          <cell r="Q37">
            <v>0</v>
          </cell>
          <cell r="R37">
            <v>0</v>
          </cell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O38">
            <v>0</v>
          </cell>
          <cell r="P38"/>
          <cell r="Q38">
            <v>0</v>
          </cell>
          <cell r="R38">
            <v>0</v>
          </cell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O39">
            <v>0</v>
          </cell>
          <cell r="P39"/>
          <cell r="Q39">
            <v>0</v>
          </cell>
          <cell r="R39">
            <v>0</v>
          </cell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O40">
            <v>0</v>
          </cell>
          <cell r="P40"/>
          <cell r="Q40">
            <v>0</v>
          </cell>
          <cell r="R40">
            <v>0</v>
          </cell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O41">
            <v>0</v>
          </cell>
          <cell r="P41"/>
          <cell r="Q41">
            <v>0</v>
          </cell>
          <cell r="R41">
            <v>0</v>
          </cell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O42">
            <v>0</v>
          </cell>
          <cell r="P42"/>
          <cell r="Q42">
            <v>0</v>
          </cell>
          <cell r="R42">
            <v>0</v>
          </cell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O43">
            <v>0</v>
          </cell>
          <cell r="P43"/>
          <cell r="Q43">
            <v>0</v>
          </cell>
          <cell r="R43">
            <v>0</v>
          </cell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O44">
            <v>0</v>
          </cell>
          <cell r="P44"/>
          <cell r="Q44">
            <v>0</v>
          </cell>
          <cell r="R44">
            <v>0</v>
          </cell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6.9279999999999999</v>
          </cell>
          <cell r="L45">
            <v>0</v>
          </cell>
          <cell r="M45">
            <v>6.9279999999999999</v>
          </cell>
          <cell r="O45">
            <v>2.7</v>
          </cell>
          <cell r="P45"/>
          <cell r="Q45">
            <v>0.54200000000000004</v>
          </cell>
          <cell r="R45">
            <v>2.1580000000000004</v>
          </cell>
          <cell r="S45">
            <v>2.7009999999999996</v>
          </cell>
          <cell r="T45">
            <v>1.486</v>
          </cell>
          <cell r="U45">
            <v>4.1000000000000002E-2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O46">
            <v>0</v>
          </cell>
          <cell r="P46"/>
          <cell r="Q46">
            <v>0</v>
          </cell>
          <cell r="R46">
            <v>0</v>
          </cell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31.942</v>
          </cell>
          <cell r="L47">
            <v>0</v>
          </cell>
          <cell r="M47">
            <v>31.942</v>
          </cell>
          <cell r="O47">
            <v>11.041</v>
          </cell>
          <cell r="P47"/>
          <cell r="Q47">
            <v>1.78</v>
          </cell>
          <cell r="R47">
            <v>9.261000000000001</v>
          </cell>
          <cell r="S47">
            <v>12.071000000000002</v>
          </cell>
          <cell r="T47">
            <v>5.4109999999999996</v>
          </cell>
          <cell r="U47">
            <v>0.83399999999999996</v>
          </cell>
          <cell r="V47">
            <v>0</v>
          </cell>
          <cell r="W47">
            <v>0</v>
          </cell>
          <cell r="X47">
            <v>2.5849999999999973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O48">
            <v>0</v>
          </cell>
          <cell r="P48"/>
          <cell r="Q48">
            <v>0</v>
          </cell>
          <cell r="R48">
            <v>0</v>
          </cell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O49">
            <v>0</v>
          </cell>
          <cell r="P49"/>
          <cell r="Q49">
            <v>0</v>
          </cell>
          <cell r="R49">
            <v>0</v>
          </cell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2700.877</v>
          </cell>
          <cell r="L20">
            <v>0</v>
          </cell>
          <cell r="M20">
            <v>2700.877</v>
          </cell>
          <cell r="P20"/>
          <cell r="Q20"/>
          <cell r="R20"/>
          <cell r="S20">
            <v>503.12200000000001</v>
          </cell>
          <cell r="T20">
            <v>815.94399999999996</v>
          </cell>
          <cell r="U20">
            <v>595.69999999999993</v>
          </cell>
          <cell r="V20">
            <v>776.66</v>
          </cell>
          <cell r="W20">
            <v>9.4510000000000218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574.98</v>
          </cell>
          <cell r="L23">
            <v>0</v>
          </cell>
          <cell r="M23">
            <v>574.98</v>
          </cell>
          <cell r="P23"/>
          <cell r="Q23"/>
          <cell r="R23"/>
          <cell r="S23">
            <v>98.125000000000014</v>
          </cell>
          <cell r="T23">
            <v>163.90300000000002</v>
          </cell>
          <cell r="U23">
            <v>119.923</v>
          </cell>
          <cell r="V23">
            <v>159.24099999999999</v>
          </cell>
          <cell r="W23">
            <v>9.1019999999999754</v>
          </cell>
          <cell r="X23">
            <v>24.686000000000035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74</v>
          </cell>
          <cell r="L27">
            <v>0</v>
          </cell>
          <cell r="M27">
            <v>74</v>
          </cell>
          <cell r="P27"/>
          <cell r="Q27"/>
          <cell r="R27"/>
          <cell r="S27"/>
          <cell r="T27">
            <v>42</v>
          </cell>
          <cell r="U27"/>
          <cell r="V27">
            <v>32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426</v>
          </cell>
          <cell r="L30">
            <v>0</v>
          </cell>
          <cell r="M30">
            <v>426</v>
          </cell>
          <cell r="P30"/>
          <cell r="Q30"/>
          <cell r="R30"/>
          <cell r="S30">
            <v>8</v>
          </cell>
          <cell r="T30">
            <v>69</v>
          </cell>
          <cell r="U30">
            <v>114</v>
          </cell>
          <cell r="V30">
            <v>149</v>
          </cell>
          <cell r="W30">
            <v>0</v>
          </cell>
          <cell r="X30">
            <v>86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2754</v>
          </cell>
          <cell r="L31">
            <v>0</v>
          </cell>
          <cell r="M31">
            <v>2754</v>
          </cell>
          <cell r="P31"/>
          <cell r="Q31"/>
          <cell r="R31"/>
          <cell r="S31">
            <v>486</v>
          </cell>
          <cell r="T31">
            <v>810</v>
          </cell>
          <cell r="U31">
            <v>810</v>
          </cell>
          <cell r="V31">
            <v>648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104.14100000000001</v>
          </cell>
          <cell r="L33">
            <v>0</v>
          </cell>
          <cell r="M33">
            <v>104.14100000000001</v>
          </cell>
          <cell r="P33"/>
          <cell r="Q33"/>
          <cell r="R33"/>
          <cell r="S33">
            <v>18.928000000000001</v>
          </cell>
          <cell r="T33">
            <v>30.842000000000002</v>
          </cell>
          <cell r="U33">
            <v>22.949999999999996</v>
          </cell>
          <cell r="V33">
            <v>29.236000000000001</v>
          </cell>
          <cell r="W33">
            <v>2.1850000000000023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7614</v>
          </cell>
          <cell r="L34">
            <v>0</v>
          </cell>
          <cell r="M34">
            <v>7614</v>
          </cell>
          <cell r="P34"/>
          <cell r="Q34"/>
          <cell r="R34"/>
          <cell r="S34">
            <v>1692</v>
          </cell>
          <cell r="T34">
            <v>2115</v>
          </cell>
          <cell r="U34">
            <v>2115</v>
          </cell>
          <cell r="V34">
            <v>1692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5.4829999999999997</v>
          </cell>
          <cell r="L45">
            <v>0</v>
          </cell>
          <cell r="M45">
            <v>5.4829999999999997</v>
          </cell>
          <cell r="P45"/>
          <cell r="Q45"/>
          <cell r="R45"/>
          <cell r="S45">
            <v>1.0609999999999999</v>
          </cell>
          <cell r="T45">
            <v>1.6229999999999998</v>
          </cell>
          <cell r="U45">
            <v>1.2089999999999999</v>
          </cell>
          <cell r="V45">
            <v>1.5439999999999996</v>
          </cell>
          <cell r="W45">
            <v>4.6000000000000263E-2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34.188000000000002</v>
          </cell>
          <cell r="L47">
            <v>0</v>
          </cell>
          <cell r="M47">
            <v>34.188000000000002</v>
          </cell>
          <cell r="P47"/>
          <cell r="Q47"/>
          <cell r="R47"/>
          <cell r="S47">
            <v>5.8709999999999996</v>
          </cell>
          <cell r="T47">
            <v>10.004</v>
          </cell>
          <cell r="U47">
            <v>7.4260000000000002</v>
          </cell>
          <cell r="V47">
            <v>9.9359999999999999</v>
          </cell>
          <cell r="W47">
            <v>0.95100000000000051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1297.2139999999999</v>
          </cell>
          <cell r="L20">
            <v>0</v>
          </cell>
          <cell r="M20">
            <v>1297.2139999999999</v>
          </cell>
          <cell r="P20"/>
          <cell r="Q20"/>
          <cell r="R20"/>
          <cell r="S20"/>
          <cell r="T20"/>
          <cell r="U20"/>
          <cell r="V20"/>
          <cell r="W20"/>
          <cell r="X20">
            <v>721.85699999999997</v>
          </cell>
          <cell r="Y20">
            <v>575.35699999999997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188.673</v>
          </cell>
          <cell r="L23">
            <v>0</v>
          </cell>
          <cell r="M23">
            <v>188.673</v>
          </cell>
          <cell r="P23"/>
          <cell r="Q23"/>
          <cell r="R23"/>
          <cell r="S23"/>
          <cell r="T23"/>
          <cell r="U23"/>
          <cell r="V23"/>
          <cell r="W23"/>
          <cell r="X23">
            <v>96.825000000000003</v>
          </cell>
          <cell r="Y23">
            <v>91.847999999999999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0</v>
          </cell>
          <cell r="L27">
            <v>0</v>
          </cell>
          <cell r="M27">
            <v>0</v>
          </cell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>0</v>
          </cell>
          <cell r="L29">
            <v>0</v>
          </cell>
          <cell r="M29" t="str">
            <v>0</v>
          </cell>
          <cell r="P29"/>
          <cell r="Q29"/>
          <cell r="R29"/>
          <cell r="S29"/>
          <cell r="T29"/>
          <cell r="U29"/>
          <cell r="V29"/>
          <cell r="W29"/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324</v>
          </cell>
          <cell r="L30">
            <v>0</v>
          </cell>
          <cell r="M30">
            <v>324</v>
          </cell>
          <cell r="P30"/>
          <cell r="Q30"/>
          <cell r="R30"/>
          <cell r="S30"/>
          <cell r="T30"/>
          <cell r="U30"/>
          <cell r="V30"/>
          <cell r="W30"/>
          <cell r="X30">
            <v>117</v>
          </cell>
          <cell r="Y30">
            <v>207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/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49.838000000000001</v>
          </cell>
          <cell r="L33">
            <v>0</v>
          </cell>
          <cell r="M33">
            <v>49.838000000000001</v>
          </cell>
          <cell r="P33"/>
          <cell r="Q33"/>
          <cell r="R33"/>
          <cell r="S33"/>
          <cell r="T33"/>
          <cell r="U33"/>
          <cell r="V33"/>
          <cell r="W33"/>
          <cell r="X33">
            <v>30.638999999999999</v>
          </cell>
          <cell r="Y33">
            <v>19.199000000000002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2.2010000000000001</v>
          </cell>
          <cell r="L45">
            <v>1.4529999999999998</v>
          </cell>
          <cell r="M45">
            <v>3.6539999999999999</v>
          </cell>
          <cell r="P45"/>
          <cell r="Q45"/>
          <cell r="R45"/>
          <cell r="S45"/>
          <cell r="T45"/>
          <cell r="U45"/>
          <cell r="V45"/>
          <cell r="W45"/>
          <cell r="X45">
            <v>1.353</v>
          </cell>
          <cell r="Y45">
            <v>0.84800000000000009</v>
          </cell>
          <cell r="Z45">
            <v>0</v>
          </cell>
          <cell r="AA45">
            <v>1.4529999999999998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14.105</v>
          </cell>
          <cell r="L47">
            <v>0</v>
          </cell>
          <cell r="M47">
            <v>14.105</v>
          </cell>
          <cell r="P47"/>
          <cell r="Q47"/>
          <cell r="R47"/>
          <cell r="S47"/>
          <cell r="T47"/>
          <cell r="U47"/>
          <cell r="V47"/>
          <cell r="W47"/>
          <cell r="X47">
            <v>8.0259999999999998</v>
          </cell>
          <cell r="Y47">
            <v>6.0790000000000006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1072.3050000000001</v>
          </cell>
          <cell r="L20">
            <v>0</v>
          </cell>
          <cell r="M20">
            <v>1072.3050000000001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>
            <v>598.17899999999997</v>
          </cell>
          <cell r="Y20">
            <v>474.12600000000009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187.9</v>
          </cell>
          <cell r="L23">
            <v>0</v>
          </cell>
          <cell r="M23">
            <v>187.9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>
            <v>96.007999999999996</v>
          </cell>
          <cell r="Y23">
            <v>91.89200000000001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24</v>
          </cell>
          <cell r="L27">
            <v>0</v>
          </cell>
          <cell r="M27">
            <v>24</v>
          </cell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>
            <v>24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>0</v>
          </cell>
          <cell r="L29">
            <v>0</v>
          </cell>
          <cell r="M29" t="str">
            <v>0</v>
          </cell>
          <cell r="P29"/>
          <cell r="Q29"/>
          <cell r="R29"/>
          <cell r="S29"/>
          <cell r="T29"/>
          <cell r="U29"/>
          <cell r="V29"/>
          <cell r="W29"/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234</v>
          </cell>
          <cell r="L30">
            <v>0</v>
          </cell>
          <cell r="M30">
            <v>234</v>
          </cell>
          <cell r="P30"/>
          <cell r="Q30"/>
          <cell r="R30"/>
          <cell r="S30"/>
          <cell r="T30"/>
          <cell r="V30"/>
          <cell r="W30"/>
          <cell r="X30">
            <v>84</v>
          </cell>
          <cell r="Y30">
            <v>150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/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50.008000000000003</v>
          </cell>
          <cell r="L33">
            <v>0</v>
          </cell>
          <cell r="M33">
            <v>50.008000000000003</v>
          </cell>
          <cell r="P33"/>
          <cell r="Q33"/>
          <cell r="R33"/>
          <cell r="S33"/>
          <cell r="T33"/>
          <cell r="U33"/>
          <cell r="V33"/>
          <cell r="W33"/>
          <cell r="X33">
            <v>30.744</v>
          </cell>
          <cell r="Y33">
            <v>19.264000000000003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0.75</v>
          </cell>
          <cell r="L45">
            <v>0</v>
          </cell>
          <cell r="M45">
            <v>0.75</v>
          </cell>
          <cell r="P45"/>
          <cell r="Q45"/>
          <cell r="R45"/>
          <cell r="S45"/>
          <cell r="T45"/>
          <cell r="U45"/>
          <cell r="V45"/>
          <cell r="W45"/>
          <cell r="X45">
            <v>0.46100000000000002</v>
          </cell>
          <cell r="Y45">
            <v>0.28899999999999998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14.057</v>
          </cell>
          <cell r="L47">
            <v>0</v>
          </cell>
          <cell r="M47">
            <v>14.057</v>
          </cell>
          <cell r="O47"/>
          <cell r="P47"/>
          <cell r="Q47"/>
          <cell r="R47"/>
          <cell r="S47"/>
          <cell r="T47"/>
          <cell r="U47"/>
          <cell r="V47"/>
          <cell r="W47"/>
          <cell r="X47">
            <v>8.032</v>
          </cell>
          <cell r="Y47">
            <v>6.0250000000000004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2941.3319999999999</v>
          </cell>
          <cell r="L20">
            <v>0</v>
          </cell>
          <cell r="M20">
            <v>2941.3319999999999</v>
          </cell>
          <cell r="O20">
            <v>890.80099999999993</v>
          </cell>
          <cell r="P20"/>
          <cell r="Q20">
            <v>197.63300000000001</v>
          </cell>
          <cell r="R20">
            <v>693.16799999999989</v>
          </cell>
          <cell r="S20">
            <v>802.84699999999987</v>
          </cell>
          <cell r="T20">
            <v>807.06900000000007</v>
          </cell>
          <cell r="U20">
            <v>428.11600000000004</v>
          </cell>
          <cell r="V20">
            <v>12.498999999999999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O21">
            <v>0</v>
          </cell>
          <cell r="P21"/>
          <cell r="Q21">
            <v>0</v>
          </cell>
          <cell r="R21">
            <v>0</v>
          </cell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O22">
            <v>0</v>
          </cell>
          <cell r="P22"/>
          <cell r="Q22">
            <v>0</v>
          </cell>
          <cell r="R22">
            <v>0</v>
          </cell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729.55</v>
          </cell>
          <cell r="L23">
            <v>0</v>
          </cell>
          <cell r="M23">
            <v>729.55</v>
          </cell>
          <cell r="O23">
            <v>213.22100000000003</v>
          </cell>
          <cell r="P23"/>
          <cell r="Q23">
            <v>42.73</v>
          </cell>
          <cell r="R23">
            <v>170.49100000000004</v>
          </cell>
          <cell r="S23">
            <v>183.20800000000003</v>
          </cell>
          <cell r="T23">
            <v>187.43000000000004</v>
          </cell>
          <cell r="U23">
            <v>97.484999999999999</v>
          </cell>
          <cell r="V23">
            <v>13.014999999999999</v>
          </cell>
          <cell r="W23">
            <v>34.399999999999864</v>
          </cell>
          <cell r="X23">
            <v>0.79099999999993997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O24">
            <v>0</v>
          </cell>
          <cell r="P24"/>
          <cell r="Q24">
            <v>0</v>
          </cell>
          <cell r="R24">
            <v>0</v>
          </cell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O25">
            <v>0</v>
          </cell>
          <cell r="P25"/>
          <cell r="Q25">
            <v>0</v>
          </cell>
          <cell r="R25">
            <v>0</v>
          </cell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O26">
            <v>0</v>
          </cell>
          <cell r="P26"/>
          <cell r="Q26">
            <v>0</v>
          </cell>
          <cell r="R26">
            <v>0</v>
          </cell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419</v>
          </cell>
          <cell r="L27">
            <v>0</v>
          </cell>
          <cell r="M27">
            <v>419</v>
          </cell>
          <cell r="O27">
            <v>59</v>
          </cell>
          <cell r="P27"/>
          <cell r="Q27">
            <v>0</v>
          </cell>
          <cell r="R27">
            <v>59</v>
          </cell>
          <cell r="S27">
            <v>49</v>
          </cell>
          <cell r="T27">
            <v>243</v>
          </cell>
          <cell r="U27"/>
          <cell r="V27">
            <v>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O28">
            <v>0</v>
          </cell>
          <cell r="P28"/>
          <cell r="Q28">
            <v>0</v>
          </cell>
          <cell r="R28">
            <v>0</v>
          </cell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>0</v>
          </cell>
          <cell r="L29">
            <v>0</v>
          </cell>
          <cell r="M29" t="str">
            <v>0</v>
          </cell>
          <cell r="O29">
            <v>0</v>
          </cell>
          <cell r="P29"/>
          <cell r="Q29">
            <v>0</v>
          </cell>
          <cell r="R29">
            <v>0</v>
          </cell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461</v>
          </cell>
          <cell r="L30">
            <v>0</v>
          </cell>
          <cell r="M30">
            <v>461</v>
          </cell>
          <cell r="O30">
            <v>39</v>
          </cell>
          <cell r="P30"/>
          <cell r="Q30">
            <v>0</v>
          </cell>
          <cell r="R30">
            <v>39</v>
          </cell>
          <cell r="S30">
            <v>33</v>
          </cell>
          <cell r="T30">
            <v>162</v>
          </cell>
          <cell r="U30"/>
          <cell r="V30">
            <v>45</v>
          </cell>
          <cell r="W30">
            <v>82</v>
          </cell>
          <cell r="X30">
            <v>100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3177</v>
          </cell>
          <cell r="L31">
            <v>0</v>
          </cell>
          <cell r="M31">
            <v>3177</v>
          </cell>
          <cell r="O31">
            <v>873</v>
          </cell>
          <cell r="P31"/>
          <cell r="Q31">
            <v>198</v>
          </cell>
          <cell r="R31">
            <v>675</v>
          </cell>
          <cell r="S31">
            <v>1152</v>
          </cell>
          <cell r="T31">
            <v>918</v>
          </cell>
          <cell r="U31">
            <v>234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O32">
            <v>0</v>
          </cell>
          <cell r="P32"/>
          <cell r="Q32">
            <v>0</v>
          </cell>
          <cell r="R32">
            <v>0</v>
          </cell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136.25200000000001</v>
          </cell>
          <cell r="L33">
            <v>0</v>
          </cell>
          <cell r="M33">
            <v>136.25200000000001</v>
          </cell>
          <cell r="O33">
            <v>41.749000000000017</v>
          </cell>
          <cell r="P33"/>
          <cell r="Q33">
            <v>8.7460000000000004</v>
          </cell>
          <cell r="R33">
            <v>33.003000000000014</v>
          </cell>
          <cell r="S33">
            <v>36.194000000000003</v>
          </cell>
          <cell r="T33">
            <v>37.673999999999999</v>
          </cell>
          <cell r="U33">
            <v>17.614000000000001</v>
          </cell>
          <cell r="V33">
            <v>3.0209999999999995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7263</v>
          </cell>
          <cell r="L34">
            <v>0</v>
          </cell>
          <cell r="M34">
            <v>7263</v>
          </cell>
          <cell r="O34">
            <v>2088</v>
          </cell>
          <cell r="P34"/>
          <cell r="Q34">
            <v>522</v>
          </cell>
          <cell r="R34">
            <v>1566</v>
          </cell>
          <cell r="S34">
            <v>2610</v>
          </cell>
          <cell r="T34">
            <v>2088</v>
          </cell>
          <cell r="U34">
            <v>477</v>
          </cell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O35">
            <v>0</v>
          </cell>
          <cell r="P35"/>
          <cell r="Q35">
            <v>0</v>
          </cell>
          <cell r="R35">
            <v>0</v>
          </cell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O36">
            <v>0</v>
          </cell>
          <cell r="P36"/>
          <cell r="Q36">
            <v>0</v>
          </cell>
          <cell r="R36">
            <v>0</v>
          </cell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O37">
            <v>0</v>
          </cell>
          <cell r="P37"/>
          <cell r="Q37">
            <v>0</v>
          </cell>
          <cell r="R37">
            <v>0</v>
          </cell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O38">
            <v>0</v>
          </cell>
          <cell r="P38"/>
          <cell r="Q38">
            <v>0</v>
          </cell>
          <cell r="R38">
            <v>0</v>
          </cell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O39">
            <v>0</v>
          </cell>
          <cell r="P39"/>
          <cell r="Q39">
            <v>0</v>
          </cell>
          <cell r="R39">
            <v>0</v>
          </cell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O40">
            <v>0</v>
          </cell>
          <cell r="P40"/>
          <cell r="Q40">
            <v>0</v>
          </cell>
          <cell r="R40">
            <v>0</v>
          </cell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O41">
            <v>0</v>
          </cell>
          <cell r="P41"/>
          <cell r="Q41">
            <v>0</v>
          </cell>
          <cell r="R41">
            <v>0</v>
          </cell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O42">
            <v>0</v>
          </cell>
          <cell r="P42"/>
          <cell r="Q42">
            <v>0</v>
          </cell>
          <cell r="R42">
            <v>0</v>
          </cell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O43">
            <v>0</v>
          </cell>
          <cell r="P43"/>
          <cell r="Q43">
            <v>0</v>
          </cell>
          <cell r="R43">
            <v>0</v>
          </cell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O44">
            <v>0</v>
          </cell>
          <cell r="P44"/>
          <cell r="Q44">
            <v>0</v>
          </cell>
          <cell r="R44">
            <v>0</v>
          </cell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10.321999999999999</v>
          </cell>
          <cell r="L45">
            <v>0</v>
          </cell>
          <cell r="M45">
            <v>10.321999999999999</v>
          </cell>
          <cell r="O45">
            <v>3.2329999999999992</v>
          </cell>
          <cell r="P45"/>
          <cell r="Q45">
            <v>0.54200000000000004</v>
          </cell>
          <cell r="R45">
            <v>2.6909999999999989</v>
          </cell>
          <cell r="S45">
            <v>2.7079999999999997</v>
          </cell>
          <cell r="T45">
            <v>2.7429999999999999</v>
          </cell>
          <cell r="U45">
            <v>1.569</v>
          </cell>
          <cell r="V45">
            <v>6.9000000000000006E-2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O46">
            <v>0</v>
          </cell>
          <cell r="P46"/>
          <cell r="Q46">
            <v>5.2999999999999999E-2</v>
          </cell>
          <cell r="R46">
            <v>-5.2999999999999999E-2</v>
          </cell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46.790999999999997</v>
          </cell>
          <cell r="L47">
            <v>0</v>
          </cell>
          <cell r="M47">
            <v>46.790999999999997</v>
          </cell>
          <cell r="O47">
            <v>13.872999999999999</v>
          </cell>
          <cell r="P47"/>
          <cell r="Q47">
            <v>2.3730000000000002</v>
          </cell>
          <cell r="R47">
            <v>11.5</v>
          </cell>
          <cell r="S47">
            <v>12.228000000000003</v>
          </cell>
          <cell r="T47">
            <v>12.803999999999998</v>
          </cell>
          <cell r="U47">
            <v>6.5879999999999992</v>
          </cell>
          <cell r="V47">
            <v>1.298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O48">
            <v>0</v>
          </cell>
          <cell r="P48"/>
          <cell r="Q48">
            <v>0</v>
          </cell>
          <cell r="R48">
            <v>0</v>
          </cell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O49">
            <v>0</v>
          </cell>
          <cell r="P49"/>
          <cell r="Q49">
            <v>0</v>
          </cell>
          <cell r="R49">
            <v>0</v>
          </cell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2394.0120000000002</v>
          </cell>
          <cell r="L20">
            <v>0</v>
          </cell>
          <cell r="M20">
            <v>2394.0120000000002</v>
          </cell>
          <cell r="P20"/>
          <cell r="Q20"/>
          <cell r="R20"/>
          <cell r="S20">
            <v>277.69099999999997</v>
          </cell>
          <cell r="T20">
            <v>746.03200000000004</v>
          </cell>
          <cell r="U20">
            <v>740.4670000000001</v>
          </cell>
          <cell r="V20">
            <v>621.04600000000005</v>
          </cell>
          <cell r="W20">
            <v>8.7760000000002947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507.43900000000002</v>
          </cell>
          <cell r="L23">
            <v>0</v>
          </cell>
          <cell r="M23">
            <v>507.43900000000002</v>
          </cell>
          <cell r="P23"/>
          <cell r="Q23"/>
          <cell r="R23"/>
          <cell r="S23">
            <v>48.954999999999998</v>
          </cell>
          <cell r="T23">
            <v>151.30799999999999</v>
          </cell>
          <cell r="U23">
            <v>145.74299999999999</v>
          </cell>
          <cell r="V23">
            <v>130.423</v>
          </cell>
          <cell r="W23">
            <v>9.125</v>
          </cell>
          <cell r="X23">
            <v>21.885000000000048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69</v>
          </cell>
          <cell r="L27">
            <v>0</v>
          </cell>
          <cell r="M27">
            <v>69</v>
          </cell>
          <cell r="P27"/>
          <cell r="Q27"/>
          <cell r="R27"/>
          <cell r="S27"/>
          <cell r="T27">
            <v>42</v>
          </cell>
          <cell r="U27"/>
          <cell r="V27"/>
          <cell r="W27">
            <v>0</v>
          </cell>
          <cell r="X27">
            <v>27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396</v>
          </cell>
          <cell r="L30">
            <v>0</v>
          </cell>
          <cell r="M30">
            <v>396</v>
          </cell>
          <cell r="P30"/>
          <cell r="Q30"/>
          <cell r="R30"/>
          <cell r="S30"/>
          <cell r="T30">
            <v>57</v>
          </cell>
          <cell r="U30">
            <v>90</v>
          </cell>
          <cell r="V30">
            <v>72</v>
          </cell>
          <cell r="W30">
            <v>122</v>
          </cell>
          <cell r="X30">
            <v>55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2421</v>
          </cell>
          <cell r="L31">
            <v>0</v>
          </cell>
          <cell r="M31">
            <v>2421</v>
          </cell>
          <cell r="P31"/>
          <cell r="Q31"/>
          <cell r="R31"/>
          <cell r="S31">
            <v>315</v>
          </cell>
          <cell r="T31">
            <v>810</v>
          </cell>
          <cell r="U31">
            <v>810</v>
          </cell>
          <cell r="V31">
            <v>810</v>
          </cell>
          <cell r="W31">
            <v>0</v>
          </cell>
          <cell r="X31">
            <v>-324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92.781999999999996</v>
          </cell>
          <cell r="L33">
            <v>0</v>
          </cell>
          <cell r="M33">
            <v>92.781999999999996</v>
          </cell>
          <cell r="P33"/>
          <cell r="Q33"/>
          <cell r="R33"/>
          <cell r="S33">
            <v>8.86</v>
          </cell>
          <cell r="T33">
            <v>29.334000000000003</v>
          </cell>
          <cell r="U33">
            <v>28.685000000000002</v>
          </cell>
          <cell r="V33">
            <v>23.719999999999995</v>
          </cell>
          <cell r="W33">
            <v>2.1829999999999927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6768</v>
          </cell>
          <cell r="L34">
            <v>0</v>
          </cell>
          <cell r="M34">
            <v>6768</v>
          </cell>
          <cell r="P34"/>
          <cell r="Q34"/>
          <cell r="R34"/>
          <cell r="S34">
            <v>1269</v>
          </cell>
          <cell r="T34">
            <v>2115</v>
          </cell>
          <cell r="U34">
            <v>2115</v>
          </cell>
          <cell r="V34">
            <v>1269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4.8789999999999996</v>
          </cell>
          <cell r="L45">
            <v>0</v>
          </cell>
          <cell r="M45">
            <v>4.8789999999999996</v>
          </cell>
          <cell r="P45"/>
          <cell r="Q45"/>
          <cell r="R45"/>
          <cell r="S45">
            <v>0.55000000000000004</v>
          </cell>
          <cell r="T45">
            <v>1.5249999999999997</v>
          </cell>
          <cell r="U45">
            <v>1.5119999999999996</v>
          </cell>
          <cell r="V45">
            <v>1.2459999999999998</v>
          </cell>
          <cell r="W45">
            <v>4.6000000000000263E-2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26.806999999999999</v>
          </cell>
          <cell r="L47">
            <v>0</v>
          </cell>
          <cell r="M47">
            <v>26.806999999999999</v>
          </cell>
          <cell r="P47"/>
          <cell r="Q47"/>
          <cell r="R47"/>
          <cell r="S47">
            <v>2.5429999999999997</v>
          </cell>
          <cell r="T47">
            <v>5.9029999999999996</v>
          </cell>
          <cell r="U47">
            <v>9.2370000000000001</v>
          </cell>
          <cell r="V47">
            <v>8.2059999999999995</v>
          </cell>
          <cell r="W47">
            <v>0.91799999999999926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1033.0830000000001</v>
          </cell>
          <cell r="L20">
            <v>0</v>
          </cell>
          <cell r="M20">
            <v>1033.0830000000001</v>
          </cell>
          <cell r="P20"/>
          <cell r="Q20"/>
          <cell r="R20"/>
          <cell r="S20">
            <v>0</v>
          </cell>
          <cell r="T20">
            <v>0</v>
          </cell>
          <cell r="U20">
            <v>0</v>
          </cell>
          <cell r="V20"/>
          <cell r="W20">
            <v>551.23699999999997</v>
          </cell>
          <cell r="X20">
            <v>481.84600000000012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151.38499999999999</v>
          </cell>
          <cell r="L23">
            <v>0</v>
          </cell>
          <cell r="M23">
            <v>151.38499999999999</v>
          </cell>
          <cell r="P23"/>
          <cell r="Q23"/>
          <cell r="R23"/>
          <cell r="S23">
            <v>0</v>
          </cell>
          <cell r="T23">
            <v>0</v>
          </cell>
          <cell r="U23">
            <v>0</v>
          </cell>
          <cell r="V23"/>
          <cell r="W23">
            <v>60.613999999999997</v>
          </cell>
          <cell r="X23">
            <v>90.770999999999987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0</v>
          </cell>
          <cell r="L27">
            <v>0</v>
          </cell>
          <cell r="M27">
            <v>0</v>
          </cell>
          <cell r="P27"/>
          <cell r="Q27"/>
          <cell r="R27"/>
          <cell r="S27"/>
          <cell r="T27">
            <v>0</v>
          </cell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>0</v>
          </cell>
          <cell r="L29">
            <v>0</v>
          </cell>
          <cell r="M29" t="str">
            <v>0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288</v>
          </cell>
          <cell r="L30">
            <v>0</v>
          </cell>
          <cell r="M30">
            <v>288</v>
          </cell>
          <cell r="P30"/>
          <cell r="Q30"/>
          <cell r="R30"/>
          <cell r="S30"/>
          <cell r="T30">
            <v>0</v>
          </cell>
          <cell r="U30">
            <v>0</v>
          </cell>
          <cell r="V30"/>
          <cell r="W30">
            <v>0</v>
          </cell>
          <cell r="X30">
            <v>225</v>
          </cell>
          <cell r="Y30">
            <v>63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>
            <v>0</v>
          </cell>
          <cell r="T31">
            <v>0</v>
          </cell>
          <cell r="U31">
            <v>0</v>
          </cell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44.353000000000002</v>
          </cell>
          <cell r="L33">
            <v>0</v>
          </cell>
          <cell r="M33">
            <v>44.353000000000002</v>
          </cell>
          <cell r="P33"/>
          <cell r="Q33"/>
          <cell r="R33"/>
          <cell r="S33">
            <v>0</v>
          </cell>
          <cell r="T33">
            <v>0</v>
          </cell>
          <cell r="U33">
            <v>0</v>
          </cell>
          <cell r="V33"/>
          <cell r="W33">
            <v>18.492000000000001</v>
          </cell>
          <cell r="X33">
            <v>25.861000000000001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>
            <v>0</v>
          </cell>
          <cell r="T34">
            <v>0</v>
          </cell>
          <cell r="U34">
            <v>0</v>
          </cell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1.96</v>
          </cell>
          <cell r="L45">
            <v>1.2919999999999998</v>
          </cell>
          <cell r="M45">
            <v>3.2519999999999998</v>
          </cell>
          <cell r="P45"/>
          <cell r="Q45"/>
          <cell r="R45"/>
          <cell r="S45">
            <v>0</v>
          </cell>
          <cell r="T45">
            <v>0</v>
          </cell>
          <cell r="U45">
            <v>0</v>
          </cell>
          <cell r="V45"/>
          <cell r="W45">
            <v>0.92400000000000004</v>
          </cell>
          <cell r="X45">
            <v>1.036</v>
          </cell>
          <cell r="Y45">
            <v>0</v>
          </cell>
          <cell r="Z45">
            <v>0</v>
          </cell>
          <cell r="AA45">
            <v>1.2919999999999998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11.377000000000001</v>
          </cell>
          <cell r="L47">
            <v>0</v>
          </cell>
          <cell r="M47">
            <v>11.377000000000001</v>
          </cell>
          <cell r="P47"/>
          <cell r="Q47"/>
          <cell r="R47"/>
          <cell r="S47">
            <v>0</v>
          </cell>
          <cell r="T47">
            <v>0</v>
          </cell>
          <cell r="U47">
            <v>0</v>
          </cell>
          <cell r="V47"/>
          <cell r="W47">
            <v>5.1340000000000003</v>
          </cell>
          <cell r="X47">
            <v>6.2430000000000003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914.2</v>
          </cell>
          <cell r="L20">
            <v>0</v>
          </cell>
          <cell r="M20">
            <v>914.2</v>
          </cell>
          <cell r="P20"/>
          <cell r="Q20"/>
          <cell r="R20"/>
          <cell r="S20">
            <v>0</v>
          </cell>
          <cell r="T20">
            <v>0</v>
          </cell>
          <cell r="U20">
            <v>0</v>
          </cell>
          <cell r="V20"/>
          <cell r="W20">
            <v>551.23699999999997</v>
          </cell>
          <cell r="X20">
            <v>362.96300000000008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160.375</v>
          </cell>
          <cell r="L23">
            <v>0</v>
          </cell>
          <cell r="M23">
            <v>160.375</v>
          </cell>
          <cell r="P23"/>
          <cell r="Q23"/>
          <cell r="R23"/>
          <cell r="S23">
            <v>0</v>
          </cell>
          <cell r="T23">
            <v>0</v>
          </cell>
          <cell r="U23">
            <v>0</v>
          </cell>
          <cell r="V23"/>
          <cell r="W23">
            <v>60.613999999999997</v>
          </cell>
          <cell r="X23">
            <v>99.760999999999996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27</v>
          </cell>
          <cell r="L27">
            <v>0</v>
          </cell>
          <cell r="M27">
            <v>27</v>
          </cell>
          <cell r="P27"/>
          <cell r="Q27"/>
          <cell r="R27"/>
          <cell r="S27"/>
          <cell r="T27">
            <v>0</v>
          </cell>
          <cell r="U27"/>
          <cell r="V27"/>
          <cell r="W27">
            <v>0</v>
          </cell>
          <cell r="X27">
            <v>0</v>
          </cell>
          <cell r="Y27">
            <v>27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>0</v>
          </cell>
          <cell r="L29">
            <v>0</v>
          </cell>
          <cell r="M29" t="str">
            <v>0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228</v>
          </cell>
          <cell r="L30">
            <v>0</v>
          </cell>
          <cell r="M30">
            <v>228</v>
          </cell>
          <cell r="P30"/>
          <cell r="Q30"/>
          <cell r="R30"/>
          <cell r="S30"/>
          <cell r="T30">
            <v>0</v>
          </cell>
          <cell r="U30">
            <v>0</v>
          </cell>
          <cell r="V30"/>
          <cell r="W30">
            <v>0</v>
          </cell>
          <cell r="X30">
            <v>192</v>
          </cell>
          <cell r="Y30">
            <v>36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>
            <v>0</v>
          </cell>
          <cell r="T31">
            <v>0</v>
          </cell>
          <cell r="U31">
            <v>0</v>
          </cell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44.503999999999998</v>
          </cell>
          <cell r="L33">
            <v>0</v>
          </cell>
          <cell r="M33">
            <v>44.503999999999998</v>
          </cell>
          <cell r="P33"/>
          <cell r="Q33"/>
          <cell r="R33"/>
          <cell r="S33">
            <v>0</v>
          </cell>
          <cell r="T33">
            <v>0</v>
          </cell>
          <cell r="U33">
            <v>0</v>
          </cell>
          <cell r="V33"/>
          <cell r="W33">
            <v>18.492000000000001</v>
          </cell>
          <cell r="X33">
            <v>26.011999999999997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>
            <v>0</v>
          </cell>
          <cell r="T34">
            <v>0</v>
          </cell>
          <cell r="U34">
            <v>0</v>
          </cell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0.66800000000000004</v>
          </cell>
          <cell r="L45">
            <v>0</v>
          </cell>
          <cell r="M45">
            <v>0.66800000000000004</v>
          </cell>
          <cell r="P45"/>
          <cell r="Q45"/>
          <cell r="R45"/>
          <cell r="S45">
            <v>0</v>
          </cell>
          <cell r="T45">
            <v>0</v>
          </cell>
          <cell r="U45">
            <v>0</v>
          </cell>
          <cell r="V45"/>
          <cell r="W45">
            <v>0.92400000000000004</v>
          </cell>
          <cell r="X45">
            <v>-0.25600000000000001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11.384</v>
          </cell>
          <cell r="L47">
            <v>0</v>
          </cell>
          <cell r="M47">
            <v>11.384</v>
          </cell>
          <cell r="P47"/>
          <cell r="Q47"/>
          <cell r="R47"/>
          <cell r="S47">
            <v>0</v>
          </cell>
          <cell r="T47">
            <v>0</v>
          </cell>
          <cell r="U47">
            <v>0</v>
          </cell>
          <cell r="V47"/>
          <cell r="W47">
            <v>5.1340000000000003</v>
          </cell>
          <cell r="X47">
            <v>6.25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0</v>
          </cell>
          <cell r="L20"/>
          <cell r="M20">
            <v>0</v>
          </cell>
          <cell r="O20"/>
          <cell r="P20"/>
          <cell r="Q20"/>
          <cell r="R20"/>
          <cell r="S20"/>
          <cell r="T20"/>
          <cell r="U20"/>
          <cell r="V20"/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/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/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39.74</v>
          </cell>
          <cell r="L23">
            <v>0</v>
          </cell>
          <cell r="M23">
            <v>39.74</v>
          </cell>
          <cell r="O23"/>
          <cell r="P23"/>
          <cell r="Q23"/>
          <cell r="R23"/>
          <cell r="S23"/>
          <cell r="T23">
            <v>26.192</v>
          </cell>
          <cell r="U23"/>
          <cell r="V23"/>
          <cell r="W23">
            <v>0</v>
          </cell>
          <cell r="X23">
            <v>13.548000000000002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/>
          <cell r="L24"/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/>
          <cell r="L25"/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/>
          <cell r="L26"/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/>
          <cell r="L27"/>
          <cell r="M27">
            <v>0</v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/>
          <cell r="L28"/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/>
          <cell r="L29"/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/>
          <cell r="L30"/>
          <cell r="M30">
            <v>0</v>
          </cell>
          <cell r="P30"/>
          <cell r="Q30"/>
          <cell r="R30"/>
          <cell r="S30"/>
          <cell r="T30"/>
          <cell r="U30"/>
          <cell r="V30"/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/>
          <cell r="L31"/>
          <cell r="M31">
            <v>0</v>
          </cell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/>
          <cell r="L32"/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/>
          <cell r="L33"/>
          <cell r="M33">
            <v>0</v>
          </cell>
          <cell r="P33"/>
          <cell r="Q33"/>
          <cell r="R33"/>
          <cell r="S33"/>
          <cell r="T33"/>
          <cell r="U33"/>
          <cell r="V33"/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/>
          <cell r="L34"/>
          <cell r="M34">
            <v>0</v>
          </cell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/>
          <cell r="L35"/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/>
          <cell r="L36"/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/>
          <cell r="L37"/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/>
          <cell r="L38"/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/>
          <cell r="L39"/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/>
          <cell r="L40"/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/>
          <cell r="L41"/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/>
          <cell r="L42"/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/>
          <cell r="L43"/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/>
          <cell r="L44"/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/>
          <cell r="L45"/>
          <cell r="M45">
            <v>0</v>
          </cell>
          <cell r="P45"/>
          <cell r="Q45"/>
          <cell r="R45"/>
          <cell r="S45"/>
          <cell r="T45"/>
          <cell r="U45"/>
          <cell r="V45"/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/>
          <cell r="L46"/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/>
          <cell r="L47"/>
          <cell r="M47">
            <v>0</v>
          </cell>
          <cell r="O47"/>
          <cell r="P47"/>
          <cell r="Q47"/>
          <cell r="R47"/>
          <cell r="S47"/>
          <cell r="T47"/>
          <cell r="U47"/>
          <cell r="V47"/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/>
          <cell r="L48"/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/>
          <cell r="L49"/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1669.846</v>
          </cell>
          <cell r="L20">
            <v>0</v>
          </cell>
          <cell r="M20">
            <v>1669.846</v>
          </cell>
          <cell r="O20">
            <v>740.85199999999998</v>
          </cell>
          <cell r="P20"/>
          <cell r="Q20">
            <v>143.661</v>
          </cell>
          <cell r="R20">
            <v>597.19100000000003</v>
          </cell>
          <cell r="S20">
            <v>739.3069999999999</v>
          </cell>
          <cell r="T20">
            <v>189.68699999999998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O21">
            <v>0</v>
          </cell>
          <cell r="P21"/>
          <cell r="Q21">
            <v>0</v>
          </cell>
          <cell r="R21">
            <v>0</v>
          </cell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O22">
            <v>0</v>
          </cell>
          <cell r="P22"/>
          <cell r="Q22">
            <v>0</v>
          </cell>
          <cell r="R22">
            <v>0</v>
          </cell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354.08499999999998</v>
          </cell>
          <cell r="L23">
            <v>0</v>
          </cell>
          <cell r="M23">
            <v>354.08499999999998</v>
          </cell>
          <cell r="O23">
            <v>146.12900000000002</v>
          </cell>
          <cell r="P23"/>
          <cell r="Q23">
            <v>24.725000000000001</v>
          </cell>
          <cell r="R23">
            <v>121.40400000000002</v>
          </cell>
          <cell r="S23">
            <v>144.583</v>
          </cell>
          <cell r="T23">
            <v>63.363999999999997</v>
          </cell>
          <cell r="U23"/>
          <cell r="V23"/>
          <cell r="W23">
            <v>0</v>
          </cell>
          <cell r="X23">
            <v>9.0000000000145519E-3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O24">
            <v>0</v>
          </cell>
          <cell r="P24"/>
          <cell r="Q24">
            <v>0</v>
          </cell>
          <cell r="R24">
            <v>0</v>
          </cell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O25">
            <v>0</v>
          </cell>
          <cell r="P25"/>
          <cell r="Q25">
            <v>0</v>
          </cell>
          <cell r="R25">
            <v>0</v>
          </cell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O26">
            <v>0</v>
          </cell>
          <cell r="P26"/>
          <cell r="Q26">
            <v>0</v>
          </cell>
          <cell r="R26">
            <v>0</v>
          </cell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0</v>
          </cell>
          <cell r="L27">
            <v>0</v>
          </cell>
          <cell r="M27">
            <v>0</v>
          </cell>
          <cell r="O27">
            <v>0</v>
          </cell>
          <cell r="P27"/>
          <cell r="Q27">
            <v>0</v>
          </cell>
          <cell r="R27">
            <v>0</v>
          </cell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O28">
            <v>0</v>
          </cell>
          <cell r="P28"/>
          <cell r="Q28">
            <v>0</v>
          </cell>
          <cell r="R28">
            <v>0</v>
          </cell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>0</v>
          </cell>
          <cell r="L29">
            <v>0</v>
          </cell>
          <cell r="M29" t="str">
            <v>0</v>
          </cell>
          <cell r="O29">
            <v>0</v>
          </cell>
          <cell r="P29"/>
          <cell r="Q29">
            <v>0</v>
          </cell>
          <cell r="R29">
            <v>0</v>
          </cell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343</v>
          </cell>
          <cell r="L30">
            <v>0</v>
          </cell>
          <cell r="M30">
            <v>343</v>
          </cell>
          <cell r="O30">
            <v>69</v>
          </cell>
          <cell r="P30"/>
          <cell r="Q30">
            <v>0</v>
          </cell>
          <cell r="R30">
            <v>69</v>
          </cell>
          <cell r="S30">
            <v>36</v>
          </cell>
          <cell r="T30">
            <v>238</v>
          </cell>
          <cell r="U30"/>
          <cell r="V30"/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1809</v>
          </cell>
          <cell r="L31">
            <v>0</v>
          </cell>
          <cell r="M31">
            <v>1809</v>
          </cell>
          <cell r="O31">
            <v>864</v>
          </cell>
          <cell r="P31"/>
          <cell r="Q31">
            <v>162</v>
          </cell>
          <cell r="R31">
            <v>702</v>
          </cell>
          <cell r="S31">
            <v>945</v>
          </cell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O32">
            <v>0</v>
          </cell>
          <cell r="P32"/>
          <cell r="Q32">
            <v>0</v>
          </cell>
          <cell r="R32">
            <v>0</v>
          </cell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64.099999999999994</v>
          </cell>
          <cell r="L33">
            <v>0</v>
          </cell>
          <cell r="M33">
            <v>64.099999999999994</v>
          </cell>
          <cell r="O33">
            <v>28.247999999999994</v>
          </cell>
          <cell r="P33"/>
          <cell r="Q33">
            <v>5.2960000000000003</v>
          </cell>
          <cell r="R33">
            <v>22.951999999999995</v>
          </cell>
          <cell r="S33">
            <v>27.378999999999994</v>
          </cell>
          <cell r="T33">
            <v>8.472999999999999</v>
          </cell>
          <cell r="U33"/>
          <cell r="V33"/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4221</v>
          </cell>
          <cell r="L34">
            <v>0</v>
          </cell>
          <cell r="M34">
            <v>4221</v>
          </cell>
          <cell r="O34">
            <v>2106</v>
          </cell>
          <cell r="P34"/>
          <cell r="Q34">
            <v>423</v>
          </cell>
          <cell r="R34">
            <v>1683</v>
          </cell>
          <cell r="S34">
            <v>2115</v>
          </cell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O35">
            <v>0</v>
          </cell>
          <cell r="P35"/>
          <cell r="Q35">
            <v>0</v>
          </cell>
          <cell r="R35">
            <v>0</v>
          </cell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O36">
            <v>0</v>
          </cell>
          <cell r="P36"/>
          <cell r="Q36">
            <v>0</v>
          </cell>
          <cell r="R36">
            <v>0</v>
          </cell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O37">
            <v>0</v>
          </cell>
          <cell r="P37"/>
          <cell r="Q37">
            <v>0</v>
          </cell>
          <cell r="R37">
            <v>0</v>
          </cell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O38">
            <v>0</v>
          </cell>
          <cell r="P38"/>
          <cell r="Q38">
            <v>0</v>
          </cell>
          <cell r="R38">
            <v>0</v>
          </cell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O39">
            <v>0</v>
          </cell>
          <cell r="P39"/>
          <cell r="Q39">
            <v>0</v>
          </cell>
          <cell r="R39">
            <v>0</v>
          </cell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O40">
            <v>0</v>
          </cell>
          <cell r="P40"/>
          <cell r="Q40">
            <v>0</v>
          </cell>
          <cell r="R40">
            <v>0</v>
          </cell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O41">
            <v>0</v>
          </cell>
          <cell r="P41"/>
          <cell r="Q41">
            <v>0</v>
          </cell>
          <cell r="R41">
            <v>0</v>
          </cell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O42">
            <v>0</v>
          </cell>
          <cell r="P42"/>
          <cell r="Q42">
            <v>0</v>
          </cell>
          <cell r="R42">
            <v>0</v>
          </cell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O43">
            <v>0</v>
          </cell>
          <cell r="P43"/>
          <cell r="Q43">
            <v>0</v>
          </cell>
          <cell r="R43">
            <v>0</v>
          </cell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O44">
            <v>0</v>
          </cell>
          <cell r="P44"/>
          <cell r="Q44">
            <v>0</v>
          </cell>
          <cell r="R44">
            <v>0</v>
          </cell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3.3660000000000001</v>
          </cell>
          <cell r="L45">
            <v>0</v>
          </cell>
          <cell r="M45">
            <v>3.3660000000000001</v>
          </cell>
          <cell r="O45">
            <v>1.5019999999999998</v>
          </cell>
          <cell r="P45"/>
          <cell r="Q45">
            <v>0.222</v>
          </cell>
          <cell r="R45">
            <v>1.2799999999999998</v>
          </cell>
          <cell r="S45">
            <v>1.4839999999999998</v>
          </cell>
          <cell r="T45">
            <v>0.38</v>
          </cell>
          <cell r="U45"/>
          <cell r="V45"/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O46">
            <v>0</v>
          </cell>
          <cell r="P46"/>
          <cell r="Q46">
            <v>0</v>
          </cell>
          <cell r="R46">
            <v>0</v>
          </cell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24.161999999999999</v>
          </cell>
          <cell r="L47">
            <v>0</v>
          </cell>
          <cell r="M47">
            <v>24.161999999999999</v>
          </cell>
          <cell r="O47">
            <v>9.3760000000000012</v>
          </cell>
          <cell r="P47"/>
          <cell r="Q47">
            <v>1.244</v>
          </cell>
          <cell r="R47">
            <v>8.1320000000000014</v>
          </cell>
          <cell r="S47">
            <v>11.268000000000001</v>
          </cell>
          <cell r="T47">
            <v>3.5179999999999998</v>
          </cell>
          <cell r="U47"/>
          <cell r="V47"/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O48">
            <v>0</v>
          </cell>
          <cell r="P48"/>
          <cell r="Q48">
            <v>0</v>
          </cell>
          <cell r="R48">
            <v>0</v>
          </cell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O49">
            <v>0</v>
          </cell>
          <cell r="P49"/>
          <cell r="Q49">
            <v>0</v>
          </cell>
          <cell r="R49">
            <v>0</v>
          </cell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1048.056</v>
          </cell>
          <cell r="L20">
            <v>0</v>
          </cell>
          <cell r="M20">
            <v>1048.056</v>
          </cell>
          <cell r="O20"/>
          <cell r="P20"/>
          <cell r="Q20"/>
          <cell r="R20"/>
          <cell r="S20"/>
          <cell r="T20"/>
          <cell r="U20">
            <v>434.62799999999999</v>
          </cell>
          <cell r="V20">
            <v>543.66600000000005</v>
          </cell>
          <cell r="W20">
            <v>0</v>
          </cell>
          <cell r="X20">
            <v>0</v>
          </cell>
          <cell r="Y20">
            <v>69.761999999999944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164.03399999999999</v>
          </cell>
          <cell r="L23">
            <v>0</v>
          </cell>
          <cell r="M23">
            <v>164.03399999999999</v>
          </cell>
          <cell r="O23"/>
          <cell r="P23"/>
          <cell r="Q23"/>
          <cell r="R23"/>
          <cell r="S23"/>
          <cell r="T23"/>
          <cell r="U23">
            <v>70.02000000000001</v>
          </cell>
          <cell r="V23">
            <v>70.419999999999987</v>
          </cell>
          <cell r="W23">
            <v>0</v>
          </cell>
          <cell r="X23">
            <v>0</v>
          </cell>
          <cell r="Y23">
            <v>23.593999999999994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24</v>
          </cell>
          <cell r="L27">
            <v>0</v>
          </cell>
          <cell r="M27">
            <v>24</v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24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231</v>
          </cell>
          <cell r="L30">
            <v>0</v>
          </cell>
          <cell r="M30">
            <v>231</v>
          </cell>
          <cell r="P30"/>
          <cell r="Q30"/>
          <cell r="R30"/>
          <cell r="S30"/>
          <cell r="T30"/>
          <cell r="U30"/>
          <cell r="V30">
            <v>231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44.353999999999999</v>
          </cell>
          <cell r="L33">
            <v>0</v>
          </cell>
          <cell r="M33">
            <v>44.353999999999999</v>
          </cell>
          <cell r="P33"/>
          <cell r="Q33"/>
          <cell r="R33"/>
          <cell r="S33"/>
          <cell r="T33"/>
          <cell r="U33">
            <v>18.32</v>
          </cell>
          <cell r="V33">
            <v>23.291000000000004</v>
          </cell>
          <cell r="W33">
            <v>0</v>
          </cell>
          <cell r="X33">
            <v>0</v>
          </cell>
          <cell r="Y33">
            <v>2.742999999999995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2.532</v>
          </cell>
          <cell r="L45">
            <v>0.71999999999999975</v>
          </cell>
          <cell r="M45">
            <v>3.2519999999999998</v>
          </cell>
          <cell r="P45"/>
          <cell r="Q45"/>
          <cell r="R45"/>
          <cell r="S45"/>
          <cell r="T45"/>
          <cell r="U45">
            <v>0.80800000000000005</v>
          </cell>
          <cell r="V45">
            <v>1.03</v>
          </cell>
          <cell r="W45">
            <v>0</v>
          </cell>
          <cell r="X45">
            <v>0.57299999999999995</v>
          </cell>
          <cell r="Y45">
            <v>0.121</v>
          </cell>
          <cell r="Z45"/>
          <cell r="AA45">
            <v>0.71999999999999975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11.928000000000001</v>
          </cell>
          <cell r="L47">
            <v>0</v>
          </cell>
          <cell r="M47">
            <v>11.928000000000001</v>
          </cell>
          <cell r="O47"/>
          <cell r="P47"/>
          <cell r="Q47"/>
          <cell r="R47"/>
          <cell r="S47"/>
          <cell r="T47"/>
          <cell r="U47">
            <v>3.4169999999999998</v>
          </cell>
          <cell r="V47">
            <v>7.8780000000000001</v>
          </cell>
          <cell r="W47">
            <v>0</v>
          </cell>
          <cell r="X47">
            <v>0</v>
          </cell>
          <cell r="Y47">
            <v>0.6330000000000009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864.13300000000004</v>
          </cell>
          <cell r="L20"/>
          <cell r="M20">
            <v>864.13300000000004</v>
          </cell>
          <cell r="O20"/>
          <cell r="P20"/>
          <cell r="Q20"/>
          <cell r="R20"/>
          <cell r="S20"/>
          <cell r="T20"/>
          <cell r="U20">
            <v>329.44499999999999</v>
          </cell>
          <cell r="V20">
            <v>466.36</v>
          </cell>
          <cell r="W20">
            <v>0</v>
          </cell>
          <cell r="X20">
            <v>10.968999999999999</v>
          </cell>
          <cell r="Y20">
            <v>57.358999999999924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/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/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151.89099999999999</v>
          </cell>
          <cell r="L23"/>
          <cell r="M23">
            <v>151.89099999999999</v>
          </cell>
          <cell r="O23"/>
          <cell r="P23"/>
          <cell r="Q23"/>
          <cell r="R23"/>
          <cell r="S23"/>
          <cell r="T23"/>
          <cell r="U23">
            <v>55.839000000000006</v>
          </cell>
          <cell r="V23">
            <v>72.448000000000008</v>
          </cell>
          <cell r="W23">
            <v>0</v>
          </cell>
          <cell r="X23">
            <v>0</v>
          </cell>
          <cell r="Y23">
            <v>23.603999999999985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/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/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/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>
            <v>18</v>
          </cell>
          <cell r="L27"/>
          <cell r="M27">
            <v>18</v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18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/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/>
          <cell r="M29" t="str">
            <v/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270</v>
          </cell>
          <cell r="L30"/>
          <cell r="M30">
            <v>270</v>
          </cell>
          <cell r="P30"/>
          <cell r="Q30"/>
          <cell r="R30"/>
          <cell r="S30"/>
          <cell r="T30"/>
          <cell r="U30"/>
          <cell r="V30">
            <v>270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/>
          <cell r="M31">
            <v>0</v>
          </cell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/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44.505000000000003</v>
          </cell>
          <cell r="L33"/>
          <cell r="M33">
            <v>44.505000000000003</v>
          </cell>
          <cell r="P33"/>
          <cell r="Q33"/>
          <cell r="R33"/>
          <cell r="S33"/>
          <cell r="T33"/>
          <cell r="U33">
            <v>17.457000000000001</v>
          </cell>
          <cell r="V33">
            <v>24.295999999999999</v>
          </cell>
          <cell r="W33">
            <v>0</v>
          </cell>
          <cell r="X33">
            <v>0</v>
          </cell>
          <cell r="Y33">
            <v>2.7520000000000024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/>
          <cell r="M34">
            <v>0</v>
          </cell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/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/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/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/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/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/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/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/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/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/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0.70899999999999996</v>
          </cell>
          <cell r="L45"/>
          <cell r="M45">
            <v>0.70899999999999996</v>
          </cell>
          <cell r="P45"/>
          <cell r="Q45"/>
          <cell r="R45"/>
          <cell r="S45"/>
          <cell r="T45"/>
          <cell r="U45">
            <v>0.76800000000000002</v>
          </cell>
          <cell r="V45">
            <v>1.071</v>
          </cell>
          <cell r="W45">
            <v>0</v>
          </cell>
          <cell r="X45">
            <v>-1.1709999999999998</v>
          </cell>
          <cell r="Y45">
            <v>4.1000000000000002E-2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/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11.741</v>
          </cell>
          <cell r="L47"/>
          <cell r="M47">
            <v>11.741</v>
          </cell>
          <cell r="O47"/>
          <cell r="P47"/>
          <cell r="Q47"/>
          <cell r="R47"/>
          <cell r="S47"/>
          <cell r="T47"/>
          <cell r="U47">
            <v>4.9619999999999997</v>
          </cell>
          <cell r="V47">
            <v>6.625</v>
          </cell>
          <cell r="W47">
            <v>0</v>
          </cell>
          <cell r="X47">
            <v>-0.48000000000000043</v>
          </cell>
          <cell r="Y47">
            <v>0.63400000000000034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/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/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357.16899999999998</v>
          </cell>
          <cell r="L20">
            <v>0</v>
          </cell>
          <cell r="M20">
            <v>357.16899999999998</v>
          </cell>
          <cell r="O20"/>
          <cell r="P20"/>
          <cell r="Q20"/>
          <cell r="R20"/>
          <cell r="S20"/>
          <cell r="T20"/>
          <cell r="U20"/>
          <cell r="V20"/>
          <cell r="W20">
            <v>357.16899999999998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85.463999999999999</v>
          </cell>
          <cell r="L23">
            <v>0</v>
          </cell>
          <cell r="M23">
            <v>85.463999999999999</v>
          </cell>
          <cell r="O23"/>
          <cell r="P23"/>
          <cell r="Q23"/>
          <cell r="R23"/>
          <cell r="S23"/>
          <cell r="T23"/>
          <cell r="U23"/>
          <cell r="V23"/>
          <cell r="W23">
            <v>81.826999999999998</v>
          </cell>
          <cell r="X23">
            <v>3.6370000000000005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177</v>
          </cell>
          <cell r="L29">
            <v>0</v>
          </cell>
          <cell r="M29">
            <v>177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177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</v>
          </cell>
          <cell r="L30">
            <v>0</v>
          </cell>
          <cell r="M30">
            <v>22</v>
          </cell>
          <cell r="P30"/>
          <cell r="Q30"/>
          <cell r="R30"/>
          <cell r="S30"/>
          <cell r="T30"/>
          <cell r="U30"/>
          <cell r="V30"/>
          <cell r="W30">
            <v>22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/>
          <cell r="U31"/>
          <cell r="V31"/>
          <cell r="W31">
            <v>360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8.8520000000000003</v>
          </cell>
          <cell r="L33">
            <v>0</v>
          </cell>
          <cell r="M33">
            <v>8.8520000000000003</v>
          </cell>
          <cell r="P33"/>
          <cell r="Q33"/>
          <cell r="R33"/>
          <cell r="S33"/>
          <cell r="T33"/>
          <cell r="U33"/>
          <cell r="V33"/>
          <cell r="W33">
            <v>8.8520000000000003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657</v>
          </cell>
          <cell r="L34">
            <v>0</v>
          </cell>
          <cell r="M34">
            <v>657</v>
          </cell>
          <cell r="P34"/>
          <cell r="Q34"/>
          <cell r="R34"/>
          <cell r="S34"/>
          <cell r="T34"/>
          <cell r="U34"/>
          <cell r="V34"/>
          <cell r="W34">
            <v>657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0.498</v>
          </cell>
          <cell r="L45">
            <v>0</v>
          </cell>
          <cell r="M45">
            <v>0.498</v>
          </cell>
          <cell r="P45"/>
          <cell r="Q45"/>
          <cell r="R45"/>
          <cell r="S45"/>
          <cell r="T45"/>
          <cell r="U45"/>
          <cell r="V45"/>
          <cell r="W45">
            <v>0.56299999999999994</v>
          </cell>
          <cell r="X45">
            <v>-6.4999999999999947E-2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3.6869999999999998</v>
          </cell>
          <cell r="L47">
            <v>0</v>
          </cell>
          <cell r="M47">
            <v>3.6869999999999998</v>
          </cell>
          <cell r="O47"/>
          <cell r="P47"/>
          <cell r="Q47"/>
          <cell r="R47"/>
          <cell r="S47"/>
          <cell r="T47"/>
          <cell r="U47"/>
          <cell r="V47"/>
          <cell r="W47">
            <v>3.6869999999999998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83.763999999999996</v>
          </cell>
          <cell r="L20">
            <v>0</v>
          </cell>
          <cell r="M20">
            <v>83.763999999999996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>
            <v>83.763999999999996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18.341999999999999</v>
          </cell>
          <cell r="L23">
            <v>0</v>
          </cell>
          <cell r="M23">
            <v>18.341999999999999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>
            <v>18.341999999999999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0</v>
          </cell>
          <cell r="L29">
            <v>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/>
          <cell r="X29"/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19</v>
          </cell>
          <cell r="L30">
            <v>0</v>
          </cell>
          <cell r="M30">
            <v>19</v>
          </cell>
          <cell r="P30"/>
          <cell r="Q30"/>
          <cell r="R30"/>
          <cell r="S30"/>
          <cell r="T30"/>
          <cell r="U30"/>
          <cell r="V30"/>
          <cell r="W30"/>
          <cell r="X30">
            <v>19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 t="str">
            <v/>
          </cell>
          <cell r="L31" t="e">
            <v>#VALUE!</v>
          </cell>
          <cell r="M31" t="str">
            <v/>
          </cell>
          <cell r="P31"/>
          <cell r="Q31"/>
          <cell r="R31"/>
          <cell r="S31"/>
          <cell r="T31"/>
          <cell r="U31"/>
          <cell r="V31"/>
          <cell r="W31"/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4.383</v>
          </cell>
          <cell r="L33">
            <v>0</v>
          </cell>
          <cell r="M33">
            <v>4.383</v>
          </cell>
          <cell r="P33"/>
          <cell r="Q33"/>
          <cell r="R33"/>
          <cell r="S33"/>
          <cell r="T33"/>
          <cell r="U33"/>
          <cell r="V33"/>
          <cell r="W33"/>
          <cell r="X33">
            <v>4.383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/>
          <cell r="V45"/>
          <cell r="W45"/>
          <cell r="X45">
            <v>8.6999999999999994E-2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0.84599999999999997</v>
          </cell>
          <cell r="L47">
            <v>0</v>
          </cell>
          <cell r="M47">
            <v>0.84599999999999997</v>
          </cell>
          <cell r="O47"/>
          <cell r="P47"/>
          <cell r="Q47"/>
          <cell r="R47"/>
          <cell r="S47"/>
          <cell r="T47"/>
          <cell r="U47"/>
          <cell r="V47"/>
          <cell r="W47"/>
          <cell r="X47">
            <v>0.84599999999999997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357.16899999999998</v>
          </cell>
          <cell r="L20">
            <v>0</v>
          </cell>
          <cell r="M20">
            <v>357.16899999999998</v>
          </cell>
          <cell r="O20"/>
          <cell r="P20"/>
          <cell r="Q20"/>
          <cell r="R20"/>
          <cell r="S20"/>
          <cell r="T20"/>
          <cell r="U20">
            <v>357.16899999999998</v>
          </cell>
          <cell r="V20"/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76.268000000000001</v>
          </cell>
          <cell r="L23">
            <v>0</v>
          </cell>
          <cell r="M23">
            <v>76.268000000000001</v>
          </cell>
          <cell r="O23"/>
          <cell r="P23"/>
          <cell r="Q23"/>
          <cell r="R23"/>
          <cell r="S23"/>
          <cell r="T23"/>
          <cell r="U23">
            <v>72.631</v>
          </cell>
          <cell r="V23"/>
          <cell r="W23">
            <v>0</v>
          </cell>
          <cell r="X23">
            <v>3.6370000000000005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159</v>
          </cell>
          <cell r="L29">
            <v>0</v>
          </cell>
          <cell r="M29">
            <v>159</v>
          </cell>
          <cell r="P29"/>
          <cell r="Q29"/>
          <cell r="R29"/>
          <cell r="S29"/>
          <cell r="T29"/>
          <cell r="U29">
            <v>159</v>
          </cell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</v>
          </cell>
          <cell r="L30">
            <v>0</v>
          </cell>
          <cell r="M30">
            <v>22</v>
          </cell>
          <cell r="P30"/>
          <cell r="Q30"/>
          <cell r="R30"/>
          <cell r="S30"/>
          <cell r="T30">
            <v>22</v>
          </cell>
          <cell r="U30"/>
          <cell r="V30">
            <v>18</v>
          </cell>
          <cell r="W30">
            <v>0</v>
          </cell>
          <cell r="X30">
            <v>-18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/>
          <cell r="U31">
            <v>360</v>
          </cell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8.8520000000000003</v>
          </cell>
          <cell r="L33">
            <v>0</v>
          </cell>
          <cell r="M33">
            <v>8.8520000000000003</v>
          </cell>
          <cell r="P33"/>
          <cell r="Q33"/>
          <cell r="R33"/>
          <cell r="S33"/>
          <cell r="T33"/>
          <cell r="U33">
            <v>8.8520000000000003</v>
          </cell>
          <cell r="V33"/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666</v>
          </cell>
          <cell r="L34">
            <v>0</v>
          </cell>
          <cell r="M34">
            <v>666</v>
          </cell>
          <cell r="P34"/>
          <cell r="Q34"/>
          <cell r="R34"/>
          <cell r="S34"/>
          <cell r="T34">
            <v>333</v>
          </cell>
          <cell r="U34"/>
          <cell r="V34"/>
          <cell r="W34">
            <v>0</v>
          </cell>
          <cell r="X34">
            <v>333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0.498</v>
          </cell>
          <cell r="L45">
            <v>0</v>
          </cell>
          <cell r="M45">
            <v>0.498</v>
          </cell>
          <cell r="P45"/>
          <cell r="Q45"/>
          <cell r="R45"/>
          <cell r="S45"/>
          <cell r="T45"/>
          <cell r="U45">
            <v>0.56299999999999994</v>
          </cell>
          <cell r="V45"/>
          <cell r="W45">
            <v>0</v>
          </cell>
          <cell r="X45">
            <v>-6.4999999999999947E-2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3.47</v>
          </cell>
          <cell r="L47">
            <v>0</v>
          </cell>
          <cell r="M47">
            <v>3.47</v>
          </cell>
          <cell r="O47"/>
          <cell r="P47"/>
          <cell r="Q47"/>
          <cell r="R47"/>
          <cell r="S47"/>
          <cell r="T47"/>
          <cell r="U47">
            <v>3.4699999999999998</v>
          </cell>
          <cell r="V47"/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83.763999999999996</v>
          </cell>
          <cell r="L20">
            <v>0</v>
          </cell>
          <cell r="M20">
            <v>83.763999999999996</v>
          </cell>
          <cell r="O20"/>
          <cell r="P20"/>
          <cell r="Q20"/>
          <cell r="R20"/>
          <cell r="S20"/>
          <cell r="T20"/>
          <cell r="U20">
            <v>83.763999999999996</v>
          </cell>
          <cell r="V20"/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16.704999999999998</v>
          </cell>
          <cell r="L23">
            <v>0</v>
          </cell>
          <cell r="M23">
            <v>16.704999999999998</v>
          </cell>
          <cell r="O23"/>
          <cell r="P23"/>
          <cell r="Q23"/>
          <cell r="R23"/>
          <cell r="S23"/>
          <cell r="T23"/>
          <cell r="U23">
            <v>16.507999999999999</v>
          </cell>
          <cell r="V23"/>
          <cell r="W23">
            <v>0</v>
          </cell>
          <cell r="X23">
            <v>0.19699999999999918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</v>
          </cell>
          <cell r="L30">
            <v>0</v>
          </cell>
          <cell r="M30">
            <v>22</v>
          </cell>
          <cell r="P30"/>
          <cell r="Q30"/>
          <cell r="R30"/>
          <cell r="S30"/>
          <cell r="T30"/>
          <cell r="U30"/>
          <cell r="V30"/>
          <cell r="W30">
            <v>4</v>
          </cell>
          <cell r="X30">
            <v>18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4.383</v>
          </cell>
          <cell r="L33">
            <v>0</v>
          </cell>
          <cell r="M33">
            <v>4.383</v>
          </cell>
          <cell r="P33"/>
          <cell r="Q33"/>
          <cell r="R33"/>
          <cell r="S33"/>
          <cell r="T33"/>
          <cell r="U33">
            <v>4.383</v>
          </cell>
          <cell r="V33"/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>
            <v>0.10100000000000001</v>
          </cell>
          <cell r="V45"/>
          <cell r="W45">
            <v>0</v>
          </cell>
          <cell r="X45">
            <v>-1.4000000000000012E-2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0.84599999999999997</v>
          </cell>
          <cell r="L47">
            <v>0</v>
          </cell>
          <cell r="M47">
            <v>0.84599999999999997</v>
          </cell>
          <cell r="O47"/>
          <cell r="P47"/>
          <cell r="Q47"/>
          <cell r="R47"/>
          <cell r="S47"/>
          <cell r="T47"/>
          <cell r="U47">
            <v>0.84599999999999997</v>
          </cell>
          <cell r="V47"/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347.15899999999999</v>
          </cell>
          <cell r="L20">
            <v>0</v>
          </cell>
          <cell r="M20">
            <v>347.15899999999999</v>
          </cell>
          <cell r="O20"/>
          <cell r="P20"/>
          <cell r="Q20"/>
          <cell r="R20"/>
          <cell r="S20"/>
          <cell r="T20"/>
          <cell r="U20"/>
          <cell r="V20">
            <v>128.74800000000002</v>
          </cell>
          <cell r="W20">
            <v>218.41099999999997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75.451999999999998</v>
          </cell>
          <cell r="L23">
            <v>0</v>
          </cell>
          <cell r="M23">
            <v>75.451999999999998</v>
          </cell>
          <cell r="O23"/>
          <cell r="P23"/>
          <cell r="Q23"/>
          <cell r="R23"/>
          <cell r="S23"/>
          <cell r="T23"/>
          <cell r="U23"/>
          <cell r="V23">
            <v>25.483999999999998</v>
          </cell>
          <cell r="W23">
            <v>46.331000000000003</v>
          </cell>
          <cell r="X23">
            <v>3.6370000000000005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176</v>
          </cell>
          <cell r="L29">
            <v>0</v>
          </cell>
          <cell r="M29">
            <v>176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176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</v>
          </cell>
          <cell r="L30">
            <v>0</v>
          </cell>
          <cell r="M30">
            <v>22</v>
          </cell>
          <cell r="P30"/>
          <cell r="Q30"/>
          <cell r="R30"/>
          <cell r="S30"/>
          <cell r="T30"/>
          <cell r="U30"/>
          <cell r="V30">
            <v>22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/>
          <cell r="U31"/>
          <cell r="V31">
            <v>180</v>
          </cell>
          <cell r="W31">
            <v>180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8.8520000000000003</v>
          </cell>
          <cell r="L33">
            <v>0</v>
          </cell>
          <cell r="M33">
            <v>8.8520000000000003</v>
          </cell>
          <cell r="P33"/>
          <cell r="Q33"/>
          <cell r="R33"/>
          <cell r="S33"/>
          <cell r="T33"/>
          <cell r="U33"/>
          <cell r="V33">
            <v>4.0470000000000006</v>
          </cell>
          <cell r="W33">
            <v>4.8049999999999997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657</v>
          </cell>
          <cell r="L34">
            <v>0</v>
          </cell>
          <cell r="M34">
            <v>657</v>
          </cell>
          <cell r="P34"/>
          <cell r="Q34"/>
          <cell r="R34"/>
          <cell r="S34"/>
          <cell r="T34"/>
          <cell r="U34"/>
          <cell r="V34">
            <v>657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0.498</v>
          </cell>
          <cell r="L45">
            <v>0</v>
          </cell>
          <cell r="M45">
            <v>0.498</v>
          </cell>
          <cell r="P45"/>
          <cell r="Q45"/>
          <cell r="R45"/>
          <cell r="S45"/>
          <cell r="T45"/>
          <cell r="U45"/>
          <cell r="V45">
            <v>0.22500000000000001</v>
          </cell>
          <cell r="W45">
            <v>0.27</v>
          </cell>
          <cell r="X45">
            <v>3.0000000000000027E-3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2.8130000000000002</v>
          </cell>
          <cell r="L47">
            <v>0</v>
          </cell>
          <cell r="M47">
            <v>2.8130000000000002</v>
          </cell>
          <cell r="O47"/>
          <cell r="P47"/>
          <cell r="Q47"/>
          <cell r="R47"/>
          <cell r="S47"/>
          <cell r="T47"/>
          <cell r="U47"/>
          <cell r="V47">
            <v>0.98899999999999999</v>
          </cell>
          <cell r="W47">
            <v>1.8240000000000003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74.790000000000006</v>
          </cell>
          <cell r="L20">
            <v>0</v>
          </cell>
          <cell r="M20">
            <v>74.790000000000006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>
            <v>74.790000000000006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/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/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16.378</v>
          </cell>
          <cell r="L23">
            <v>0</v>
          </cell>
          <cell r="M23">
            <v>16.378</v>
          </cell>
          <cell r="O23"/>
          <cell r="P23"/>
          <cell r="Q23"/>
          <cell r="R23"/>
          <cell r="S23"/>
          <cell r="T23"/>
          <cell r="U23"/>
          <cell r="V23"/>
          <cell r="W23"/>
          <cell r="X23">
            <v>16.378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/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/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/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/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/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0</v>
          </cell>
          <cell r="L29">
            <v>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/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 t="str">
            <v/>
          </cell>
          <cell r="L30" t="e">
            <v>#VALUE!</v>
          </cell>
          <cell r="M30" t="str">
            <v/>
          </cell>
          <cell r="P30"/>
          <cell r="Q30"/>
          <cell r="R30"/>
          <cell r="S30"/>
          <cell r="T30"/>
          <cell r="U30"/>
          <cell r="V30"/>
          <cell r="W30"/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/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/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3.9710000000000001</v>
          </cell>
          <cell r="L33">
            <v>0</v>
          </cell>
          <cell r="M33">
            <v>3.9710000000000001</v>
          </cell>
          <cell r="P33"/>
          <cell r="Q33"/>
          <cell r="R33"/>
          <cell r="S33"/>
          <cell r="T33"/>
          <cell r="U33"/>
          <cell r="V33"/>
          <cell r="W33"/>
          <cell r="X33">
            <v>3.9710000000000001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/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/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/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/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/>
          <cell r="V45"/>
          <cell r="W45"/>
          <cell r="X45">
            <v>8.6999999999999994E-2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0.755</v>
          </cell>
          <cell r="L47">
            <v>0</v>
          </cell>
          <cell r="M47">
            <v>0.755</v>
          </cell>
          <cell r="O47"/>
          <cell r="P47"/>
          <cell r="Q47"/>
          <cell r="R47"/>
          <cell r="S47"/>
          <cell r="T47"/>
          <cell r="U47"/>
          <cell r="V47"/>
          <cell r="W47"/>
          <cell r="X47">
            <v>0.755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357.16899999999998</v>
          </cell>
          <cell r="L20">
            <v>0</v>
          </cell>
          <cell r="M20">
            <v>357.16899999999998</v>
          </cell>
          <cell r="O20"/>
          <cell r="P20"/>
          <cell r="Q20"/>
          <cell r="R20"/>
          <cell r="S20"/>
          <cell r="T20">
            <v>355.024</v>
          </cell>
          <cell r="U20">
            <v>2.145</v>
          </cell>
          <cell r="V20"/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76.268000000000001</v>
          </cell>
          <cell r="L23">
            <v>0</v>
          </cell>
          <cell r="M23">
            <v>76.268000000000001</v>
          </cell>
          <cell r="O23"/>
          <cell r="P23"/>
          <cell r="Q23"/>
          <cell r="R23"/>
          <cell r="S23"/>
          <cell r="T23">
            <v>70.486000000000004</v>
          </cell>
          <cell r="U23">
            <v>2.145</v>
          </cell>
          <cell r="V23"/>
          <cell r="W23">
            <v>0</v>
          </cell>
          <cell r="X23">
            <v>3.6370000000000005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158</v>
          </cell>
          <cell r="L29">
            <v>0</v>
          </cell>
          <cell r="M29">
            <v>158</v>
          </cell>
          <cell r="P29"/>
          <cell r="Q29"/>
          <cell r="R29"/>
          <cell r="S29"/>
          <cell r="T29"/>
          <cell r="U29">
            <v>158</v>
          </cell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24</v>
          </cell>
          <cell r="L30">
            <v>0</v>
          </cell>
          <cell r="M30">
            <v>24</v>
          </cell>
          <cell r="P30"/>
          <cell r="Q30"/>
          <cell r="R30"/>
          <cell r="S30"/>
          <cell r="T30">
            <v>24</v>
          </cell>
          <cell r="U30"/>
          <cell r="V30"/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>
            <v>180</v>
          </cell>
          <cell r="U31">
            <v>180</v>
          </cell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8.8520000000000003</v>
          </cell>
          <cell r="L33">
            <v>0</v>
          </cell>
          <cell r="M33">
            <v>8.8520000000000003</v>
          </cell>
          <cell r="P33"/>
          <cell r="Q33"/>
          <cell r="R33"/>
          <cell r="S33"/>
          <cell r="T33">
            <v>8.8520000000000003</v>
          </cell>
          <cell r="U33"/>
          <cell r="V33"/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666</v>
          </cell>
          <cell r="L34">
            <v>0</v>
          </cell>
          <cell r="M34">
            <v>666</v>
          </cell>
          <cell r="P34"/>
          <cell r="Q34"/>
          <cell r="R34"/>
          <cell r="S34"/>
          <cell r="T34">
            <v>666</v>
          </cell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0.498</v>
          </cell>
          <cell r="L45">
            <v>0</v>
          </cell>
          <cell r="M45">
            <v>0.498</v>
          </cell>
          <cell r="P45"/>
          <cell r="Q45"/>
          <cell r="R45"/>
          <cell r="S45"/>
          <cell r="T45">
            <v>0.56299999999999994</v>
          </cell>
          <cell r="U45"/>
          <cell r="V45"/>
          <cell r="W45">
            <v>0</v>
          </cell>
          <cell r="X45">
            <v>-6.4999999999999947E-2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3.47</v>
          </cell>
          <cell r="L47">
            <v>0</v>
          </cell>
          <cell r="M47">
            <v>3.47</v>
          </cell>
          <cell r="O47"/>
          <cell r="P47"/>
          <cell r="Q47"/>
          <cell r="R47"/>
          <cell r="S47"/>
          <cell r="T47">
            <v>3.2829999999999999</v>
          </cell>
          <cell r="U47">
            <v>0.187</v>
          </cell>
          <cell r="V47"/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83.763999999999996</v>
          </cell>
          <cell r="L20">
            <v>0</v>
          </cell>
          <cell r="M20">
            <v>83.763999999999996</v>
          </cell>
          <cell r="O20"/>
          <cell r="P20"/>
          <cell r="Q20"/>
          <cell r="R20"/>
          <cell r="S20"/>
          <cell r="T20"/>
          <cell r="U20"/>
          <cell r="V20"/>
          <cell r="W20">
            <v>83.763999999999996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18.341999999999999</v>
          </cell>
          <cell r="L23">
            <v>0</v>
          </cell>
          <cell r="M23">
            <v>18.341999999999999</v>
          </cell>
          <cell r="O23"/>
          <cell r="P23"/>
          <cell r="Q23"/>
          <cell r="R23"/>
          <cell r="S23"/>
          <cell r="T23"/>
          <cell r="U23"/>
          <cell r="V23"/>
          <cell r="W23">
            <v>16.507999999999999</v>
          </cell>
          <cell r="X23">
            <v>1.8339999999999996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>0</v>
          </cell>
          <cell r="L27">
            <v>0</v>
          </cell>
          <cell r="M27" t="str">
            <v>0</v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>0</v>
          </cell>
          <cell r="L29">
            <v>0</v>
          </cell>
          <cell r="M29" t="str">
            <v>0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20</v>
          </cell>
          <cell r="L30">
            <v>0</v>
          </cell>
          <cell r="M30">
            <v>20</v>
          </cell>
          <cell r="P30"/>
          <cell r="Q30"/>
          <cell r="R30"/>
          <cell r="S30"/>
          <cell r="T30"/>
          <cell r="U30"/>
          <cell r="V30"/>
          <cell r="W30">
            <v>0</v>
          </cell>
          <cell r="X30">
            <v>20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4.383</v>
          </cell>
          <cell r="L33">
            <v>0</v>
          </cell>
          <cell r="M33">
            <v>4.383</v>
          </cell>
          <cell r="P33"/>
          <cell r="Q33"/>
          <cell r="R33"/>
          <cell r="S33"/>
          <cell r="T33"/>
          <cell r="U33"/>
          <cell r="V33"/>
          <cell r="W33">
            <v>4.383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/>
          <cell r="V45"/>
          <cell r="W45">
            <v>0.10100000000000001</v>
          </cell>
          <cell r="X45">
            <v>-1.4000000000000012E-2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0.84599999999999997</v>
          </cell>
          <cell r="L47">
            <v>0</v>
          </cell>
          <cell r="M47">
            <v>0.84599999999999997</v>
          </cell>
          <cell r="O47"/>
          <cell r="P47"/>
          <cell r="Q47"/>
          <cell r="R47"/>
          <cell r="S47"/>
          <cell r="T47"/>
          <cell r="U47"/>
          <cell r="V47"/>
          <cell r="W47">
            <v>0.84599999999999997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357.16899999999998</v>
          </cell>
          <cell r="L20">
            <v>0</v>
          </cell>
          <cell r="M20">
            <v>357.16899999999998</v>
          </cell>
          <cell r="O20"/>
          <cell r="P20"/>
          <cell r="Q20"/>
          <cell r="R20"/>
          <cell r="S20"/>
          <cell r="T20">
            <v>128.74800000000002</v>
          </cell>
          <cell r="U20">
            <v>228.42099999999999</v>
          </cell>
          <cell r="V20"/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85.462000000000003</v>
          </cell>
          <cell r="L23">
            <v>0</v>
          </cell>
          <cell r="M23">
            <v>85.462000000000003</v>
          </cell>
          <cell r="O23"/>
          <cell r="P23"/>
          <cell r="Q23"/>
          <cell r="R23"/>
          <cell r="S23"/>
          <cell r="T23">
            <v>25.483999999999998</v>
          </cell>
          <cell r="U23">
            <v>47.144999999999996</v>
          </cell>
          <cell r="V23"/>
          <cell r="W23">
            <v>0</v>
          </cell>
          <cell r="X23">
            <v>12.833000000000013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177</v>
          </cell>
          <cell r="L29">
            <v>0</v>
          </cell>
          <cell r="M29">
            <v>177</v>
          </cell>
          <cell r="P29"/>
          <cell r="Q29"/>
          <cell r="R29"/>
          <cell r="S29"/>
          <cell r="T29"/>
          <cell r="U29">
            <v>177</v>
          </cell>
          <cell r="V29"/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40</v>
          </cell>
          <cell r="L30">
            <v>0</v>
          </cell>
          <cell r="M30">
            <v>40</v>
          </cell>
          <cell r="P30"/>
          <cell r="Q30"/>
          <cell r="R30"/>
          <cell r="S30"/>
          <cell r="T30">
            <v>22</v>
          </cell>
          <cell r="U30"/>
          <cell r="V30">
            <v>22</v>
          </cell>
          <cell r="W30">
            <v>0</v>
          </cell>
          <cell r="X30">
            <v>-4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>
            <v>180</v>
          </cell>
          <cell r="U31">
            <v>180</v>
          </cell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8.8520000000000003</v>
          </cell>
          <cell r="L33">
            <v>0</v>
          </cell>
          <cell r="M33">
            <v>8.8520000000000003</v>
          </cell>
          <cell r="P33"/>
          <cell r="Q33"/>
          <cell r="R33"/>
          <cell r="S33"/>
          <cell r="T33">
            <v>4.0470000000000006</v>
          </cell>
          <cell r="U33">
            <v>4.8050000000000006</v>
          </cell>
          <cell r="V33"/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666</v>
          </cell>
          <cell r="L34">
            <v>0</v>
          </cell>
          <cell r="M34">
            <v>666</v>
          </cell>
          <cell r="P34"/>
          <cell r="Q34"/>
          <cell r="R34"/>
          <cell r="S34"/>
          <cell r="T34">
            <v>666</v>
          </cell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0.498</v>
          </cell>
          <cell r="L45">
            <v>0</v>
          </cell>
          <cell r="M45">
            <v>0.498</v>
          </cell>
          <cell r="P45"/>
          <cell r="Q45"/>
          <cell r="R45"/>
          <cell r="S45"/>
          <cell r="T45">
            <v>0.24299999999999999</v>
          </cell>
          <cell r="U45">
            <v>0.311</v>
          </cell>
          <cell r="W45">
            <v>0</v>
          </cell>
          <cell r="X45">
            <v>-5.600000000000005E-2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3.6859999999999999</v>
          </cell>
          <cell r="L47">
            <v>0</v>
          </cell>
          <cell r="M47">
            <v>3.6859999999999999</v>
          </cell>
          <cell r="O47"/>
          <cell r="P47"/>
          <cell r="Q47"/>
          <cell r="R47"/>
          <cell r="S47"/>
          <cell r="T47">
            <v>0.98899999999999999</v>
          </cell>
          <cell r="U47">
            <v>2.48</v>
          </cell>
          <cell r="W47">
            <v>0</v>
          </cell>
          <cell r="X47">
            <v>0.21700000000000008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83.763999999999996</v>
          </cell>
          <cell r="L20">
            <v>0</v>
          </cell>
          <cell r="M20">
            <v>83.763999999999996</v>
          </cell>
          <cell r="O20"/>
          <cell r="P20"/>
          <cell r="Q20"/>
          <cell r="R20"/>
          <cell r="S20"/>
          <cell r="T20"/>
          <cell r="U20">
            <v>83.763999999999996</v>
          </cell>
          <cell r="V20"/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18.341999999999999</v>
          </cell>
          <cell r="L23">
            <v>0</v>
          </cell>
          <cell r="M23">
            <v>18.341999999999999</v>
          </cell>
          <cell r="O23"/>
          <cell r="P23"/>
          <cell r="Q23"/>
          <cell r="R23"/>
          <cell r="S23"/>
          <cell r="T23"/>
          <cell r="U23">
            <v>16.507999999999999</v>
          </cell>
          <cell r="V23"/>
          <cell r="W23">
            <v>0</v>
          </cell>
          <cell r="X23">
            <v>1.8339999999999996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0</v>
          </cell>
          <cell r="L29">
            <v>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/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21</v>
          </cell>
          <cell r="L30">
            <v>0</v>
          </cell>
          <cell r="M30">
            <v>21</v>
          </cell>
          <cell r="P30"/>
          <cell r="Q30"/>
          <cell r="R30"/>
          <cell r="S30"/>
          <cell r="T30"/>
          <cell r="U30"/>
          <cell r="V30"/>
          <cell r="W30">
            <v>0</v>
          </cell>
          <cell r="X30">
            <v>0</v>
          </cell>
          <cell r="Y30">
            <v>21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 t="str">
            <v/>
          </cell>
          <cell r="L31" t="e">
            <v>#VALUE!</v>
          </cell>
          <cell r="M31" t="str">
            <v/>
          </cell>
          <cell r="P31"/>
          <cell r="Q31"/>
          <cell r="R31"/>
          <cell r="S31"/>
          <cell r="T31"/>
          <cell r="U31"/>
          <cell r="V31"/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4.383</v>
          </cell>
          <cell r="L33">
            <v>0</v>
          </cell>
          <cell r="M33">
            <v>4.383</v>
          </cell>
          <cell r="P33"/>
          <cell r="Q33"/>
          <cell r="R33"/>
          <cell r="S33"/>
          <cell r="T33"/>
          <cell r="U33">
            <v>4.383</v>
          </cell>
          <cell r="V33"/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>
            <v>0.10100000000000001</v>
          </cell>
          <cell r="V45"/>
          <cell r="W45">
            <v>0</v>
          </cell>
          <cell r="X45">
            <v>-1.4000000000000012E-2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0.84599999999999997</v>
          </cell>
          <cell r="L47">
            <v>0</v>
          </cell>
          <cell r="M47">
            <v>0.84599999999999997</v>
          </cell>
          <cell r="O47"/>
          <cell r="P47"/>
          <cell r="Q47"/>
          <cell r="R47"/>
          <cell r="S47"/>
          <cell r="T47"/>
          <cell r="U47">
            <v>0.84599999999999997</v>
          </cell>
          <cell r="V47"/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354.87</v>
          </cell>
          <cell r="L20">
            <v>0</v>
          </cell>
          <cell r="M20">
            <v>354.87</v>
          </cell>
          <cell r="O20"/>
          <cell r="P20"/>
          <cell r="Q20"/>
          <cell r="R20"/>
          <cell r="S20"/>
          <cell r="T20"/>
          <cell r="U20"/>
          <cell r="V20">
            <v>27.588999999999999</v>
          </cell>
          <cell r="W20">
            <v>258.30900000000003</v>
          </cell>
          <cell r="X20">
            <v>68.97199999999998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>0</v>
          </cell>
          <cell r="L21">
            <v>0</v>
          </cell>
          <cell r="M21" t="str">
            <v>0</v>
          </cell>
          <cell r="P21"/>
          <cell r="Q21"/>
          <cell r="R21"/>
          <cell r="S21"/>
          <cell r="T21"/>
          <cell r="U21"/>
          <cell r="V21"/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>0</v>
          </cell>
          <cell r="L22">
            <v>0</v>
          </cell>
          <cell r="M22" t="str">
            <v>0</v>
          </cell>
          <cell r="P22"/>
          <cell r="Q22"/>
          <cell r="R22"/>
          <cell r="S22"/>
          <cell r="T22"/>
          <cell r="U22"/>
          <cell r="V22"/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83.165000000000006</v>
          </cell>
          <cell r="L23">
            <v>0</v>
          </cell>
          <cell r="M23">
            <v>83.165000000000006</v>
          </cell>
          <cell r="O23"/>
          <cell r="P23"/>
          <cell r="Q23"/>
          <cell r="R23"/>
          <cell r="S23"/>
          <cell r="T23"/>
          <cell r="U23"/>
          <cell r="V23">
            <v>6.9359999999999999</v>
          </cell>
          <cell r="W23">
            <v>72.592000000000013</v>
          </cell>
          <cell r="X23">
            <v>0</v>
          </cell>
          <cell r="Y23">
            <v>3.6369999999999862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>0</v>
          </cell>
          <cell r="L24">
            <v>0</v>
          </cell>
          <cell r="M24" t="str">
            <v>0</v>
          </cell>
          <cell r="P24"/>
          <cell r="Q24"/>
          <cell r="R24"/>
          <cell r="S24"/>
          <cell r="T24"/>
          <cell r="U24"/>
          <cell r="V24"/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>0</v>
          </cell>
          <cell r="L25">
            <v>0</v>
          </cell>
          <cell r="M25" t="str">
            <v>0</v>
          </cell>
          <cell r="P25"/>
          <cell r="Q25"/>
          <cell r="R25"/>
          <cell r="S25"/>
          <cell r="T25"/>
          <cell r="U25"/>
          <cell r="V25"/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>0</v>
          </cell>
          <cell r="L26">
            <v>0</v>
          </cell>
          <cell r="M26" t="str">
            <v>0</v>
          </cell>
          <cell r="P26"/>
          <cell r="Q26"/>
          <cell r="R26"/>
          <cell r="S26"/>
          <cell r="T26"/>
          <cell r="U26"/>
          <cell r="V26"/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>0</v>
          </cell>
          <cell r="L27">
            <v>0</v>
          </cell>
          <cell r="M27" t="str">
            <v>0</v>
          </cell>
          <cell r="P27"/>
          <cell r="Q27"/>
          <cell r="R27"/>
          <cell r="S27"/>
          <cell r="T27"/>
          <cell r="U27"/>
          <cell r="V27"/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>0</v>
          </cell>
          <cell r="L28">
            <v>0</v>
          </cell>
          <cell r="M28" t="str">
            <v>0</v>
          </cell>
          <cell r="P28"/>
          <cell r="Q28"/>
          <cell r="R28"/>
          <cell r="S28"/>
          <cell r="T28"/>
          <cell r="U28"/>
          <cell r="V28"/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>
            <v>177</v>
          </cell>
          <cell r="L29">
            <v>0</v>
          </cell>
          <cell r="M29">
            <v>177</v>
          </cell>
          <cell r="P29"/>
          <cell r="Q29"/>
          <cell r="R29"/>
          <cell r="S29"/>
          <cell r="T29"/>
          <cell r="U29"/>
          <cell r="V29"/>
          <cell r="W29">
            <v>0</v>
          </cell>
          <cell r="X29">
            <v>177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22</v>
          </cell>
          <cell r="L30">
            <v>0</v>
          </cell>
          <cell r="M30">
            <v>22</v>
          </cell>
          <cell r="P30"/>
          <cell r="Q30"/>
          <cell r="R30"/>
          <cell r="S30"/>
          <cell r="T30"/>
          <cell r="U30"/>
          <cell r="V30">
            <v>22</v>
          </cell>
          <cell r="W30">
            <v>177</v>
          </cell>
          <cell r="X30">
            <v>-177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360</v>
          </cell>
          <cell r="L31">
            <v>0</v>
          </cell>
          <cell r="M31">
            <v>360</v>
          </cell>
          <cell r="P31"/>
          <cell r="Q31"/>
          <cell r="R31"/>
          <cell r="S31"/>
          <cell r="T31"/>
          <cell r="U31"/>
          <cell r="V31"/>
          <cell r="W31">
            <v>360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>0</v>
          </cell>
          <cell r="L32">
            <v>0</v>
          </cell>
          <cell r="M32" t="str">
            <v>0</v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8.8510000000000009</v>
          </cell>
          <cell r="L33">
            <v>0</v>
          </cell>
          <cell r="M33">
            <v>8.8510000000000009</v>
          </cell>
          <cell r="P33"/>
          <cell r="Q33"/>
          <cell r="R33"/>
          <cell r="S33"/>
          <cell r="T33"/>
          <cell r="U33"/>
          <cell r="V33">
            <v>1.5609999999999999</v>
          </cell>
          <cell r="W33">
            <v>7.2900000000000009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666</v>
          </cell>
          <cell r="L34">
            <v>0</v>
          </cell>
          <cell r="M34">
            <v>666</v>
          </cell>
          <cell r="P34"/>
          <cell r="Q34"/>
          <cell r="R34"/>
          <cell r="S34"/>
          <cell r="T34"/>
          <cell r="U34"/>
          <cell r="V34">
            <v>333</v>
          </cell>
          <cell r="W34">
            <v>333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>0</v>
          </cell>
          <cell r="L35">
            <v>0</v>
          </cell>
          <cell r="M35" t="str">
            <v>0</v>
          </cell>
          <cell r="P35"/>
          <cell r="Q35"/>
          <cell r="R35"/>
          <cell r="S35"/>
          <cell r="T35"/>
          <cell r="U35"/>
          <cell r="V35"/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>0</v>
          </cell>
          <cell r="L36">
            <v>0</v>
          </cell>
          <cell r="M36" t="str">
            <v>0</v>
          </cell>
          <cell r="P36"/>
          <cell r="Q36"/>
          <cell r="R36"/>
          <cell r="S36"/>
          <cell r="T36"/>
          <cell r="U36"/>
          <cell r="V36"/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>0</v>
          </cell>
          <cell r="L37">
            <v>0</v>
          </cell>
          <cell r="M37" t="str">
            <v>0</v>
          </cell>
          <cell r="P37"/>
          <cell r="Q37"/>
          <cell r="R37"/>
          <cell r="S37"/>
          <cell r="T37"/>
          <cell r="U37"/>
          <cell r="V37"/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>0</v>
          </cell>
          <cell r="L38">
            <v>0</v>
          </cell>
          <cell r="M38" t="str">
            <v>0</v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>0</v>
          </cell>
          <cell r="L39">
            <v>0</v>
          </cell>
          <cell r="M39" t="str">
            <v>0</v>
          </cell>
          <cell r="P39"/>
          <cell r="Q39"/>
          <cell r="R39"/>
          <cell r="S39"/>
          <cell r="T39"/>
          <cell r="U39"/>
          <cell r="V39"/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>0</v>
          </cell>
          <cell r="L40">
            <v>0</v>
          </cell>
          <cell r="M40" t="str">
            <v>0</v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>0</v>
          </cell>
          <cell r="L41">
            <v>0</v>
          </cell>
          <cell r="M41" t="str">
            <v>0</v>
          </cell>
          <cell r="P41"/>
          <cell r="Q41"/>
          <cell r="R41"/>
          <cell r="S41"/>
          <cell r="T41"/>
          <cell r="U41"/>
          <cell r="V41"/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>0</v>
          </cell>
          <cell r="L42">
            <v>0</v>
          </cell>
          <cell r="M42" t="str">
            <v>0</v>
          </cell>
          <cell r="P42"/>
          <cell r="Q42"/>
          <cell r="R42"/>
          <cell r="S42"/>
          <cell r="T42"/>
          <cell r="U42"/>
          <cell r="V42"/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>0</v>
          </cell>
          <cell r="L43">
            <v>0</v>
          </cell>
          <cell r="M43" t="str">
            <v>0</v>
          </cell>
          <cell r="P43"/>
          <cell r="Q43"/>
          <cell r="R43"/>
          <cell r="S43"/>
          <cell r="T43"/>
          <cell r="U43"/>
          <cell r="V43"/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>0</v>
          </cell>
          <cell r="L44">
            <v>0</v>
          </cell>
          <cell r="M44" t="str">
            <v>0</v>
          </cell>
          <cell r="P44"/>
          <cell r="Q44"/>
          <cell r="R44"/>
          <cell r="S44"/>
          <cell r="T44"/>
          <cell r="U44"/>
          <cell r="V44"/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0.497</v>
          </cell>
          <cell r="L45">
            <v>0</v>
          </cell>
          <cell r="M45">
            <v>0.497</v>
          </cell>
          <cell r="P45"/>
          <cell r="Q45"/>
          <cell r="R45"/>
          <cell r="S45"/>
          <cell r="T45"/>
          <cell r="U45"/>
          <cell r="V45">
            <v>0.218</v>
          </cell>
          <cell r="W45">
            <v>0.34499999999999997</v>
          </cell>
          <cell r="X45">
            <v>-6.5999999999999948E-2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3.6859999999999999</v>
          </cell>
          <cell r="L47">
            <v>0</v>
          </cell>
          <cell r="M47">
            <v>3.6859999999999999</v>
          </cell>
          <cell r="O47"/>
          <cell r="P47"/>
          <cell r="Q47"/>
          <cell r="R47"/>
          <cell r="S47"/>
          <cell r="T47"/>
          <cell r="U47"/>
          <cell r="V47"/>
          <cell r="W47">
            <v>3.6859999999999999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>0</v>
          </cell>
          <cell r="L48">
            <v>0</v>
          </cell>
          <cell r="M48" t="str">
            <v>0</v>
          </cell>
          <cell r="P48"/>
          <cell r="Q48"/>
          <cell r="R48"/>
          <cell r="S48"/>
          <cell r="T48"/>
          <cell r="U48"/>
          <cell r="V48"/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>0</v>
          </cell>
          <cell r="L49">
            <v>0</v>
          </cell>
          <cell r="M49" t="str">
            <v>0</v>
          </cell>
          <cell r="P49"/>
          <cell r="Q49"/>
          <cell r="R49"/>
          <cell r="S49"/>
          <cell r="T49"/>
          <cell r="U49"/>
          <cell r="V49"/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19">
          <cell r="B19" t="str">
            <v>POZ NO</v>
          </cell>
          <cell r="C19" t="str">
            <v>BİRİM FİYAT ADI</v>
          </cell>
          <cell r="D19"/>
          <cell r="E19"/>
          <cell r="F19"/>
          <cell r="G19"/>
          <cell r="H19"/>
          <cell r="I19"/>
          <cell r="J19" t="str">
            <v>BİRİM</v>
          </cell>
          <cell r="K19" t="str">
            <v>ÖNCEKİ HAKEDİŞ MİKTARI</v>
          </cell>
          <cell r="L19" t="str">
            <v>BU HAKEDİŞ MİKTARI</v>
          </cell>
          <cell r="M19" t="str">
            <v>TOPLAM HAKEDİŞ MİKTARI</v>
          </cell>
          <cell r="O19"/>
          <cell r="P19" t="str">
            <v>0525</v>
          </cell>
          <cell r="Q19" t="str">
            <v>0625</v>
          </cell>
          <cell r="R19" t="str">
            <v>0725</v>
          </cell>
          <cell r="S19" t="str">
            <v>0825</v>
          </cell>
          <cell r="T19" t="str">
            <v>0925</v>
          </cell>
          <cell r="U19" t="str">
            <v>1025</v>
          </cell>
          <cell r="V19" t="str">
            <v>1125</v>
          </cell>
          <cell r="W19" t="str">
            <v>1225</v>
          </cell>
          <cell r="X19" t="str">
            <v>0126</v>
          </cell>
          <cell r="Y19" t="str">
            <v>0226</v>
          </cell>
          <cell r="Z19" t="str">
            <v>0326</v>
          </cell>
          <cell r="AA19" t="str">
            <v>0426</v>
          </cell>
          <cell r="AB19" t="str">
            <v>0526</v>
          </cell>
          <cell r="AC19" t="str">
            <v>0626</v>
          </cell>
          <cell r="AD19" t="str">
            <v>0726</v>
          </cell>
          <cell r="AE19" t="str">
            <v>0826</v>
          </cell>
          <cell r="AF19" t="str">
            <v>0926</v>
          </cell>
          <cell r="AG19" t="str">
            <v>1026</v>
          </cell>
        </row>
        <row r="20">
          <cell r="B20" t="str">
            <v>018</v>
          </cell>
          <cell r="C20" t="str">
            <v>Geleneksel (NATM) Tünel Kazısı</v>
          </cell>
          <cell r="D20"/>
          <cell r="E20"/>
          <cell r="F20"/>
          <cell r="G20"/>
          <cell r="H20"/>
          <cell r="I20"/>
          <cell r="J20" t="str">
            <v>m³</v>
          </cell>
          <cell r="K20">
            <v>83.763999999999996</v>
          </cell>
          <cell r="L20">
            <v>0</v>
          </cell>
          <cell r="M20">
            <v>83.763999999999996</v>
          </cell>
          <cell r="O20"/>
          <cell r="P20"/>
          <cell r="Q20"/>
          <cell r="R20"/>
          <cell r="S20"/>
          <cell r="T20"/>
          <cell r="U20">
            <v>83.763999999999996</v>
          </cell>
          <cell r="V20"/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B21" t="str">
            <v>019.A</v>
          </cell>
          <cell r="C21" t="str">
            <v>Kazıdan çıkan veya Ariyetten alınan malzeme ile geri dolgu yapılması</v>
          </cell>
          <cell r="D21"/>
          <cell r="E21"/>
          <cell r="F21"/>
          <cell r="G21"/>
          <cell r="H21"/>
          <cell r="I21"/>
          <cell r="J21" t="str">
            <v>m³</v>
          </cell>
          <cell r="K21" t="str">
            <v/>
          </cell>
          <cell r="L21" t="e">
            <v>#VALUE!</v>
          </cell>
          <cell r="M21" t="str">
            <v/>
          </cell>
          <cell r="P21"/>
          <cell r="Q21"/>
          <cell r="R21"/>
          <cell r="S21"/>
          <cell r="T21"/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 t="str">
            <v>019.B</v>
          </cell>
          <cell r="C22" t="str">
            <v>Kum, Çakıl, Kırma Tas ve Benzeri Malzeme ile Dolgu Yapılması</v>
          </cell>
          <cell r="D22"/>
          <cell r="E22"/>
          <cell r="F22"/>
          <cell r="G22"/>
          <cell r="H22"/>
          <cell r="I22"/>
          <cell r="J22" t="str">
            <v>m³</v>
          </cell>
          <cell r="K22" t="str">
            <v/>
          </cell>
          <cell r="L22" t="e">
            <v>#VALUE!</v>
          </cell>
          <cell r="M22" t="str">
            <v/>
          </cell>
          <cell r="P22"/>
          <cell r="Q22"/>
          <cell r="R22"/>
          <cell r="S22"/>
          <cell r="T22"/>
          <cell r="U22"/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 t="str">
            <v>020</v>
          </cell>
          <cell r="C23" t="str">
            <v>Püskürtme Beton (Tünel ve Şaftlarda)</v>
          </cell>
          <cell r="D23"/>
          <cell r="E23"/>
          <cell r="F23"/>
          <cell r="G23"/>
          <cell r="H23"/>
          <cell r="I23"/>
          <cell r="J23" t="str">
            <v>m³</v>
          </cell>
          <cell r="K23">
            <v>18.341999999999999</v>
          </cell>
          <cell r="L23">
            <v>0</v>
          </cell>
          <cell r="M23">
            <v>18.341999999999999</v>
          </cell>
          <cell r="O23"/>
          <cell r="P23"/>
          <cell r="Q23"/>
          <cell r="R23"/>
          <cell r="S23"/>
          <cell r="T23"/>
          <cell r="U23">
            <v>16.507999999999999</v>
          </cell>
          <cell r="V23"/>
          <cell r="W23">
            <v>0</v>
          </cell>
          <cell r="X23">
            <v>0</v>
          </cell>
          <cell r="Y23">
            <v>1.8339999999999996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B24" t="str">
            <v>021.A</v>
          </cell>
          <cell r="C24" t="str">
            <v>Delgi boyu =&lt; 30m</v>
          </cell>
          <cell r="D24"/>
          <cell r="E24"/>
          <cell r="F24"/>
          <cell r="G24"/>
          <cell r="H24"/>
          <cell r="I24"/>
          <cell r="J24" t="str">
            <v>m</v>
          </cell>
          <cell r="K24" t="str">
            <v/>
          </cell>
          <cell r="L24" t="e">
            <v>#VALUE!</v>
          </cell>
          <cell r="M24" t="str">
            <v/>
          </cell>
          <cell r="P24"/>
          <cell r="Q24"/>
          <cell r="R24"/>
          <cell r="S24"/>
          <cell r="T24"/>
          <cell r="U24"/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B25" t="str">
            <v>021.B</v>
          </cell>
          <cell r="C25" t="str">
            <v>Delgi boyu &gt; 30m</v>
          </cell>
          <cell r="D25"/>
          <cell r="E25"/>
          <cell r="F25"/>
          <cell r="G25"/>
          <cell r="H25"/>
          <cell r="I25"/>
          <cell r="J25" t="str">
            <v>m</v>
          </cell>
          <cell r="K25" t="str">
            <v/>
          </cell>
          <cell r="L25" t="e">
            <v>#VALUE!</v>
          </cell>
          <cell r="M25" t="str">
            <v/>
          </cell>
          <cell r="P25"/>
          <cell r="Q25"/>
          <cell r="R25"/>
          <cell r="S25"/>
          <cell r="T25"/>
          <cell r="U25"/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B26" t="str">
            <v>022.A</v>
          </cell>
          <cell r="C26" t="str">
            <v>L=3 m Kaya Bulonu</v>
          </cell>
          <cell r="D26"/>
          <cell r="E26"/>
          <cell r="F26"/>
          <cell r="G26"/>
          <cell r="H26"/>
          <cell r="I26"/>
          <cell r="J26" t="str">
            <v>adet</v>
          </cell>
          <cell r="K26" t="str">
            <v/>
          </cell>
          <cell r="L26" t="e">
            <v>#VALUE!</v>
          </cell>
          <cell r="M26" t="str">
            <v/>
          </cell>
          <cell r="P26"/>
          <cell r="Q26"/>
          <cell r="R26"/>
          <cell r="S26"/>
          <cell r="T26"/>
          <cell r="U26"/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022.B</v>
          </cell>
          <cell r="C27" t="str">
            <v>L=4 m Kaya Bulonu</v>
          </cell>
          <cell r="D27"/>
          <cell r="E27"/>
          <cell r="F27"/>
          <cell r="G27"/>
          <cell r="H27"/>
          <cell r="I27"/>
          <cell r="J27" t="str">
            <v>adet</v>
          </cell>
          <cell r="K27" t="str">
            <v/>
          </cell>
          <cell r="L27" t="e">
            <v>#VALUE!</v>
          </cell>
          <cell r="M27" t="str">
            <v/>
          </cell>
          <cell r="P27"/>
          <cell r="Q27"/>
          <cell r="R27"/>
          <cell r="S27"/>
          <cell r="T27"/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022.C</v>
          </cell>
          <cell r="C28" t="str">
            <v>L=5 m Kaya Bulonu</v>
          </cell>
          <cell r="D28"/>
          <cell r="E28"/>
          <cell r="F28"/>
          <cell r="G28"/>
          <cell r="H28"/>
          <cell r="I28"/>
          <cell r="J28" t="str">
            <v>adet</v>
          </cell>
          <cell r="K28" t="str">
            <v/>
          </cell>
          <cell r="L28" t="e">
            <v>#VALUE!</v>
          </cell>
          <cell r="M28" t="str">
            <v/>
          </cell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022.D</v>
          </cell>
          <cell r="C29" t="str">
            <v>L=6 m Kaya Bulonu</v>
          </cell>
          <cell r="D29"/>
          <cell r="E29"/>
          <cell r="F29"/>
          <cell r="G29"/>
          <cell r="H29"/>
          <cell r="I29"/>
          <cell r="J29" t="str">
            <v>adet</v>
          </cell>
          <cell r="K29" t="str">
            <v/>
          </cell>
          <cell r="L29" t="e">
            <v>#VALUE!</v>
          </cell>
          <cell r="M29" t="str">
            <v/>
          </cell>
          <cell r="P29"/>
          <cell r="Q29"/>
          <cell r="R29"/>
          <cell r="S29"/>
          <cell r="T29"/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022.E</v>
          </cell>
          <cell r="C30" t="str">
            <v>L=8 m Kaya Bulonu</v>
          </cell>
          <cell r="D30"/>
          <cell r="E30"/>
          <cell r="F30"/>
          <cell r="G30"/>
          <cell r="H30"/>
          <cell r="I30"/>
          <cell r="J30" t="str">
            <v>adet</v>
          </cell>
          <cell r="K30">
            <v>20</v>
          </cell>
          <cell r="L30">
            <v>0</v>
          </cell>
          <cell r="M30">
            <v>20</v>
          </cell>
          <cell r="P30"/>
          <cell r="Q30"/>
          <cell r="R30"/>
          <cell r="S30"/>
          <cell r="T30"/>
          <cell r="U30"/>
          <cell r="V30">
            <v>0</v>
          </cell>
          <cell r="W30">
            <v>0</v>
          </cell>
          <cell r="X30"/>
          <cell r="Y30">
            <v>20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023.A</v>
          </cell>
          <cell r="C31" t="str">
            <v>125 mm Delik İçine 14 mm Kalınlığında S420a ile Zemin Çivisi Teşkili</v>
          </cell>
          <cell r="D31"/>
          <cell r="E31"/>
          <cell r="F31"/>
          <cell r="G31"/>
          <cell r="H31"/>
          <cell r="I31"/>
          <cell r="J31" t="str">
            <v>m</v>
          </cell>
          <cell r="K31">
            <v>0</v>
          </cell>
          <cell r="L31">
            <v>0</v>
          </cell>
          <cell r="M31">
            <v>0</v>
          </cell>
          <cell r="P31"/>
          <cell r="Q31"/>
          <cell r="R31"/>
          <cell r="S31"/>
          <cell r="T31"/>
          <cell r="U31"/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023.B</v>
          </cell>
          <cell r="C32" t="str">
            <v>125 mm Delik İçine 26 mm Kalınlığında S420a ile Zemin Çivisi Teşkili</v>
          </cell>
          <cell r="D32"/>
          <cell r="E32"/>
          <cell r="F32"/>
          <cell r="G32"/>
          <cell r="H32"/>
          <cell r="I32"/>
          <cell r="J32" t="str">
            <v>m</v>
          </cell>
          <cell r="K32" t="str">
            <v/>
          </cell>
          <cell r="L32" t="e">
            <v>#VALUE!</v>
          </cell>
          <cell r="M32" t="str">
            <v/>
          </cell>
          <cell r="P32"/>
          <cell r="Q32"/>
          <cell r="R32"/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024</v>
          </cell>
          <cell r="C33" t="str">
            <v>Çelik İksa (Tünel ve Şaftlarda)</v>
          </cell>
          <cell r="D33"/>
          <cell r="E33"/>
          <cell r="F33"/>
          <cell r="G33"/>
          <cell r="H33"/>
          <cell r="I33"/>
          <cell r="J33" t="str">
            <v>ton</v>
          </cell>
          <cell r="K33">
            <v>4.383</v>
          </cell>
          <cell r="L33">
            <v>0</v>
          </cell>
          <cell r="M33">
            <v>4.383</v>
          </cell>
          <cell r="P33"/>
          <cell r="Q33"/>
          <cell r="R33"/>
          <cell r="S33"/>
          <cell r="T33"/>
          <cell r="U33">
            <v>4.383</v>
          </cell>
          <cell r="V33"/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025</v>
          </cell>
          <cell r="C34" t="str">
            <v>Umbrella Arch Yapılması</v>
          </cell>
          <cell r="D34"/>
          <cell r="E34"/>
          <cell r="F34"/>
          <cell r="G34"/>
          <cell r="H34"/>
          <cell r="I34"/>
          <cell r="J34" t="str">
            <v>m</v>
          </cell>
          <cell r="K34">
            <v>0</v>
          </cell>
          <cell r="L34">
            <v>0</v>
          </cell>
          <cell r="M34">
            <v>0</v>
          </cell>
          <cell r="P34"/>
          <cell r="Q34"/>
          <cell r="R34"/>
          <cell r="S34"/>
          <cell r="T34"/>
          <cell r="U34"/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026.A</v>
          </cell>
          <cell r="C35" t="str">
            <v>Tünel ve şaftlarda su yalıtımı, birim ağırlığı &gt;=500 g/metrekare geotekstil keçe</v>
          </cell>
          <cell r="D35"/>
          <cell r="E35"/>
          <cell r="F35"/>
          <cell r="G35"/>
          <cell r="H35"/>
          <cell r="I35"/>
          <cell r="J35" t="str">
            <v>m²</v>
          </cell>
          <cell r="K35" t="str">
            <v/>
          </cell>
          <cell r="L35" t="e">
            <v>#VALUE!</v>
          </cell>
          <cell r="M35" t="str">
            <v/>
          </cell>
          <cell r="P35"/>
          <cell r="Q35"/>
          <cell r="R35"/>
          <cell r="S35"/>
          <cell r="T35"/>
          <cell r="U35"/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026.B</v>
          </cell>
          <cell r="C36" t="str">
            <v>Tünel ve şaftlarda su yalıtımı, 2mm kalınlıklı PVC membran</v>
          </cell>
          <cell r="D36"/>
          <cell r="E36"/>
          <cell r="F36"/>
          <cell r="G36"/>
          <cell r="H36"/>
          <cell r="I36"/>
          <cell r="J36" t="str">
            <v>m²</v>
          </cell>
          <cell r="K36" t="str">
            <v/>
          </cell>
          <cell r="L36" t="e">
            <v>#VALUE!</v>
          </cell>
          <cell r="M36" t="str">
            <v/>
          </cell>
          <cell r="P36"/>
          <cell r="Q36"/>
          <cell r="R36"/>
          <cell r="S36"/>
          <cell r="T36"/>
          <cell r="U36"/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027</v>
          </cell>
          <cell r="C37" t="str">
            <v>Su Tutucular (Tünel ve Şaftlarda)</v>
          </cell>
          <cell r="D37"/>
          <cell r="E37"/>
          <cell r="F37"/>
          <cell r="G37"/>
          <cell r="H37"/>
          <cell r="I37"/>
          <cell r="J37" t="str">
            <v>m</v>
          </cell>
          <cell r="K37" t="str">
            <v/>
          </cell>
          <cell r="L37" t="e">
            <v>#VALUE!</v>
          </cell>
          <cell r="M37" t="str">
            <v/>
          </cell>
          <cell r="P37"/>
          <cell r="Q37"/>
          <cell r="R37"/>
          <cell r="S37"/>
          <cell r="T37"/>
          <cell r="U37"/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028.A</v>
          </cell>
          <cell r="C38" t="str">
            <v>Kalıp (invert ve şaft için)</v>
          </cell>
          <cell r="D38"/>
          <cell r="E38"/>
          <cell r="F38"/>
          <cell r="G38"/>
          <cell r="H38"/>
          <cell r="I38"/>
          <cell r="J38" t="str">
            <v>m²</v>
          </cell>
          <cell r="K38" t="str">
            <v/>
          </cell>
          <cell r="L38" t="e">
            <v>#VALUE!</v>
          </cell>
          <cell r="M38" t="str">
            <v/>
          </cell>
          <cell r="P38"/>
          <cell r="Q38"/>
          <cell r="R38"/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028.B</v>
          </cell>
          <cell r="C39" t="str">
            <v>Kalıp (duvar ve kemer İçin)</v>
          </cell>
          <cell r="D39"/>
          <cell r="E39"/>
          <cell r="F39"/>
          <cell r="G39"/>
          <cell r="H39"/>
          <cell r="I39"/>
          <cell r="J39" t="str">
            <v>m²</v>
          </cell>
          <cell r="K39" t="str">
            <v/>
          </cell>
          <cell r="L39" t="e">
            <v>#VALUE!</v>
          </cell>
          <cell r="M39" t="str">
            <v/>
          </cell>
          <cell r="P39"/>
          <cell r="Q39"/>
          <cell r="R39"/>
          <cell r="S39"/>
          <cell r="T39"/>
          <cell r="U39"/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B40" t="str">
            <v>028.C</v>
          </cell>
          <cell r="C40" t="str">
            <v>Tip Kesit Dışı Konstrüksiyon Kalıbı, Tünel Alın Kalıbı</v>
          </cell>
          <cell r="D40"/>
          <cell r="E40"/>
          <cell r="F40"/>
          <cell r="G40"/>
          <cell r="H40"/>
          <cell r="I40"/>
          <cell r="J40" t="str">
            <v>m²</v>
          </cell>
          <cell r="K40" t="str">
            <v/>
          </cell>
          <cell r="L40" t="e">
            <v>#VALUE!</v>
          </cell>
          <cell r="M40" t="str">
            <v/>
          </cell>
          <cell r="P40"/>
          <cell r="Q40"/>
          <cell r="R40"/>
          <cell r="S40"/>
          <cell r="T40"/>
          <cell r="U40"/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B41" t="str">
            <v>029.A</v>
          </cell>
          <cell r="C41" t="str">
            <v>C16 Beton İmali ve Dökülmesi (Tünel ve Şaftlarda)</v>
          </cell>
          <cell r="D41"/>
          <cell r="E41"/>
          <cell r="F41"/>
          <cell r="G41"/>
          <cell r="H41"/>
          <cell r="I41"/>
          <cell r="J41" t="str">
            <v>m³</v>
          </cell>
          <cell r="K41" t="str">
            <v/>
          </cell>
          <cell r="L41" t="e">
            <v>#VALUE!</v>
          </cell>
          <cell r="M41" t="str">
            <v/>
          </cell>
          <cell r="P41"/>
          <cell r="Q41"/>
          <cell r="R41"/>
          <cell r="S41"/>
          <cell r="T41"/>
          <cell r="U41"/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B42" t="str">
            <v>029.B</v>
          </cell>
          <cell r="C42" t="str">
            <v>C30 Beton İmali ve Dökülmesi (Tünel ve Şaftlarda) Tünel kaplaması, invert ve şaftlardaki alt döşeme</v>
          </cell>
          <cell r="D42"/>
          <cell r="E42"/>
          <cell r="F42"/>
          <cell r="G42"/>
          <cell r="H42"/>
          <cell r="I42"/>
          <cell r="J42" t="str">
            <v>m³</v>
          </cell>
          <cell r="K42" t="str">
            <v/>
          </cell>
          <cell r="L42" t="e">
            <v>#VALUE!</v>
          </cell>
          <cell r="M42" t="str">
            <v/>
          </cell>
          <cell r="P42"/>
          <cell r="Q42"/>
          <cell r="R42"/>
          <cell r="S42"/>
          <cell r="T42"/>
          <cell r="U42"/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029.C</v>
          </cell>
          <cell r="C43" t="str">
            <v>C30 Beton İmali ve Dökülmesi (Tünel ve Şaftlarda) Yan duvarlar, kemer</v>
          </cell>
          <cell r="D43"/>
          <cell r="E43"/>
          <cell r="F43"/>
          <cell r="G43"/>
          <cell r="H43"/>
          <cell r="I43"/>
          <cell r="J43" t="str">
            <v>m³</v>
          </cell>
          <cell r="K43" t="str">
            <v/>
          </cell>
          <cell r="L43" t="e">
            <v>#VALUE!</v>
          </cell>
          <cell r="M43" t="str">
            <v/>
          </cell>
          <cell r="P43"/>
          <cell r="Q43"/>
          <cell r="R43"/>
          <cell r="S43"/>
          <cell r="T43"/>
          <cell r="U43"/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029.D</v>
          </cell>
          <cell r="C44" t="str">
            <v>Diğer Kesit Dışındaki Yapıların Betonu C30</v>
          </cell>
          <cell r="D44"/>
          <cell r="E44"/>
          <cell r="F44"/>
          <cell r="G44"/>
          <cell r="H44"/>
          <cell r="I44"/>
          <cell r="J44" t="str">
            <v>m³</v>
          </cell>
          <cell r="K44" t="str">
            <v/>
          </cell>
          <cell r="L44" t="e">
            <v>#VALUE!</v>
          </cell>
          <cell r="M44" t="str">
            <v/>
          </cell>
          <cell r="P44"/>
          <cell r="Q44"/>
          <cell r="R44"/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B45" t="str">
            <v>030.A</v>
          </cell>
          <cell r="C45" t="str">
            <v>Çelik Donatı (S220 )</v>
          </cell>
          <cell r="D45"/>
          <cell r="E45"/>
          <cell r="F45"/>
          <cell r="G45"/>
          <cell r="H45"/>
          <cell r="I45"/>
          <cell r="J45" t="str">
            <v>ton</v>
          </cell>
          <cell r="K45">
            <v>8.6999999999999994E-2</v>
          </cell>
          <cell r="L45">
            <v>0</v>
          </cell>
          <cell r="M45">
            <v>8.6999999999999994E-2</v>
          </cell>
          <cell r="P45"/>
          <cell r="Q45"/>
          <cell r="R45"/>
          <cell r="S45"/>
          <cell r="T45"/>
          <cell r="U45">
            <v>0.10100000000000001</v>
          </cell>
          <cell r="V45"/>
          <cell r="W45">
            <v>0</v>
          </cell>
          <cell r="X45">
            <v>-1.4000000000000012E-2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030.B</v>
          </cell>
          <cell r="C46" t="str">
            <v>Çelik Donatı (S420a )</v>
          </cell>
          <cell r="D46"/>
          <cell r="E46"/>
          <cell r="F46"/>
          <cell r="G46"/>
          <cell r="H46"/>
          <cell r="I46"/>
          <cell r="J46" t="str">
            <v>ton</v>
          </cell>
          <cell r="K46">
            <v>0</v>
          </cell>
          <cell r="L46">
            <v>0</v>
          </cell>
          <cell r="M46">
            <v>0</v>
          </cell>
          <cell r="P46"/>
          <cell r="Q46"/>
          <cell r="R46"/>
          <cell r="S46"/>
          <cell r="T46"/>
          <cell r="U46"/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030.C</v>
          </cell>
          <cell r="C47" t="str">
            <v>Çelik hasır (S500 )</v>
          </cell>
          <cell r="D47"/>
          <cell r="E47"/>
          <cell r="F47"/>
          <cell r="G47"/>
          <cell r="H47"/>
          <cell r="I47"/>
          <cell r="J47" t="str">
            <v>ton</v>
          </cell>
          <cell r="K47">
            <v>0.84599999999999997</v>
          </cell>
          <cell r="L47">
            <v>0</v>
          </cell>
          <cell r="M47">
            <v>0.84599999999999997</v>
          </cell>
          <cell r="O47"/>
          <cell r="P47"/>
          <cell r="Q47"/>
          <cell r="R47"/>
          <cell r="S47"/>
          <cell r="T47"/>
          <cell r="U47">
            <v>0.84599999999999997</v>
          </cell>
          <cell r="V47"/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B48" t="str">
            <v>030.D</v>
          </cell>
          <cell r="C48" t="str">
            <v>Paslanmaz Çelik Plaka</v>
          </cell>
          <cell r="D48"/>
          <cell r="E48"/>
          <cell r="F48"/>
          <cell r="G48"/>
          <cell r="H48"/>
          <cell r="I48"/>
          <cell r="J48" t="str">
            <v>kg</v>
          </cell>
          <cell r="K48" t="str">
            <v/>
          </cell>
          <cell r="L48" t="e">
            <v>#VALUE!</v>
          </cell>
          <cell r="M48" t="str">
            <v/>
          </cell>
          <cell r="P48"/>
          <cell r="Q48"/>
          <cell r="R48"/>
          <cell r="S48"/>
          <cell r="T48"/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030.E</v>
          </cell>
          <cell r="C49" t="str">
            <v>Block-out Kutusu</v>
          </cell>
          <cell r="D49"/>
          <cell r="E49"/>
          <cell r="F49"/>
          <cell r="G49"/>
          <cell r="H49"/>
          <cell r="I49"/>
          <cell r="J49" t="str">
            <v>kg</v>
          </cell>
          <cell r="K49" t="str">
            <v/>
          </cell>
          <cell r="L49" t="e">
            <v>#VALUE!</v>
          </cell>
          <cell r="M49" t="str">
            <v/>
          </cell>
          <cell r="P49"/>
          <cell r="Q49"/>
          <cell r="R49"/>
          <cell r="S49"/>
          <cell r="T49"/>
          <cell r="U49"/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</sheetData>
      <sheetData sheetId="2"/>
      <sheetData sheetId="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İcmal B1 101"/>
      <sheetName val="B1-101"/>
      <sheetName val="P1-Tip 1"/>
      <sheetName val="P1-Tip 2"/>
      <sheetName val="P1-Tip 3"/>
      <sheetName val="P1-Tip 4"/>
      <sheetName val="P1-Tip 5"/>
      <sheetName val="P1-Tip 6"/>
      <sheetName val="B1-Tip 1"/>
      <sheetName val="B1-Tip 2"/>
      <sheetName val="B1-Tip 3"/>
      <sheetName val="P1-B1 Redüksiyon"/>
      <sheetName val="P1-B1 Redüksiyon Kalıp"/>
    </sheetNames>
    <sheetDataSet>
      <sheetData sheetId="0">
        <row r="21">
          <cell r="L21"/>
          <cell r="AH21">
            <v>0</v>
          </cell>
          <cell r="AI21">
            <v>0</v>
          </cell>
        </row>
        <row r="22">
          <cell r="AH22">
            <v>0</v>
          </cell>
          <cell r="AI22">
            <v>0</v>
          </cell>
        </row>
        <row r="23">
          <cell r="AH23">
            <v>0</v>
          </cell>
          <cell r="AI23">
            <v>0</v>
          </cell>
        </row>
        <row r="24">
          <cell r="AH24">
            <v>0</v>
          </cell>
          <cell r="AI24">
            <v>0</v>
          </cell>
        </row>
        <row r="25">
          <cell r="AH25">
            <v>0</v>
          </cell>
          <cell r="AI25">
            <v>0</v>
          </cell>
        </row>
        <row r="26">
          <cell r="AH26">
            <v>0</v>
          </cell>
          <cell r="AI26">
            <v>0</v>
          </cell>
        </row>
        <row r="27">
          <cell r="AH27">
            <v>0</v>
          </cell>
          <cell r="AI27">
            <v>0</v>
          </cell>
        </row>
        <row r="28">
          <cell r="AH28">
            <v>0</v>
          </cell>
          <cell r="AI28">
            <v>0</v>
          </cell>
        </row>
        <row r="29">
          <cell r="AH29">
            <v>0</v>
          </cell>
          <cell r="AI29">
            <v>0</v>
          </cell>
        </row>
        <row r="30">
          <cell r="AH30">
            <v>0</v>
          </cell>
          <cell r="AI30">
            <v>0</v>
          </cell>
        </row>
        <row r="31">
          <cell r="AH31">
            <v>0</v>
          </cell>
          <cell r="AI31">
            <v>0</v>
          </cell>
        </row>
        <row r="32">
          <cell r="AH32">
            <v>0</v>
          </cell>
          <cell r="AI32">
            <v>0</v>
          </cell>
        </row>
        <row r="33">
          <cell r="AH33">
            <v>0</v>
          </cell>
          <cell r="AI33">
            <v>0</v>
          </cell>
        </row>
        <row r="34">
          <cell r="AH34">
            <v>0</v>
          </cell>
          <cell r="AI34">
            <v>0</v>
          </cell>
        </row>
        <row r="35">
          <cell r="AH35">
            <v>0</v>
          </cell>
          <cell r="AI35">
            <v>0</v>
          </cell>
        </row>
        <row r="36">
          <cell r="AH36">
            <v>20.247500000000002</v>
          </cell>
          <cell r="AI36"/>
        </row>
        <row r="37">
          <cell r="AH37">
            <v>14.372499999999999</v>
          </cell>
          <cell r="AI37"/>
        </row>
        <row r="38">
          <cell r="AH38">
            <v>10.303000000000001</v>
          </cell>
          <cell r="AI38"/>
        </row>
        <row r="39">
          <cell r="AH39"/>
          <cell r="AI39"/>
        </row>
        <row r="40">
          <cell r="AH40"/>
          <cell r="AI40"/>
        </row>
        <row r="41">
          <cell r="AH41">
            <v>2.0299999999999998</v>
          </cell>
          <cell r="AI41"/>
        </row>
        <row r="42">
          <cell r="AH42"/>
          <cell r="AI42"/>
        </row>
        <row r="43">
          <cell r="AH43">
            <v>5.0749999999999993</v>
          </cell>
          <cell r="AI43"/>
        </row>
        <row r="44">
          <cell r="AH44"/>
          <cell r="AI44"/>
        </row>
        <row r="45">
          <cell r="AH45"/>
          <cell r="AI45"/>
        </row>
        <row r="46">
          <cell r="AH46"/>
          <cell r="AI46"/>
        </row>
        <row r="47">
          <cell r="AH47">
            <v>0.81799999999999995</v>
          </cell>
          <cell r="AI47"/>
        </row>
        <row r="48">
          <cell r="AH48"/>
          <cell r="AI48"/>
        </row>
        <row r="49">
          <cell r="AH49"/>
          <cell r="AI49"/>
        </row>
        <row r="50">
          <cell r="AH50"/>
          <cell r="AI50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İcmal B1 102"/>
      <sheetName val="B1-102"/>
      <sheetName val="P1-Tip 1"/>
      <sheetName val="P1-Tip 2"/>
      <sheetName val="P1-Tip 3"/>
      <sheetName val="P1-Tip 4"/>
      <sheetName val="P1-Tip 5"/>
      <sheetName val="P1-Tip 6"/>
      <sheetName val="B1-Tip 1"/>
      <sheetName val="B1-Tip 2"/>
      <sheetName val="B1-Tip 3"/>
      <sheetName val="P1-B1 Redüksiyon"/>
      <sheetName val="P1-B1 Redüksiyon Kalıp"/>
    </sheetNames>
    <sheetDataSet>
      <sheetData sheetId="0">
        <row r="21">
          <cell r="L21"/>
          <cell r="AH21">
            <v>0</v>
          </cell>
          <cell r="AI21">
            <v>0</v>
          </cell>
        </row>
        <row r="22">
          <cell r="AH22">
            <v>0</v>
          </cell>
          <cell r="AI22">
            <v>0</v>
          </cell>
        </row>
        <row r="23">
          <cell r="AH23">
            <v>0</v>
          </cell>
          <cell r="AI23">
            <v>0</v>
          </cell>
        </row>
        <row r="24">
          <cell r="AH24">
            <v>0</v>
          </cell>
          <cell r="AI24">
            <v>0</v>
          </cell>
        </row>
        <row r="25">
          <cell r="AH25">
            <v>0</v>
          </cell>
          <cell r="AI25">
            <v>0</v>
          </cell>
        </row>
        <row r="26">
          <cell r="AH26">
            <v>0</v>
          </cell>
          <cell r="AI26">
            <v>0</v>
          </cell>
        </row>
        <row r="27">
          <cell r="AH27">
            <v>0</v>
          </cell>
          <cell r="AI27">
            <v>0</v>
          </cell>
        </row>
        <row r="28">
          <cell r="AH28">
            <v>0</v>
          </cell>
          <cell r="AI28">
            <v>0</v>
          </cell>
        </row>
        <row r="29">
          <cell r="AH29">
            <v>0</v>
          </cell>
          <cell r="AI29">
            <v>0</v>
          </cell>
        </row>
        <row r="30">
          <cell r="AH30">
            <v>0</v>
          </cell>
          <cell r="AI30">
            <v>0</v>
          </cell>
        </row>
        <row r="31">
          <cell r="AH31">
            <v>0</v>
          </cell>
          <cell r="AI31">
            <v>0</v>
          </cell>
        </row>
        <row r="32">
          <cell r="AH32">
            <v>0</v>
          </cell>
          <cell r="AI32">
            <v>0</v>
          </cell>
        </row>
        <row r="33">
          <cell r="AH33">
            <v>0</v>
          </cell>
          <cell r="AI33">
            <v>0</v>
          </cell>
        </row>
        <row r="34">
          <cell r="AH34">
            <v>0</v>
          </cell>
          <cell r="AI34">
            <v>0</v>
          </cell>
        </row>
        <row r="35">
          <cell r="AH35">
            <v>0</v>
          </cell>
          <cell r="AI35">
            <v>0</v>
          </cell>
        </row>
        <row r="36">
          <cell r="AH36">
            <v>20.247500000000002</v>
          </cell>
          <cell r="AI36"/>
        </row>
        <row r="37">
          <cell r="AH37">
            <v>14.372499999999999</v>
          </cell>
          <cell r="AI37"/>
        </row>
        <row r="38">
          <cell r="AH38">
            <v>10.303000000000001</v>
          </cell>
          <cell r="AI38"/>
        </row>
        <row r="39">
          <cell r="AH39">
            <v>0</v>
          </cell>
          <cell r="AI39">
            <v>0</v>
          </cell>
        </row>
        <row r="40">
          <cell r="AH40"/>
          <cell r="AI40"/>
        </row>
        <row r="41">
          <cell r="AH41">
            <v>2.0299999999999998</v>
          </cell>
          <cell r="AI41"/>
        </row>
        <row r="42">
          <cell r="AH42">
            <v>0</v>
          </cell>
          <cell r="AI42">
            <v>0</v>
          </cell>
        </row>
        <row r="43">
          <cell r="AH43">
            <v>5.0749999999999993</v>
          </cell>
          <cell r="AI43"/>
        </row>
        <row r="44">
          <cell r="AH44">
            <v>0</v>
          </cell>
          <cell r="AI44">
            <v>0</v>
          </cell>
        </row>
        <row r="45">
          <cell r="AH45">
            <v>0</v>
          </cell>
          <cell r="AI45">
            <v>0</v>
          </cell>
        </row>
        <row r="46">
          <cell r="AH46">
            <v>0</v>
          </cell>
          <cell r="AI46">
            <v>0</v>
          </cell>
        </row>
        <row r="47">
          <cell r="AH47">
            <v>0.81799999999999995</v>
          </cell>
          <cell r="AI47"/>
        </row>
        <row r="48">
          <cell r="AH48">
            <v>0</v>
          </cell>
          <cell r="AI48">
            <v>0</v>
          </cell>
        </row>
        <row r="49">
          <cell r="AH49">
            <v>0</v>
          </cell>
          <cell r="AI49">
            <v>0</v>
          </cell>
        </row>
        <row r="50">
          <cell r="AH50">
            <v>0</v>
          </cell>
          <cell r="AI5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İcmal B1 103"/>
      <sheetName val="B1-103"/>
      <sheetName val="P1-Tip 1"/>
      <sheetName val="P1-Tip 2"/>
      <sheetName val="P1-Tip 3"/>
      <sheetName val="P1-Tip 4"/>
      <sheetName val="P1-Tip 5"/>
      <sheetName val="P1-Tip 6"/>
      <sheetName val="B1-Tip 1"/>
      <sheetName val="B1-Tip 2"/>
      <sheetName val="B1-Tip 3"/>
      <sheetName val="P1-B1 Redüksiyon"/>
      <sheetName val="P1-B1 Redüksiyon Kalıp"/>
    </sheetNames>
    <sheetDataSet>
      <sheetData sheetId="0">
        <row r="21">
          <cell r="L21"/>
          <cell r="AG21"/>
          <cell r="AH21">
            <v>0</v>
          </cell>
        </row>
        <row r="22">
          <cell r="AG22"/>
          <cell r="AH22">
            <v>0</v>
          </cell>
        </row>
        <row r="23">
          <cell r="AG23"/>
          <cell r="AH23">
            <v>0</v>
          </cell>
        </row>
        <row r="24">
          <cell r="AG24"/>
          <cell r="AH24">
            <v>0</v>
          </cell>
        </row>
        <row r="25">
          <cell r="AG25"/>
          <cell r="AH25">
            <v>0</v>
          </cell>
        </row>
        <row r="26">
          <cell r="AG26"/>
          <cell r="AH26">
            <v>0</v>
          </cell>
        </row>
        <row r="27">
          <cell r="AG27"/>
          <cell r="AH27">
            <v>0</v>
          </cell>
        </row>
        <row r="28">
          <cell r="AG28"/>
          <cell r="AH28">
            <v>0</v>
          </cell>
        </row>
        <row r="29">
          <cell r="AG29"/>
          <cell r="AH29">
            <v>0</v>
          </cell>
        </row>
        <row r="30">
          <cell r="AG30"/>
          <cell r="AH30">
            <v>0</v>
          </cell>
        </row>
        <row r="31">
          <cell r="AG31"/>
          <cell r="AH31">
            <v>0</v>
          </cell>
        </row>
        <row r="32">
          <cell r="AG32"/>
          <cell r="AH32">
            <v>0</v>
          </cell>
        </row>
        <row r="33">
          <cell r="AG33"/>
          <cell r="AH33">
            <v>0</v>
          </cell>
        </row>
        <row r="34">
          <cell r="AG34"/>
          <cell r="AH34">
            <v>0</v>
          </cell>
        </row>
        <row r="35">
          <cell r="AG35"/>
          <cell r="AH35">
            <v>0</v>
          </cell>
        </row>
        <row r="36">
          <cell r="AG36"/>
          <cell r="AH36">
            <v>20.247500000000002</v>
          </cell>
        </row>
        <row r="37">
          <cell r="AG37"/>
          <cell r="AH37">
            <v>14.372499999999999</v>
          </cell>
        </row>
        <row r="38">
          <cell r="AG38"/>
          <cell r="AH38">
            <v>10.303000000000001</v>
          </cell>
        </row>
        <row r="39">
          <cell r="AG39"/>
          <cell r="AH39">
            <v>0</v>
          </cell>
        </row>
        <row r="40">
          <cell r="AG40"/>
          <cell r="AH40"/>
        </row>
        <row r="41">
          <cell r="AG41"/>
          <cell r="AH41">
            <v>2.0299999999999998</v>
          </cell>
        </row>
        <row r="42">
          <cell r="AG42"/>
          <cell r="AH42">
            <v>0</v>
          </cell>
        </row>
        <row r="43">
          <cell r="AG43"/>
          <cell r="AH43">
            <v>5.0749999999999993</v>
          </cell>
        </row>
        <row r="44">
          <cell r="AG44"/>
          <cell r="AH44">
            <v>0</v>
          </cell>
        </row>
        <row r="45">
          <cell r="AG45"/>
          <cell r="AH45">
            <v>0</v>
          </cell>
        </row>
        <row r="46">
          <cell r="AG46"/>
          <cell r="AH46">
            <v>0</v>
          </cell>
        </row>
        <row r="47">
          <cell r="AG47"/>
          <cell r="AH47">
            <v>0.81799999999999995</v>
          </cell>
        </row>
        <row r="48">
          <cell r="AG48"/>
          <cell r="AH48">
            <v>0</v>
          </cell>
        </row>
        <row r="49">
          <cell r="AG49"/>
          <cell r="AH49">
            <v>0</v>
          </cell>
        </row>
        <row r="50">
          <cell r="AG50"/>
          <cell r="AH5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İcmal  P1 101"/>
      <sheetName val="P1-101"/>
      <sheetName val="P1-Tip 1"/>
      <sheetName val="P1-Tip 2"/>
      <sheetName val="P1-Tip 3"/>
      <sheetName val="P1-Tip 4"/>
      <sheetName val="P1-Tip 5"/>
      <sheetName val="P1-Tip 6"/>
      <sheetName val="B1-Tip 1"/>
      <sheetName val="B1-Tip 2"/>
      <sheetName val="B1-Tip 3"/>
      <sheetName val="P1-B1 Redüksiyon"/>
      <sheetName val="P1-B1 Redüksiyon Kalıp"/>
    </sheetNames>
    <sheetDataSet>
      <sheetData sheetId="0">
        <row r="21">
          <cell r="AH21">
            <v>0</v>
          </cell>
          <cell r="AI21">
            <v>0</v>
          </cell>
        </row>
        <row r="22">
          <cell r="AH22">
            <v>0</v>
          </cell>
          <cell r="AI22">
            <v>0</v>
          </cell>
        </row>
        <row r="23">
          <cell r="AH23">
            <v>0</v>
          </cell>
          <cell r="AI23">
            <v>0</v>
          </cell>
        </row>
        <row r="24">
          <cell r="AH24">
            <v>0</v>
          </cell>
          <cell r="AI24">
            <v>0</v>
          </cell>
        </row>
        <row r="25">
          <cell r="AH25">
            <v>0</v>
          </cell>
          <cell r="AI25">
            <v>0</v>
          </cell>
        </row>
        <row r="26">
          <cell r="AH26">
            <v>0</v>
          </cell>
          <cell r="AI26">
            <v>0</v>
          </cell>
        </row>
        <row r="27">
          <cell r="AH27">
            <v>0</v>
          </cell>
          <cell r="AI27">
            <v>0</v>
          </cell>
        </row>
        <row r="28">
          <cell r="AH28">
            <v>0</v>
          </cell>
          <cell r="AI28">
            <v>0</v>
          </cell>
        </row>
        <row r="29">
          <cell r="AH29">
            <v>0</v>
          </cell>
          <cell r="AI29">
            <v>0</v>
          </cell>
        </row>
        <row r="30">
          <cell r="AH30">
            <v>0</v>
          </cell>
          <cell r="AI30">
            <v>0</v>
          </cell>
        </row>
        <row r="31">
          <cell r="AH31">
            <v>0</v>
          </cell>
          <cell r="AI31">
            <v>0</v>
          </cell>
        </row>
        <row r="32">
          <cell r="AH32">
            <v>0</v>
          </cell>
          <cell r="AI32">
            <v>0</v>
          </cell>
        </row>
        <row r="33">
          <cell r="AH33">
            <v>0</v>
          </cell>
          <cell r="AI33">
            <v>0</v>
          </cell>
        </row>
        <row r="34">
          <cell r="AH34">
            <v>0</v>
          </cell>
          <cell r="AI34">
            <v>0</v>
          </cell>
        </row>
        <row r="35">
          <cell r="AH35">
            <v>0</v>
          </cell>
          <cell r="AI35">
            <v>0</v>
          </cell>
        </row>
        <row r="36">
          <cell r="AH36">
            <v>1636.9266600000096</v>
          </cell>
          <cell r="AI36">
            <v>875.75303999999994</v>
          </cell>
        </row>
        <row r="37">
          <cell r="AH37">
            <v>955.9923000000058</v>
          </cell>
          <cell r="AI37">
            <v>487.33139999999992</v>
          </cell>
        </row>
        <row r="38">
          <cell r="AH38">
            <v>283.38900000000086</v>
          </cell>
          <cell r="AI38">
            <v>170.51999999999998</v>
          </cell>
        </row>
        <row r="39">
          <cell r="AH39"/>
          <cell r="AI39">
            <v>0</v>
          </cell>
        </row>
        <row r="40">
          <cell r="AH40"/>
          <cell r="AI40">
            <v>0</v>
          </cell>
        </row>
        <row r="41">
          <cell r="AH41">
            <v>51.773999999999994</v>
          </cell>
          <cell r="AI41">
            <v>22.841999999999999</v>
          </cell>
        </row>
        <row r="42">
          <cell r="AH42">
            <v>0</v>
          </cell>
          <cell r="AI42">
            <v>0</v>
          </cell>
        </row>
        <row r="43">
          <cell r="AH43">
            <v>392.69448000000006</v>
          </cell>
          <cell r="AI43">
            <v>238.92731999999995</v>
          </cell>
        </row>
        <row r="44">
          <cell r="AH44">
            <v>0</v>
          </cell>
          <cell r="AI44">
            <v>0</v>
          </cell>
        </row>
        <row r="45">
          <cell r="AH45">
            <v>0</v>
          </cell>
          <cell r="AI45">
            <v>0</v>
          </cell>
        </row>
        <row r="46">
          <cell r="AH46">
            <v>0</v>
          </cell>
          <cell r="AI46">
            <v>0</v>
          </cell>
        </row>
        <row r="47">
          <cell r="AH47">
            <v>89.521999999999991</v>
          </cell>
          <cell r="AI47">
            <v>49.980999999999995</v>
          </cell>
        </row>
        <row r="48">
          <cell r="AH48">
            <v>0</v>
          </cell>
          <cell r="AI48">
            <v>0</v>
          </cell>
        </row>
        <row r="49">
          <cell r="AH49">
            <v>0</v>
          </cell>
          <cell r="AI49">
            <v>0</v>
          </cell>
        </row>
        <row r="50">
          <cell r="AH50">
            <v>0</v>
          </cell>
          <cell r="AI5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İcmal P1 102"/>
      <sheetName val="P1-102"/>
      <sheetName val="P1-Tip 1"/>
      <sheetName val="P1-Tip 2"/>
      <sheetName val="P1-Tip 3"/>
      <sheetName val="P1-Tip 4"/>
      <sheetName val="P1-Tip 5"/>
      <sheetName val="P1-Tip 6"/>
      <sheetName val="B1-Tip 1"/>
      <sheetName val="B1-Tip 2"/>
      <sheetName val="B1-Tip 3"/>
      <sheetName val="P1-B1 Redüksiyon"/>
      <sheetName val="P1-B1 Redüksiyon Kalıp"/>
    </sheetNames>
    <sheetDataSet>
      <sheetData sheetId="0">
        <row r="21">
          <cell r="AH21"/>
          <cell r="AI21"/>
        </row>
        <row r="22">
          <cell r="AH22"/>
          <cell r="AI22"/>
        </row>
        <row r="23">
          <cell r="AH23"/>
          <cell r="AI23"/>
        </row>
        <row r="24">
          <cell r="AH24"/>
          <cell r="AI24"/>
        </row>
        <row r="25">
          <cell r="AH25"/>
          <cell r="AI25"/>
        </row>
        <row r="26">
          <cell r="AH26"/>
          <cell r="AI26"/>
        </row>
        <row r="27">
          <cell r="AH27"/>
          <cell r="AI27"/>
        </row>
        <row r="28">
          <cell r="AH28"/>
          <cell r="AI28"/>
        </row>
        <row r="29">
          <cell r="AH29"/>
          <cell r="AI29"/>
        </row>
        <row r="30">
          <cell r="AH30"/>
          <cell r="AI30"/>
        </row>
        <row r="31">
          <cell r="AH31"/>
          <cell r="AI31"/>
        </row>
        <row r="32">
          <cell r="AH32"/>
          <cell r="AI32"/>
        </row>
        <row r="33">
          <cell r="AH33"/>
          <cell r="AI33"/>
        </row>
        <row r="34">
          <cell r="AH34"/>
          <cell r="AI34"/>
        </row>
        <row r="35">
          <cell r="AH35"/>
          <cell r="AI35"/>
        </row>
        <row r="36">
          <cell r="AH36">
            <v>483.78518000000383</v>
          </cell>
          <cell r="AI36">
            <v>2028.8945199999969</v>
          </cell>
        </row>
        <row r="37">
          <cell r="AH37">
            <v>269.21255000000212</v>
          </cell>
          <cell r="AI37">
            <v>1174.1111499999979</v>
          </cell>
        </row>
        <row r="38">
          <cell r="AH38">
            <v>99.340000000000543</v>
          </cell>
          <cell r="AI38">
            <v>354.56899999999985</v>
          </cell>
        </row>
        <row r="39">
          <cell r="AH39"/>
          <cell r="AI39"/>
        </row>
        <row r="40">
          <cell r="AH40"/>
          <cell r="AI40"/>
        </row>
        <row r="41">
          <cell r="AH41">
            <v>22.841999999999999</v>
          </cell>
          <cell r="AI41">
            <v>51.774000000000001</v>
          </cell>
        </row>
        <row r="42">
          <cell r="AH42">
            <v>0</v>
          </cell>
          <cell r="AI42">
            <v>0</v>
          </cell>
        </row>
        <row r="43">
          <cell r="AH43">
            <v>131.98869000000104</v>
          </cell>
          <cell r="AI43">
            <v>499.63311000000078</v>
          </cell>
        </row>
        <row r="44">
          <cell r="AH44">
            <v>0</v>
          </cell>
          <cell r="AI44">
            <v>0</v>
          </cell>
        </row>
        <row r="45">
          <cell r="AH45">
            <v>0</v>
          </cell>
          <cell r="AI45">
            <v>0</v>
          </cell>
        </row>
        <row r="46">
          <cell r="AH46">
            <v>0</v>
          </cell>
          <cell r="AI46">
            <v>0</v>
          </cell>
        </row>
        <row r="47">
          <cell r="AH47">
            <v>27.578999999999997</v>
          </cell>
          <cell r="AI47">
            <v>111.92399999999998</v>
          </cell>
        </row>
        <row r="48">
          <cell r="AH48">
            <v>0</v>
          </cell>
          <cell r="AI48">
            <v>0</v>
          </cell>
        </row>
        <row r="49">
          <cell r="AH49">
            <v>0</v>
          </cell>
          <cell r="AI49">
            <v>0</v>
          </cell>
        </row>
        <row r="50">
          <cell r="AH50">
            <v>0</v>
          </cell>
          <cell r="AI5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B8F3-1D93-41FB-AD7C-48145A77DA96}">
  <sheetPr>
    <tabColor rgb="FFFF0000"/>
  </sheetPr>
  <dimension ref="A1:AT40"/>
  <sheetViews>
    <sheetView zoomScale="70" zoomScaleNormal="70" workbookViewId="0">
      <selection activeCell="A2" sqref="A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7" width="19.33203125" bestFit="1" customWidth="1"/>
    <col min="18" max="25" width="19.21875" bestFit="1" customWidth="1"/>
    <col min="26" max="26" width="46.77734375" bestFit="1" customWidth="1"/>
    <col min="27" max="27" width="48.88671875" bestFit="1" customWidth="1"/>
    <col min="28" max="28" width="57.109375" bestFit="1" customWidth="1"/>
    <col min="29" max="29" width="56.77734375" bestFit="1" customWidth="1"/>
    <col min="30" max="30" width="57.44140625" bestFit="1" customWidth="1"/>
    <col min="31" max="31" width="57" customWidth="1"/>
    <col min="32" max="32" width="57.109375" bestFit="1" customWidth="1"/>
    <col min="33" max="33" width="46.33203125" bestFit="1" customWidth="1"/>
    <col min="34" max="37" width="46.77734375" bestFit="1" customWidth="1"/>
    <col min="38" max="44" width="19.88671875" customWidth="1"/>
    <col min="45" max="45" width="19.5546875" bestFit="1" customWidth="1"/>
    <col min="46" max="46" width="2.21875" customWidth="1"/>
  </cols>
  <sheetData>
    <row r="1" spans="1:46" ht="15" thickBot="1" x14ac:dyDescent="0.35">
      <c r="A1" s="17" t="s">
        <v>131</v>
      </c>
    </row>
    <row r="2" spans="1:46" ht="27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54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3" t="s">
        <v>126</v>
      </c>
      <c r="AG2" s="3" t="s">
        <v>143</v>
      </c>
      <c r="AH2" s="3" t="s">
        <v>144</v>
      </c>
      <c r="AI2" s="3" t="s">
        <v>138</v>
      </c>
      <c r="AJ2" s="3" t="s">
        <v>125</v>
      </c>
      <c r="AK2" s="3" t="s">
        <v>133</v>
      </c>
      <c r="AL2" s="3"/>
      <c r="AM2" s="3"/>
      <c r="AN2" s="3"/>
      <c r="AO2" s="3"/>
      <c r="AP2" s="3"/>
      <c r="AQ2" s="3"/>
      <c r="AR2" s="3"/>
      <c r="AS2" s="3"/>
      <c r="AT2" s="12"/>
    </row>
    <row r="3" spans="1:46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SUM(J3:AT3)</f>
        <v>3128.87</v>
      </c>
      <c r="I3" s="9">
        <f>+F3*H3</f>
        <v>15879015.25</v>
      </c>
      <c r="J3" s="15" cm="1">
        <f t="array" ref="J3">+HLOOKUP($A$1,+[2]İcmal!$B$19:$AG$49,ROW(A1)+1,FALSE)</f>
        <v>0</v>
      </c>
      <c r="K3" s="15" cm="1">
        <f t="array" ref="K3">+HLOOKUP($A$1,+[3]İcmal!$B$19:$AG$49,ROW(B1)+1,FALSE)</f>
        <v>0</v>
      </c>
      <c r="L3" s="15" cm="1">
        <f t="array" ref="L3">+HLOOKUP($A$1,+[4]İcmal!$B$19:$AG$49,ROW(C1)+1,FALSE)</f>
        <v>0</v>
      </c>
      <c r="M3" s="15" cm="1">
        <f t="array" ref="M3">+HLOOKUP($A$1,+[5]İcmal!$B$19:$AG$49,ROW(D1)+1,FALSE)</f>
        <v>0</v>
      </c>
      <c r="N3" s="15" cm="1">
        <f t="array" ref="N3">+HLOOKUP($A$1,+[6]İcmal!$B$19:$AG$49,ROW(E1)+1,FALSE)</f>
        <v>650.04599999999982</v>
      </c>
      <c r="O3" s="15" cm="1">
        <f t="array" ref="O3">+HLOOKUP($A$1,+[7]İcmal!$B$19:$AG$49,ROW(F1)+1,FALSE)</f>
        <v>731.25599999999986</v>
      </c>
      <c r="P3" s="15" cm="1">
        <f t="array" ref="P3">+HLOOKUP($A$1,+[8]İcmal!$B$19:$AG$49,ROW(G1)+1,FALSE)</f>
        <v>0</v>
      </c>
      <c r="Q3" s="15" cm="1">
        <f t="array" ref="Q3">+HLOOKUP($A$1,+[9]İcmal!$B$19:$AG$49,ROW(H1)+1,FALSE)</f>
        <v>0</v>
      </c>
      <c r="R3" s="15" cm="1">
        <f t="array" ref="R3">+HLOOKUP($A$1,+[10]İcmal!$B$19:$AG$49,ROW(I1)+1,FALSE)</f>
        <v>620.51400000000012</v>
      </c>
      <c r="S3" s="15" cm="1">
        <f t="array" ref="S3">+HLOOKUP($A$1,+[11]İcmal!$B$19:$AG$49,ROW(J1)+1,FALSE)</f>
        <v>884.51200000000017</v>
      </c>
      <c r="T3" s="15" cm="1">
        <f t="array" ref="T3">+HLOOKUP($A$1,+[12]İcmal!$B$19:$AG$49,ROW(K1)+1,FALSE)</f>
        <v>0</v>
      </c>
      <c r="U3" s="15" cm="1">
        <f t="array" ref="U3">+HLOOKUP($A$1,+[13]İcmal!$B$19:$AG$49,ROW(L1)+1,FALSE)</f>
        <v>0</v>
      </c>
      <c r="V3" s="15" cm="1">
        <f t="array" ref="V3">+HLOOKUP($A$1,+[14]İcmal!$B$19:$AG$49,ROW(M1)+1,FALSE)</f>
        <v>0</v>
      </c>
      <c r="W3" s="15" cm="1">
        <f t="array" ref="W3">+HLOOKUP($A$1,+[15]İcmal!$B$19:$AG$49,ROW(N1)+1,FALSE)</f>
        <v>0</v>
      </c>
      <c r="X3" s="15" cm="1">
        <f t="array" ref="X3">+HLOOKUP($A$1,+[16]İcmal!$B$19:$AG$49,ROW(O1)+1,FALSE)</f>
        <v>0</v>
      </c>
      <c r="Y3" s="15" cm="1">
        <f t="array" ref="Y3">+HLOOKUP($A$1,+[17]İcmal!$B$19:$AG$49,ROW(P1)+1,FALSE)</f>
        <v>0</v>
      </c>
      <c r="Z3" s="15" cm="1">
        <f t="array" ref="Z3">+HLOOKUP($A$1,+[18]İcmal!$B$19:$AG$49,ROW(Q1)+1,FALSE)</f>
        <v>0</v>
      </c>
      <c r="AA3" s="15" cm="1">
        <f t="array" ref="AA3">+HLOOKUP($A$1,+[19]İcmal!$B$19:$AG$49,ROW(R1)+1,FALSE)</f>
        <v>0</v>
      </c>
      <c r="AB3" s="15" cm="1">
        <f t="array" ref="AB3">+HLOOKUP($A$1,+[20]İcmal!$B$19:$AG$49,ROW(S1)+1,FALSE)</f>
        <v>10.009999999999991</v>
      </c>
      <c r="AC3" s="15" cm="1">
        <f t="array" ref="AC3">+HLOOKUP($A$1,+[21]İcmal!$B$19:$AG$49,ROW(T1)+1,FALSE)</f>
        <v>0</v>
      </c>
      <c r="AD3" s="15" cm="1">
        <f t="array" ref="AD3">+HLOOKUP($A$1,+[22]İcmal!$B$19:$AG$49,ROW(U1)+1,FALSE)</f>
        <v>25.29</v>
      </c>
      <c r="AE3" s="15" cm="1">
        <f t="array" ref="AE3">+HLOOKUP($A$1,+[23]İcmal!$B$19:$AG$49,ROW(V1)+1,FALSE)</f>
        <v>0</v>
      </c>
      <c r="AF3" s="15" cm="1">
        <f t="array" ref="AF3">+HLOOKUP($A$1,+[24]İcmal!$B$19:$AG$49,ROW(W1)+1,FALSE)</f>
        <v>113.46799999999999</v>
      </c>
      <c r="AG3" s="15" cm="1">
        <f t="array" ref="AG3">+HLOOKUP($A$1,+[25]İcmal!$B$19:$AG$49,ROW(X1)+1,FALSE)</f>
        <v>0</v>
      </c>
      <c r="AH3" s="15" cm="1">
        <f t="array" ref="AH3">+HLOOKUP($A$1,+[26]İcmal!$B$19:$AG$49,ROW(Y1)+1,FALSE)</f>
        <v>10.010000000000105</v>
      </c>
      <c r="AI3" s="15" cm="1">
        <f t="array" ref="AI3">+HLOOKUP($A$1,+[27]İcmal!$B$19:$AG$49,ROW(Z1)+1,FALSE)</f>
        <v>83.763999999999996</v>
      </c>
      <c r="AJ3" s="15" cm="1">
        <f t="array" ref="AJ3">+HLOOKUP($A$1,+[28]İcmal!$B$19:$AG$49,ROW(AA1)+1,FALSE)</f>
        <v>0</v>
      </c>
      <c r="AK3" s="15" cm="1">
        <f t="array" ref="AK3">+HLOOKUP($A$1,+[29]İcmal!$B$19:$AG$49,ROW(AB1)+1,FALSE)</f>
        <v>0</v>
      </c>
      <c r="AL3" s="15"/>
      <c r="AM3" s="15"/>
      <c r="AN3" s="15"/>
      <c r="AO3" s="15"/>
      <c r="AP3" s="15"/>
      <c r="AQ3" s="15"/>
      <c r="AR3" s="15"/>
      <c r="AS3" s="15"/>
      <c r="AT3" s="13"/>
    </row>
    <row r="4" spans="1:46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+HLOOKUP($A$1,+[2]İcmal!$B$19:$AG$49,ROW(A2)+1,FALSE)</f>
        <v>0</v>
      </c>
      <c r="K4" s="15" cm="1">
        <f t="array" ref="K4">+HLOOKUP($A$1,+[3]İcmal!$B$19:$AG$49,ROW(B2)+1,FALSE)</f>
        <v>0</v>
      </c>
      <c r="L4" s="15" cm="1">
        <f t="array" ref="L4">+HLOOKUP($A$1,+[4]İcmal!$B$19:$AG$49,ROW(C2)+1,FALSE)</f>
        <v>0</v>
      </c>
      <c r="M4" s="15" cm="1">
        <f t="array" ref="M4">+HLOOKUP($A$1,+[5]İcmal!$B$19:$AG$49,ROW(D2)+1,FALSE)</f>
        <v>0</v>
      </c>
      <c r="N4" s="15" cm="1">
        <f t="array" ref="N4">+HLOOKUP($A$1,+[6]İcmal!$B$19:$AG$49,ROW(E2)+1,FALSE)</f>
        <v>0</v>
      </c>
      <c r="O4" s="15" cm="1">
        <f t="array" ref="O4">+HLOOKUP($A$1,+[7]İcmal!$B$19:$AG$49,ROW(F2)+1,FALSE)</f>
        <v>0</v>
      </c>
      <c r="P4" s="15" cm="1">
        <f t="array" ref="P4">+HLOOKUP($A$1,+[8]İcmal!$B$19:$AG$49,ROW(G2)+1,FALSE)</f>
        <v>0</v>
      </c>
      <c r="Q4" s="15" cm="1">
        <f t="array" ref="Q4">+HLOOKUP($A$1,+[9]İcmal!$B$19:$AG$49,ROW(H2)+1,FALSE)</f>
        <v>0</v>
      </c>
      <c r="R4" s="15" cm="1">
        <f t="array" ref="R4">+HLOOKUP($A$1,+[10]İcmal!$B$19:$AG$49,ROW(I2)+1,FALSE)</f>
        <v>0</v>
      </c>
      <c r="S4" s="15" cm="1">
        <f t="array" ref="S4">+HLOOKUP($A$1,+[11]İcmal!$B$19:$AG$49,ROW(J2)+1,FALSE)</f>
        <v>0</v>
      </c>
      <c r="T4" s="15" cm="1">
        <f t="array" ref="T4">+HLOOKUP($A$1,+[12]İcmal!$B$19:$AG$49,ROW(K2)+1,FALSE)</f>
        <v>0</v>
      </c>
      <c r="U4" s="15" cm="1">
        <f t="array" ref="U4">+HLOOKUP($A$1,+[13]İcmal!$B$19:$AG$49,ROW(L2)+1,FALSE)</f>
        <v>0</v>
      </c>
      <c r="V4" s="15" cm="1">
        <f t="array" ref="V4">+HLOOKUP($A$1,+[14]İcmal!$B$19:$AG$49,ROW(M2)+1,FALSE)</f>
        <v>0</v>
      </c>
      <c r="W4" s="15" cm="1">
        <f t="array" ref="W4">+HLOOKUP($A$1,+[15]İcmal!$B$19:$AG$49,ROW(N2)+1,FALSE)</f>
        <v>0</v>
      </c>
      <c r="X4" s="15" cm="1">
        <f t="array" ref="X4">+HLOOKUP($A$1,+[16]İcmal!$B$19:$AG$49,ROW(O2)+1,FALSE)</f>
        <v>0</v>
      </c>
      <c r="Y4" s="15" cm="1">
        <f t="array" ref="Y4">+HLOOKUP($A$1,+[17]İcmal!$B$19:$AG$49,ROW(P2)+1,FALSE)</f>
        <v>0</v>
      </c>
      <c r="Z4" s="15" cm="1">
        <f t="array" ref="Z4">+HLOOKUP($A$1,+[18]İcmal!$B$19:$AG$49,ROW(Q2)+1,FALSE)</f>
        <v>0</v>
      </c>
      <c r="AA4" s="15" cm="1">
        <f t="array" ref="AA4">+HLOOKUP($A$1,+[19]İcmal!$B$19:$AG$49,ROW(R2)+1,FALSE)</f>
        <v>0</v>
      </c>
      <c r="AB4" s="15" cm="1">
        <f t="array" ref="AB4">+HLOOKUP($A$1,+[20]İcmal!$B$19:$AG$49,ROW(S2)+1,FALSE)</f>
        <v>0</v>
      </c>
      <c r="AC4" s="15" cm="1">
        <f t="array" ref="AC4">+HLOOKUP($A$1,+[21]İcmal!$B$19:$AG$49,ROW(T2)+1,FALSE)</f>
        <v>0</v>
      </c>
      <c r="AD4" s="15" cm="1">
        <f t="array" ref="AD4">+HLOOKUP($A$1,+[22]İcmal!$B$19:$AG$49,ROW(U2)+1,FALSE)</f>
        <v>0</v>
      </c>
      <c r="AE4" s="15" cm="1">
        <f t="array" ref="AE4">+HLOOKUP($A$1,+[23]İcmal!$B$19:$AG$49,ROW(V2)+1,FALSE)</f>
        <v>0</v>
      </c>
      <c r="AF4" s="15" cm="1">
        <f t="array" ref="AF4">+HLOOKUP($A$1,+[24]İcmal!$B$19:$AG$49,ROW(W2)+1,FALSE)</f>
        <v>0</v>
      </c>
      <c r="AG4" s="15" cm="1">
        <f t="array" ref="AG4">+HLOOKUP($A$1,+[25]İcmal!$B$19:$AG$49,ROW(X2)+1,FALSE)</f>
        <v>0</v>
      </c>
      <c r="AH4" s="15" cm="1">
        <f t="array" ref="AH4">+HLOOKUP($A$1,+[26]İcmal!$B$19:$AG$49,ROW(Y2)+1,FALSE)</f>
        <v>0</v>
      </c>
      <c r="AI4" s="15" cm="1">
        <f t="array" ref="AI4">+HLOOKUP($A$1,+[27]İcmal!$B$19:$AG$49,ROW(Z2)+1,FALSE)</f>
        <v>0</v>
      </c>
      <c r="AJ4" s="15" cm="1">
        <f t="array" ref="AJ4">+HLOOKUP($A$1,+[28]İcmal!$B$19:$AG$49,ROW(AA2)+1,FALSE)</f>
        <v>0</v>
      </c>
      <c r="AK4" s="15" cm="1">
        <f t="array" ref="AK4">+HLOOKUP($A$1,+[29]İcmal!$B$19:$AG$49,ROW(AB2)+1,FALSE)</f>
        <v>0</v>
      </c>
      <c r="AL4" s="15"/>
      <c r="AM4" s="15"/>
      <c r="AN4" s="15"/>
      <c r="AO4" s="15"/>
      <c r="AP4" s="15"/>
      <c r="AQ4" s="15"/>
      <c r="AR4" s="15"/>
      <c r="AS4" s="15"/>
      <c r="AT4" s="13"/>
    </row>
    <row r="5" spans="1:46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+HLOOKUP($A$1,+[2]İcmal!$B$19:$AG$49,ROW(A3)+1,FALSE)</f>
        <v>0</v>
      </c>
      <c r="K5" s="15" cm="1">
        <f t="array" ref="K5">+HLOOKUP($A$1,+[3]İcmal!$B$19:$AG$49,ROW(B3)+1,FALSE)</f>
        <v>0</v>
      </c>
      <c r="L5" s="15" cm="1">
        <f t="array" ref="L5">+HLOOKUP($A$1,+[4]İcmal!$B$19:$AG$49,ROW(C3)+1,FALSE)</f>
        <v>0</v>
      </c>
      <c r="M5" s="15" cm="1">
        <f t="array" ref="M5">+HLOOKUP($A$1,+[5]İcmal!$B$19:$AG$49,ROW(D3)+1,FALSE)</f>
        <v>0</v>
      </c>
      <c r="N5" s="15" cm="1">
        <f t="array" ref="N5">+HLOOKUP($A$1,+[6]İcmal!$B$19:$AG$49,ROW(E3)+1,FALSE)</f>
        <v>0</v>
      </c>
      <c r="O5" s="15" cm="1">
        <f t="array" ref="O5">+HLOOKUP($A$1,+[7]İcmal!$B$19:$AG$49,ROW(F3)+1,FALSE)</f>
        <v>0</v>
      </c>
      <c r="P5" s="15" cm="1">
        <f t="array" ref="P5">+HLOOKUP($A$1,+[8]İcmal!$B$19:$AG$49,ROW(G3)+1,FALSE)</f>
        <v>0</v>
      </c>
      <c r="Q5" s="15" cm="1">
        <f t="array" ref="Q5">+HLOOKUP($A$1,+[9]İcmal!$B$19:$AG$49,ROW(H3)+1,FALSE)</f>
        <v>0</v>
      </c>
      <c r="R5" s="15" cm="1">
        <f t="array" ref="R5">+HLOOKUP($A$1,+[10]İcmal!$B$19:$AG$49,ROW(I3)+1,FALSE)</f>
        <v>0</v>
      </c>
      <c r="S5" s="15" cm="1">
        <f t="array" ref="S5">+HLOOKUP($A$1,+[11]İcmal!$B$19:$AG$49,ROW(J3)+1,FALSE)</f>
        <v>0</v>
      </c>
      <c r="T5" s="15" cm="1">
        <f t="array" ref="T5">+HLOOKUP($A$1,+[12]İcmal!$B$19:$AG$49,ROW(K3)+1,FALSE)</f>
        <v>0</v>
      </c>
      <c r="U5" s="15" cm="1">
        <f t="array" ref="U5">+HLOOKUP($A$1,+[13]İcmal!$B$19:$AG$49,ROW(L3)+1,FALSE)</f>
        <v>0</v>
      </c>
      <c r="V5" s="15" cm="1">
        <f t="array" ref="V5">+HLOOKUP($A$1,+[14]İcmal!$B$19:$AG$49,ROW(M3)+1,FALSE)</f>
        <v>0</v>
      </c>
      <c r="W5" s="15" cm="1">
        <f t="array" ref="W5">+HLOOKUP($A$1,+[15]İcmal!$B$19:$AG$49,ROW(N3)+1,FALSE)</f>
        <v>0</v>
      </c>
      <c r="X5" s="15" cm="1">
        <f t="array" ref="X5">+HLOOKUP($A$1,+[16]İcmal!$B$19:$AG$49,ROW(O3)+1,FALSE)</f>
        <v>0</v>
      </c>
      <c r="Y5" s="15" cm="1">
        <f t="array" ref="Y5">+HLOOKUP($A$1,+[17]İcmal!$B$19:$AG$49,ROW(P3)+1,FALSE)</f>
        <v>0</v>
      </c>
      <c r="Z5" s="15" cm="1">
        <f t="array" ref="Z5">+HLOOKUP($A$1,+[18]İcmal!$B$19:$AG$49,ROW(Q3)+1,FALSE)</f>
        <v>0</v>
      </c>
      <c r="AA5" s="15" cm="1">
        <f t="array" ref="AA5">+HLOOKUP($A$1,+[19]İcmal!$B$19:$AG$49,ROW(R3)+1,FALSE)</f>
        <v>0</v>
      </c>
      <c r="AB5" s="15" cm="1">
        <f t="array" ref="AB5">+HLOOKUP($A$1,+[20]İcmal!$B$19:$AG$49,ROW(S3)+1,FALSE)</f>
        <v>0</v>
      </c>
      <c r="AC5" s="15" cm="1">
        <f t="array" ref="AC5">+HLOOKUP($A$1,+[21]İcmal!$B$19:$AG$49,ROW(T3)+1,FALSE)</f>
        <v>0</v>
      </c>
      <c r="AD5" s="15" cm="1">
        <f t="array" ref="AD5">+HLOOKUP($A$1,+[22]İcmal!$B$19:$AG$49,ROW(U3)+1,FALSE)</f>
        <v>0</v>
      </c>
      <c r="AE5" s="15" cm="1">
        <f t="array" ref="AE5">+HLOOKUP($A$1,+[23]İcmal!$B$19:$AG$49,ROW(V3)+1,FALSE)</f>
        <v>0</v>
      </c>
      <c r="AF5" s="15" cm="1">
        <f t="array" ref="AF5">+HLOOKUP($A$1,+[24]İcmal!$B$19:$AG$49,ROW(W3)+1,FALSE)</f>
        <v>0</v>
      </c>
      <c r="AG5" s="15" cm="1">
        <f t="array" ref="AG5">+HLOOKUP($A$1,+[25]İcmal!$B$19:$AG$49,ROW(X3)+1,FALSE)</f>
        <v>0</v>
      </c>
      <c r="AH5" s="15" cm="1">
        <f t="array" ref="AH5">+HLOOKUP($A$1,+[26]İcmal!$B$19:$AG$49,ROW(Y3)+1,FALSE)</f>
        <v>0</v>
      </c>
      <c r="AI5" s="15" cm="1">
        <f t="array" ref="AI5">+HLOOKUP($A$1,+[27]İcmal!$B$19:$AG$49,ROW(Z3)+1,FALSE)</f>
        <v>0</v>
      </c>
      <c r="AJ5" s="15" cm="1">
        <f t="array" ref="AJ5">+HLOOKUP($A$1,+[28]İcmal!$B$19:$AG$49,ROW(AA3)+1,FALSE)</f>
        <v>0</v>
      </c>
      <c r="AK5" s="15" cm="1">
        <f t="array" ref="AK5">+HLOOKUP($A$1,+[29]İcmal!$B$19:$AG$49,ROW(AB3)+1,FALSE)</f>
        <v>0</v>
      </c>
      <c r="AL5" s="15"/>
      <c r="AM5" s="15"/>
      <c r="AN5" s="15"/>
      <c r="AO5" s="15"/>
      <c r="AP5" s="15"/>
      <c r="AQ5" s="15"/>
      <c r="AR5" s="15"/>
      <c r="AS5" s="15"/>
      <c r="AT5" s="13"/>
    </row>
    <row r="6" spans="1:46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743.30499999999984</v>
      </c>
      <c r="I6" s="9">
        <f t="shared" si="2"/>
        <v>11397838.869999997</v>
      </c>
      <c r="J6" s="15" cm="1">
        <f t="array" ref="J6">+HLOOKUP($A$1,+[2]İcmal!$B$19:$AG$49,ROW(A4)+1,FALSE)</f>
        <v>23.094999999999857</v>
      </c>
      <c r="K6" s="15" cm="1">
        <f t="array" ref="K6">+HLOOKUP($A$1,+[3]İcmal!$B$19:$AG$49,ROW(B4)+1,FALSE)</f>
        <v>20.188000000000045</v>
      </c>
      <c r="L6" s="15" cm="1">
        <f t="array" ref="L6">+HLOOKUP($A$1,+[4]İcmal!$B$19:$AG$49,ROW(C4)+1,FALSE)</f>
        <v>0</v>
      </c>
      <c r="M6" s="15" cm="1">
        <f t="array" ref="M6">+HLOOKUP($A$1,+[5]İcmal!$B$19:$AG$49,ROW(D4)+1,FALSE)</f>
        <v>0</v>
      </c>
      <c r="N6" s="15" cm="1">
        <f t="array" ref="N6">+HLOOKUP($A$1,+[6]İcmal!$B$19:$AG$49,ROW(E4)+1,FALSE)</f>
        <v>147.43899999999996</v>
      </c>
      <c r="O6" s="15" cm="1">
        <f t="array" ref="O6">+HLOOKUP($A$1,+[7]İcmal!$B$19:$AG$49,ROW(F4)+1,FALSE)</f>
        <v>141.16199999999998</v>
      </c>
      <c r="P6" s="15" cm="1">
        <f t="array" ref="P6">+HLOOKUP($A$1,+[8]İcmal!$B$19:$AG$49,ROW(G4)+1,FALSE)</f>
        <v>0</v>
      </c>
      <c r="Q6" s="15" cm="1">
        <f t="array" ref="Q6">+HLOOKUP($A$1,+[9]İcmal!$B$19:$AG$49,ROW(H4)+1,FALSE)</f>
        <v>0</v>
      </c>
      <c r="R6" s="15" cm="1">
        <f t="array" ref="R6">+HLOOKUP($A$1,+[10]İcmal!$B$19:$AG$49,ROW(I4)+1,FALSE)</f>
        <v>144.08899999999994</v>
      </c>
      <c r="S6" s="15" cm="1">
        <f t="array" ref="S6">+HLOOKUP($A$1,+[11]İcmal!$B$19:$AG$49,ROW(J4)+1,FALSE)</f>
        <v>175.47599999999997</v>
      </c>
      <c r="T6" s="15" cm="1">
        <f t="array" ref="T6">+HLOOKUP($A$1,+[12]İcmal!$B$19:$AG$49,ROW(K4)+1,FALSE)</f>
        <v>0</v>
      </c>
      <c r="U6" s="15" cm="1">
        <f t="array" ref="U6">+HLOOKUP($A$1,+[13]İcmal!$B$19:$AG$49,ROW(L4)+1,FALSE)</f>
        <v>0</v>
      </c>
      <c r="V6" s="15" cm="1">
        <f t="array" ref="V6">+HLOOKUP($A$1,+[14]İcmal!$B$19:$AG$49,ROW(M4)+1,FALSE)</f>
        <v>0</v>
      </c>
      <c r="W6" s="15" cm="1">
        <f t="array" ref="W6">+HLOOKUP($A$1,+[15]İcmal!$B$19:$AG$49,ROW(N4)+1,FALSE)</f>
        <v>0</v>
      </c>
      <c r="X6" s="15" cm="1">
        <f t="array" ref="X6">+HLOOKUP($A$1,+[16]İcmal!$B$19:$AG$49,ROW(O4)+1,FALSE)</f>
        <v>0</v>
      </c>
      <c r="Y6" s="15" cm="1">
        <f t="array" ref="Y6">+HLOOKUP($A$1,+[17]İcmal!$B$19:$AG$49,ROW(P4)+1,FALSE)</f>
        <v>0</v>
      </c>
      <c r="Z6" s="15" cm="1">
        <f t="array" ref="Z6">+HLOOKUP($A$1,+[18]İcmal!$B$19:$AG$49,ROW(Q4)+1,FALSE)</f>
        <v>0</v>
      </c>
      <c r="AA6" s="15" cm="1">
        <f t="array" ref="AA6">+HLOOKUP($A$1,+[19]İcmal!$B$19:$AG$49,ROW(R4)+1,FALSE)</f>
        <v>0</v>
      </c>
      <c r="AB6" s="15" cm="1">
        <f t="array" ref="AB6">+HLOOKUP($A$1,+[20]İcmal!$B$19:$AG$49,ROW(S4)+1,FALSE)</f>
        <v>10.010000000000005</v>
      </c>
      <c r="AC6" s="15" cm="1">
        <f t="array" ref="AC6">+HLOOKUP($A$1,+[21]İcmal!$B$19:$AG$49,ROW(T4)+1,FALSE)</f>
        <v>0</v>
      </c>
      <c r="AD6" s="15" cm="1">
        <f t="array" ref="AD6">+HLOOKUP($A$1,+[22]İcmal!$B$19:$AG$49,ROW(U4)+1,FALSE)</f>
        <v>21.003</v>
      </c>
      <c r="AE6" s="15" cm="1">
        <f t="array" ref="AE6">+HLOOKUP($A$1,+[23]İcmal!$B$19:$AG$49,ROW(V4)+1,FALSE)</f>
        <v>0</v>
      </c>
      <c r="AF6" s="15" cm="1">
        <f t="array" ref="AF6">+HLOOKUP($A$1,+[24]İcmal!$B$19:$AG$49,ROW(W4)+1,FALSE)</f>
        <v>34.325000000000003</v>
      </c>
      <c r="AG6" s="15" cm="1">
        <f t="array" ref="AG6">+HLOOKUP($A$1,+[25]İcmal!$B$19:$AG$49,ROW(X4)+1,FALSE)</f>
        <v>0</v>
      </c>
      <c r="AH6" s="15" cm="1">
        <f t="array" ref="AH6">+HLOOKUP($A$1,+[26]İcmal!$B$19:$AG$49,ROW(Y4)+1,FALSE)</f>
        <v>10.010000000000005</v>
      </c>
      <c r="AI6" s="15" cm="1">
        <f t="array" ref="AI6">+HLOOKUP($A$1,+[27]İcmal!$B$19:$AG$49,ROW(Z4)+1,FALSE)</f>
        <v>16.507999999999999</v>
      </c>
      <c r="AJ6" s="15" cm="1">
        <f t="array" ref="AJ6">+HLOOKUP($A$1,+[28]İcmal!$B$19:$AG$49,ROW(AA4)+1,FALSE)</f>
        <v>0</v>
      </c>
      <c r="AK6" s="15" cm="1">
        <f t="array" ref="AK6">+HLOOKUP($A$1,+[29]İcmal!$B$19:$AG$49,ROW(AB4)+1,FALSE)</f>
        <v>0</v>
      </c>
      <c r="AL6" s="15"/>
      <c r="AM6" s="15"/>
      <c r="AN6" s="15"/>
      <c r="AO6" s="15"/>
      <c r="AP6" s="15"/>
      <c r="AQ6" s="15"/>
      <c r="AR6" s="15"/>
      <c r="AS6" s="15"/>
      <c r="AT6" s="13"/>
    </row>
    <row r="7" spans="1:46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+HLOOKUP($A$1,+[2]İcmal!$B$19:$AG$49,ROW(A5)+1,FALSE)</f>
        <v>0</v>
      </c>
      <c r="K7" s="15" cm="1">
        <f t="array" ref="K7">+HLOOKUP($A$1,+[3]İcmal!$B$19:$AG$49,ROW(B5)+1,FALSE)</f>
        <v>0</v>
      </c>
      <c r="L7" s="15" cm="1">
        <f t="array" ref="L7">+HLOOKUP($A$1,+[4]İcmal!$B$19:$AG$49,ROW(C5)+1,FALSE)</f>
        <v>0</v>
      </c>
      <c r="M7" s="15" cm="1">
        <f t="array" ref="M7">+HLOOKUP($A$1,+[5]İcmal!$B$19:$AG$49,ROW(D5)+1,FALSE)</f>
        <v>0</v>
      </c>
      <c r="N7" s="15" cm="1">
        <f t="array" ref="N7">+HLOOKUP($A$1,+[6]İcmal!$B$19:$AG$49,ROW(E5)+1,FALSE)</f>
        <v>0</v>
      </c>
      <c r="O7" s="15" cm="1">
        <f t="array" ref="O7">+HLOOKUP($A$1,+[7]İcmal!$B$19:$AG$49,ROW(F5)+1,FALSE)</f>
        <v>0</v>
      </c>
      <c r="P7" s="15" cm="1">
        <f t="array" ref="P7">+HLOOKUP($A$1,+[8]İcmal!$B$19:$AG$49,ROW(G5)+1,FALSE)</f>
        <v>0</v>
      </c>
      <c r="Q7" s="15" cm="1">
        <f t="array" ref="Q7">+HLOOKUP($A$1,+[9]İcmal!$B$19:$AG$49,ROW(H5)+1,FALSE)</f>
        <v>0</v>
      </c>
      <c r="R7" s="15" cm="1">
        <f t="array" ref="R7">+HLOOKUP($A$1,+[10]İcmal!$B$19:$AG$49,ROW(I5)+1,FALSE)</f>
        <v>0</v>
      </c>
      <c r="S7" s="15" cm="1">
        <f t="array" ref="S7">+HLOOKUP($A$1,+[11]İcmal!$B$19:$AG$49,ROW(J5)+1,FALSE)</f>
        <v>0</v>
      </c>
      <c r="T7" s="15" cm="1">
        <f t="array" ref="T7">+HLOOKUP($A$1,+[12]İcmal!$B$19:$AG$49,ROW(K5)+1,FALSE)</f>
        <v>0</v>
      </c>
      <c r="U7" s="15" cm="1">
        <f t="array" ref="U7">+HLOOKUP($A$1,+[13]İcmal!$B$19:$AG$49,ROW(L5)+1,FALSE)</f>
        <v>0</v>
      </c>
      <c r="V7" s="15" cm="1">
        <f t="array" ref="V7">+HLOOKUP($A$1,+[14]İcmal!$B$19:$AG$49,ROW(M5)+1,FALSE)</f>
        <v>0</v>
      </c>
      <c r="W7" s="15" cm="1">
        <f t="array" ref="W7">+HLOOKUP($A$1,+[15]İcmal!$B$19:$AG$49,ROW(N5)+1,FALSE)</f>
        <v>0</v>
      </c>
      <c r="X7" s="15" cm="1">
        <f t="array" ref="X7">+HLOOKUP($A$1,+[16]İcmal!$B$19:$AG$49,ROW(O5)+1,FALSE)</f>
        <v>0</v>
      </c>
      <c r="Y7" s="15" cm="1">
        <f t="array" ref="Y7">+HLOOKUP($A$1,+[17]İcmal!$B$19:$AG$49,ROW(P5)+1,FALSE)</f>
        <v>0</v>
      </c>
      <c r="Z7" s="15" cm="1">
        <f t="array" ref="Z7">+HLOOKUP($A$1,+[18]İcmal!$B$19:$AG$49,ROW(Q5)+1,FALSE)</f>
        <v>0</v>
      </c>
      <c r="AA7" s="15" cm="1">
        <f t="array" ref="AA7">+HLOOKUP($A$1,+[19]İcmal!$B$19:$AG$49,ROW(R5)+1,FALSE)</f>
        <v>0</v>
      </c>
      <c r="AB7" s="15" cm="1">
        <f t="array" ref="AB7">+HLOOKUP($A$1,+[20]İcmal!$B$19:$AG$49,ROW(S5)+1,FALSE)</f>
        <v>0</v>
      </c>
      <c r="AC7" s="15" cm="1">
        <f t="array" ref="AC7">+HLOOKUP($A$1,+[21]İcmal!$B$19:$AG$49,ROW(T5)+1,FALSE)</f>
        <v>0</v>
      </c>
      <c r="AD7" s="15" cm="1">
        <f t="array" ref="AD7">+HLOOKUP($A$1,+[22]İcmal!$B$19:$AG$49,ROW(U5)+1,FALSE)</f>
        <v>0</v>
      </c>
      <c r="AE7" s="15" cm="1">
        <f t="array" ref="AE7">+HLOOKUP($A$1,+[23]İcmal!$B$19:$AG$49,ROW(V5)+1,FALSE)</f>
        <v>0</v>
      </c>
      <c r="AF7" s="15" cm="1">
        <f t="array" ref="AF7">+HLOOKUP($A$1,+[24]İcmal!$B$19:$AG$49,ROW(W5)+1,FALSE)</f>
        <v>0</v>
      </c>
      <c r="AG7" s="15" cm="1">
        <f t="array" ref="AG7">+HLOOKUP($A$1,+[25]İcmal!$B$19:$AG$49,ROW(X5)+1,FALSE)</f>
        <v>0</v>
      </c>
      <c r="AH7" s="15" cm="1">
        <f t="array" ref="AH7">+HLOOKUP($A$1,+[26]İcmal!$B$19:$AG$49,ROW(Y5)+1,FALSE)</f>
        <v>0</v>
      </c>
      <c r="AI7" s="15" cm="1">
        <f t="array" ref="AI7">+HLOOKUP($A$1,+[27]İcmal!$B$19:$AG$49,ROW(Z5)+1,FALSE)</f>
        <v>0</v>
      </c>
      <c r="AJ7" s="15" cm="1">
        <f t="array" ref="AJ7">+HLOOKUP($A$1,+[28]İcmal!$B$19:$AG$49,ROW(AA5)+1,FALSE)</f>
        <v>0</v>
      </c>
      <c r="AK7" s="15" cm="1">
        <f t="array" ref="AK7">+HLOOKUP($A$1,+[29]İcmal!$B$19:$AG$49,ROW(AB5)+1,FALSE)</f>
        <v>0</v>
      </c>
      <c r="AL7" s="15"/>
      <c r="AM7" s="15"/>
      <c r="AN7" s="15"/>
      <c r="AO7" s="15"/>
      <c r="AP7" s="15"/>
      <c r="AQ7" s="15"/>
      <c r="AR7" s="15"/>
      <c r="AS7" s="15"/>
      <c r="AT7" s="13"/>
    </row>
    <row r="8" spans="1:46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+HLOOKUP($A$1,+[2]İcmal!$B$19:$AG$49,ROW(A6)+1,FALSE)</f>
        <v>0</v>
      </c>
      <c r="K8" s="15" cm="1">
        <f t="array" ref="K8">+HLOOKUP($A$1,+[3]İcmal!$B$19:$AG$49,ROW(B6)+1,FALSE)</f>
        <v>0</v>
      </c>
      <c r="L8" s="15" cm="1">
        <f t="array" ref="L8">+HLOOKUP($A$1,+[4]İcmal!$B$19:$AG$49,ROW(C6)+1,FALSE)</f>
        <v>0</v>
      </c>
      <c r="M8" s="15" cm="1">
        <f t="array" ref="M8">+HLOOKUP($A$1,+[5]İcmal!$B$19:$AG$49,ROW(D6)+1,FALSE)</f>
        <v>0</v>
      </c>
      <c r="N8" s="15" cm="1">
        <f t="array" ref="N8">+HLOOKUP($A$1,+[6]İcmal!$B$19:$AG$49,ROW(E6)+1,FALSE)</f>
        <v>0</v>
      </c>
      <c r="O8" s="15" cm="1">
        <f t="array" ref="O8">+HLOOKUP($A$1,+[7]İcmal!$B$19:$AG$49,ROW(F6)+1,FALSE)</f>
        <v>0</v>
      </c>
      <c r="P8" s="15" cm="1">
        <f t="array" ref="P8">+HLOOKUP($A$1,+[8]İcmal!$B$19:$AG$49,ROW(G6)+1,FALSE)</f>
        <v>0</v>
      </c>
      <c r="Q8" s="15" cm="1">
        <f t="array" ref="Q8">+HLOOKUP($A$1,+[9]İcmal!$B$19:$AG$49,ROW(H6)+1,FALSE)</f>
        <v>0</v>
      </c>
      <c r="R8" s="15" cm="1">
        <f t="array" ref="R8">+HLOOKUP($A$1,+[10]İcmal!$B$19:$AG$49,ROW(I6)+1,FALSE)</f>
        <v>0</v>
      </c>
      <c r="S8" s="15" cm="1">
        <f t="array" ref="S8">+HLOOKUP($A$1,+[11]İcmal!$B$19:$AG$49,ROW(J6)+1,FALSE)</f>
        <v>0</v>
      </c>
      <c r="T8" s="15" cm="1">
        <f t="array" ref="T8">+HLOOKUP($A$1,+[12]İcmal!$B$19:$AG$49,ROW(K6)+1,FALSE)</f>
        <v>0</v>
      </c>
      <c r="U8" s="15" cm="1">
        <f t="array" ref="U8">+HLOOKUP($A$1,+[13]İcmal!$B$19:$AG$49,ROW(L6)+1,FALSE)</f>
        <v>0</v>
      </c>
      <c r="V8" s="15" cm="1">
        <f t="array" ref="V8">+HLOOKUP($A$1,+[14]İcmal!$B$19:$AG$49,ROW(M6)+1,FALSE)</f>
        <v>0</v>
      </c>
      <c r="W8" s="15" cm="1">
        <f t="array" ref="W8">+HLOOKUP($A$1,+[15]İcmal!$B$19:$AG$49,ROW(N6)+1,FALSE)</f>
        <v>0</v>
      </c>
      <c r="X8" s="15" cm="1">
        <f t="array" ref="X8">+HLOOKUP($A$1,+[16]İcmal!$B$19:$AG$49,ROW(O6)+1,FALSE)</f>
        <v>0</v>
      </c>
      <c r="Y8" s="15" cm="1">
        <f t="array" ref="Y8">+HLOOKUP($A$1,+[17]İcmal!$B$19:$AG$49,ROW(P6)+1,FALSE)</f>
        <v>0</v>
      </c>
      <c r="Z8" s="15" cm="1">
        <f t="array" ref="Z8">+HLOOKUP($A$1,+[18]İcmal!$B$19:$AG$49,ROW(Q6)+1,FALSE)</f>
        <v>0</v>
      </c>
      <c r="AA8" s="15" cm="1">
        <f t="array" ref="AA8">+HLOOKUP($A$1,+[19]İcmal!$B$19:$AG$49,ROW(R6)+1,FALSE)</f>
        <v>0</v>
      </c>
      <c r="AB8" s="15" cm="1">
        <f t="array" ref="AB8">+HLOOKUP($A$1,+[20]İcmal!$B$19:$AG$49,ROW(S6)+1,FALSE)</f>
        <v>0</v>
      </c>
      <c r="AC8" s="15" cm="1">
        <f t="array" ref="AC8">+HLOOKUP($A$1,+[21]İcmal!$B$19:$AG$49,ROW(T6)+1,FALSE)</f>
        <v>0</v>
      </c>
      <c r="AD8" s="15" cm="1">
        <f t="array" ref="AD8">+HLOOKUP($A$1,+[22]İcmal!$B$19:$AG$49,ROW(U6)+1,FALSE)</f>
        <v>0</v>
      </c>
      <c r="AE8" s="15" cm="1">
        <f t="array" ref="AE8">+HLOOKUP($A$1,+[23]İcmal!$B$19:$AG$49,ROW(V6)+1,FALSE)</f>
        <v>0</v>
      </c>
      <c r="AF8" s="15" cm="1">
        <f t="array" ref="AF8">+HLOOKUP($A$1,+[24]İcmal!$B$19:$AG$49,ROW(W6)+1,FALSE)</f>
        <v>0</v>
      </c>
      <c r="AG8" s="15" cm="1">
        <f t="array" ref="AG8">+HLOOKUP($A$1,+[25]İcmal!$B$19:$AG$49,ROW(X6)+1,FALSE)</f>
        <v>0</v>
      </c>
      <c r="AH8" s="15" cm="1">
        <f t="array" ref="AH8">+HLOOKUP($A$1,+[26]İcmal!$B$19:$AG$49,ROW(Y6)+1,FALSE)</f>
        <v>0</v>
      </c>
      <c r="AI8" s="15" cm="1">
        <f t="array" ref="AI8">+HLOOKUP($A$1,+[27]İcmal!$B$19:$AG$49,ROW(Z6)+1,FALSE)</f>
        <v>0</v>
      </c>
      <c r="AJ8" s="15" cm="1">
        <f t="array" ref="AJ8">+HLOOKUP($A$1,+[28]İcmal!$B$19:$AG$49,ROW(AA6)+1,FALSE)</f>
        <v>0</v>
      </c>
      <c r="AK8" s="15" cm="1">
        <f t="array" ref="AK8">+HLOOKUP($A$1,+[29]İcmal!$B$19:$AG$49,ROW(AB6)+1,FALSE)</f>
        <v>0</v>
      </c>
      <c r="AL8" s="15"/>
      <c r="AM8" s="15"/>
      <c r="AN8" s="15"/>
      <c r="AO8" s="15"/>
      <c r="AP8" s="15"/>
      <c r="AQ8" s="15"/>
      <c r="AR8" s="15"/>
      <c r="AS8" s="15"/>
      <c r="AT8" s="13"/>
    </row>
    <row r="9" spans="1:46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+HLOOKUP($A$1,+[2]İcmal!$B$19:$AG$49,ROW(A7)+1,FALSE)</f>
        <v>0</v>
      </c>
      <c r="K9" s="15" cm="1">
        <f t="array" ref="K9">+HLOOKUP($A$1,+[3]İcmal!$B$19:$AG$49,ROW(B7)+1,FALSE)</f>
        <v>0</v>
      </c>
      <c r="L9" s="15" cm="1">
        <f t="array" ref="L9">+HLOOKUP($A$1,+[4]İcmal!$B$19:$AG$49,ROW(C7)+1,FALSE)</f>
        <v>0</v>
      </c>
      <c r="M9" s="15" cm="1">
        <f t="array" ref="M9">+HLOOKUP($A$1,+[5]İcmal!$B$19:$AG$49,ROW(D7)+1,FALSE)</f>
        <v>0</v>
      </c>
      <c r="N9" s="15" cm="1">
        <f t="array" ref="N9">+HLOOKUP($A$1,+[6]İcmal!$B$19:$AG$49,ROW(E7)+1,FALSE)</f>
        <v>0</v>
      </c>
      <c r="O9" s="15" cm="1">
        <f t="array" ref="O9">+HLOOKUP($A$1,+[7]İcmal!$B$19:$AG$49,ROW(F7)+1,FALSE)</f>
        <v>0</v>
      </c>
      <c r="P9" s="15" cm="1">
        <f t="array" ref="P9">+HLOOKUP($A$1,+[8]İcmal!$B$19:$AG$49,ROW(G7)+1,FALSE)</f>
        <v>0</v>
      </c>
      <c r="Q9" s="15" cm="1">
        <f t="array" ref="Q9">+HLOOKUP($A$1,+[9]İcmal!$B$19:$AG$49,ROW(H7)+1,FALSE)</f>
        <v>0</v>
      </c>
      <c r="R9" s="15" cm="1">
        <f t="array" ref="R9">+HLOOKUP($A$1,+[10]İcmal!$B$19:$AG$49,ROW(I7)+1,FALSE)</f>
        <v>0</v>
      </c>
      <c r="S9" s="15" cm="1">
        <f t="array" ref="S9">+HLOOKUP($A$1,+[11]İcmal!$B$19:$AG$49,ROW(J7)+1,FALSE)</f>
        <v>0</v>
      </c>
      <c r="T9" s="15" cm="1">
        <f t="array" ref="T9">+HLOOKUP($A$1,+[12]İcmal!$B$19:$AG$49,ROW(K7)+1,FALSE)</f>
        <v>0</v>
      </c>
      <c r="U9" s="15" cm="1">
        <f t="array" ref="U9">+HLOOKUP($A$1,+[13]İcmal!$B$19:$AG$49,ROW(L7)+1,FALSE)</f>
        <v>0</v>
      </c>
      <c r="V9" s="15" cm="1">
        <f t="array" ref="V9">+HLOOKUP($A$1,+[14]İcmal!$B$19:$AG$49,ROW(M7)+1,FALSE)</f>
        <v>0</v>
      </c>
      <c r="W9" s="15" cm="1">
        <f t="array" ref="W9">+HLOOKUP($A$1,+[15]İcmal!$B$19:$AG$49,ROW(N7)+1,FALSE)</f>
        <v>0</v>
      </c>
      <c r="X9" s="15" cm="1">
        <f t="array" ref="X9">+HLOOKUP($A$1,+[16]İcmal!$B$19:$AG$49,ROW(O7)+1,FALSE)</f>
        <v>0</v>
      </c>
      <c r="Y9" s="15" cm="1">
        <f t="array" ref="Y9">+HLOOKUP($A$1,+[17]İcmal!$B$19:$AG$49,ROW(P7)+1,FALSE)</f>
        <v>0</v>
      </c>
      <c r="Z9" s="15" cm="1">
        <f t="array" ref="Z9">+HLOOKUP($A$1,+[18]İcmal!$B$19:$AG$49,ROW(Q7)+1,FALSE)</f>
        <v>0</v>
      </c>
      <c r="AA9" s="15" cm="1">
        <f t="array" ref="AA9">+HLOOKUP($A$1,+[19]İcmal!$B$19:$AG$49,ROW(R7)+1,FALSE)</f>
        <v>0</v>
      </c>
      <c r="AB9" s="15" cm="1">
        <f t="array" ref="AB9">+HLOOKUP($A$1,+[20]İcmal!$B$19:$AG$49,ROW(S7)+1,FALSE)</f>
        <v>0</v>
      </c>
      <c r="AC9" s="15" cm="1">
        <f t="array" ref="AC9">+HLOOKUP($A$1,+[21]İcmal!$B$19:$AG$49,ROW(T7)+1,FALSE)</f>
        <v>0</v>
      </c>
      <c r="AD9" s="15" cm="1">
        <f t="array" ref="AD9">+HLOOKUP($A$1,+[22]İcmal!$B$19:$AG$49,ROW(U7)+1,FALSE)</f>
        <v>0</v>
      </c>
      <c r="AE9" s="15" cm="1">
        <f t="array" ref="AE9">+HLOOKUP($A$1,+[23]İcmal!$B$19:$AG$49,ROW(V7)+1,FALSE)</f>
        <v>0</v>
      </c>
      <c r="AF9" s="15" cm="1">
        <f t="array" ref="AF9">+HLOOKUP($A$1,+[24]İcmal!$B$19:$AG$49,ROW(W7)+1,FALSE)</f>
        <v>0</v>
      </c>
      <c r="AG9" s="15" cm="1">
        <f t="array" ref="AG9">+HLOOKUP($A$1,+[25]İcmal!$B$19:$AG$49,ROW(X7)+1,FALSE)</f>
        <v>0</v>
      </c>
      <c r="AH9" s="15" cm="1">
        <f t="array" ref="AH9">+HLOOKUP($A$1,+[26]İcmal!$B$19:$AG$49,ROW(Y7)+1,FALSE)</f>
        <v>0</v>
      </c>
      <c r="AI9" s="15" cm="1">
        <f t="array" ref="AI9">+HLOOKUP($A$1,+[27]İcmal!$B$19:$AG$49,ROW(Z7)+1,FALSE)</f>
        <v>0</v>
      </c>
      <c r="AJ9" s="15" cm="1">
        <f t="array" ref="AJ9">+HLOOKUP($A$1,+[28]İcmal!$B$19:$AG$49,ROW(AA7)+1,FALSE)</f>
        <v>0</v>
      </c>
      <c r="AK9" s="15" cm="1">
        <f t="array" ref="AK9">+HLOOKUP($A$1,+[29]İcmal!$B$19:$AG$49,ROW(AB7)+1,FALSE)</f>
        <v>0</v>
      </c>
      <c r="AL9" s="15"/>
      <c r="AM9" s="15"/>
      <c r="AN9" s="15"/>
      <c r="AO9" s="15"/>
      <c r="AP9" s="15"/>
      <c r="AQ9" s="15"/>
      <c r="AR9" s="15"/>
      <c r="AS9" s="15"/>
      <c r="AT9" s="13"/>
    </row>
    <row r="10" spans="1:46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252</v>
      </c>
      <c r="I10" s="9">
        <f t="shared" si="2"/>
        <v>2016000</v>
      </c>
      <c r="J10" s="15" cm="1">
        <f t="array" ref="J10">+HLOOKUP($A$1,+[2]İcmal!$B$19:$AG$49,ROW(A8)+1,FALSE)</f>
        <v>0</v>
      </c>
      <c r="K10" s="15" cm="1">
        <f t="array" ref="K10">+HLOOKUP($A$1,+[3]İcmal!$B$19:$AG$49,ROW(B8)+1,FALSE)</f>
        <v>0</v>
      </c>
      <c r="L10" s="15" cm="1">
        <f t="array" ref="L10">+HLOOKUP($A$1,+[4]İcmal!$B$19:$AG$49,ROW(C8)+1,FALSE)</f>
        <v>0</v>
      </c>
      <c r="M10" s="15" cm="1">
        <f t="array" ref="M10">+HLOOKUP($A$1,+[5]İcmal!$B$19:$AG$49,ROW(D8)+1,FALSE)</f>
        <v>0</v>
      </c>
      <c r="N10" s="15" cm="1">
        <f t="array" ref="N10">+HLOOKUP($A$1,+[6]İcmal!$B$19:$AG$49,ROW(E8)+1,FALSE)</f>
        <v>139</v>
      </c>
      <c r="O10" s="15" cm="1">
        <f t="array" ref="O10">+HLOOKUP($A$1,+[7]İcmal!$B$19:$AG$49,ROW(F8)+1,FALSE)</f>
        <v>0</v>
      </c>
      <c r="P10" s="15" cm="1">
        <f t="array" ref="P10">+HLOOKUP($A$1,+[8]İcmal!$B$19:$AG$49,ROW(G8)+1,FALSE)</f>
        <v>0</v>
      </c>
      <c r="Q10" s="15" cm="1">
        <f t="array" ref="Q10">+HLOOKUP($A$1,+[9]İcmal!$B$19:$AG$49,ROW(H8)+1,FALSE)</f>
        <v>0</v>
      </c>
      <c r="R10" s="15" cm="1">
        <f t="array" ref="R10">+HLOOKUP($A$1,+[10]İcmal!$B$19:$AG$49,ROW(I8)+1,FALSE)</f>
        <v>113</v>
      </c>
      <c r="S10" s="15" cm="1">
        <f t="array" ref="S10">+HLOOKUP($A$1,+[11]İcmal!$B$19:$AG$49,ROW(J8)+1,FALSE)</f>
        <v>0</v>
      </c>
      <c r="T10" s="15" cm="1">
        <f t="array" ref="T10">+HLOOKUP($A$1,+[12]İcmal!$B$19:$AG$49,ROW(K8)+1,FALSE)</f>
        <v>0</v>
      </c>
      <c r="U10" s="15" cm="1">
        <f t="array" ref="U10">+HLOOKUP($A$1,+[13]İcmal!$B$19:$AG$49,ROW(L8)+1,FALSE)</f>
        <v>0</v>
      </c>
      <c r="V10" s="15" cm="1">
        <f t="array" ref="V10">+HLOOKUP($A$1,+[14]İcmal!$B$19:$AG$49,ROW(M8)+1,FALSE)</f>
        <v>0</v>
      </c>
      <c r="W10" s="15" cm="1">
        <f t="array" ref="W10">+HLOOKUP($A$1,+[15]İcmal!$B$19:$AG$49,ROW(N8)+1,FALSE)</f>
        <v>0</v>
      </c>
      <c r="X10" s="15" cm="1">
        <f t="array" ref="X10">+HLOOKUP($A$1,+[16]İcmal!$B$19:$AG$49,ROW(O8)+1,FALSE)</f>
        <v>0</v>
      </c>
      <c r="Y10" s="15" cm="1">
        <f t="array" ref="Y10">+HLOOKUP($A$1,+[17]İcmal!$B$19:$AG$49,ROW(P8)+1,FALSE)</f>
        <v>0</v>
      </c>
      <c r="Z10" s="15" cm="1">
        <f t="array" ref="Z10">+HLOOKUP($A$1,+[18]İcmal!$B$19:$AG$49,ROW(Q8)+1,FALSE)</f>
        <v>0</v>
      </c>
      <c r="AA10" s="15" cm="1">
        <f t="array" ref="AA10">+HLOOKUP($A$1,+[19]İcmal!$B$19:$AG$49,ROW(R8)+1,FALSE)</f>
        <v>0</v>
      </c>
      <c r="AB10" s="15" cm="1">
        <f t="array" ref="AB10">+HLOOKUP($A$1,+[20]İcmal!$B$19:$AG$49,ROW(S8)+1,FALSE)</f>
        <v>0</v>
      </c>
      <c r="AC10" s="15" cm="1">
        <f t="array" ref="AC10">+HLOOKUP($A$1,+[21]İcmal!$B$19:$AG$49,ROW(T8)+1,FALSE)</f>
        <v>0</v>
      </c>
      <c r="AD10" s="15" cm="1">
        <f t="array" ref="AD10">+HLOOKUP($A$1,+[22]İcmal!$B$19:$AG$49,ROW(U8)+1,FALSE)</f>
        <v>0</v>
      </c>
      <c r="AE10" s="15" cm="1">
        <f t="array" ref="AE10">+HLOOKUP($A$1,+[23]İcmal!$B$19:$AG$49,ROW(V8)+1,FALSE)</f>
        <v>0</v>
      </c>
      <c r="AF10" s="15" cm="1">
        <f t="array" ref="AF10">+HLOOKUP($A$1,+[24]İcmal!$B$19:$AG$49,ROW(W8)+1,FALSE)</f>
        <v>0</v>
      </c>
      <c r="AG10" s="15" cm="1">
        <f t="array" ref="AG10">+HLOOKUP($A$1,+[25]İcmal!$B$19:$AG$49,ROW(X8)+1,FALSE)</f>
        <v>0</v>
      </c>
      <c r="AH10" s="15" cm="1">
        <f t="array" ref="AH10">+HLOOKUP($A$1,+[26]İcmal!$B$19:$AG$49,ROW(Y8)+1,FALSE)</f>
        <v>0</v>
      </c>
      <c r="AI10" s="15" cm="1">
        <f t="array" ref="AI10">+HLOOKUP($A$1,+[27]İcmal!$B$19:$AG$49,ROW(Z8)+1,FALSE)</f>
        <v>0</v>
      </c>
      <c r="AJ10" s="15" cm="1">
        <f t="array" ref="AJ10">+HLOOKUP($A$1,+[28]İcmal!$B$19:$AG$49,ROW(AA8)+1,FALSE)</f>
        <v>0</v>
      </c>
      <c r="AK10" s="15" cm="1">
        <f t="array" ref="AK10">+HLOOKUP($A$1,+[29]İcmal!$B$19:$AG$49,ROW(AB8)+1,FALSE)</f>
        <v>0</v>
      </c>
      <c r="AL10" s="15"/>
      <c r="AM10" s="15"/>
      <c r="AN10" s="15"/>
      <c r="AO10" s="15"/>
      <c r="AP10" s="15"/>
      <c r="AQ10" s="15"/>
      <c r="AR10" s="15"/>
      <c r="AS10" s="15"/>
      <c r="AT10" s="13"/>
    </row>
    <row r="11" spans="1:46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+HLOOKUP($A$1,+[2]İcmal!$B$19:$AG$49,ROW(A9)+1,FALSE)</f>
        <v>0</v>
      </c>
      <c r="K11" s="15" cm="1">
        <f t="array" ref="K11">+HLOOKUP($A$1,+[3]İcmal!$B$19:$AG$49,ROW(B9)+1,FALSE)</f>
        <v>0</v>
      </c>
      <c r="L11" s="15" cm="1">
        <f t="array" ref="L11">+HLOOKUP($A$1,+[4]İcmal!$B$19:$AG$49,ROW(C9)+1,FALSE)</f>
        <v>0</v>
      </c>
      <c r="M11" s="15" cm="1">
        <f t="array" ref="M11">+HLOOKUP($A$1,+[5]İcmal!$B$19:$AG$49,ROW(D9)+1,FALSE)</f>
        <v>0</v>
      </c>
      <c r="N11" s="15" cm="1">
        <f t="array" ref="N11">+HLOOKUP($A$1,+[6]İcmal!$B$19:$AG$49,ROW(E9)+1,FALSE)</f>
        <v>0</v>
      </c>
      <c r="O11" s="15" cm="1">
        <f t="array" ref="O11">+HLOOKUP($A$1,+[7]İcmal!$B$19:$AG$49,ROW(F9)+1,FALSE)</f>
        <v>0</v>
      </c>
      <c r="P11" s="15" cm="1">
        <f t="array" ref="P11">+HLOOKUP($A$1,+[8]İcmal!$B$19:$AG$49,ROW(G9)+1,FALSE)</f>
        <v>0</v>
      </c>
      <c r="Q11" s="15" cm="1">
        <f t="array" ref="Q11">+HLOOKUP($A$1,+[9]İcmal!$B$19:$AG$49,ROW(H9)+1,FALSE)</f>
        <v>0</v>
      </c>
      <c r="R11" s="15" cm="1">
        <f t="array" ref="R11">+HLOOKUP($A$1,+[10]İcmal!$B$19:$AG$49,ROW(I9)+1,FALSE)</f>
        <v>0</v>
      </c>
      <c r="S11" s="15" cm="1">
        <f t="array" ref="S11">+HLOOKUP($A$1,+[11]İcmal!$B$19:$AG$49,ROW(J9)+1,FALSE)</f>
        <v>0</v>
      </c>
      <c r="T11" s="15" cm="1">
        <f t="array" ref="T11">+HLOOKUP($A$1,+[12]İcmal!$B$19:$AG$49,ROW(K9)+1,FALSE)</f>
        <v>0</v>
      </c>
      <c r="U11" s="15" cm="1">
        <f t="array" ref="U11">+HLOOKUP($A$1,+[13]İcmal!$B$19:$AG$49,ROW(L9)+1,FALSE)</f>
        <v>0</v>
      </c>
      <c r="V11" s="15" cm="1">
        <f t="array" ref="V11">+HLOOKUP($A$1,+[14]İcmal!$B$19:$AG$49,ROW(M9)+1,FALSE)</f>
        <v>0</v>
      </c>
      <c r="W11" s="15" cm="1">
        <f t="array" ref="W11">+HLOOKUP($A$1,+[15]İcmal!$B$19:$AG$49,ROW(N9)+1,FALSE)</f>
        <v>0</v>
      </c>
      <c r="X11" s="15" cm="1">
        <f t="array" ref="X11">+HLOOKUP($A$1,+[16]İcmal!$B$19:$AG$49,ROW(O9)+1,FALSE)</f>
        <v>0</v>
      </c>
      <c r="Y11" s="15" cm="1">
        <f t="array" ref="Y11">+HLOOKUP($A$1,+[17]İcmal!$B$19:$AG$49,ROW(P9)+1,FALSE)</f>
        <v>0</v>
      </c>
      <c r="Z11" s="15" cm="1">
        <f t="array" ref="Z11">+HLOOKUP($A$1,+[18]İcmal!$B$19:$AG$49,ROW(Q9)+1,FALSE)</f>
        <v>0</v>
      </c>
      <c r="AA11" s="15" cm="1">
        <f t="array" ref="AA11">+HLOOKUP($A$1,+[19]İcmal!$B$19:$AG$49,ROW(R9)+1,FALSE)</f>
        <v>0</v>
      </c>
      <c r="AB11" s="15" cm="1">
        <f t="array" ref="AB11">+HLOOKUP($A$1,+[20]İcmal!$B$19:$AG$49,ROW(S9)+1,FALSE)</f>
        <v>0</v>
      </c>
      <c r="AC11" s="15" cm="1">
        <f t="array" ref="AC11">+HLOOKUP($A$1,+[21]İcmal!$B$19:$AG$49,ROW(T9)+1,FALSE)</f>
        <v>0</v>
      </c>
      <c r="AD11" s="15" cm="1">
        <f t="array" ref="AD11">+HLOOKUP($A$1,+[22]İcmal!$B$19:$AG$49,ROW(U9)+1,FALSE)</f>
        <v>0</v>
      </c>
      <c r="AE11" s="15" cm="1">
        <f t="array" ref="AE11">+HLOOKUP($A$1,+[23]İcmal!$B$19:$AG$49,ROW(V9)+1,FALSE)</f>
        <v>0</v>
      </c>
      <c r="AF11" s="15" cm="1">
        <f t="array" ref="AF11">+HLOOKUP($A$1,+[24]İcmal!$B$19:$AG$49,ROW(W9)+1,FALSE)</f>
        <v>0</v>
      </c>
      <c r="AG11" s="15" cm="1">
        <f t="array" ref="AG11">+HLOOKUP($A$1,+[25]İcmal!$B$19:$AG$49,ROW(X9)+1,FALSE)</f>
        <v>0</v>
      </c>
      <c r="AH11" s="15" cm="1">
        <f t="array" ref="AH11">+HLOOKUP($A$1,+[26]İcmal!$B$19:$AG$49,ROW(Y9)+1,FALSE)</f>
        <v>0</v>
      </c>
      <c r="AI11" s="15" cm="1">
        <f t="array" ref="AI11">+HLOOKUP($A$1,+[27]İcmal!$B$19:$AG$49,ROW(Z9)+1,FALSE)</f>
        <v>0</v>
      </c>
      <c r="AJ11" s="15" cm="1">
        <f t="array" ref="AJ11">+HLOOKUP($A$1,+[28]İcmal!$B$19:$AG$49,ROW(AA9)+1,FALSE)</f>
        <v>0</v>
      </c>
      <c r="AK11" s="15" cm="1">
        <f t="array" ref="AK11">+HLOOKUP($A$1,+[29]İcmal!$B$19:$AG$49,ROW(AB9)+1,FALSE)</f>
        <v>0</v>
      </c>
      <c r="AL11" s="15"/>
      <c r="AM11" s="15"/>
      <c r="AN11" s="15"/>
      <c r="AO11" s="15"/>
      <c r="AP11" s="15"/>
      <c r="AQ11" s="15"/>
      <c r="AR11" s="15"/>
      <c r="AS11" s="15"/>
      <c r="AT11" s="13"/>
    </row>
    <row r="12" spans="1:46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175</v>
      </c>
      <c r="I12" s="9">
        <f t="shared" si="2"/>
        <v>2100000</v>
      </c>
      <c r="J12" s="15" cm="1">
        <f t="array" ref="J12">+HLOOKUP($A$1,+[2]İcmal!$B$19:$AG$49,ROW(A10)+1,FALSE)</f>
        <v>0</v>
      </c>
      <c r="K12" s="15" cm="1">
        <f t="array" ref="K12">+HLOOKUP($A$1,+[3]İcmal!$B$19:$AG$49,ROW(B10)+1,FALSE)</f>
        <v>0</v>
      </c>
      <c r="L12" s="15" cm="1">
        <f t="array" ref="L12">+HLOOKUP($A$1,+[4]İcmal!$B$19:$AG$49,ROW(C10)+1,FALSE)</f>
        <v>0</v>
      </c>
      <c r="M12" s="15" cm="1">
        <f t="array" ref="M12">+HLOOKUP($A$1,+[5]İcmal!$B$19:$AG$49,ROW(D10)+1,FALSE)</f>
        <v>0</v>
      </c>
      <c r="N12" s="15" cm="1">
        <f t="array" ref="N12">+HLOOKUP($A$1,+[6]İcmal!$B$19:$AG$49,ROW(E10)+1,FALSE)</f>
        <v>0</v>
      </c>
      <c r="O12" s="15" cm="1">
        <f t="array" ref="O12">+HLOOKUP($A$1,+[7]İcmal!$B$19:$AG$49,ROW(F10)+1,FALSE)</f>
        <v>0</v>
      </c>
      <c r="P12" s="15" cm="1">
        <f t="array" ref="P12">+HLOOKUP($A$1,+[8]İcmal!$B$19:$AG$49,ROW(G10)+1,FALSE)</f>
        <v>0</v>
      </c>
      <c r="Q12" s="15" cm="1">
        <f t="array" ref="Q12">+HLOOKUP($A$1,+[9]İcmal!$B$19:$AG$49,ROW(H10)+1,FALSE)</f>
        <v>0</v>
      </c>
      <c r="R12" s="15" cm="1">
        <f t="array" ref="R12">+HLOOKUP($A$1,+[10]İcmal!$B$19:$AG$49,ROW(I10)+1,FALSE)</f>
        <v>0</v>
      </c>
      <c r="S12" s="15" cm="1">
        <f t="array" ref="S12">+HLOOKUP($A$1,+[11]İcmal!$B$19:$AG$49,ROW(J10)+1,FALSE)</f>
        <v>0</v>
      </c>
      <c r="T12" s="15" cm="1">
        <f t="array" ref="T12">+HLOOKUP($A$1,+[12]İcmal!$B$19:$AG$49,ROW(K10)+1,FALSE)</f>
        <v>0</v>
      </c>
      <c r="U12" s="15" cm="1">
        <f t="array" ref="U12">+HLOOKUP($A$1,+[13]İcmal!$B$19:$AG$49,ROW(L10)+1,FALSE)</f>
        <v>0</v>
      </c>
      <c r="V12" s="15" cm="1">
        <f t="array" ref="V12">+HLOOKUP($A$1,+[14]İcmal!$B$19:$AG$49,ROW(M10)+1,FALSE)</f>
        <v>0</v>
      </c>
      <c r="W12" s="15" cm="1">
        <f t="array" ref="W12">+HLOOKUP($A$1,+[15]İcmal!$B$19:$AG$49,ROW(N10)+1,FALSE)</f>
        <v>0</v>
      </c>
      <c r="X12" s="15" cm="1">
        <f t="array" ref="X12">+HLOOKUP($A$1,+[16]İcmal!$B$19:$AG$49,ROW(O10)+1,FALSE)</f>
        <v>0</v>
      </c>
      <c r="Y12" s="15" cm="1">
        <f t="array" ref="Y12">+HLOOKUP($A$1,+[17]İcmal!$B$19:$AG$49,ROW(P10)+1,FALSE)</f>
        <v>0</v>
      </c>
      <c r="Z12" s="15" cm="1">
        <f t="array" ref="Z12">+HLOOKUP($A$1,+[18]İcmal!$B$19:$AG$49,ROW(Q10)+1,FALSE)</f>
        <v>0</v>
      </c>
      <c r="AA12" s="15" cm="1">
        <f t="array" ref="AA12">+HLOOKUP($A$1,+[19]İcmal!$B$19:$AG$49,ROW(R10)+1,FALSE)</f>
        <v>0</v>
      </c>
      <c r="AB12" s="15" cm="1">
        <f t="array" ref="AB12">+HLOOKUP($A$1,+[20]İcmal!$B$19:$AG$49,ROW(S10)+1,FALSE)</f>
        <v>0</v>
      </c>
      <c r="AC12" s="15" cm="1">
        <f t="array" ref="AC12">+HLOOKUP($A$1,+[21]İcmal!$B$19:$AG$49,ROW(T10)+1,FALSE)</f>
        <v>0</v>
      </c>
      <c r="AD12" s="15" cm="1">
        <f t="array" ref="AD12">+HLOOKUP($A$1,+[22]İcmal!$B$19:$AG$49,ROW(U10)+1,FALSE)</f>
        <v>0</v>
      </c>
      <c r="AE12" s="15" cm="1">
        <f t="array" ref="AE12">+HLOOKUP($A$1,+[23]İcmal!$B$19:$AG$49,ROW(V10)+1,FALSE)</f>
        <v>0</v>
      </c>
      <c r="AF12" s="15" cm="1">
        <f t="array" ref="AF12">+HLOOKUP($A$1,+[24]İcmal!$B$19:$AG$49,ROW(W10)+1,FALSE)</f>
        <v>0</v>
      </c>
      <c r="AG12" s="15" cm="1">
        <f t="array" ref="AG12">+HLOOKUP($A$1,+[25]İcmal!$B$19:$AG$49,ROW(X10)+1,FALSE)</f>
        <v>0</v>
      </c>
      <c r="AH12" s="15" cm="1">
        <f t="array" ref="AH12">+HLOOKUP($A$1,+[26]İcmal!$B$19:$AG$49,ROW(Y10)+1,FALSE)</f>
        <v>175</v>
      </c>
      <c r="AI12" s="15" cm="1">
        <f t="array" ref="AI12">+HLOOKUP($A$1,+[27]İcmal!$B$19:$AG$49,ROW(Z10)+1,FALSE)</f>
        <v>0</v>
      </c>
      <c r="AJ12" s="15" cm="1">
        <f t="array" ref="AJ12">+HLOOKUP($A$1,+[28]İcmal!$B$19:$AG$49,ROW(AA10)+1,FALSE)</f>
        <v>0</v>
      </c>
      <c r="AK12" s="15" cm="1">
        <f t="array" ref="AK12">+HLOOKUP($A$1,+[29]İcmal!$B$19:$AG$49,ROW(AB10)+1,FALSE)</f>
        <v>0</v>
      </c>
      <c r="AL12" s="15"/>
      <c r="AM12" s="15"/>
      <c r="AN12" s="15"/>
      <c r="AO12" s="15"/>
      <c r="AP12" s="15"/>
      <c r="AQ12" s="15"/>
      <c r="AR12" s="15"/>
      <c r="AS12" s="15"/>
      <c r="AT12" s="13"/>
    </row>
    <row r="13" spans="1:46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580</v>
      </c>
      <c r="I13" s="9">
        <f t="shared" si="2"/>
        <v>16240000</v>
      </c>
      <c r="J13" s="15" cm="1">
        <f t="array" ref="J13">+HLOOKUP($A$1,+[2]İcmal!$B$19:$AG$49,ROW(A11)+1,FALSE)</f>
        <v>0</v>
      </c>
      <c r="K13" s="15" cm="1">
        <f t="array" ref="K13">+HLOOKUP($A$1,+[3]İcmal!$B$19:$AG$49,ROW(B11)+1,FALSE)</f>
        <v>182</v>
      </c>
      <c r="L13" s="15" cm="1">
        <f t="array" ref="L13">+HLOOKUP($A$1,+[4]İcmal!$B$19:$AG$49,ROW(C11)+1,FALSE)</f>
        <v>0</v>
      </c>
      <c r="M13" s="15" cm="1">
        <f t="array" ref="M13">+HLOOKUP($A$1,+[5]İcmal!$B$19:$AG$49,ROW(D11)+1,FALSE)</f>
        <v>0</v>
      </c>
      <c r="N13" s="15" cm="1">
        <f t="array" ref="N13">+HLOOKUP($A$1,+[6]İcmal!$B$19:$AG$49,ROW(E11)+1,FALSE)</f>
        <v>93</v>
      </c>
      <c r="O13" s="15" cm="1">
        <f t="array" ref="O13">+HLOOKUP($A$1,+[7]İcmal!$B$19:$AG$49,ROW(F11)+1,FALSE)</f>
        <v>105</v>
      </c>
      <c r="P13" s="15" cm="1">
        <f t="array" ref="P13">+HLOOKUP($A$1,+[8]İcmal!$B$19:$AG$49,ROW(G11)+1,FALSE)</f>
        <v>0</v>
      </c>
      <c r="Q13" s="15" cm="1">
        <f t="array" ref="Q13">+HLOOKUP($A$1,+[9]İcmal!$B$19:$AG$49,ROW(H11)+1,FALSE)</f>
        <v>0</v>
      </c>
      <c r="R13" s="15" cm="1">
        <f t="array" ref="R13">+HLOOKUP($A$1,+[10]İcmal!$B$19:$AG$49,ROW(I11)+1,FALSE)</f>
        <v>75</v>
      </c>
      <c r="S13" s="15" cm="1">
        <f t="array" ref="S13">+HLOOKUP($A$1,+[11]İcmal!$B$19:$AG$49,ROW(J11)+1,FALSE)</f>
        <v>105</v>
      </c>
      <c r="T13" s="15" cm="1">
        <f t="array" ref="T13">+HLOOKUP($A$1,+[12]İcmal!$B$19:$AG$49,ROW(K11)+1,FALSE)</f>
        <v>0</v>
      </c>
      <c r="U13" s="15" cm="1">
        <f t="array" ref="U13">+HLOOKUP($A$1,+[13]İcmal!$B$19:$AG$49,ROW(L11)+1,FALSE)</f>
        <v>0</v>
      </c>
      <c r="V13" s="15" cm="1">
        <f t="array" ref="V13">+HLOOKUP($A$1,+[14]İcmal!$B$19:$AG$49,ROW(M11)+1,FALSE)</f>
        <v>0</v>
      </c>
      <c r="W13" s="15" cm="1">
        <f t="array" ref="W13">+HLOOKUP($A$1,+[15]İcmal!$B$19:$AG$49,ROW(N11)+1,FALSE)</f>
        <v>0</v>
      </c>
      <c r="X13" s="15" cm="1">
        <f t="array" ref="X13">+HLOOKUP($A$1,+[16]İcmal!$B$19:$AG$49,ROW(O11)+1,FALSE)</f>
        <v>0</v>
      </c>
      <c r="Y13" s="15" cm="1">
        <f t="array" ref="Y13">+HLOOKUP($A$1,+[17]İcmal!$B$19:$AG$49,ROW(P11)+1,FALSE)</f>
        <v>0</v>
      </c>
      <c r="Z13" s="15" cm="1">
        <f t="array" ref="Z13">+HLOOKUP($A$1,+[18]İcmal!$B$19:$AG$49,ROW(Q11)+1,FALSE)</f>
        <v>0</v>
      </c>
      <c r="AA13" s="15" cm="1">
        <f t="array" ref="AA13">+HLOOKUP($A$1,+[19]İcmal!$B$19:$AG$49,ROW(R11)+1,FALSE)</f>
        <v>0</v>
      </c>
      <c r="AB13" s="15" cm="1">
        <f t="array" ref="AB13">+HLOOKUP($A$1,+[20]İcmal!$B$19:$AG$49,ROW(S11)+1,FALSE)</f>
        <v>0</v>
      </c>
      <c r="AC13" s="15" cm="1">
        <f t="array" ref="AC13">+HLOOKUP($A$1,+[21]İcmal!$B$19:$AG$49,ROW(T11)+1,FALSE)</f>
        <v>0</v>
      </c>
      <c r="AD13" s="15" cm="1">
        <f t="array" ref="AD13">+HLOOKUP($A$1,+[22]İcmal!$B$19:$AG$49,ROW(U11)+1,FALSE)</f>
        <v>20</v>
      </c>
      <c r="AE13" s="15" cm="1">
        <f t="array" ref="AE13">+HLOOKUP($A$1,+[23]İcmal!$B$19:$AG$49,ROW(V11)+1,FALSE)</f>
        <v>0</v>
      </c>
      <c r="AF13" s="15" cm="1">
        <f t="array" ref="AF13">+HLOOKUP($A$1,+[24]İcmal!$B$19:$AG$49,ROW(W11)+1,FALSE)</f>
        <v>0</v>
      </c>
      <c r="AG13" s="15" cm="1">
        <f t="array" ref="AG13">+HLOOKUP($A$1,+[25]İcmal!$B$19:$AG$49,ROW(X11)+1,FALSE)</f>
        <v>0</v>
      </c>
      <c r="AH13" s="15" cm="1">
        <f t="array" ref="AH13">+HLOOKUP($A$1,+[26]İcmal!$B$19:$AG$49,ROW(Y11)+1,FALSE)</f>
        <v>0</v>
      </c>
      <c r="AI13" s="15" cm="1">
        <f t="array" ref="AI13">+HLOOKUP($A$1,+[27]İcmal!$B$19:$AG$49,ROW(Z11)+1,FALSE)</f>
        <v>0</v>
      </c>
      <c r="AJ13" s="15" cm="1">
        <f t="array" ref="AJ13">+HLOOKUP($A$1,+[28]İcmal!$B$19:$AG$49,ROW(AA11)+1,FALSE)</f>
        <v>0</v>
      </c>
      <c r="AK13" s="15" cm="1">
        <f t="array" ref="AK13">+HLOOKUP($A$1,+[29]İcmal!$B$19:$AG$49,ROW(AB11)+1,FALSE)</f>
        <v>0</v>
      </c>
      <c r="AL13" s="15"/>
      <c r="AM13" s="15"/>
      <c r="AN13" s="15"/>
      <c r="AO13" s="15"/>
      <c r="AP13" s="15"/>
      <c r="AQ13" s="15"/>
      <c r="AR13" s="15"/>
      <c r="AS13" s="15"/>
      <c r="AT13" s="13"/>
    </row>
    <row r="14" spans="1:46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3114</v>
      </c>
      <c r="I14" s="9">
        <f t="shared" si="2"/>
        <v>1167750</v>
      </c>
      <c r="J14" s="15" cm="1">
        <f t="array" ref="J14">+HLOOKUP($A$1,+[2]İcmal!$B$19:$AG$49,ROW(A12)+1,FALSE)</f>
        <v>0</v>
      </c>
      <c r="K14" s="15" cm="1">
        <f t="array" ref="K14">+HLOOKUP($A$1,+[3]İcmal!$B$19:$AG$49,ROW(B12)+1,FALSE)</f>
        <v>0</v>
      </c>
      <c r="L14" s="15" cm="1">
        <f t="array" ref="L14">+HLOOKUP($A$1,+[4]İcmal!$B$19:$AG$49,ROW(C12)+1,FALSE)</f>
        <v>0</v>
      </c>
      <c r="M14" s="15" cm="1">
        <f t="array" ref="M14">+HLOOKUP($A$1,+[5]İcmal!$B$19:$AG$49,ROW(D12)+1,FALSE)</f>
        <v>0</v>
      </c>
      <c r="N14" s="15" cm="1">
        <f t="array" ref="N14">+HLOOKUP($A$1,+[6]İcmal!$B$19:$AG$49,ROW(E12)+1,FALSE)</f>
        <v>396</v>
      </c>
      <c r="O14" s="15" cm="1">
        <f t="array" ref="O14">+HLOOKUP($A$1,+[7]İcmal!$B$19:$AG$49,ROW(F12)+1,FALSE)</f>
        <v>972</v>
      </c>
      <c r="P14" s="15" cm="1">
        <f t="array" ref="P14">+HLOOKUP($A$1,+[8]İcmal!$B$19:$AG$49,ROW(G12)+1,FALSE)</f>
        <v>0</v>
      </c>
      <c r="Q14" s="15" cm="1">
        <f t="array" ref="Q14">+HLOOKUP($A$1,+[9]İcmal!$B$19:$AG$49,ROW(H12)+1,FALSE)</f>
        <v>0</v>
      </c>
      <c r="R14" s="15" cm="1">
        <f t="array" ref="R14">+HLOOKUP($A$1,+[10]İcmal!$B$19:$AG$49,ROW(I12)+1,FALSE)</f>
        <v>396</v>
      </c>
      <c r="S14" s="15" cm="1">
        <f t="array" ref="S14">+HLOOKUP($A$1,+[11]İcmal!$B$19:$AG$49,ROW(J12)+1,FALSE)</f>
        <v>810</v>
      </c>
      <c r="T14" s="15" cm="1">
        <f t="array" ref="T14">+HLOOKUP($A$1,+[12]İcmal!$B$19:$AG$49,ROW(K12)+1,FALSE)</f>
        <v>0</v>
      </c>
      <c r="U14" s="15" cm="1">
        <f t="array" ref="U14">+HLOOKUP($A$1,+[13]İcmal!$B$19:$AG$49,ROW(L12)+1,FALSE)</f>
        <v>0</v>
      </c>
      <c r="V14" s="15" cm="1">
        <f t="array" ref="V14">+HLOOKUP($A$1,+[14]İcmal!$B$19:$AG$49,ROW(M12)+1,FALSE)</f>
        <v>0</v>
      </c>
      <c r="W14" s="15" cm="1">
        <f t="array" ref="W14">+HLOOKUP($A$1,+[15]İcmal!$B$19:$AG$49,ROW(N12)+1,FALSE)</f>
        <v>0</v>
      </c>
      <c r="X14" s="15" cm="1">
        <f t="array" ref="X14">+HLOOKUP($A$1,+[16]İcmal!$B$19:$AG$49,ROW(O12)+1,FALSE)</f>
        <v>0</v>
      </c>
      <c r="Y14" s="15" cm="1">
        <f t="array" ref="Y14">+HLOOKUP($A$1,+[17]İcmal!$B$19:$AG$49,ROW(P12)+1,FALSE)</f>
        <v>0</v>
      </c>
      <c r="Z14" s="15" cm="1">
        <f t="array" ref="Z14">+HLOOKUP($A$1,+[18]İcmal!$B$19:$AG$49,ROW(Q12)+1,FALSE)</f>
        <v>0</v>
      </c>
      <c r="AA14" s="15" cm="1">
        <f t="array" ref="AA14">+HLOOKUP($A$1,+[19]İcmal!$B$19:$AG$49,ROW(R12)+1,FALSE)</f>
        <v>0</v>
      </c>
      <c r="AB14" s="15" cm="1">
        <f t="array" ref="AB14">+HLOOKUP($A$1,+[20]İcmal!$B$19:$AG$49,ROW(S12)+1,FALSE)</f>
        <v>180</v>
      </c>
      <c r="AC14" s="15" cm="1">
        <f t="array" ref="AC14">+HLOOKUP($A$1,+[21]İcmal!$B$19:$AG$49,ROW(T12)+1,FALSE)</f>
        <v>0</v>
      </c>
      <c r="AD14" s="15" cm="1">
        <f t="array" ref="AD14">+HLOOKUP($A$1,+[22]İcmal!$B$19:$AG$49,ROW(U12)+1,FALSE)</f>
        <v>0</v>
      </c>
      <c r="AE14" s="15" cm="1">
        <f t="array" ref="AE14">+HLOOKUP($A$1,+[23]İcmal!$B$19:$AG$49,ROW(V12)+1,FALSE)</f>
        <v>0</v>
      </c>
      <c r="AF14" s="15" cm="1">
        <f t="array" ref="AF14">+HLOOKUP($A$1,+[24]İcmal!$B$19:$AG$49,ROW(W12)+1,FALSE)</f>
        <v>180</v>
      </c>
      <c r="AG14" s="15" cm="1">
        <f t="array" ref="AG14">+HLOOKUP($A$1,+[25]İcmal!$B$19:$AG$49,ROW(X12)+1,FALSE)</f>
        <v>0</v>
      </c>
      <c r="AH14" s="15" cm="1">
        <f t="array" ref="AH14">+HLOOKUP($A$1,+[26]İcmal!$B$19:$AG$49,ROW(Y12)+1,FALSE)</f>
        <v>180</v>
      </c>
      <c r="AI14" s="15" cm="1">
        <f t="array" ref="AI14">+HLOOKUP($A$1,+[27]İcmal!$B$19:$AG$49,ROW(Z12)+1,FALSE)</f>
        <v>0</v>
      </c>
      <c r="AJ14" s="15" cm="1">
        <f t="array" ref="AJ14">+HLOOKUP($A$1,+[28]İcmal!$B$19:$AG$49,ROW(AA12)+1,FALSE)</f>
        <v>0</v>
      </c>
      <c r="AK14" s="15" cm="1">
        <f t="array" ref="AK14">+HLOOKUP($A$1,+[29]İcmal!$B$19:$AG$49,ROW(AB12)+1,FALSE)</f>
        <v>0</v>
      </c>
      <c r="AL14" s="15"/>
      <c r="AM14" s="15"/>
      <c r="AN14" s="15"/>
      <c r="AO14" s="15"/>
      <c r="AP14" s="15"/>
      <c r="AQ14" s="15"/>
      <c r="AR14" s="15"/>
      <c r="AS14" s="15"/>
      <c r="AT14" s="13"/>
    </row>
    <row r="15" spans="1:46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+HLOOKUP($A$1,+[2]İcmal!$B$19:$AG$49,ROW(A13)+1,FALSE)</f>
        <v>0</v>
      </c>
      <c r="K15" s="15" cm="1">
        <f t="array" ref="K15">+HLOOKUP($A$1,+[3]İcmal!$B$19:$AG$49,ROW(B13)+1,FALSE)</f>
        <v>0</v>
      </c>
      <c r="L15" s="15" cm="1">
        <f t="array" ref="L15">+HLOOKUP($A$1,+[4]İcmal!$B$19:$AG$49,ROW(C13)+1,FALSE)</f>
        <v>0</v>
      </c>
      <c r="M15" s="15" cm="1">
        <f t="array" ref="M15">+HLOOKUP($A$1,+[5]İcmal!$B$19:$AG$49,ROW(D13)+1,FALSE)</f>
        <v>0</v>
      </c>
      <c r="N15" s="15" cm="1">
        <f t="array" ref="N15">+HLOOKUP($A$1,+[6]İcmal!$B$19:$AG$49,ROW(E13)+1,FALSE)</f>
        <v>0</v>
      </c>
      <c r="O15" s="15" cm="1">
        <f t="array" ref="O15">+HLOOKUP($A$1,+[7]İcmal!$B$19:$AG$49,ROW(F13)+1,FALSE)</f>
        <v>0</v>
      </c>
      <c r="P15" s="15" cm="1">
        <f t="array" ref="P15">+HLOOKUP($A$1,+[8]İcmal!$B$19:$AG$49,ROW(G13)+1,FALSE)</f>
        <v>0</v>
      </c>
      <c r="Q15" s="15" cm="1">
        <f t="array" ref="Q15">+HLOOKUP($A$1,+[9]İcmal!$B$19:$AG$49,ROW(H13)+1,FALSE)</f>
        <v>0</v>
      </c>
      <c r="R15" s="15" cm="1">
        <f t="array" ref="R15">+HLOOKUP($A$1,+[10]İcmal!$B$19:$AG$49,ROW(I13)+1,FALSE)</f>
        <v>0</v>
      </c>
      <c r="S15" s="15" cm="1">
        <f t="array" ref="S15">+HLOOKUP($A$1,+[11]İcmal!$B$19:$AG$49,ROW(J13)+1,FALSE)</f>
        <v>0</v>
      </c>
      <c r="T15" s="15" cm="1">
        <f t="array" ref="T15">+HLOOKUP($A$1,+[12]İcmal!$B$19:$AG$49,ROW(K13)+1,FALSE)</f>
        <v>0</v>
      </c>
      <c r="U15" s="15" cm="1">
        <f t="array" ref="U15">+HLOOKUP($A$1,+[13]İcmal!$B$19:$AG$49,ROW(L13)+1,FALSE)</f>
        <v>0</v>
      </c>
      <c r="V15" s="15" cm="1">
        <f t="array" ref="V15">+HLOOKUP($A$1,+[14]İcmal!$B$19:$AG$49,ROW(M13)+1,FALSE)</f>
        <v>0</v>
      </c>
      <c r="W15" s="15" cm="1">
        <f t="array" ref="W15">+HLOOKUP($A$1,+[15]İcmal!$B$19:$AG$49,ROW(N13)+1,FALSE)</f>
        <v>0</v>
      </c>
      <c r="X15" s="15" cm="1">
        <f t="array" ref="X15">+HLOOKUP($A$1,+[16]İcmal!$B$19:$AG$49,ROW(O13)+1,FALSE)</f>
        <v>0</v>
      </c>
      <c r="Y15" s="15" cm="1">
        <f t="array" ref="Y15">+HLOOKUP($A$1,+[17]İcmal!$B$19:$AG$49,ROW(P13)+1,FALSE)</f>
        <v>0</v>
      </c>
      <c r="Z15" s="15" cm="1">
        <f t="array" ref="Z15">+HLOOKUP($A$1,+[18]İcmal!$B$19:$AG$49,ROW(Q13)+1,FALSE)</f>
        <v>0</v>
      </c>
      <c r="AA15" s="15" cm="1">
        <f t="array" ref="AA15">+HLOOKUP($A$1,+[19]İcmal!$B$19:$AG$49,ROW(R13)+1,FALSE)</f>
        <v>0</v>
      </c>
      <c r="AB15" s="15" cm="1">
        <f t="array" ref="AB15">+HLOOKUP($A$1,+[20]İcmal!$B$19:$AG$49,ROW(S13)+1,FALSE)</f>
        <v>0</v>
      </c>
      <c r="AC15" s="15" cm="1">
        <f t="array" ref="AC15">+HLOOKUP($A$1,+[21]İcmal!$B$19:$AG$49,ROW(T13)+1,FALSE)</f>
        <v>0</v>
      </c>
      <c r="AD15" s="15" cm="1">
        <f t="array" ref="AD15">+HLOOKUP($A$1,+[22]İcmal!$B$19:$AG$49,ROW(U13)+1,FALSE)</f>
        <v>0</v>
      </c>
      <c r="AE15" s="15" cm="1">
        <f t="array" ref="AE15">+HLOOKUP($A$1,+[23]İcmal!$B$19:$AG$49,ROW(V13)+1,FALSE)</f>
        <v>0</v>
      </c>
      <c r="AF15" s="15" cm="1">
        <f t="array" ref="AF15">+HLOOKUP($A$1,+[24]İcmal!$B$19:$AG$49,ROW(W13)+1,FALSE)</f>
        <v>0</v>
      </c>
      <c r="AG15" s="15" cm="1">
        <f t="array" ref="AG15">+HLOOKUP($A$1,+[25]İcmal!$B$19:$AG$49,ROW(X13)+1,FALSE)</f>
        <v>0</v>
      </c>
      <c r="AH15" s="15" cm="1">
        <f t="array" ref="AH15">+HLOOKUP($A$1,+[26]İcmal!$B$19:$AG$49,ROW(Y13)+1,FALSE)</f>
        <v>0</v>
      </c>
      <c r="AI15" s="15" cm="1">
        <f t="array" ref="AI15">+HLOOKUP($A$1,+[27]İcmal!$B$19:$AG$49,ROW(Z13)+1,FALSE)</f>
        <v>0</v>
      </c>
      <c r="AJ15" s="15" cm="1">
        <f t="array" ref="AJ15">+HLOOKUP($A$1,+[28]İcmal!$B$19:$AG$49,ROW(AA13)+1,FALSE)</f>
        <v>0</v>
      </c>
      <c r="AK15" s="15" cm="1">
        <f t="array" ref="AK15">+HLOOKUP($A$1,+[29]İcmal!$B$19:$AG$49,ROW(AB13)+1,FALSE)</f>
        <v>0</v>
      </c>
      <c r="AL15" s="15"/>
      <c r="AM15" s="15"/>
      <c r="AN15" s="15"/>
      <c r="AO15" s="15"/>
      <c r="AP15" s="15"/>
      <c r="AQ15" s="15"/>
      <c r="AR15" s="15"/>
      <c r="AS15" s="15"/>
      <c r="AT15" s="13"/>
    </row>
    <row r="16" spans="1:46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127.16400000000002</v>
      </c>
      <c r="I16" s="9">
        <f t="shared" si="2"/>
        <v>12970728.000000002</v>
      </c>
      <c r="J16" s="15" cm="1">
        <f t="array" ref="J16">+HLOOKUP($A$1,+[2]İcmal!$B$19:$AG$49,ROW(A14)+1,FALSE)</f>
        <v>0</v>
      </c>
      <c r="K16" s="15" cm="1">
        <f t="array" ref="K16">+HLOOKUP($A$1,+[3]İcmal!$B$19:$AG$49,ROW(B14)+1,FALSE)</f>
        <v>0</v>
      </c>
      <c r="L16" s="15" cm="1">
        <f t="array" ref="L16">+HLOOKUP($A$1,+[4]İcmal!$B$19:$AG$49,ROW(C14)+1,FALSE)</f>
        <v>0</v>
      </c>
      <c r="M16" s="15" cm="1">
        <f t="array" ref="M16">+HLOOKUP($A$1,+[5]İcmal!$B$19:$AG$49,ROW(D14)+1,FALSE)</f>
        <v>0</v>
      </c>
      <c r="N16" s="15" cm="1">
        <f t="array" ref="N16">+HLOOKUP($A$1,+[6]İcmal!$B$19:$AG$49,ROW(E14)+1,FALSE)</f>
        <v>28.44599999999997</v>
      </c>
      <c r="O16" s="15" cm="1">
        <f t="array" ref="O16">+HLOOKUP($A$1,+[7]İcmal!$B$19:$AG$49,ROW(F14)+1,FALSE)</f>
        <v>28.247000000000007</v>
      </c>
      <c r="P16" s="15" cm="1">
        <f t="array" ref="P16">+HLOOKUP($A$1,+[8]İcmal!$B$19:$AG$49,ROW(G14)+1,FALSE)</f>
        <v>0</v>
      </c>
      <c r="Q16" s="15" cm="1">
        <f t="array" ref="Q16">+HLOOKUP($A$1,+[9]İcmal!$B$19:$AG$49,ROW(H14)+1,FALSE)</f>
        <v>0</v>
      </c>
      <c r="R16" s="15" cm="1">
        <f t="array" ref="R16">+HLOOKUP($A$1,+[10]İcmal!$B$19:$AG$49,ROW(I14)+1,FALSE)</f>
        <v>27.836000000000013</v>
      </c>
      <c r="S16" s="15" cm="1">
        <f t="array" ref="S16">+HLOOKUP($A$1,+[11]İcmal!$B$19:$AG$49,ROW(J14)+1,FALSE)</f>
        <v>34.205000000000005</v>
      </c>
      <c r="T16" s="15" cm="1">
        <f t="array" ref="T16">+HLOOKUP($A$1,+[12]İcmal!$B$19:$AG$49,ROW(K14)+1,FALSE)</f>
        <v>0</v>
      </c>
      <c r="U16" s="15" cm="1">
        <f t="array" ref="U16">+HLOOKUP($A$1,+[13]İcmal!$B$19:$AG$49,ROW(L14)+1,FALSE)</f>
        <v>0</v>
      </c>
      <c r="V16" s="15" cm="1">
        <f t="array" ref="V16">+HLOOKUP($A$1,+[14]İcmal!$B$19:$AG$49,ROW(M14)+1,FALSE)</f>
        <v>0</v>
      </c>
      <c r="W16" s="15" cm="1">
        <f t="array" ref="W16">+HLOOKUP($A$1,+[15]İcmal!$B$19:$AG$49,ROW(N14)+1,FALSE)</f>
        <v>0</v>
      </c>
      <c r="X16" s="15" cm="1">
        <f t="array" ref="X16">+HLOOKUP($A$1,+[16]İcmal!$B$19:$AG$49,ROW(O14)+1,FALSE)</f>
        <v>0</v>
      </c>
      <c r="Y16" s="15" cm="1">
        <f t="array" ref="Y16">+HLOOKUP($A$1,+[17]İcmal!$B$19:$AG$49,ROW(P14)+1,FALSE)</f>
        <v>0</v>
      </c>
      <c r="Z16" s="15" cm="1">
        <f t="array" ref="Z16">+HLOOKUP($A$1,+[18]İcmal!$B$19:$AG$49,ROW(Q14)+1,FALSE)</f>
        <v>0</v>
      </c>
      <c r="AA16" s="15" cm="1">
        <f t="array" ref="AA16">+HLOOKUP($A$1,+[19]İcmal!$B$19:$AG$49,ROW(R14)+1,FALSE)</f>
        <v>0</v>
      </c>
      <c r="AB16" s="15" cm="1">
        <f t="array" ref="AB16">+HLOOKUP($A$1,+[20]İcmal!$B$19:$AG$49,ROW(S14)+1,FALSE)</f>
        <v>0</v>
      </c>
      <c r="AC16" s="15" cm="1">
        <f t="array" ref="AC16">+HLOOKUP($A$1,+[21]İcmal!$B$19:$AG$49,ROW(T14)+1,FALSE)</f>
        <v>0</v>
      </c>
      <c r="AD16" s="15" cm="1">
        <f t="array" ref="AD16">+HLOOKUP($A$1,+[22]İcmal!$B$19:$AG$49,ROW(U14)+1,FALSE)</f>
        <v>1.5609999999999999</v>
      </c>
      <c r="AE16" s="15" cm="1">
        <f t="array" ref="AE16">+HLOOKUP($A$1,+[23]İcmal!$B$19:$AG$49,ROW(V14)+1,FALSE)</f>
        <v>0</v>
      </c>
      <c r="AF16" s="15" cm="1">
        <f t="array" ref="AF16">+HLOOKUP($A$1,+[24]İcmal!$B$19:$AG$49,ROW(W14)+1,FALSE)</f>
        <v>2.4859999999999989</v>
      </c>
      <c r="AG16" s="15" cm="1">
        <f t="array" ref="AG16">+HLOOKUP($A$1,+[25]İcmal!$B$19:$AG$49,ROW(X14)+1,FALSE)</f>
        <v>0</v>
      </c>
      <c r="AH16" s="15" cm="1">
        <f t="array" ref="AH16">+HLOOKUP($A$1,+[26]İcmal!$B$19:$AG$49,ROW(Y14)+1,FALSE)</f>
        <v>0</v>
      </c>
      <c r="AI16" s="15" cm="1">
        <f t="array" ref="AI16">+HLOOKUP($A$1,+[27]İcmal!$B$19:$AG$49,ROW(Z14)+1,FALSE)</f>
        <v>4.383</v>
      </c>
      <c r="AJ16" s="15" cm="1">
        <f t="array" ref="AJ16">+HLOOKUP($A$1,+[28]İcmal!$B$19:$AG$49,ROW(AA14)+1,FALSE)</f>
        <v>0</v>
      </c>
      <c r="AK16" s="15" cm="1">
        <f t="array" ref="AK16">+HLOOKUP($A$1,+[29]İcmal!$B$19:$AG$49,ROW(AB14)+1,FALSE)</f>
        <v>0</v>
      </c>
      <c r="AL16" s="15"/>
      <c r="AM16" s="15"/>
      <c r="AN16" s="15"/>
      <c r="AO16" s="15"/>
      <c r="AP16" s="15"/>
      <c r="AQ16" s="15"/>
      <c r="AR16" s="15"/>
      <c r="AS16" s="15"/>
      <c r="AT16" s="13"/>
    </row>
    <row r="17" spans="1:46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6975</v>
      </c>
      <c r="I17" s="9">
        <f t="shared" si="2"/>
        <v>23715000</v>
      </c>
      <c r="J17" s="15" cm="1">
        <f t="array" ref="J17">+HLOOKUP($A$1,+[2]İcmal!$B$19:$AG$49,ROW(A15)+1,FALSE)</f>
        <v>0</v>
      </c>
      <c r="K17" s="15" cm="1">
        <f t="array" ref="K17">+HLOOKUP($A$1,+[3]İcmal!$B$19:$AG$49,ROW(B15)+1,FALSE)</f>
        <v>0</v>
      </c>
      <c r="L17" s="15" cm="1">
        <f t="array" ref="L17">+HLOOKUP($A$1,+[4]İcmal!$B$19:$AG$49,ROW(C15)+1,FALSE)</f>
        <v>0</v>
      </c>
      <c r="M17" s="15" cm="1">
        <f t="array" ref="M17">+HLOOKUP($A$1,+[5]İcmal!$B$19:$AG$49,ROW(D15)+1,FALSE)</f>
        <v>0</v>
      </c>
      <c r="N17" s="15" cm="1">
        <f t="array" ref="N17">+HLOOKUP($A$1,+[6]İcmal!$B$19:$AG$49,ROW(E15)+1,FALSE)</f>
        <v>999</v>
      </c>
      <c r="O17" s="15" cm="1">
        <f t="array" ref="O17">+HLOOKUP($A$1,+[7]İcmal!$B$19:$AG$49,ROW(F15)+1,FALSE)</f>
        <v>2538</v>
      </c>
      <c r="P17" s="15" cm="1">
        <f t="array" ref="P17">+HLOOKUP($A$1,+[8]İcmal!$B$19:$AG$49,ROW(G15)+1,FALSE)</f>
        <v>0</v>
      </c>
      <c r="Q17" s="15" cm="1">
        <f t="array" ref="Q17">+HLOOKUP($A$1,+[9]İcmal!$B$19:$AG$49,ROW(H15)+1,FALSE)</f>
        <v>0</v>
      </c>
      <c r="R17" s="15" cm="1">
        <f t="array" ref="R17">+HLOOKUP($A$1,+[10]İcmal!$B$19:$AG$49,ROW(I15)+1,FALSE)</f>
        <v>999</v>
      </c>
      <c r="S17" s="15" cm="1">
        <f t="array" ref="S17">+HLOOKUP($A$1,+[11]İcmal!$B$19:$AG$49,ROW(J15)+1,FALSE)</f>
        <v>2106</v>
      </c>
      <c r="T17" s="15" cm="1">
        <f t="array" ref="T17">+HLOOKUP($A$1,+[12]İcmal!$B$19:$AG$49,ROW(K15)+1,FALSE)</f>
        <v>0</v>
      </c>
      <c r="U17" s="15" cm="1">
        <f t="array" ref="U17">+HLOOKUP($A$1,+[13]İcmal!$B$19:$AG$49,ROW(L15)+1,FALSE)</f>
        <v>0</v>
      </c>
      <c r="V17" s="15" cm="1">
        <f t="array" ref="V17">+HLOOKUP($A$1,+[14]İcmal!$B$19:$AG$49,ROW(M15)+1,FALSE)</f>
        <v>0</v>
      </c>
      <c r="W17" s="15" cm="1">
        <f t="array" ref="W17">+HLOOKUP($A$1,+[15]İcmal!$B$19:$AG$49,ROW(N15)+1,FALSE)</f>
        <v>0</v>
      </c>
      <c r="X17" s="15" cm="1">
        <f t="array" ref="X17">+HLOOKUP($A$1,+[16]İcmal!$B$19:$AG$49,ROW(O15)+1,FALSE)</f>
        <v>0</v>
      </c>
      <c r="Y17" s="15" cm="1">
        <f t="array" ref="Y17">+HLOOKUP($A$1,+[17]İcmal!$B$19:$AG$49,ROW(P15)+1,FALSE)</f>
        <v>0</v>
      </c>
      <c r="Z17" s="15" cm="1">
        <f t="array" ref="Z17">+HLOOKUP($A$1,+[18]İcmal!$B$19:$AG$49,ROW(Q15)+1,FALSE)</f>
        <v>0</v>
      </c>
      <c r="AA17" s="15" cm="1">
        <f t="array" ref="AA17">+HLOOKUP($A$1,+[19]İcmal!$B$19:$AG$49,ROW(R15)+1,FALSE)</f>
        <v>0</v>
      </c>
      <c r="AB17" s="15" cm="1">
        <f t="array" ref="AB17">+HLOOKUP($A$1,+[20]İcmal!$B$19:$AG$49,ROW(S15)+1,FALSE)</f>
        <v>0</v>
      </c>
      <c r="AC17" s="15" cm="1">
        <f t="array" ref="AC17">+HLOOKUP($A$1,+[21]İcmal!$B$19:$AG$49,ROW(T15)+1,FALSE)</f>
        <v>0</v>
      </c>
      <c r="AD17" s="15" cm="1">
        <f t="array" ref="AD17">+HLOOKUP($A$1,+[22]İcmal!$B$19:$AG$49,ROW(U15)+1,FALSE)</f>
        <v>333</v>
      </c>
      <c r="AE17" s="15" cm="1">
        <f t="array" ref="AE17">+HLOOKUP($A$1,+[23]İcmal!$B$19:$AG$49,ROW(V15)+1,FALSE)</f>
        <v>0</v>
      </c>
      <c r="AF17" s="15" cm="1">
        <f t="array" ref="AF17">+HLOOKUP($A$1,+[24]İcmal!$B$19:$AG$49,ROW(W15)+1,FALSE)</f>
        <v>0</v>
      </c>
      <c r="AG17" s="15" cm="1">
        <f t="array" ref="AG17">+HLOOKUP($A$1,+[25]İcmal!$B$19:$AG$49,ROW(X15)+1,FALSE)</f>
        <v>0</v>
      </c>
      <c r="AH17" s="15" cm="1">
        <f t="array" ref="AH17">+HLOOKUP($A$1,+[26]İcmal!$B$19:$AG$49,ROW(Y15)+1,FALSE)</f>
        <v>0</v>
      </c>
      <c r="AI17" s="15" cm="1">
        <f t="array" ref="AI17">+HLOOKUP($A$1,+[27]İcmal!$B$19:$AG$49,ROW(Z15)+1,FALSE)</f>
        <v>0</v>
      </c>
      <c r="AJ17" s="15" cm="1">
        <f t="array" ref="AJ17">+HLOOKUP($A$1,+[28]İcmal!$B$19:$AG$49,ROW(AA15)+1,FALSE)</f>
        <v>0</v>
      </c>
      <c r="AK17" s="15" cm="1">
        <f t="array" ref="AK17">+HLOOKUP($A$1,+[29]İcmal!$B$19:$AG$49,ROW(AB15)+1,FALSE)</f>
        <v>0</v>
      </c>
      <c r="AL17" s="15"/>
      <c r="AM17" s="15"/>
      <c r="AN17" s="15"/>
      <c r="AO17" s="15"/>
      <c r="AP17" s="15"/>
      <c r="AQ17" s="15"/>
      <c r="AR17" s="15"/>
      <c r="AS17" s="15"/>
      <c r="AT17" s="13"/>
    </row>
    <row r="18" spans="1:46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+HLOOKUP($A$1,+[2]İcmal!$B$19:$AG$49,ROW(A16)+1,FALSE)</f>
        <v>0</v>
      </c>
      <c r="K18" s="15" cm="1">
        <f t="array" ref="K18">+HLOOKUP($A$1,+[3]İcmal!$B$19:$AG$49,ROW(B16)+1,FALSE)</f>
        <v>0</v>
      </c>
      <c r="L18" s="15" cm="1">
        <f t="array" ref="L18">+HLOOKUP($A$1,+[4]İcmal!$B$19:$AG$49,ROW(C16)+1,FALSE)</f>
        <v>0</v>
      </c>
      <c r="M18" s="15" cm="1">
        <f t="array" ref="M18">+HLOOKUP($A$1,+[5]İcmal!$B$19:$AG$49,ROW(D16)+1,FALSE)</f>
        <v>0</v>
      </c>
      <c r="N18" s="15" cm="1">
        <f t="array" ref="N18">+HLOOKUP($A$1,+[6]İcmal!$B$19:$AG$49,ROW(E16)+1,FALSE)</f>
        <v>0</v>
      </c>
      <c r="O18" s="15" cm="1">
        <f t="array" ref="O18">+HLOOKUP($A$1,+[7]İcmal!$B$19:$AG$49,ROW(F16)+1,FALSE)</f>
        <v>0</v>
      </c>
      <c r="P18" s="15" cm="1">
        <f t="array" ref="P18">+HLOOKUP($A$1,+[8]İcmal!$B$19:$AG$49,ROW(G16)+1,FALSE)</f>
        <v>0</v>
      </c>
      <c r="Q18" s="15" cm="1">
        <f t="array" ref="Q18">+HLOOKUP($A$1,+[9]İcmal!$B$19:$AG$49,ROW(H16)+1,FALSE)</f>
        <v>0</v>
      </c>
      <c r="R18" s="15" cm="1">
        <f t="array" ref="R18">+HLOOKUP($A$1,+[10]İcmal!$B$19:$AG$49,ROW(I16)+1,FALSE)</f>
        <v>0</v>
      </c>
      <c r="S18" s="15" cm="1">
        <f t="array" ref="S18">+HLOOKUP($A$1,+[11]İcmal!$B$19:$AG$49,ROW(J16)+1,FALSE)</f>
        <v>0</v>
      </c>
      <c r="T18" s="15" cm="1">
        <f t="array" ref="T18">+HLOOKUP($A$1,+[12]İcmal!$B$19:$AG$49,ROW(K16)+1,FALSE)</f>
        <v>0</v>
      </c>
      <c r="U18" s="15" cm="1">
        <f t="array" ref="U18">+HLOOKUP($A$1,+[13]İcmal!$B$19:$AG$49,ROW(L16)+1,FALSE)</f>
        <v>0</v>
      </c>
      <c r="V18" s="15" cm="1">
        <f t="array" ref="V18">+HLOOKUP($A$1,+[14]İcmal!$B$19:$AG$49,ROW(M16)+1,FALSE)</f>
        <v>0</v>
      </c>
      <c r="W18" s="15" cm="1">
        <f t="array" ref="W18">+HLOOKUP($A$1,+[15]İcmal!$B$19:$AG$49,ROW(N16)+1,FALSE)</f>
        <v>0</v>
      </c>
      <c r="X18" s="15" cm="1">
        <f t="array" ref="X18">+HLOOKUP($A$1,+[16]İcmal!$B$19:$AG$49,ROW(O16)+1,FALSE)</f>
        <v>0</v>
      </c>
      <c r="Y18" s="15" cm="1">
        <f t="array" ref="Y18">+HLOOKUP($A$1,+[17]İcmal!$B$19:$AG$49,ROW(P16)+1,FALSE)</f>
        <v>0</v>
      </c>
      <c r="Z18" s="15" cm="1">
        <f t="array" ref="Z18">+HLOOKUP($A$1,+[18]İcmal!$B$19:$AG$49,ROW(Q16)+1,FALSE)</f>
        <v>0</v>
      </c>
      <c r="AA18" s="15" cm="1">
        <f t="array" ref="AA18">+HLOOKUP($A$1,+[19]İcmal!$B$19:$AG$49,ROW(R16)+1,FALSE)</f>
        <v>0</v>
      </c>
      <c r="AB18" s="15" cm="1">
        <f t="array" ref="AB18">+HLOOKUP($A$1,+[20]İcmal!$B$19:$AG$49,ROW(S16)+1,FALSE)</f>
        <v>0</v>
      </c>
      <c r="AC18" s="15" cm="1">
        <f t="array" ref="AC18">+HLOOKUP($A$1,+[21]İcmal!$B$19:$AG$49,ROW(T16)+1,FALSE)</f>
        <v>0</v>
      </c>
      <c r="AD18" s="15" cm="1">
        <f t="array" ref="AD18">+HLOOKUP($A$1,+[22]İcmal!$B$19:$AG$49,ROW(U16)+1,FALSE)</f>
        <v>0</v>
      </c>
      <c r="AE18" s="15" cm="1">
        <f t="array" ref="AE18">+HLOOKUP($A$1,+[23]İcmal!$B$19:$AG$49,ROW(V16)+1,FALSE)</f>
        <v>0</v>
      </c>
      <c r="AF18" s="15" cm="1">
        <f t="array" ref="AF18">+HLOOKUP($A$1,+[24]İcmal!$B$19:$AG$49,ROW(W16)+1,FALSE)</f>
        <v>0</v>
      </c>
      <c r="AG18" s="15" cm="1">
        <f t="array" ref="AG18">+HLOOKUP($A$1,+[25]İcmal!$B$19:$AG$49,ROW(X16)+1,FALSE)</f>
        <v>0</v>
      </c>
      <c r="AH18" s="15" cm="1">
        <f t="array" ref="AH18">+HLOOKUP($A$1,+[26]İcmal!$B$19:$AG$49,ROW(Y16)+1,FALSE)</f>
        <v>0</v>
      </c>
      <c r="AI18" s="15" cm="1">
        <f t="array" ref="AI18">+HLOOKUP($A$1,+[27]İcmal!$B$19:$AG$49,ROW(Z16)+1,FALSE)</f>
        <v>0</v>
      </c>
      <c r="AJ18" s="15" cm="1">
        <f t="array" ref="AJ18">+HLOOKUP($A$1,+[28]İcmal!$B$19:$AG$49,ROW(AA16)+1,FALSE)</f>
        <v>0</v>
      </c>
      <c r="AK18" s="15" cm="1">
        <f t="array" ref="AK18">+HLOOKUP($A$1,+[29]İcmal!$B$19:$AG$49,ROW(AB16)+1,FALSE)</f>
        <v>0</v>
      </c>
      <c r="AL18" s="15"/>
      <c r="AM18" s="15"/>
      <c r="AN18" s="15"/>
      <c r="AO18" s="15"/>
      <c r="AP18" s="15"/>
      <c r="AQ18" s="15"/>
      <c r="AR18" s="15"/>
      <c r="AS18" s="15"/>
      <c r="AT18" s="13"/>
    </row>
    <row r="19" spans="1:46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+HLOOKUP($A$1,+[2]İcmal!$B$19:$AG$49,ROW(A17)+1,FALSE)</f>
        <v>0</v>
      </c>
      <c r="K19" s="15" cm="1">
        <f t="array" ref="K19">+HLOOKUP($A$1,+[3]İcmal!$B$19:$AG$49,ROW(B17)+1,FALSE)</f>
        <v>0</v>
      </c>
      <c r="L19" s="15" cm="1">
        <f t="array" ref="L19">+HLOOKUP($A$1,+[4]İcmal!$B$19:$AG$49,ROW(C17)+1,FALSE)</f>
        <v>0</v>
      </c>
      <c r="M19" s="15" cm="1">
        <f t="array" ref="M19">+HLOOKUP($A$1,+[5]İcmal!$B$19:$AG$49,ROW(D17)+1,FALSE)</f>
        <v>0</v>
      </c>
      <c r="N19" s="15" cm="1">
        <f t="array" ref="N19">+HLOOKUP($A$1,+[6]İcmal!$B$19:$AG$49,ROW(E17)+1,FALSE)</f>
        <v>0</v>
      </c>
      <c r="O19" s="15" cm="1">
        <f t="array" ref="O19">+HLOOKUP($A$1,+[7]İcmal!$B$19:$AG$49,ROW(F17)+1,FALSE)</f>
        <v>0</v>
      </c>
      <c r="P19" s="15" cm="1">
        <f t="array" ref="P19">+HLOOKUP($A$1,+[8]İcmal!$B$19:$AG$49,ROW(G17)+1,FALSE)</f>
        <v>0</v>
      </c>
      <c r="Q19" s="15" cm="1">
        <f t="array" ref="Q19">+HLOOKUP($A$1,+[9]İcmal!$B$19:$AG$49,ROW(H17)+1,FALSE)</f>
        <v>0</v>
      </c>
      <c r="R19" s="15" cm="1">
        <f t="array" ref="R19">+HLOOKUP($A$1,+[10]İcmal!$B$19:$AG$49,ROW(I17)+1,FALSE)</f>
        <v>0</v>
      </c>
      <c r="S19" s="15" cm="1">
        <f t="array" ref="S19">+HLOOKUP($A$1,+[11]İcmal!$B$19:$AG$49,ROW(J17)+1,FALSE)</f>
        <v>0</v>
      </c>
      <c r="T19" s="15" cm="1">
        <f t="array" ref="T19">+HLOOKUP($A$1,+[12]İcmal!$B$19:$AG$49,ROW(K17)+1,FALSE)</f>
        <v>0</v>
      </c>
      <c r="U19" s="15" cm="1">
        <f t="array" ref="U19">+HLOOKUP($A$1,+[13]İcmal!$B$19:$AG$49,ROW(L17)+1,FALSE)</f>
        <v>0</v>
      </c>
      <c r="V19" s="15" cm="1">
        <f t="array" ref="V19">+HLOOKUP($A$1,+[14]İcmal!$B$19:$AG$49,ROW(M17)+1,FALSE)</f>
        <v>0</v>
      </c>
      <c r="W19" s="15" cm="1">
        <f t="array" ref="W19">+HLOOKUP($A$1,+[15]İcmal!$B$19:$AG$49,ROW(N17)+1,FALSE)</f>
        <v>0</v>
      </c>
      <c r="X19" s="15" cm="1">
        <f t="array" ref="X19">+HLOOKUP($A$1,+[16]İcmal!$B$19:$AG$49,ROW(O17)+1,FALSE)</f>
        <v>0</v>
      </c>
      <c r="Y19" s="15" cm="1">
        <f t="array" ref="Y19">+HLOOKUP($A$1,+[17]İcmal!$B$19:$AG$49,ROW(P17)+1,FALSE)</f>
        <v>0</v>
      </c>
      <c r="Z19" s="15" cm="1">
        <f t="array" ref="Z19">+HLOOKUP($A$1,+[18]İcmal!$B$19:$AG$49,ROW(Q17)+1,FALSE)</f>
        <v>0</v>
      </c>
      <c r="AA19" s="15" cm="1">
        <f t="array" ref="AA19">+HLOOKUP($A$1,+[19]İcmal!$B$19:$AG$49,ROW(R17)+1,FALSE)</f>
        <v>0</v>
      </c>
      <c r="AB19" s="15" cm="1">
        <f t="array" ref="AB19">+HLOOKUP($A$1,+[20]İcmal!$B$19:$AG$49,ROW(S17)+1,FALSE)</f>
        <v>0</v>
      </c>
      <c r="AC19" s="15" cm="1">
        <f t="array" ref="AC19">+HLOOKUP($A$1,+[21]İcmal!$B$19:$AG$49,ROW(T17)+1,FALSE)</f>
        <v>0</v>
      </c>
      <c r="AD19" s="15" cm="1">
        <f t="array" ref="AD19">+HLOOKUP($A$1,+[22]İcmal!$B$19:$AG$49,ROW(U17)+1,FALSE)</f>
        <v>0</v>
      </c>
      <c r="AE19" s="15" cm="1">
        <f t="array" ref="AE19">+HLOOKUP($A$1,+[23]İcmal!$B$19:$AG$49,ROW(V17)+1,FALSE)</f>
        <v>0</v>
      </c>
      <c r="AF19" s="15" cm="1">
        <f t="array" ref="AF19">+HLOOKUP($A$1,+[24]İcmal!$B$19:$AG$49,ROW(W17)+1,FALSE)</f>
        <v>0</v>
      </c>
      <c r="AG19" s="15" cm="1">
        <f t="array" ref="AG19">+HLOOKUP($A$1,+[25]İcmal!$B$19:$AG$49,ROW(X17)+1,FALSE)</f>
        <v>0</v>
      </c>
      <c r="AH19" s="15" cm="1">
        <f t="array" ref="AH19">+HLOOKUP($A$1,+[26]İcmal!$B$19:$AG$49,ROW(Y17)+1,FALSE)</f>
        <v>0</v>
      </c>
      <c r="AI19" s="15" cm="1">
        <f t="array" ref="AI19">+HLOOKUP($A$1,+[27]İcmal!$B$19:$AG$49,ROW(Z17)+1,FALSE)</f>
        <v>0</v>
      </c>
      <c r="AJ19" s="15" cm="1">
        <f t="array" ref="AJ19">+HLOOKUP($A$1,+[28]İcmal!$B$19:$AG$49,ROW(AA17)+1,FALSE)</f>
        <v>0</v>
      </c>
      <c r="AK19" s="15" cm="1">
        <f t="array" ref="AK19">+HLOOKUP($A$1,+[29]İcmal!$B$19:$AG$49,ROW(AB17)+1,FALSE)</f>
        <v>0</v>
      </c>
      <c r="AL19" s="15"/>
      <c r="AM19" s="15"/>
      <c r="AN19" s="15"/>
      <c r="AO19" s="15"/>
      <c r="AP19" s="15"/>
      <c r="AQ19" s="15"/>
      <c r="AR19" s="15"/>
      <c r="AS19" s="15"/>
      <c r="AT19" s="13"/>
    </row>
    <row r="20" spans="1:46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+HLOOKUP($A$1,+[2]İcmal!$B$19:$AG$49,ROW(A18)+1,FALSE)</f>
        <v>0</v>
      </c>
      <c r="K20" s="15" cm="1">
        <f t="array" ref="K20">+HLOOKUP($A$1,+[3]İcmal!$B$19:$AG$49,ROW(B18)+1,FALSE)</f>
        <v>0</v>
      </c>
      <c r="L20" s="15" cm="1">
        <f t="array" ref="L20">+HLOOKUP($A$1,+[4]İcmal!$B$19:$AG$49,ROW(C18)+1,FALSE)</f>
        <v>0</v>
      </c>
      <c r="M20" s="15" cm="1">
        <f t="array" ref="M20">+HLOOKUP($A$1,+[5]İcmal!$B$19:$AG$49,ROW(D18)+1,FALSE)</f>
        <v>0</v>
      </c>
      <c r="N20" s="15" cm="1">
        <f t="array" ref="N20">+HLOOKUP($A$1,+[6]İcmal!$B$19:$AG$49,ROW(E18)+1,FALSE)</f>
        <v>0</v>
      </c>
      <c r="O20" s="15" cm="1">
        <f t="array" ref="O20">+HLOOKUP($A$1,+[7]İcmal!$B$19:$AG$49,ROW(F18)+1,FALSE)</f>
        <v>0</v>
      </c>
      <c r="P20" s="15" cm="1">
        <f t="array" ref="P20">+HLOOKUP($A$1,+[8]İcmal!$B$19:$AG$49,ROW(G18)+1,FALSE)</f>
        <v>0</v>
      </c>
      <c r="Q20" s="15" cm="1">
        <f t="array" ref="Q20">+HLOOKUP($A$1,+[9]İcmal!$B$19:$AG$49,ROW(H18)+1,FALSE)</f>
        <v>0</v>
      </c>
      <c r="R20" s="15" cm="1">
        <f t="array" ref="R20">+HLOOKUP($A$1,+[10]İcmal!$B$19:$AG$49,ROW(I18)+1,FALSE)</f>
        <v>0</v>
      </c>
      <c r="S20" s="15" cm="1">
        <f t="array" ref="S20">+HLOOKUP($A$1,+[11]İcmal!$B$19:$AG$49,ROW(J18)+1,FALSE)</f>
        <v>0</v>
      </c>
      <c r="T20" s="15" cm="1">
        <f t="array" ref="T20">+HLOOKUP($A$1,+[12]İcmal!$B$19:$AG$49,ROW(K18)+1,FALSE)</f>
        <v>0</v>
      </c>
      <c r="U20" s="15" cm="1">
        <f t="array" ref="U20">+HLOOKUP($A$1,+[13]İcmal!$B$19:$AG$49,ROW(L18)+1,FALSE)</f>
        <v>0</v>
      </c>
      <c r="V20" s="15" cm="1">
        <f t="array" ref="V20">+HLOOKUP($A$1,+[14]İcmal!$B$19:$AG$49,ROW(M18)+1,FALSE)</f>
        <v>0</v>
      </c>
      <c r="W20" s="15" cm="1">
        <f t="array" ref="W20">+HLOOKUP($A$1,+[15]İcmal!$B$19:$AG$49,ROW(N18)+1,FALSE)</f>
        <v>0</v>
      </c>
      <c r="X20" s="15" cm="1">
        <f t="array" ref="X20">+HLOOKUP($A$1,+[16]İcmal!$B$19:$AG$49,ROW(O18)+1,FALSE)</f>
        <v>0</v>
      </c>
      <c r="Y20" s="15" cm="1">
        <f t="array" ref="Y20">+HLOOKUP($A$1,+[17]İcmal!$B$19:$AG$49,ROW(P18)+1,FALSE)</f>
        <v>0</v>
      </c>
      <c r="Z20" s="15" cm="1">
        <f t="array" ref="Z20">+HLOOKUP($A$1,+[18]İcmal!$B$19:$AG$49,ROW(Q18)+1,FALSE)</f>
        <v>0</v>
      </c>
      <c r="AA20" s="15" cm="1">
        <f t="array" ref="AA20">+HLOOKUP($A$1,+[19]İcmal!$B$19:$AG$49,ROW(R18)+1,FALSE)</f>
        <v>0</v>
      </c>
      <c r="AB20" s="15" cm="1">
        <f t="array" ref="AB20">+HLOOKUP($A$1,+[20]İcmal!$B$19:$AG$49,ROW(S18)+1,FALSE)</f>
        <v>0</v>
      </c>
      <c r="AC20" s="15" cm="1">
        <f t="array" ref="AC20">+HLOOKUP($A$1,+[21]İcmal!$B$19:$AG$49,ROW(T18)+1,FALSE)</f>
        <v>0</v>
      </c>
      <c r="AD20" s="15" cm="1">
        <f t="array" ref="AD20">+HLOOKUP($A$1,+[22]İcmal!$B$19:$AG$49,ROW(U18)+1,FALSE)</f>
        <v>0</v>
      </c>
      <c r="AE20" s="15" cm="1">
        <f t="array" ref="AE20">+HLOOKUP($A$1,+[23]İcmal!$B$19:$AG$49,ROW(V18)+1,FALSE)</f>
        <v>0</v>
      </c>
      <c r="AF20" s="15" cm="1">
        <f t="array" ref="AF20">+HLOOKUP($A$1,+[24]İcmal!$B$19:$AG$49,ROW(W18)+1,FALSE)</f>
        <v>0</v>
      </c>
      <c r="AG20" s="15" cm="1">
        <f t="array" ref="AG20">+HLOOKUP($A$1,+[25]İcmal!$B$19:$AG$49,ROW(X18)+1,FALSE)</f>
        <v>0</v>
      </c>
      <c r="AH20" s="15" cm="1">
        <f t="array" ref="AH20">+HLOOKUP($A$1,+[26]İcmal!$B$19:$AG$49,ROW(Y18)+1,FALSE)</f>
        <v>0</v>
      </c>
      <c r="AI20" s="15" cm="1">
        <f t="array" ref="AI20">+HLOOKUP($A$1,+[27]İcmal!$B$19:$AG$49,ROW(Z18)+1,FALSE)</f>
        <v>0</v>
      </c>
      <c r="AJ20" s="15" cm="1">
        <f t="array" ref="AJ20">+HLOOKUP($A$1,+[28]İcmal!$B$19:$AG$49,ROW(AA18)+1,FALSE)</f>
        <v>0</v>
      </c>
      <c r="AK20" s="15" cm="1">
        <f t="array" ref="AK20">+HLOOKUP($A$1,+[29]İcmal!$B$19:$AG$49,ROW(AB18)+1,FALSE)</f>
        <v>0</v>
      </c>
      <c r="AL20" s="15"/>
      <c r="AM20" s="15"/>
      <c r="AN20" s="15"/>
      <c r="AO20" s="15"/>
      <c r="AP20" s="15"/>
      <c r="AQ20" s="15"/>
      <c r="AR20" s="15"/>
      <c r="AS20" s="15"/>
      <c r="AT20" s="13"/>
    </row>
    <row r="21" spans="1:46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+HLOOKUP($A$1,+[2]İcmal!$B$19:$AG$49,ROW(A19)+1,FALSE)</f>
        <v>0</v>
      </c>
      <c r="K21" s="15" cm="1">
        <f t="array" ref="K21">+HLOOKUP($A$1,+[3]İcmal!$B$19:$AG$49,ROW(B19)+1,FALSE)</f>
        <v>0</v>
      </c>
      <c r="L21" s="15" cm="1">
        <f t="array" ref="L21">+HLOOKUP($A$1,+[4]İcmal!$B$19:$AG$49,ROW(C19)+1,FALSE)</f>
        <v>0</v>
      </c>
      <c r="M21" s="15" cm="1">
        <f t="array" ref="M21">+HLOOKUP($A$1,+[5]İcmal!$B$19:$AG$49,ROW(D19)+1,FALSE)</f>
        <v>0</v>
      </c>
      <c r="N21" s="15" cm="1">
        <f t="array" ref="N21">+HLOOKUP($A$1,+[6]İcmal!$B$19:$AG$49,ROW(E19)+1,FALSE)</f>
        <v>0</v>
      </c>
      <c r="O21" s="15" cm="1">
        <f t="array" ref="O21">+HLOOKUP($A$1,+[7]İcmal!$B$19:$AG$49,ROW(F19)+1,FALSE)</f>
        <v>0</v>
      </c>
      <c r="P21" s="15" cm="1">
        <f t="array" ref="P21">+HLOOKUP($A$1,+[8]İcmal!$B$19:$AG$49,ROW(G19)+1,FALSE)</f>
        <v>0</v>
      </c>
      <c r="Q21" s="15" cm="1">
        <f t="array" ref="Q21">+HLOOKUP($A$1,+[9]İcmal!$B$19:$AG$49,ROW(H19)+1,FALSE)</f>
        <v>0</v>
      </c>
      <c r="R21" s="15" cm="1">
        <f t="array" ref="R21">+HLOOKUP($A$1,+[10]İcmal!$B$19:$AG$49,ROW(I19)+1,FALSE)</f>
        <v>0</v>
      </c>
      <c r="S21" s="15" cm="1">
        <f t="array" ref="S21">+HLOOKUP($A$1,+[11]İcmal!$B$19:$AG$49,ROW(J19)+1,FALSE)</f>
        <v>0</v>
      </c>
      <c r="T21" s="15" cm="1">
        <f t="array" ref="T21">+HLOOKUP($A$1,+[12]İcmal!$B$19:$AG$49,ROW(K19)+1,FALSE)</f>
        <v>0</v>
      </c>
      <c r="U21" s="15" cm="1">
        <f t="array" ref="U21">+HLOOKUP($A$1,+[13]İcmal!$B$19:$AG$49,ROW(L19)+1,FALSE)</f>
        <v>0</v>
      </c>
      <c r="V21" s="15" cm="1">
        <f t="array" ref="V21">+HLOOKUP($A$1,+[14]İcmal!$B$19:$AG$49,ROW(M19)+1,FALSE)</f>
        <v>0</v>
      </c>
      <c r="W21" s="15" cm="1">
        <f t="array" ref="W21">+HLOOKUP($A$1,+[15]İcmal!$B$19:$AG$49,ROW(N19)+1,FALSE)</f>
        <v>0</v>
      </c>
      <c r="X21" s="15" cm="1">
        <f t="array" ref="X21">+HLOOKUP($A$1,+[16]İcmal!$B$19:$AG$49,ROW(O19)+1,FALSE)</f>
        <v>0</v>
      </c>
      <c r="Y21" s="15" cm="1">
        <f t="array" ref="Y21">+HLOOKUP($A$1,+[17]İcmal!$B$19:$AG$49,ROW(P19)+1,FALSE)</f>
        <v>0</v>
      </c>
      <c r="Z21" s="15" cm="1">
        <f t="array" ref="Z21">+HLOOKUP($A$1,+[18]İcmal!$B$19:$AG$49,ROW(Q19)+1,FALSE)</f>
        <v>0</v>
      </c>
      <c r="AA21" s="15" cm="1">
        <f t="array" ref="AA21">+HLOOKUP($A$1,+[19]İcmal!$B$19:$AG$49,ROW(R19)+1,FALSE)</f>
        <v>0</v>
      </c>
      <c r="AB21" s="15" cm="1">
        <f t="array" ref="AB21">+HLOOKUP($A$1,+[20]İcmal!$B$19:$AG$49,ROW(S19)+1,FALSE)</f>
        <v>0</v>
      </c>
      <c r="AC21" s="15" cm="1">
        <f t="array" ref="AC21">+HLOOKUP($A$1,+[21]İcmal!$B$19:$AG$49,ROW(T19)+1,FALSE)</f>
        <v>0</v>
      </c>
      <c r="AD21" s="15" cm="1">
        <f t="array" ref="AD21">+HLOOKUP($A$1,+[22]İcmal!$B$19:$AG$49,ROW(U19)+1,FALSE)</f>
        <v>0</v>
      </c>
      <c r="AE21" s="15" cm="1">
        <f t="array" ref="AE21">+HLOOKUP($A$1,+[23]İcmal!$B$19:$AG$49,ROW(V19)+1,FALSE)</f>
        <v>0</v>
      </c>
      <c r="AF21" s="15" cm="1">
        <f t="array" ref="AF21">+HLOOKUP($A$1,+[24]İcmal!$B$19:$AG$49,ROW(W19)+1,FALSE)</f>
        <v>0</v>
      </c>
      <c r="AG21" s="15" cm="1">
        <f t="array" ref="AG21">+HLOOKUP($A$1,+[25]İcmal!$B$19:$AG$49,ROW(X19)+1,FALSE)</f>
        <v>0</v>
      </c>
      <c r="AH21" s="15" cm="1">
        <f t="array" ref="AH21">+HLOOKUP($A$1,+[26]İcmal!$B$19:$AG$49,ROW(Y19)+1,FALSE)</f>
        <v>0</v>
      </c>
      <c r="AI21" s="15" cm="1">
        <f t="array" ref="AI21">+HLOOKUP($A$1,+[27]İcmal!$B$19:$AG$49,ROW(Z19)+1,FALSE)</f>
        <v>0</v>
      </c>
      <c r="AJ21" s="15" cm="1">
        <f t="array" ref="AJ21">+HLOOKUP($A$1,+[28]İcmal!$B$19:$AG$49,ROW(AA19)+1,FALSE)</f>
        <v>0</v>
      </c>
      <c r="AK21" s="15" cm="1">
        <f t="array" ref="AK21">+HLOOKUP($A$1,+[29]İcmal!$B$19:$AG$49,ROW(AB19)+1,FALSE)</f>
        <v>0</v>
      </c>
      <c r="AL21" s="15"/>
      <c r="AM21" s="15"/>
      <c r="AN21" s="15"/>
      <c r="AO21" s="15"/>
      <c r="AP21" s="15"/>
      <c r="AQ21" s="15"/>
      <c r="AR21" s="15"/>
      <c r="AS21" s="15"/>
      <c r="AT21" s="13"/>
    </row>
    <row r="22" spans="1:46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+HLOOKUP($A$1,+[2]İcmal!$B$19:$AG$49,ROW(A20)+1,FALSE)</f>
        <v>0</v>
      </c>
      <c r="K22" s="15" cm="1">
        <f t="array" ref="K22">+HLOOKUP($A$1,+[3]İcmal!$B$19:$AG$49,ROW(B20)+1,FALSE)</f>
        <v>0</v>
      </c>
      <c r="L22" s="15" cm="1">
        <f t="array" ref="L22">+HLOOKUP($A$1,+[4]İcmal!$B$19:$AG$49,ROW(C20)+1,FALSE)</f>
        <v>0</v>
      </c>
      <c r="M22" s="15" cm="1">
        <f t="array" ref="M22">+HLOOKUP($A$1,+[5]İcmal!$B$19:$AG$49,ROW(D20)+1,FALSE)</f>
        <v>0</v>
      </c>
      <c r="N22" s="15" cm="1">
        <f t="array" ref="N22">+HLOOKUP($A$1,+[6]İcmal!$B$19:$AG$49,ROW(E20)+1,FALSE)</f>
        <v>0</v>
      </c>
      <c r="O22" s="15" cm="1">
        <f t="array" ref="O22">+HLOOKUP($A$1,+[7]İcmal!$B$19:$AG$49,ROW(F20)+1,FALSE)</f>
        <v>0</v>
      </c>
      <c r="P22" s="15" cm="1">
        <f t="array" ref="P22">+HLOOKUP($A$1,+[8]İcmal!$B$19:$AG$49,ROW(G20)+1,FALSE)</f>
        <v>0</v>
      </c>
      <c r="Q22" s="15" cm="1">
        <f t="array" ref="Q22">+HLOOKUP($A$1,+[9]İcmal!$B$19:$AG$49,ROW(H20)+1,FALSE)</f>
        <v>0</v>
      </c>
      <c r="R22" s="15" cm="1">
        <f t="array" ref="R22">+HLOOKUP($A$1,+[10]İcmal!$B$19:$AG$49,ROW(I20)+1,FALSE)</f>
        <v>0</v>
      </c>
      <c r="S22" s="15" cm="1">
        <f t="array" ref="S22">+HLOOKUP($A$1,+[11]İcmal!$B$19:$AG$49,ROW(J20)+1,FALSE)</f>
        <v>0</v>
      </c>
      <c r="T22" s="15" cm="1">
        <f t="array" ref="T22">+HLOOKUP($A$1,+[12]İcmal!$B$19:$AG$49,ROW(K20)+1,FALSE)</f>
        <v>0</v>
      </c>
      <c r="U22" s="15" cm="1">
        <f t="array" ref="U22">+HLOOKUP($A$1,+[13]İcmal!$B$19:$AG$49,ROW(L20)+1,FALSE)</f>
        <v>0</v>
      </c>
      <c r="V22" s="15" cm="1">
        <f t="array" ref="V22">+HLOOKUP($A$1,+[14]İcmal!$B$19:$AG$49,ROW(M20)+1,FALSE)</f>
        <v>0</v>
      </c>
      <c r="W22" s="15" cm="1">
        <f t="array" ref="W22">+HLOOKUP($A$1,+[15]İcmal!$B$19:$AG$49,ROW(N20)+1,FALSE)</f>
        <v>0</v>
      </c>
      <c r="X22" s="15" cm="1">
        <f t="array" ref="X22">+HLOOKUP($A$1,+[16]İcmal!$B$19:$AG$49,ROW(O20)+1,FALSE)</f>
        <v>0</v>
      </c>
      <c r="Y22" s="15" cm="1">
        <f t="array" ref="Y22">+HLOOKUP($A$1,+[17]İcmal!$B$19:$AG$49,ROW(P20)+1,FALSE)</f>
        <v>0</v>
      </c>
      <c r="Z22" s="15" cm="1">
        <f t="array" ref="Z22">+HLOOKUP($A$1,+[18]İcmal!$B$19:$AG$49,ROW(Q20)+1,FALSE)</f>
        <v>0</v>
      </c>
      <c r="AA22" s="15" cm="1">
        <f t="array" ref="AA22">+HLOOKUP($A$1,+[19]İcmal!$B$19:$AG$49,ROW(R20)+1,FALSE)</f>
        <v>0</v>
      </c>
      <c r="AB22" s="15" cm="1">
        <f t="array" ref="AB22">+HLOOKUP($A$1,+[20]İcmal!$B$19:$AG$49,ROW(S20)+1,FALSE)</f>
        <v>0</v>
      </c>
      <c r="AC22" s="15" cm="1">
        <f t="array" ref="AC22">+HLOOKUP($A$1,+[21]İcmal!$B$19:$AG$49,ROW(T20)+1,FALSE)</f>
        <v>0</v>
      </c>
      <c r="AD22" s="15" cm="1">
        <f t="array" ref="AD22">+HLOOKUP($A$1,+[22]İcmal!$B$19:$AG$49,ROW(U20)+1,FALSE)</f>
        <v>0</v>
      </c>
      <c r="AE22" s="15" cm="1">
        <f t="array" ref="AE22">+HLOOKUP($A$1,+[23]İcmal!$B$19:$AG$49,ROW(V20)+1,FALSE)</f>
        <v>0</v>
      </c>
      <c r="AF22" s="15" cm="1">
        <f t="array" ref="AF22">+HLOOKUP($A$1,+[24]İcmal!$B$19:$AG$49,ROW(W20)+1,FALSE)</f>
        <v>0</v>
      </c>
      <c r="AG22" s="15" cm="1">
        <f t="array" ref="AG22">+HLOOKUP($A$1,+[25]İcmal!$B$19:$AG$49,ROW(X20)+1,FALSE)</f>
        <v>0</v>
      </c>
      <c r="AH22" s="15" cm="1">
        <f t="array" ref="AH22">+HLOOKUP($A$1,+[26]İcmal!$B$19:$AG$49,ROW(Y20)+1,FALSE)</f>
        <v>0</v>
      </c>
      <c r="AI22" s="15" cm="1">
        <f t="array" ref="AI22">+HLOOKUP($A$1,+[27]İcmal!$B$19:$AG$49,ROW(Z20)+1,FALSE)</f>
        <v>0</v>
      </c>
      <c r="AJ22" s="15" cm="1">
        <f t="array" ref="AJ22">+HLOOKUP($A$1,+[28]İcmal!$B$19:$AG$49,ROW(AA20)+1,FALSE)</f>
        <v>0</v>
      </c>
      <c r="AK22" s="15" cm="1">
        <f t="array" ref="AK22">+HLOOKUP($A$1,+[29]İcmal!$B$19:$AG$49,ROW(AB20)+1,FALSE)</f>
        <v>0</v>
      </c>
      <c r="AL22" s="15"/>
      <c r="AM22" s="15"/>
      <c r="AN22" s="15"/>
      <c r="AO22" s="15"/>
      <c r="AP22" s="15"/>
      <c r="AQ22" s="15"/>
      <c r="AR22" s="15"/>
      <c r="AS22" s="15"/>
      <c r="AT22" s="13"/>
    </row>
    <row r="23" spans="1:46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+HLOOKUP($A$1,+[2]İcmal!$B$19:$AG$49,ROW(A21)+1,FALSE)</f>
        <v>0</v>
      </c>
      <c r="K23" s="15" cm="1">
        <f t="array" ref="K23">+HLOOKUP($A$1,+[3]İcmal!$B$19:$AG$49,ROW(B21)+1,FALSE)</f>
        <v>0</v>
      </c>
      <c r="L23" s="15" cm="1">
        <f t="array" ref="L23">+HLOOKUP($A$1,+[4]İcmal!$B$19:$AG$49,ROW(C21)+1,FALSE)</f>
        <v>0</v>
      </c>
      <c r="M23" s="15" cm="1">
        <f t="array" ref="M23">+HLOOKUP($A$1,+[5]İcmal!$B$19:$AG$49,ROW(D21)+1,FALSE)</f>
        <v>0</v>
      </c>
      <c r="N23" s="15" cm="1">
        <f t="array" ref="N23">+HLOOKUP($A$1,+[6]İcmal!$B$19:$AG$49,ROW(E21)+1,FALSE)</f>
        <v>0</v>
      </c>
      <c r="O23" s="15" cm="1">
        <f t="array" ref="O23">+HLOOKUP($A$1,+[7]İcmal!$B$19:$AG$49,ROW(F21)+1,FALSE)</f>
        <v>0</v>
      </c>
      <c r="P23" s="15" cm="1">
        <f t="array" ref="P23">+HLOOKUP($A$1,+[8]İcmal!$B$19:$AG$49,ROW(G21)+1,FALSE)</f>
        <v>0</v>
      </c>
      <c r="Q23" s="15" cm="1">
        <f t="array" ref="Q23">+HLOOKUP($A$1,+[9]İcmal!$B$19:$AG$49,ROW(H21)+1,FALSE)</f>
        <v>0</v>
      </c>
      <c r="R23" s="15" cm="1">
        <f t="array" ref="R23">+HLOOKUP($A$1,+[10]İcmal!$B$19:$AG$49,ROW(I21)+1,FALSE)</f>
        <v>0</v>
      </c>
      <c r="S23" s="15" cm="1">
        <f t="array" ref="S23">+HLOOKUP($A$1,+[11]İcmal!$B$19:$AG$49,ROW(J21)+1,FALSE)</f>
        <v>0</v>
      </c>
      <c r="T23" s="15" cm="1">
        <f t="array" ref="T23">+HLOOKUP($A$1,+[12]İcmal!$B$19:$AG$49,ROW(K21)+1,FALSE)</f>
        <v>0</v>
      </c>
      <c r="U23" s="15" cm="1">
        <f t="array" ref="U23">+HLOOKUP($A$1,+[13]İcmal!$B$19:$AG$49,ROW(L21)+1,FALSE)</f>
        <v>0</v>
      </c>
      <c r="V23" s="15" cm="1">
        <f t="array" ref="V23">+HLOOKUP($A$1,+[14]İcmal!$B$19:$AG$49,ROW(M21)+1,FALSE)</f>
        <v>0</v>
      </c>
      <c r="W23" s="15" cm="1">
        <f t="array" ref="W23">+HLOOKUP($A$1,+[15]İcmal!$B$19:$AG$49,ROW(N21)+1,FALSE)</f>
        <v>0</v>
      </c>
      <c r="X23" s="15" cm="1">
        <f t="array" ref="X23">+HLOOKUP($A$1,+[16]İcmal!$B$19:$AG$49,ROW(O21)+1,FALSE)</f>
        <v>0</v>
      </c>
      <c r="Y23" s="15" cm="1">
        <f t="array" ref="Y23">+HLOOKUP($A$1,+[17]İcmal!$B$19:$AG$49,ROW(P21)+1,FALSE)</f>
        <v>0</v>
      </c>
      <c r="Z23" s="15" cm="1">
        <f t="array" ref="Z23">+HLOOKUP($A$1,+[18]İcmal!$B$19:$AG$49,ROW(Q21)+1,FALSE)</f>
        <v>0</v>
      </c>
      <c r="AA23" s="15" cm="1">
        <f t="array" ref="AA23">+HLOOKUP($A$1,+[19]İcmal!$B$19:$AG$49,ROW(R21)+1,FALSE)</f>
        <v>0</v>
      </c>
      <c r="AB23" s="15" cm="1">
        <f t="array" ref="AB23">+HLOOKUP($A$1,+[20]İcmal!$B$19:$AG$49,ROW(S21)+1,FALSE)</f>
        <v>0</v>
      </c>
      <c r="AC23" s="15" cm="1">
        <f t="array" ref="AC23">+HLOOKUP($A$1,+[21]İcmal!$B$19:$AG$49,ROW(T21)+1,FALSE)</f>
        <v>0</v>
      </c>
      <c r="AD23" s="15" cm="1">
        <f t="array" ref="AD23">+HLOOKUP($A$1,+[22]İcmal!$B$19:$AG$49,ROW(U21)+1,FALSE)</f>
        <v>0</v>
      </c>
      <c r="AE23" s="15" cm="1">
        <f t="array" ref="AE23">+HLOOKUP($A$1,+[23]İcmal!$B$19:$AG$49,ROW(V21)+1,FALSE)</f>
        <v>0</v>
      </c>
      <c r="AF23" s="15" cm="1">
        <f t="array" ref="AF23">+HLOOKUP($A$1,+[24]İcmal!$B$19:$AG$49,ROW(W21)+1,FALSE)</f>
        <v>0</v>
      </c>
      <c r="AG23" s="15" cm="1">
        <f t="array" ref="AG23">+HLOOKUP($A$1,+[25]İcmal!$B$19:$AG$49,ROW(X21)+1,FALSE)</f>
        <v>0</v>
      </c>
      <c r="AH23" s="15" cm="1">
        <f t="array" ref="AH23">+HLOOKUP($A$1,+[26]İcmal!$B$19:$AG$49,ROW(Y21)+1,FALSE)</f>
        <v>0</v>
      </c>
      <c r="AI23" s="15" cm="1">
        <f t="array" ref="AI23">+HLOOKUP($A$1,+[27]İcmal!$B$19:$AG$49,ROW(Z21)+1,FALSE)</f>
        <v>0</v>
      </c>
      <c r="AJ23" s="15" cm="1">
        <f t="array" ref="AJ23">+HLOOKUP($A$1,+[28]İcmal!$B$19:$AG$49,ROW(AA21)+1,FALSE)</f>
        <v>0</v>
      </c>
      <c r="AK23" s="15" cm="1">
        <f t="array" ref="AK23">+HLOOKUP($A$1,+[29]İcmal!$B$19:$AG$49,ROW(AB21)+1,FALSE)</f>
        <v>0</v>
      </c>
      <c r="AL23" s="15"/>
      <c r="AM23" s="15"/>
      <c r="AN23" s="15"/>
      <c r="AO23" s="15"/>
      <c r="AP23" s="15"/>
      <c r="AQ23" s="15"/>
      <c r="AR23" s="15"/>
      <c r="AS23" s="15"/>
      <c r="AT23" s="13"/>
    </row>
    <row r="24" spans="1:46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+HLOOKUP($A$1,+[2]İcmal!$B$19:$AG$49,ROW(A22)+1,FALSE)</f>
        <v>0</v>
      </c>
      <c r="K24" s="15" cm="1">
        <f t="array" ref="K24">+HLOOKUP($A$1,+[3]İcmal!$B$19:$AG$49,ROW(B22)+1,FALSE)</f>
        <v>0</v>
      </c>
      <c r="L24" s="15" cm="1">
        <f t="array" ref="L24">+HLOOKUP($A$1,+[4]İcmal!$B$19:$AG$49,ROW(C22)+1,FALSE)</f>
        <v>0</v>
      </c>
      <c r="M24" s="15" cm="1">
        <f t="array" ref="M24">+HLOOKUP($A$1,+[5]İcmal!$B$19:$AG$49,ROW(D22)+1,FALSE)</f>
        <v>0</v>
      </c>
      <c r="N24" s="15" cm="1">
        <f t="array" ref="N24">+HLOOKUP($A$1,+[6]İcmal!$B$19:$AG$49,ROW(E22)+1,FALSE)</f>
        <v>0</v>
      </c>
      <c r="O24" s="15" cm="1">
        <f t="array" ref="O24">+HLOOKUP($A$1,+[7]İcmal!$B$19:$AG$49,ROW(F22)+1,FALSE)</f>
        <v>0</v>
      </c>
      <c r="P24" s="15" cm="1">
        <f t="array" ref="P24">+HLOOKUP($A$1,+[8]İcmal!$B$19:$AG$49,ROW(G22)+1,FALSE)</f>
        <v>0</v>
      </c>
      <c r="Q24" s="15" cm="1">
        <f t="array" ref="Q24">+HLOOKUP($A$1,+[9]İcmal!$B$19:$AG$49,ROW(H22)+1,FALSE)</f>
        <v>0</v>
      </c>
      <c r="R24" s="15" cm="1">
        <f t="array" ref="R24">+HLOOKUP($A$1,+[10]İcmal!$B$19:$AG$49,ROW(I22)+1,FALSE)</f>
        <v>0</v>
      </c>
      <c r="S24" s="15" cm="1">
        <f t="array" ref="S24">+HLOOKUP($A$1,+[11]İcmal!$B$19:$AG$49,ROW(J22)+1,FALSE)</f>
        <v>0</v>
      </c>
      <c r="T24" s="15" cm="1">
        <f t="array" ref="T24">+HLOOKUP($A$1,+[12]İcmal!$B$19:$AG$49,ROW(K22)+1,FALSE)</f>
        <v>0</v>
      </c>
      <c r="U24" s="15" cm="1">
        <f t="array" ref="U24">+HLOOKUP($A$1,+[13]İcmal!$B$19:$AG$49,ROW(L22)+1,FALSE)</f>
        <v>0</v>
      </c>
      <c r="V24" s="15" cm="1">
        <f t="array" ref="V24">+HLOOKUP($A$1,+[14]İcmal!$B$19:$AG$49,ROW(M22)+1,FALSE)</f>
        <v>0</v>
      </c>
      <c r="W24" s="15" cm="1">
        <f t="array" ref="W24">+HLOOKUP($A$1,+[15]İcmal!$B$19:$AG$49,ROW(N22)+1,FALSE)</f>
        <v>0</v>
      </c>
      <c r="X24" s="15" cm="1">
        <f t="array" ref="X24">+HLOOKUP($A$1,+[16]İcmal!$B$19:$AG$49,ROW(O22)+1,FALSE)</f>
        <v>0</v>
      </c>
      <c r="Y24" s="15" cm="1">
        <f t="array" ref="Y24">+HLOOKUP($A$1,+[17]İcmal!$B$19:$AG$49,ROW(P22)+1,FALSE)</f>
        <v>0</v>
      </c>
      <c r="Z24" s="15" cm="1">
        <f t="array" ref="Z24">+HLOOKUP($A$1,+[18]İcmal!$B$19:$AG$49,ROW(Q22)+1,FALSE)</f>
        <v>0</v>
      </c>
      <c r="AA24" s="15" cm="1">
        <f t="array" ref="AA24">+HLOOKUP($A$1,+[19]İcmal!$B$19:$AG$49,ROW(R22)+1,FALSE)</f>
        <v>0</v>
      </c>
      <c r="AB24" s="15" cm="1">
        <f t="array" ref="AB24">+HLOOKUP($A$1,+[20]İcmal!$B$19:$AG$49,ROW(S22)+1,FALSE)</f>
        <v>0</v>
      </c>
      <c r="AC24" s="15" cm="1">
        <f t="array" ref="AC24">+HLOOKUP($A$1,+[21]İcmal!$B$19:$AG$49,ROW(T22)+1,FALSE)</f>
        <v>0</v>
      </c>
      <c r="AD24" s="15" cm="1">
        <f t="array" ref="AD24">+HLOOKUP($A$1,+[22]İcmal!$B$19:$AG$49,ROW(U22)+1,FALSE)</f>
        <v>0</v>
      </c>
      <c r="AE24" s="15" cm="1">
        <f t="array" ref="AE24">+HLOOKUP($A$1,+[23]İcmal!$B$19:$AG$49,ROW(V22)+1,FALSE)</f>
        <v>0</v>
      </c>
      <c r="AF24" s="15" cm="1">
        <f t="array" ref="AF24">+HLOOKUP($A$1,+[24]İcmal!$B$19:$AG$49,ROW(W22)+1,FALSE)</f>
        <v>0</v>
      </c>
      <c r="AG24" s="15" cm="1">
        <f t="array" ref="AG24">+HLOOKUP($A$1,+[25]İcmal!$B$19:$AG$49,ROW(X22)+1,FALSE)</f>
        <v>0</v>
      </c>
      <c r="AH24" s="15" cm="1">
        <f t="array" ref="AH24">+HLOOKUP($A$1,+[26]İcmal!$B$19:$AG$49,ROW(Y22)+1,FALSE)</f>
        <v>0</v>
      </c>
      <c r="AI24" s="15" cm="1">
        <f t="array" ref="AI24">+HLOOKUP($A$1,+[27]İcmal!$B$19:$AG$49,ROW(Z22)+1,FALSE)</f>
        <v>0</v>
      </c>
      <c r="AJ24" s="15" cm="1">
        <f t="array" ref="AJ24">+HLOOKUP($A$1,+[28]İcmal!$B$19:$AG$49,ROW(AA22)+1,FALSE)</f>
        <v>0</v>
      </c>
      <c r="AK24" s="15" cm="1">
        <f t="array" ref="AK24">+HLOOKUP($A$1,+[29]İcmal!$B$19:$AG$49,ROW(AB22)+1,FALSE)</f>
        <v>0</v>
      </c>
      <c r="AL24" s="15"/>
      <c r="AM24" s="15"/>
      <c r="AN24" s="15"/>
      <c r="AO24" s="15"/>
      <c r="AP24" s="15"/>
      <c r="AQ24" s="15"/>
      <c r="AR24" s="15"/>
      <c r="AS24" s="15"/>
      <c r="AT24" s="13"/>
    </row>
    <row r="25" spans="1:46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+HLOOKUP($A$1,+[2]İcmal!$B$19:$AG$49,ROW(A23)+1,FALSE)</f>
        <v>0</v>
      </c>
      <c r="K25" s="15" cm="1">
        <f t="array" ref="K25">+HLOOKUP($A$1,+[3]İcmal!$B$19:$AG$49,ROW(B23)+1,FALSE)</f>
        <v>0</v>
      </c>
      <c r="L25" s="15" cm="1">
        <f t="array" ref="L25">+HLOOKUP($A$1,+[4]İcmal!$B$19:$AG$49,ROW(C23)+1,FALSE)</f>
        <v>0</v>
      </c>
      <c r="M25" s="15" cm="1">
        <f t="array" ref="M25">+HLOOKUP($A$1,+[5]İcmal!$B$19:$AG$49,ROW(D23)+1,FALSE)</f>
        <v>0</v>
      </c>
      <c r="N25" s="15" cm="1">
        <f t="array" ref="N25">+HLOOKUP($A$1,+[6]İcmal!$B$19:$AG$49,ROW(E23)+1,FALSE)</f>
        <v>0</v>
      </c>
      <c r="O25" s="15" cm="1">
        <f t="array" ref="O25">+HLOOKUP($A$1,+[7]İcmal!$B$19:$AG$49,ROW(F23)+1,FALSE)</f>
        <v>0</v>
      </c>
      <c r="P25" s="15" cm="1">
        <f t="array" ref="P25">+HLOOKUP($A$1,+[8]İcmal!$B$19:$AG$49,ROW(G23)+1,FALSE)</f>
        <v>0</v>
      </c>
      <c r="Q25" s="15" cm="1">
        <f t="array" ref="Q25">+HLOOKUP($A$1,+[9]İcmal!$B$19:$AG$49,ROW(H23)+1,FALSE)</f>
        <v>0</v>
      </c>
      <c r="R25" s="15" cm="1">
        <f t="array" ref="R25">+HLOOKUP($A$1,+[10]İcmal!$B$19:$AG$49,ROW(I23)+1,FALSE)</f>
        <v>0</v>
      </c>
      <c r="S25" s="15" cm="1">
        <f t="array" ref="S25">+HLOOKUP($A$1,+[11]İcmal!$B$19:$AG$49,ROW(J23)+1,FALSE)</f>
        <v>0</v>
      </c>
      <c r="T25" s="15" cm="1">
        <f t="array" ref="T25">+HLOOKUP($A$1,+[12]İcmal!$B$19:$AG$49,ROW(K23)+1,FALSE)</f>
        <v>0</v>
      </c>
      <c r="U25" s="15" cm="1">
        <f t="array" ref="U25">+HLOOKUP($A$1,+[13]İcmal!$B$19:$AG$49,ROW(L23)+1,FALSE)</f>
        <v>0</v>
      </c>
      <c r="V25" s="15" cm="1">
        <f t="array" ref="V25">+HLOOKUP($A$1,+[14]İcmal!$B$19:$AG$49,ROW(M23)+1,FALSE)</f>
        <v>0</v>
      </c>
      <c r="W25" s="15" cm="1">
        <f t="array" ref="W25">+HLOOKUP($A$1,+[15]İcmal!$B$19:$AG$49,ROW(N23)+1,FALSE)</f>
        <v>0</v>
      </c>
      <c r="X25" s="15" cm="1">
        <f t="array" ref="X25">+HLOOKUP($A$1,+[16]İcmal!$B$19:$AG$49,ROW(O23)+1,FALSE)</f>
        <v>0</v>
      </c>
      <c r="Y25" s="15" cm="1">
        <f t="array" ref="Y25">+HLOOKUP($A$1,+[17]İcmal!$B$19:$AG$49,ROW(P23)+1,FALSE)</f>
        <v>0</v>
      </c>
      <c r="Z25" s="15" cm="1">
        <f t="array" ref="Z25">+HLOOKUP($A$1,+[18]İcmal!$B$19:$AG$49,ROW(Q23)+1,FALSE)</f>
        <v>0</v>
      </c>
      <c r="AA25" s="15" cm="1">
        <f t="array" ref="AA25">+HLOOKUP($A$1,+[19]İcmal!$B$19:$AG$49,ROW(R23)+1,FALSE)</f>
        <v>0</v>
      </c>
      <c r="AB25" s="15" cm="1">
        <f t="array" ref="AB25">+HLOOKUP($A$1,+[20]İcmal!$B$19:$AG$49,ROW(S23)+1,FALSE)</f>
        <v>0</v>
      </c>
      <c r="AC25" s="15" cm="1">
        <f t="array" ref="AC25">+HLOOKUP($A$1,+[21]İcmal!$B$19:$AG$49,ROW(T23)+1,FALSE)</f>
        <v>0</v>
      </c>
      <c r="AD25" s="15" cm="1">
        <f t="array" ref="AD25">+HLOOKUP($A$1,+[22]İcmal!$B$19:$AG$49,ROW(U23)+1,FALSE)</f>
        <v>0</v>
      </c>
      <c r="AE25" s="15" cm="1">
        <f t="array" ref="AE25">+HLOOKUP($A$1,+[23]İcmal!$B$19:$AG$49,ROW(V23)+1,FALSE)</f>
        <v>0</v>
      </c>
      <c r="AF25" s="15" cm="1">
        <f t="array" ref="AF25">+HLOOKUP($A$1,+[24]İcmal!$B$19:$AG$49,ROW(W23)+1,FALSE)</f>
        <v>0</v>
      </c>
      <c r="AG25" s="15" cm="1">
        <f t="array" ref="AG25">+HLOOKUP($A$1,+[25]İcmal!$B$19:$AG$49,ROW(X23)+1,FALSE)</f>
        <v>0</v>
      </c>
      <c r="AH25" s="15" cm="1">
        <f t="array" ref="AH25">+HLOOKUP($A$1,+[26]İcmal!$B$19:$AG$49,ROW(Y23)+1,FALSE)</f>
        <v>0</v>
      </c>
      <c r="AI25" s="15" cm="1">
        <f t="array" ref="AI25">+HLOOKUP($A$1,+[27]İcmal!$B$19:$AG$49,ROW(Z23)+1,FALSE)</f>
        <v>0</v>
      </c>
      <c r="AJ25" s="15" cm="1">
        <f t="array" ref="AJ25">+HLOOKUP($A$1,+[28]İcmal!$B$19:$AG$49,ROW(AA23)+1,FALSE)</f>
        <v>0</v>
      </c>
      <c r="AK25" s="15" cm="1">
        <f t="array" ref="AK25">+HLOOKUP($A$1,+[29]İcmal!$B$19:$AG$49,ROW(AB23)+1,FALSE)</f>
        <v>0</v>
      </c>
      <c r="AL25" s="15"/>
      <c r="AM25" s="15"/>
      <c r="AN25" s="15"/>
      <c r="AO25" s="15"/>
      <c r="AP25" s="15"/>
      <c r="AQ25" s="15"/>
      <c r="AR25" s="15"/>
      <c r="AS25" s="15"/>
      <c r="AT25" s="13"/>
    </row>
    <row r="26" spans="1:46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+HLOOKUP($A$1,+[2]İcmal!$B$19:$AG$49,ROW(A24)+1,FALSE)</f>
        <v>0</v>
      </c>
      <c r="K26" s="15" cm="1">
        <f t="array" ref="K26">+HLOOKUP($A$1,+[3]İcmal!$B$19:$AG$49,ROW(B24)+1,FALSE)</f>
        <v>0</v>
      </c>
      <c r="L26" s="15" cm="1">
        <f t="array" ref="L26">+HLOOKUP($A$1,+[4]İcmal!$B$19:$AG$49,ROW(C24)+1,FALSE)</f>
        <v>0</v>
      </c>
      <c r="M26" s="15" cm="1">
        <f t="array" ref="M26">+HLOOKUP($A$1,+[5]İcmal!$B$19:$AG$49,ROW(D24)+1,FALSE)</f>
        <v>0</v>
      </c>
      <c r="N26" s="15" cm="1">
        <f t="array" ref="N26">+HLOOKUP($A$1,+[6]İcmal!$B$19:$AG$49,ROW(E24)+1,FALSE)</f>
        <v>0</v>
      </c>
      <c r="O26" s="15" cm="1">
        <f t="array" ref="O26">+HLOOKUP($A$1,+[7]İcmal!$B$19:$AG$49,ROW(F24)+1,FALSE)</f>
        <v>0</v>
      </c>
      <c r="P26" s="15" cm="1">
        <f t="array" ref="P26">+HLOOKUP($A$1,+[8]İcmal!$B$19:$AG$49,ROW(G24)+1,FALSE)</f>
        <v>0</v>
      </c>
      <c r="Q26" s="15" cm="1">
        <f t="array" ref="Q26">+HLOOKUP($A$1,+[9]İcmal!$B$19:$AG$49,ROW(H24)+1,FALSE)</f>
        <v>0</v>
      </c>
      <c r="R26" s="15" cm="1">
        <f t="array" ref="R26">+HLOOKUP($A$1,+[10]İcmal!$B$19:$AG$49,ROW(I24)+1,FALSE)</f>
        <v>0</v>
      </c>
      <c r="S26" s="15" cm="1">
        <f t="array" ref="S26">+HLOOKUP($A$1,+[11]İcmal!$B$19:$AG$49,ROW(J24)+1,FALSE)</f>
        <v>0</v>
      </c>
      <c r="T26" s="15" cm="1">
        <f t="array" ref="T26">+HLOOKUP($A$1,+[12]İcmal!$B$19:$AG$49,ROW(K24)+1,FALSE)</f>
        <v>0</v>
      </c>
      <c r="U26" s="15" cm="1">
        <f t="array" ref="U26">+HLOOKUP($A$1,+[13]İcmal!$B$19:$AG$49,ROW(L24)+1,FALSE)</f>
        <v>0</v>
      </c>
      <c r="V26" s="15" cm="1">
        <f t="array" ref="V26">+HLOOKUP($A$1,+[14]İcmal!$B$19:$AG$49,ROW(M24)+1,FALSE)</f>
        <v>0</v>
      </c>
      <c r="W26" s="15" cm="1">
        <f t="array" ref="W26">+HLOOKUP($A$1,+[15]İcmal!$B$19:$AG$49,ROW(N24)+1,FALSE)</f>
        <v>0</v>
      </c>
      <c r="X26" s="15" cm="1">
        <f t="array" ref="X26">+HLOOKUP($A$1,+[16]İcmal!$B$19:$AG$49,ROW(O24)+1,FALSE)</f>
        <v>0</v>
      </c>
      <c r="Y26" s="15" cm="1">
        <f t="array" ref="Y26">+HLOOKUP($A$1,+[17]İcmal!$B$19:$AG$49,ROW(P24)+1,FALSE)</f>
        <v>0</v>
      </c>
      <c r="Z26" s="15" cm="1">
        <f t="array" ref="Z26">+HLOOKUP($A$1,+[18]İcmal!$B$19:$AG$49,ROW(Q24)+1,FALSE)</f>
        <v>0</v>
      </c>
      <c r="AA26" s="15" cm="1">
        <f t="array" ref="AA26">+HLOOKUP($A$1,+[19]İcmal!$B$19:$AG$49,ROW(R24)+1,FALSE)</f>
        <v>0</v>
      </c>
      <c r="AB26" s="15" cm="1">
        <f t="array" ref="AB26">+HLOOKUP($A$1,+[20]İcmal!$B$19:$AG$49,ROW(S24)+1,FALSE)</f>
        <v>0</v>
      </c>
      <c r="AC26" s="15" cm="1">
        <f t="array" ref="AC26">+HLOOKUP($A$1,+[21]İcmal!$B$19:$AG$49,ROW(T24)+1,FALSE)</f>
        <v>0</v>
      </c>
      <c r="AD26" s="15" cm="1">
        <f t="array" ref="AD26">+HLOOKUP($A$1,+[22]İcmal!$B$19:$AG$49,ROW(U24)+1,FALSE)</f>
        <v>0</v>
      </c>
      <c r="AE26" s="15" cm="1">
        <f t="array" ref="AE26">+HLOOKUP($A$1,+[23]İcmal!$B$19:$AG$49,ROW(V24)+1,FALSE)</f>
        <v>0</v>
      </c>
      <c r="AF26" s="15" cm="1">
        <f t="array" ref="AF26">+HLOOKUP($A$1,+[24]İcmal!$B$19:$AG$49,ROW(W24)+1,FALSE)</f>
        <v>0</v>
      </c>
      <c r="AG26" s="15" cm="1">
        <f t="array" ref="AG26">+HLOOKUP($A$1,+[25]İcmal!$B$19:$AG$49,ROW(X24)+1,FALSE)</f>
        <v>0</v>
      </c>
      <c r="AH26" s="15" cm="1">
        <f t="array" ref="AH26">+HLOOKUP($A$1,+[26]İcmal!$B$19:$AG$49,ROW(Y24)+1,FALSE)</f>
        <v>0</v>
      </c>
      <c r="AI26" s="15" cm="1">
        <f t="array" ref="AI26">+HLOOKUP($A$1,+[27]İcmal!$B$19:$AG$49,ROW(Z24)+1,FALSE)</f>
        <v>0</v>
      </c>
      <c r="AJ26" s="15" cm="1">
        <f t="array" ref="AJ26">+HLOOKUP($A$1,+[28]İcmal!$B$19:$AG$49,ROW(AA24)+1,FALSE)</f>
        <v>0</v>
      </c>
      <c r="AK26" s="15" cm="1">
        <f t="array" ref="AK26">+HLOOKUP($A$1,+[29]İcmal!$B$19:$AG$49,ROW(AB24)+1,FALSE)</f>
        <v>0</v>
      </c>
      <c r="AL26" s="15"/>
      <c r="AM26" s="15"/>
      <c r="AN26" s="15"/>
      <c r="AO26" s="15"/>
      <c r="AP26" s="15"/>
      <c r="AQ26" s="15"/>
      <c r="AR26" s="15"/>
      <c r="AS26" s="15"/>
      <c r="AT26" s="13"/>
    </row>
    <row r="27" spans="1:46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+HLOOKUP($A$1,+[2]İcmal!$B$19:$AG$49,ROW(A25)+1,FALSE)</f>
        <v>0</v>
      </c>
      <c r="K27" s="15" cm="1">
        <f t="array" ref="K27">+HLOOKUP($A$1,+[3]İcmal!$B$19:$AG$49,ROW(B25)+1,FALSE)</f>
        <v>0</v>
      </c>
      <c r="L27" s="15" cm="1">
        <f t="array" ref="L27">+HLOOKUP($A$1,+[4]İcmal!$B$19:$AG$49,ROW(C25)+1,FALSE)</f>
        <v>0</v>
      </c>
      <c r="M27" s="15" cm="1">
        <f t="array" ref="M27">+HLOOKUP($A$1,+[5]İcmal!$B$19:$AG$49,ROW(D25)+1,FALSE)</f>
        <v>0</v>
      </c>
      <c r="N27" s="15" cm="1">
        <f t="array" ref="N27">+HLOOKUP($A$1,+[6]İcmal!$B$19:$AG$49,ROW(E25)+1,FALSE)</f>
        <v>0</v>
      </c>
      <c r="O27" s="15" cm="1">
        <f t="array" ref="O27">+HLOOKUP($A$1,+[7]İcmal!$B$19:$AG$49,ROW(F25)+1,FALSE)</f>
        <v>0</v>
      </c>
      <c r="P27" s="15" cm="1">
        <f t="array" ref="P27">+HLOOKUP($A$1,+[8]İcmal!$B$19:$AG$49,ROW(G25)+1,FALSE)</f>
        <v>0</v>
      </c>
      <c r="Q27" s="15" cm="1">
        <f t="array" ref="Q27">+HLOOKUP($A$1,+[9]İcmal!$B$19:$AG$49,ROW(H25)+1,FALSE)</f>
        <v>0</v>
      </c>
      <c r="R27" s="15" cm="1">
        <f t="array" ref="R27">+HLOOKUP($A$1,+[10]İcmal!$B$19:$AG$49,ROW(I25)+1,FALSE)</f>
        <v>0</v>
      </c>
      <c r="S27" s="15" cm="1">
        <f t="array" ref="S27">+HLOOKUP($A$1,+[11]İcmal!$B$19:$AG$49,ROW(J25)+1,FALSE)</f>
        <v>0</v>
      </c>
      <c r="T27" s="15" cm="1">
        <f t="array" ref="T27">+HLOOKUP($A$1,+[12]İcmal!$B$19:$AG$49,ROW(K25)+1,FALSE)</f>
        <v>0</v>
      </c>
      <c r="U27" s="15" cm="1">
        <f t="array" ref="U27">+HLOOKUP($A$1,+[13]İcmal!$B$19:$AG$49,ROW(L25)+1,FALSE)</f>
        <v>0</v>
      </c>
      <c r="V27" s="15" cm="1">
        <f t="array" ref="V27">+HLOOKUP($A$1,+[14]İcmal!$B$19:$AG$49,ROW(M25)+1,FALSE)</f>
        <v>0</v>
      </c>
      <c r="W27" s="15" cm="1">
        <f t="array" ref="W27">+HLOOKUP($A$1,+[15]İcmal!$B$19:$AG$49,ROW(N25)+1,FALSE)</f>
        <v>0</v>
      </c>
      <c r="X27" s="15" cm="1">
        <f t="array" ref="X27">+HLOOKUP($A$1,+[16]İcmal!$B$19:$AG$49,ROW(O25)+1,FALSE)</f>
        <v>0</v>
      </c>
      <c r="Y27" s="15" cm="1">
        <f t="array" ref="Y27">+HLOOKUP($A$1,+[17]İcmal!$B$19:$AG$49,ROW(P25)+1,FALSE)</f>
        <v>0</v>
      </c>
      <c r="Z27" s="15" cm="1">
        <f t="array" ref="Z27">+HLOOKUP($A$1,+[18]İcmal!$B$19:$AG$49,ROW(Q25)+1,FALSE)</f>
        <v>0</v>
      </c>
      <c r="AA27" s="15" cm="1">
        <f t="array" ref="AA27">+HLOOKUP($A$1,+[19]İcmal!$B$19:$AG$49,ROW(R25)+1,FALSE)</f>
        <v>0</v>
      </c>
      <c r="AB27" s="15" cm="1">
        <f t="array" ref="AB27">+HLOOKUP($A$1,+[20]İcmal!$B$19:$AG$49,ROW(S25)+1,FALSE)</f>
        <v>0</v>
      </c>
      <c r="AC27" s="15" cm="1">
        <f t="array" ref="AC27">+HLOOKUP($A$1,+[21]İcmal!$B$19:$AG$49,ROW(T25)+1,FALSE)</f>
        <v>0</v>
      </c>
      <c r="AD27" s="15" cm="1">
        <f t="array" ref="AD27">+HLOOKUP($A$1,+[22]İcmal!$B$19:$AG$49,ROW(U25)+1,FALSE)</f>
        <v>0</v>
      </c>
      <c r="AE27" s="15" cm="1">
        <f t="array" ref="AE27">+HLOOKUP($A$1,+[23]İcmal!$B$19:$AG$49,ROW(V25)+1,FALSE)</f>
        <v>0</v>
      </c>
      <c r="AF27" s="15" cm="1">
        <f t="array" ref="AF27">+HLOOKUP($A$1,+[24]İcmal!$B$19:$AG$49,ROW(W25)+1,FALSE)</f>
        <v>0</v>
      </c>
      <c r="AG27" s="15" cm="1">
        <f t="array" ref="AG27">+HLOOKUP($A$1,+[25]İcmal!$B$19:$AG$49,ROW(X25)+1,FALSE)</f>
        <v>0</v>
      </c>
      <c r="AH27" s="15" cm="1">
        <f t="array" ref="AH27">+HLOOKUP($A$1,+[26]İcmal!$B$19:$AG$49,ROW(Y25)+1,FALSE)</f>
        <v>0</v>
      </c>
      <c r="AI27" s="15" cm="1">
        <f t="array" ref="AI27">+HLOOKUP($A$1,+[27]İcmal!$B$19:$AG$49,ROW(Z25)+1,FALSE)</f>
        <v>0</v>
      </c>
      <c r="AJ27" s="15" cm="1">
        <f t="array" ref="AJ27">+HLOOKUP($A$1,+[28]İcmal!$B$19:$AG$49,ROW(AA25)+1,FALSE)</f>
        <v>0</v>
      </c>
      <c r="AK27" s="15" cm="1">
        <f t="array" ref="AK27">+HLOOKUP($A$1,+[29]İcmal!$B$19:$AG$49,ROW(AB25)+1,FALSE)</f>
        <v>0</v>
      </c>
      <c r="AL27" s="15"/>
      <c r="AM27" s="15"/>
      <c r="AN27" s="15"/>
      <c r="AO27" s="15"/>
      <c r="AP27" s="15"/>
      <c r="AQ27" s="15"/>
      <c r="AR27" s="15"/>
      <c r="AS27" s="15"/>
      <c r="AT27" s="13"/>
    </row>
    <row r="28" spans="1:46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7.7260000000000018</v>
      </c>
      <c r="I28" s="9">
        <f t="shared" si="2"/>
        <v>357327.50000000006</v>
      </c>
      <c r="J28" s="15" cm="1">
        <f t="array" ref="J28">+HLOOKUP($A$1,+[2]İcmal!$B$19:$AG$49,ROW(A26)+1,FALSE)</f>
        <v>0</v>
      </c>
      <c r="K28" s="15" cm="1">
        <f t="array" ref="K28">+HLOOKUP($A$1,+[3]İcmal!$B$19:$AG$49,ROW(B26)+1,FALSE)</f>
        <v>0</v>
      </c>
      <c r="L28" s="15" cm="1">
        <f t="array" ref="L28">+HLOOKUP($A$1,+[4]İcmal!$B$19:$AG$49,ROW(C26)+1,FALSE)</f>
        <v>0</v>
      </c>
      <c r="M28" s="15" cm="1">
        <f t="array" ref="M28">+HLOOKUP($A$1,+[5]İcmal!$B$19:$AG$49,ROW(D26)+1,FALSE)</f>
        <v>0</v>
      </c>
      <c r="N28" s="15" cm="1">
        <f t="array" ref="N28">+HLOOKUP($A$1,+[6]İcmal!$B$19:$AG$49,ROW(E26)+1,FALSE)</f>
        <v>2.1280000000000019</v>
      </c>
      <c r="O28" s="15" cm="1">
        <f t="array" ref="O28">+HLOOKUP($A$1,+[7]İcmal!$B$19:$AG$49,ROW(F26)+1,FALSE)</f>
        <v>1.5030000000000001</v>
      </c>
      <c r="P28" s="15" cm="1">
        <f t="array" ref="P28">+HLOOKUP($A$1,+[8]İcmal!$B$19:$AG$49,ROW(G26)+1,FALSE)</f>
        <v>0</v>
      </c>
      <c r="Q28" s="15" cm="1">
        <f t="array" ref="Q28">+HLOOKUP($A$1,+[9]İcmal!$B$19:$AG$49,ROW(H26)+1,FALSE)</f>
        <v>0</v>
      </c>
      <c r="R28" s="15" cm="1">
        <f t="array" ref="R28">+HLOOKUP($A$1,+[10]İcmal!$B$19:$AG$49,ROW(I26)+1,FALSE)</f>
        <v>2.0039999999999996</v>
      </c>
      <c r="S28" s="15" cm="1">
        <f t="array" ref="S28">+HLOOKUP($A$1,+[11]İcmal!$B$19:$AG$49,ROW(J26)+1,FALSE)</f>
        <v>1.81</v>
      </c>
      <c r="T28" s="15" cm="1">
        <f t="array" ref="T28">+HLOOKUP($A$1,+[12]İcmal!$B$19:$AG$49,ROW(K26)+1,FALSE)</f>
        <v>0</v>
      </c>
      <c r="U28" s="15" cm="1">
        <f t="array" ref="U28">+HLOOKUP($A$1,+[13]İcmal!$B$19:$AG$49,ROW(L26)+1,FALSE)</f>
        <v>0</v>
      </c>
      <c r="V28" s="15" cm="1">
        <f t="array" ref="V28">+HLOOKUP($A$1,+[14]İcmal!$B$19:$AG$49,ROW(M26)+1,FALSE)</f>
        <v>0</v>
      </c>
      <c r="W28" s="15" cm="1">
        <f t="array" ref="W28">+HLOOKUP($A$1,+[15]İcmal!$B$19:$AG$49,ROW(N26)+1,FALSE)</f>
        <v>0</v>
      </c>
      <c r="X28" s="15" cm="1">
        <f t="array" ref="X28">+HLOOKUP($A$1,+[16]İcmal!$B$19:$AG$49,ROW(O26)+1,FALSE)</f>
        <v>0</v>
      </c>
      <c r="Y28" s="15" cm="1">
        <f t="array" ref="Y28">+HLOOKUP($A$1,+[17]İcmal!$B$19:$AG$49,ROW(P26)+1,FALSE)</f>
        <v>0</v>
      </c>
      <c r="Z28" s="15" cm="1">
        <f t="array" ref="Z28">+HLOOKUP($A$1,+[18]İcmal!$B$19:$AG$49,ROW(Q26)+1,FALSE)</f>
        <v>0</v>
      </c>
      <c r="AA28" s="15" cm="1">
        <f t="array" ref="AA28">+HLOOKUP($A$1,+[19]İcmal!$B$19:$AG$49,ROW(R26)+1,FALSE)</f>
        <v>0</v>
      </c>
      <c r="AB28" s="15" cm="1">
        <f t="array" ref="AB28">+HLOOKUP($A$1,+[20]İcmal!$B$19:$AG$49,ROW(S26)+1,FALSE)</f>
        <v>0</v>
      </c>
      <c r="AC28" s="15" cm="1">
        <f t="array" ref="AC28">+HLOOKUP($A$1,+[21]İcmal!$B$19:$AG$49,ROW(T26)+1,FALSE)</f>
        <v>0</v>
      </c>
      <c r="AD28" s="15" cm="1">
        <f t="array" ref="AD28">+HLOOKUP($A$1,+[22]İcmal!$B$19:$AG$49,ROW(U26)+1,FALSE)</f>
        <v>4.4999999999999998E-2</v>
      </c>
      <c r="AE28" s="15" cm="1">
        <f t="array" ref="AE28">+HLOOKUP($A$1,+[23]İcmal!$B$19:$AG$49,ROW(V26)+1,FALSE)</f>
        <v>0</v>
      </c>
      <c r="AF28" s="15" cm="1">
        <f t="array" ref="AF28">+HLOOKUP($A$1,+[24]İcmal!$B$19:$AG$49,ROW(W26)+1,FALSE)</f>
        <v>0.13499999999999995</v>
      </c>
      <c r="AG28" s="15" cm="1">
        <f t="array" ref="AG28">+HLOOKUP($A$1,+[25]İcmal!$B$19:$AG$49,ROW(X26)+1,FALSE)</f>
        <v>0</v>
      </c>
      <c r="AH28" s="15" cm="1">
        <f t="array" ref="AH28">+HLOOKUP($A$1,+[26]İcmal!$B$19:$AG$49,ROW(Y26)+1,FALSE)</f>
        <v>0</v>
      </c>
      <c r="AI28" s="15" cm="1">
        <f t="array" ref="AI28">+HLOOKUP($A$1,+[27]İcmal!$B$19:$AG$49,ROW(Z26)+1,FALSE)</f>
        <v>0.10100000000000001</v>
      </c>
      <c r="AJ28" s="15" cm="1">
        <f t="array" ref="AJ28">+HLOOKUP($A$1,+[28]İcmal!$B$19:$AG$49,ROW(AA26)+1,FALSE)</f>
        <v>0</v>
      </c>
      <c r="AK28" s="15" cm="1">
        <f t="array" ref="AK28">+HLOOKUP($A$1,+[29]İcmal!$B$19:$AG$49,ROW(AB26)+1,FALSE)</f>
        <v>0</v>
      </c>
      <c r="AL28" s="15"/>
      <c r="AM28" s="15"/>
      <c r="AN28" s="15"/>
      <c r="AO28" s="15"/>
      <c r="AP28" s="15"/>
      <c r="AQ28" s="15"/>
      <c r="AR28" s="15"/>
      <c r="AS28" s="15"/>
      <c r="AT28" s="13"/>
    </row>
    <row r="29" spans="1:46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+HLOOKUP($A$1,+[2]İcmal!$B$19:$AG$49,ROW(A27)+1,FALSE)</f>
        <v>0</v>
      </c>
      <c r="K29" s="15" cm="1">
        <f t="array" ref="K29">+HLOOKUP($A$1,+[3]İcmal!$B$19:$AG$49,ROW(B27)+1,FALSE)</f>
        <v>0</v>
      </c>
      <c r="L29" s="15" cm="1">
        <f t="array" ref="L29">+HLOOKUP($A$1,+[4]İcmal!$B$19:$AG$49,ROW(C27)+1,FALSE)</f>
        <v>0</v>
      </c>
      <c r="M29" s="15" cm="1">
        <f t="array" ref="M29">+HLOOKUP($A$1,+[5]İcmal!$B$19:$AG$49,ROW(D27)+1,FALSE)</f>
        <v>0</v>
      </c>
      <c r="N29" s="15" cm="1">
        <f t="array" ref="N29">+HLOOKUP($A$1,+[6]İcmal!$B$19:$AG$49,ROW(E27)+1,FALSE)</f>
        <v>0</v>
      </c>
      <c r="O29" s="15" cm="1">
        <f t="array" ref="O29">+HLOOKUP($A$1,+[7]İcmal!$B$19:$AG$49,ROW(F27)+1,FALSE)</f>
        <v>0</v>
      </c>
      <c r="P29" s="15" cm="1">
        <f t="array" ref="P29">+HLOOKUP($A$1,+[8]İcmal!$B$19:$AG$49,ROW(G27)+1,FALSE)</f>
        <v>0</v>
      </c>
      <c r="Q29" s="15" cm="1">
        <f t="array" ref="Q29">+HLOOKUP($A$1,+[9]İcmal!$B$19:$AG$49,ROW(H27)+1,FALSE)</f>
        <v>0</v>
      </c>
      <c r="R29" s="15" cm="1">
        <f t="array" ref="R29">+HLOOKUP($A$1,+[10]İcmal!$B$19:$AG$49,ROW(I27)+1,FALSE)</f>
        <v>0</v>
      </c>
      <c r="S29" s="15" cm="1">
        <f t="array" ref="S29">+HLOOKUP($A$1,+[11]İcmal!$B$19:$AG$49,ROW(J27)+1,FALSE)</f>
        <v>0</v>
      </c>
      <c r="T29" s="15" cm="1">
        <f t="array" ref="T29">+HLOOKUP($A$1,+[12]İcmal!$B$19:$AG$49,ROW(K27)+1,FALSE)</f>
        <v>0</v>
      </c>
      <c r="U29" s="15" cm="1">
        <f t="array" ref="U29">+HLOOKUP($A$1,+[13]İcmal!$B$19:$AG$49,ROW(L27)+1,FALSE)</f>
        <v>0</v>
      </c>
      <c r="V29" s="15" cm="1">
        <f t="array" ref="V29">+HLOOKUP($A$1,+[14]İcmal!$B$19:$AG$49,ROW(M27)+1,FALSE)</f>
        <v>0</v>
      </c>
      <c r="W29" s="15" cm="1">
        <f t="array" ref="W29">+HLOOKUP($A$1,+[15]İcmal!$B$19:$AG$49,ROW(N27)+1,FALSE)</f>
        <v>0</v>
      </c>
      <c r="X29" s="15" cm="1">
        <f t="array" ref="X29">+HLOOKUP($A$1,+[16]İcmal!$B$19:$AG$49,ROW(O27)+1,FALSE)</f>
        <v>0</v>
      </c>
      <c r="Y29" s="15" cm="1">
        <f t="array" ref="Y29">+HLOOKUP($A$1,+[17]İcmal!$B$19:$AG$49,ROW(P27)+1,FALSE)</f>
        <v>0</v>
      </c>
      <c r="Z29" s="15" cm="1">
        <f t="array" ref="Z29">+HLOOKUP($A$1,+[18]İcmal!$B$19:$AG$49,ROW(Q27)+1,FALSE)</f>
        <v>0</v>
      </c>
      <c r="AA29" s="15" cm="1">
        <f t="array" ref="AA29">+HLOOKUP($A$1,+[19]İcmal!$B$19:$AG$49,ROW(R27)+1,FALSE)</f>
        <v>0</v>
      </c>
      <c r="AB29" s="15" cm="1">
        <f t="array" ref="AB29">+HLOOKUP($A$1,+[20]İcmal!$B$19:$AG$49,ROW(S27)+1,FALSE)</f>
        <v>0</v>
      </c>
      <c r="AC29" s="15" cm="1">
        <f t="array" ref="AC29">+HLOOKUP($A$1,+[21]İcmal!$B$19:$AG$49,ROW(T27)+1,FALSE)</f>
        <v>0</v>
      </c>
      <c r="AD29" s="15" cm="1">
        <f t="array" ref="AD29">+HLOOKUP($A$1,+[22]İcmal!$B$19:$AG$49,ROW(U27)+1,FALSE)</f>
        <v>0</v>
      </c>
      <c r="AE29" s="15" cm="1">
        <f t="array" ref="AE29">+HLOOKUP($A$1,+[23]İcmal!$B$19:$AG$49,ROW(V27)+1,FALSE)</f>
        <v>0</v>
      </c>
      <c r="AF29" s="15" cm="1">
        <f t="array" ref="AF29">+HLOOKUP($A$1,+[24]İcmal!$B$19:$AG$49,ROW(W27)+1,FALSE)</f>
        <v>0</v>
      </c>
      <c r="AG29" s="15" cm="1">
        <f t="array" ref="AG29">+HLOOKUP($A$1,+[25]İcmal!$B$19:$AG$49,ROW(X27)+1,FALSE)</f>
        <v>0</v>
      </c>
      <c r="AH29" s="15" cm="1">
        <f t="array" ref="AH29">+HLOOKUP($A$1,+[26]İcmal!$B$19:$AG$49,ROW(Y27)+1,FALSE)</f>
        <v>0</v>
      </c>
      <c r="AI29" s="15" cm="1">
        <f t="array" ref="AI29">+HLOOKUP($A$1,+[27]İcmal!$B$19:$AG$49,ROW(Z27)+1,FALSE)</f>
        <v>0</v>
      </c>
      <c r="AJ29" s="15" cm="1">
        <f t="array" ref="AJ29">+HLOOKUP($A$1,+[28]İcmal!$B$19:$AG$49,ROW(AA27)+1,FALSE)</f>
        <v>0</v>
      </c>
      <c r="AK29" s="15" cm="1">
        <f t="array" ref="AK29">+HLOOKUP($A$1,+[29]İcmal!$B$19:$AG$49,ROW(AB27)+1,FALSE)</f>
        <v>0</v>
      </c>
      <c r="AL29" s="15"/>
      <c r="AM29" s="15"/>
      <c r="AN29" s="15"/>
      <c r="AO29" s="15"/>
      <c r="AP29" s="15"/>
      <c r="AQ29" s="15"/>
      <c r="AR29" s="15"/>
      <c r="AS29" s="15"/>
      <c r="AT29" s="13"/>
    </row>
    <row r="30" spans="1:46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45.045999999999999</v>
      </c>
      <c r="I30" s="9">
        <f t="shared" si="2"/>
        <v>4384462.318</v>
      </c>
      <c r="J30" s="15" cm="1">
        <f t="array" ref="J30">+HLOOKUP($A$1,+[2]İcmal!$B$19:$AG$49,ROW(A28)+1,FALSE)</f>
        <v>0</v>
      </c>
      <c r="K30" s="15" cm="1">
        <f t="array" ref="K30">+HLOOKUP($A$1,+[3]İcmal!$B$19:$AG$49,ROW(B28)+1,FALSE)</f>
        <v>0</v>
      </c>
      <c r="L30" s="15" cm="1">
        <f t="array" ref="L30">+HLOOKUP($A$1,+[4]İcmal!$B$19:$AG$49,ROW(C28)+1,FALSE)</f>
        <v>0</v>
      </c>
      <c r="M30" s="15" cm="1">
        <f t="array" ref="M30">+HLOOKUP($A$1,+[5]İcmal!$B$19:$AG$49,ROW(D28)+1,FALSE)</f>
        <v>0</v>
      </c>
      <c r="N30" s="15" cm="1">
        <f t="array" ref="N30">+HLOOKUP($A$1,+[6]İcmal!$B$19:$AG$49,ROW(E28)+1,FALSE)</f>
        <v>10.170999999999999</v>
      </c>
      <c r="O30" s="15" cm="1">
        <f t="array" ref="O30">+HLOOKUP($A$1,+[7]İcmal!$B$19:$AG$49,ROW(F28)+1,FALSE)</f>
        <v>9.0139999999999993</v>
      </c>
      <c r="P30" s="15" cm="1">
        <f t="array" ref="P30">+HLOOKUP($A$1,+[8]İcmal!$B$19:$AG$49,ROW(G28)+1,FALSE)</f>
        <v>0</v>
      </c>
      <c r="Q30" s="15" cm="1">
        <f t="array" ref="Q30">+HLOOKUP($A$1,+[9]İcmal!$B$19:$AG$49,ROW(H28)+1,FALSE)</f>
        <v>0</v>
      </c>
      <c r="R30" s="15" cm="1">
        <f t="array" ref="R30">+HLOOKUP($A$1,+[10]İcmal!$B$19:$AG$49,ROW(I28)+1,FALSE)</f>
        <v>9.7959999999999994</v>
      </c>
      <c r="S30" s="15" cm="1">
        <f t="array" ref="S30">+HLOOKUP($A$1,+[11]İcmal!$B$19:$AG$49,ROW(J28)+1,FALSE)</f>
        <v>10.976000000000003</v>
      </c>
      <c r="T30" s="15" cm="1">
        <f t="array" ref="T30">+HLOOKUP($A$1,+[12]İcmal!$B$19:$AG$49,ROW(K28)+1,FALSE)</f>
        <v>0</v>
      </c>
      <c r="U30" s="15" cm="1">
        <f t="array" ref="U30">+HLOOKUP($A$1,+[13]İcmal!$B$19:$AG$49,ROW(L28)+1,FALSE)</f>
        <v>0</v>
      </c>
      <c r="V30" s="15" cm="1">
        <f t="array" ref="V30">+HLOOKUP($A$1,+[14]İcmal!$B$19:$AG$49,ROW(M28)+1,FALSE)</f>
        <v>0</v>
      </c>
      <c r="W30" s="15" cm="1">
        <f t="array" ref="W30">+HLOOKUP($A$1,+[15]İcmal!$B$19:$AG$49,ROW(N28)+1,FALSE)</f>
        <v>0</v>
      </c>
      <c r="X30" s="15" cm="1">
        <f t="array" ref="X30">+HLOOKUP($A$1,+[16]İcmal!$B$19:$AG$49,ROW(O28)+1,FALSE)</f>
        <v>0</v>
      </c>
      <c r="Y30" s="15" cm="1">
        <f t="array" ref="Y30">+HLOOKUP($A$1,+[17]İcmal!$B$19:$AG$49,ROW(P28)+1,FALSE)</f>
        <v>0</v>
      </c>
      <c r="Z30" s="15" cm="1">
        <f t="array" ref="Z30">+HLOOKUP($A$1,+[18]İcmal!$B$19:$AG$49,ROW(Q28)+1,FALSE)</f>
        <v>0</v>
      </c>
      <c r="AA30" s="15" cm="1">
        <f t="array" ref="AA30">+HLOOKUP($A$1,+[19]İcmal!$B$19:$AG$49,ROW(R28)+1,FALSE)</f>
        <v>0</v>
      </c>
      <c r="AB30" s="15" cm="1">
        <f t="array" ref="AB30">+HLOOKUP($A$1,+[20]İcmal!$B$19:$AG$49,ROW(S28)+1,FALSE)</f>
        <v>0.87300000000000022</v>
      </c>
      <c r="AC30" s="15" cm="1">
        <f t="array" ref="AC30">+HLOOKUP($A$1,+[21]İcmal!$B$19:$AG$49,ROW(T28)+1,FALSE)</f>
        <v>0</v>
      </c>
      <c r="AD30" s="15" cm="1">
        <f t="array" ref="AD30">+HLOOKUP($A$1,+[22]İcmal!$B$19:$AG$49,ROW(U28)+1,FALSE)</f>
        <v>0.154</v>
      </c>
      <c r="AE30" s="15" cm="1">
        <f t="array" ref="AE30">+HLOOKUP($A$1,+[23]İcmal!$B$19:$AG$49,ROW(V28)+1,FALSE)</f>
        <v>0</v>
      </c>
      <c r="AF30" s="15" cm="1">
        <f t="array" ref="AF30">+HLOOKUP($A$1,+[24]İcmal!$B$19:$AG$49,ROW(W28)+1,FALSE)</f>
        <v>2.2189999999999999</v>
      </c>
      <c r="AG30" s="15" cm="1">
        <f t="array" ref="AG30">+HLOOKUP($A$1,+[25]İcmal!$B$19:$AG$49,ROW(X28)+1,FALSE)</f>
        <v>0</v>
      </c>
      <c r="AH30" s="15" cm="1">
        <f t="array" ref="AH30">+HLOOKUP($A$1,+[26]İcmal!$B$19:$AG$49,ROW(Y28)+1,FALSE)</f>
        <v>0.87300000000000022</v>
      </c>
      <c r="AI30" s="15" cm="1">
        <f t="array" ref="AI30">+HLOOKUP($A$1,+[27]İcmal!$B$19:$AG$49,ROW(Z28)+1,FALSE)</f>
        <v>0.97</v>
      </c>
      <c r="AJ30" s="15" cm="1">
        <f t="array" ref="AJ30">+HLOOKUP($A$1,+[28]İcmal!$B$19:$AG$49,ROW(AA28)+1,FALSE)</f>
        <v>0</v>
      </c>
      <c r="AK30" s="15" cm="1">
        <f t="array" ref="AK30">+HLOOKUP($A$1,+[29]İcmal!$B$19:$AG$49,ROW(AB28)+1,FALSE)</f>
        <v>0</v>
      </c>
      <c r="AL30" s="15"/>
      <c r="AM30" s="15"/>
      <c r="AN30" s="15"/>
      <c r="AO30" s="15"/>
      <c r="AP30" s="15"/>
      <c r="AQ30" s="15"/>
      <c r="AR30" s="15"/>
      <c r="AS30" s="15"/>
      <c r="AT30" s="13"/>
    </row>
    <row r="31" spans="1:46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+HLOOKUP($A$1,+[2]İcmal!$B$19:$AG$49,ROW(A29)+1,FALSE)</f>
        <v>0</v>
      </c>
      <c r="K31" s="15" cm="1">
        <f t="array" ref="K31">+HLOOKUP($A$1,+[3]İcmal!$B$19:$AG$49,ROW(B29)+1,FALSE)</f>
        <v>0</v>
      </c>
      <c r="L31" s="15" cm="1">
        <f t="array" ref="L31">+HLOOKUP($A$1,+[4]İcmal!$B$19:$AG$49,ROW(C29)+1,FALSE)</f>
        <v>0</v>
      </c>
      <c r="M31" s="15" cm="1">
        <f t="array" ref="M31">+HLOOKUP($A$1,+[5]İcmal!$B$19:$AG$49,ROW(D29)+1,FALSE)</f>
        <v>0</v>
      </c>
      <c r="N31" s="15" cm="1">
        <f t="array" ref="N31">+HLOOKUP($A$1,+[6]İcmal!$B$19:$AG$49,ROW(E29)+1,FALSE)</f>
        <v>0</v>
      </c>
      <c r="O31" s="15" cm="1">
        <f t="array" ref="O31">+HLOOKUP($A$1,+[7]İcmal!$B$19:$AG$49,ROW(F29)+1,FALSE)</f>
        <v>0</v>
      </c>
      <c r="P31" s="15" cm="1">
        <f t="array" ref="P31">+HLOOKUP($A$1,+[8]İcmal!$B$19:$AG$49,ROW(G29)+1,FALSE)</f>
        <v>0</v>
      </c>
      <c r="Q31" s="15" cm="1">
        <f t="array" ref="Q31">+HLOOKUP($A$1,+[9]İcmal!$B$19:$AG$49,ROW(H29)+1,FALSE)</f>
        <v>0</v>
      </c>
      <c r="R31" s="15" cm="1">
        <f t="array" ref="R31">+HLOOKUP($A$1,+[10]İcmal!$B$19:$AG$49,ROW(I29)+1,FALSE)</f>
        <v>0</v>
      </c>
      <c r="S31" s="15" cm="1">
        <f t="array" ref="S31">+HLOOKUP($A$1,+[11]İcmal!$B$19:$AG$49,ROW(J29)+1,FALSE)</f>
        <v>0</v>
      </c>
      <c r="T31" s="15" cm="1">
        <f t="array" ref="T31">+HLOOKUP($A$1,+[12]İcmal!$B$19:$AG$49,ROW(K29)+1,FALSE)</f>
        <v>0</v>
      </c>
      <c r="U31" s="15" cm="1">
        <f t="array" ref="U31">+HLOOKUP($A$1,+[13]İcmal!$B$19:$AG$49,ROW(L29)+1,FALSE)</f>
        <v>0</v>
      </c>
      <c r="V31" s="15" cm="1">
        <f t="array" ref="V31">+HLOOKUP($A$1,+[14]İcmal!$B$19:$AG$49,ROW(M29)+1,FALSE)</f>
        <v>0</v>
      </c>
      <c r="W31" s="15" cm="1">
        <f t="array" ref="W31">+HLOOKUP($A$1,+[15]İcmal!$B$19:$AG$49,ROW(N29)+1,FALSE)</f>
        <v>0</v>
      </c>
      <c r="X31" s="15" cm="1">
        <f t="array" ref="X31">+HLOOKUP($A$1,+[16]İcmal!$B$19:$AG$49,ROW(O29)+1,FALSE)</f>
        <v>0</v>
      </c>
      <c r="Y31" s="15" cm="1">
        <f t="array" ref="Y31">+HLOOKUP($A$1,+[17]İcmal!$B$19:$AG$49,ROW(P29)+1,FALSE)</f>
        <v>0</v>
      </c>
      <c r="Z31" s="15" cm="1">
        <f t="array" ref="Z31">+HLOOKUP($A$1,+[18]İcmal!$B$19:$AG$49,ROW(Q29)+1,FALSE)</f>
        <v>0</v>
      </c>
      <c r="AA31" s="15" cm="1">
        <f t="array" ref="AA31">+HLOOKUP($A$1,+[19]İcmal!$B$19:$AG$49,ROW(R29)+1,FALSE)</f>
        <v>0</v>
      </c>
      <c r="AB31" s="15" cm="1">
        <f t="array" ref="AB31">+HLOOKUP($A$1,+[20]İcmal!$B$19:$AG$49,ROW(S29)+1,FALSE)</f>
        <v>0</v>
      </c>
      <c r="AC31" s="15" cm="1">
        <f t="array" ref="AC31">+HLOOKUP($A$1,+[21]İcmal!$B$19:$AG$49,ROW(T29)+1,FALSE)</f>
        <v>0</v>
      </c>
      <c r="AD31" s="15" cm="1">
        <f t="array" ref="AD31">+HLOOKUP($A$1,+[22]İcmal!$B$19:$AG$49,ROW(U29)+1,FALSE)</f>
        <v>0</v>
      </c>
      <c r="AE31" s="15" cm="1">
        <f t="array" ref="AE31">+HLOOKUP($A$1,+[23]İcmal!$B$19:$AG$49,ROW(V29)+1,FALSE)</f>
        <v>0</v>
      </c>
      <c r="AF31" s="15" cm="1">
        <f t="array" ref="AF31">+HLOOKUP($A$1,+[24]İcmal!$B$19:$AG$49,ROW(W29)+1,FALSE)</f>
        <v>0</v>
      </c>
      <c r="AG31" s="15" cm="1">
        <f t="array" ref="AG31">+HLOOKUP($A$1,+[25]İcmal!$B$19:$AG$49,ROW(X29)+1,FALSE)</f>
        <v>0</v>
      </c>
      <c r="AH31" s="15" cm="1">
        <f t="array" ref="AH31">+HLOOKUP($A$1,+[26]İcmal!$B$19:$AG$49,ROW(Y29)+1,FALSE)</f>
        <v>0</v>
      </c>
      <c r="AI31" s="15" cm="1">
        <f t="array" ref="AI31">+HLOOKUP($A$1,+[27]İcmal!$B$19:$AG$49,ROW(Z29)+1,FALSE)</f>
        <v>0</v>
      </c>
      <c r="AJ31" s="15" cm="1">
        <f t="array" ref="AJ31">+HLOOKUP($A$1,+[28]İcmal!$B$19:$AG$49,ROW(AA29)+1,FALSE)</f>
        <v>0</v>
      </c>
      <c r="AK31" s="15" cm="1">
        <f t="array" ref="AK31">+HLOOKUP($A$1,+[29]İcmal!$B$19:$AG$49,ROW(AB29)+1,FALSE)</f>
        <v>0</v>
      </c>
      <c r="AL31" s="15"/>
      <c r="AM31" s="15"/>
      <c r="AN31" s="15"/>
      <c r="AO31" s="15"/>
      <c r="AP31" s="15"/>
      <c r="AQ31" s="15"/>
      <c r="AR31" s="15"/>
      <c r="AS31" s="15"/>
      <c r="AT31" s="13"/>
    </row>
    <row r="32" spans="1:46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+HLOOKUP($A$1,+[2]İcmal!$B$19:$AG$49,ROW(A30)+1,FALSE)</f>
        <v>0</v>
      </c>
      <c r="K32" s="15" cm="1">
        <f t="array" ref="K32">+HLOOKUP($A$1,+[3]İcmal!$B$19:$AG$49,ROW(B30)+1,FALSE)</f>
        <v>0</v>
      </c>
      <c r="L32" s="15" cm="1">
        <f t="array" ref="L32">+HLOOKUP($A$1,+[4]İcmal!$B$19:$AG$49,ROW(C30)+1,FALSE)</f>
        <v>0</v>
      </c>
      <c r="M32" s="15" cm="1">
        <f t="array" ref="M32">+HLOOKUP($A$1,+[5]İcmal!$B$19:$AG$49,ROW(D30)+1,FALSE)</f>
        <v>0</v>
      </c>
      <c r="N32" s="15" cm="1">
        <f t="array" ref="N32">+HLOOKUP($A$1,+[6]İcmal!$B$19:$AG$49,ROW(E30)+1,FALSE)</f>
        <v>0</v>
      </c>
      <c r="O32" s="15" cm="1">
        <f t="array" ref="O32">+HLOOKUP($A$1,+[7]İcmal!$B$19:$AG$49,ROW(F30)+1,FALSE)</f>
        <v>0</v>
      </c>
      <c r="P32" s="15" cm="1">
        <f t="array" ref="P32">+HLOOKUP($A$1,+[8]İcmal!$B$19:$AG$49,ROW(G30)+1,FALSE)</f>
        <v>0</v>
      </c>
      <c r="Q32" s="15" cm="1">
        <f t="array" ref="Q32">+HLOOKUP($A$1,+[9]İcmal!$B$19:$AG$49,ROW(H30)+1,FALSE)</f>
        <v>0</v>
      </c>
      <c r="R32" s="15" cm="1">
        <f t="array" ref="R32">+HLOOKUP($A$1,+[10]İcmal!$B$19:$AG$49,ROW(I30)+1,FALSE)</f>
        <v>0</v>
      </c>
      <c r="S32" s="15" cm="1">
        <f t="array" ref="S32">+HLOOKUP($A$1,+[11]İcmal!$B$19:$AG$49,ROW(J30)+1,FALSE)</f>
        <v>0</v>
      </c>
      <c r="T32" s="15" cm="1">
        <f t="array" ref="T32">+HLOOKUP($A$1,+[12]İcmal!$B$19:$AG$49,ROW(K30)+1,FALSE)</f>
        <v>0</v>
      </c>
      <c r="U32" s="15" cm="1">
        <f t="array" ref="U32">+HLOOKUP($A$1,+[13]İcmal!$B$19:$AG$49,ROW(L30)+1,FALSE)</f>
        <v>0</v>
      </c>
      <c r="V32" s="15" cm="1">
        <f t="array" ref="V32">+HLOOKUP($A$1,+[14]İcmal!$B$19:$AG$49,ROW(M30)+1,FALSE)</f>
        <v>0</v>
      </c>
      <c r="W32" s="15" cm="1">
        <f t="array" ref="W32">+HLOOKUP($A$1,+[15]İcmal!$B$19:$AG$49,ROW(N30)+1,FALSE)</f>
        <v>0</v>
      </c>
      <c r="X32" s="15" cm="1">
        <f t="array" ref="X32">+HLOOKUP($A$1,+[16]İcmal!$B$19:$AG$49,ROW(O30)+1,FALSE)</f>
        <v>0</v>
      </c>
      <c r="Y32" s="15" cm="1">
        <f t="array" ref="Y32">+HLOOKUP($A$1,+[17]İcmal!$B$19:$AG$49,ROW(P30)+1,FALSE)</f>
        <v>0</v>
      </c>
      <c r="Z32" s="15" cm="1">
        <f t="array" ref="Z32">+HLOOKUP($A$1,+[18]İcmal!$B$19:$AG$49,ROW(Q30)+1,FALSE)</f>
        <v>0</v>
      </c>
      <c r="AA32" s="15" cm="1">
        <f t="array" ref="AA32">+HLOOKUP($A$1,+[19]İcmal!$B$19:$AG$49,ROW(R30)+1,FALSE)</f>
        <v>0</v>
      </c>
      <c r="AB32" s="15" cm="1">
        <f t="array" ref="AB32">+HLOOKUP($A$1,+[20]İcmal!$B$19:$AG$49,ROW(S30)+1,FALSE)</f>
        <v>0</v>
      </c>
      <c r="AC32" s="15" cm="1">
        <f t="array" ref="AC32">+HLOOKUP($A$1,+[21]İcmal!$B$19:$AG$49,ROW(T30)+1,FALSE)</f>
        <v>0</v>
      </c>
      <c r="AD32" s="15" cm="1">
        <f t="array" ref="AD32">+HLOOKUP($A$1,+[22]İcmal!$B$19:$AG$49,ROW(U30)+1,FALSE)</f>
        <v>0</v>
      </c>
      <c r="AE32" s="15" cm="1">
        <f t="array" ref="AE32">+HLOOKUP($A$1,+[23]İcmal!$B$19:$AG$49,ROW(V30)+1,FALSE)</f>
        <v>0</v>
      </c>
      <c r="AF32" s="15" cm="1">
        <f t="array" ref="AF32">+HLOOKUP($A$1,+[24]İcmal!$B$19:$AG$49,ROW(W30)+1,FALSE)</f>
        <v>0</v>
      </c>
      <c r="AG32" s="15" cm="1">
        <f t="array" ref="AG32">+HLOOKUP($A$1,+[25]İcmal!$B$19:$AG$49,ROW(X30)+1,FALSE)</f>
        <v>0</v>
      </c>
      <c r="AH32" s="15" cm="1">
        <f t="array" ref="AH32">+HLOOKUP($A$1,+[26]İcmal!$B$19:$AG$49,ROW(Y30)+1,FALSE)</f>
        <v>0</v>
      </c>
      <c r="AI32" s="15" cm="1">
        <f t="array" ref="AI32">+HLOOKUP($A$1,+[27]İcmal!$B$19:$AG$49,ROW(Z30)+1,FALSE)</f>
        <v>0</v>
      </c>
      <c r="AJ32" s="15" cm="1">
        <f t="array" ref="AJ32">+HLOOKUP($A$1,+[28]İcmal!$B$19:$AG$49,ROW(AA30)+1,FALSE)</f>
        <v>0</v>
      </c>
      <c r="AK32" s="15" cm="1">
        <f t="array" ref="AK32">+HLOOKUP($A$1,+[29]İcmal!$B$19:$AG$49,ROW(AB30)+1,FALSE)</f>
        <v>0</v>
      </c>
      <c r="AL32" s="15"/>
      <c r="AM32" s="15"/>
      <c r="AN32" s="15"/>
      <c r="AO32" s="15"/>
      <c r="AP32" s="15"/>
      <c r="AQ32" s="15"/>
      <c r="AR32" s="15"/>
      <c r="AS32" s="15"/>
      <c r="AT32" s="14"/>
    </row>
    <row r="33" spans="7:45" x14ac:dyDescent="0.3">
      <c r="I33" s="16">
        <f>SUM(I3:I32)</f>
        <v>90228121.938000008</v>
      </c>
      <c r="J33" s="16">
        <f t="shared" ref="J33:AS33" si="3">+SUMPRODUCT(J3:J32,$F$3:$F$32)</f>
        <v>354138.72999999783</v>
      </c>
      <c r="K33" s="16">
        <f t="shared" si="3"/>
        <v>5405562.7920000004</v>
      </c>
      <c r="L33" s="16">
        <f t="shared" si="3"/>
        <v>0</v>
      </c>
      <c r="M33" s="16">
        <f t="shared" si="3"/>
        <v>0</v>
      </c>
      <c r="N33" s="16">
        <f t="shared" si="3"/>
        <v>16810799.018999994</v>
      </c>
      <c r="O33" s="16">
        <f t="shared" si="3"/>
        <v>21637469.719999999</v>
      </c>
      <c r="P33" s="16">
        <f t="shared" si="3"/>
        <v>0</v>
      </c>
      <c r="Q33" s="16">
        <f t="shared" si="3"/>
        <v>0</v>
      </c>
      <c r="R33" s="16">
        <f t="shared" si="3"/>
        <v>15793100.344000002</v>
      </c>
      <c r="S33" s="16">
        <f t="shared" si="3"/>
        <v>22224746.892000005</v>
      </c>
      <c r="T33" s="16">
        <f t="shared" si="3"/>
        <v>0</v>
      </c>
      <c r="U33" s="16">
        <f t="shared" si="3"/>
        <v>0</v>
      </c>
      <c r="V33" s="16">
        <f t="shared" si="3"/>
        <v>0</v>
      </c>
      <c r="W33" s="16">
        <f t="shared" si="3"/>
        <v>0</v>
      </c>
      <c r="X33" s="16">
        <f t="shared" si="3"/>
        <v>0</v>
      </c>
      <c r="Y33" s="16">
        <f t="shared" si="3"/>
        <v>0</v>
      </c>
      <c r="Z33" s="16">
        <f t="shared" si="3"/>
        <v>0</v>
      </c>
      <c r="AA33" s="16">
        <f t="shared" si="3"/>
        <v>0</v>
      </c>
      <c r="AB33" s="16">
        <f t="shared" si="3"/>
        <v>356765.79900000006</v>
      </c>
      <c r="AC33" s="16">
        <f t="shared" si="3"/>
        <v>0</v>
      </c>
      <c r="AD33" s="16">
        <f t="shared" si="3"/>
        <v>2318899.284</v>
      </c>
      <c r="AE33" s="16">
        <f t="shared" si="3"/>
        <v>0</v>
      </c>
      <c r="AF33" s="16">
        <f t="shared" si="3"/>
        <v>1645487.3269999998</v>
      </c>
      <c r="AG33" s="16">
        <f t="shared" si="3"/>
        <v>0</v>
      </c>
      <c r="AH33" s="16">
        <f t="shared" si="3"/>
        <v>2456765.7990000006</v>
      </c>
      <c r="AI33" s="16">
        <f t="shared" si="3"/>
        <v>1224386.2320000001</v>
      </c>
      <c r="AJ33" s="16">
        <f t="shared" si="3"/>
        <v>0</v>
      </c>
      <c r="AK33" s="16">
        <f t="shared" si="3"/>
        <v>0</v>
      </c>
      <c r="AL33" s="16"/>
      <c r="AM33" s="16"/>
      <c r="AN33" s="16"/>
      <c r="AO33" s="16"/>
      <c r="AP33" s="16"/>
      <c r="AQ33" s="16"/>
      <c r="AR33" s="16"/>
      <c r="AS33" s="16">
        <f t="shared" si="3"/>
        <v>0</v>
      </c>
    </row>
    <row r="34" spans="7:45" x14ac:dyDescent="0.3">
      <c r="H34" s="52"/>
    </row>
    <row r="35" spans="7:45" x14ac:dyDescent="0.3">
      <c r="G35" s="16"/>
      <c r="H35" s="16"/>
      <c r="I35" s="16"/>
    </row>
    <row r="36" spans="7:45" x14ac:dyDescent="0.3">
      <c r="I36" s="16"/>
      <c r="K36" s="49"/>
      <c r="N36" s="49"/>
      <c r="O36" s="49"/>
      <c r="P36" s="49"/>
      <c r="Q36" s="49"/>
    </row>
    <row r="37" spans="7:45" x14ac:dyDescent="0.3"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7:45" x14ac:dyDescent="0.3">
      <c r="I38" s="16"/>
    </row>
    <row r="39" spans="7:45" x14ac:dyDescent="0.3">
      <c r="I39" s="16"/>
    </row>
    <row r="40" spans="7:45" x14ac:dyDescent="0.3">
      <c r="I40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C73E-64D0-45F4-9CE9-76CCE73CD8D9}">
  <sheetPr>
    <tabColor rgb="FFFF0000"/>
  </sheetPr>
  <dimension ref="A1:AT40"/>
  <sheetViews>
    <sheetView zoomScale="70" zoomScaleNormal="70" workbookViewId="0">
      <selection activeCell="A2" sqref="A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7" width="19.33203125" bestFit="1" customWidth="1"/>
    <col min="18" max="25" width="19.21875" bestFit="1" customWidth="1"/>
    <col min="26" max="26" width="46.77734375" bestFit="1" customWidth="1"/>
    <col min="27" max="27" width="48.88671875" bestFit="1" customWidth="1"/>
    <col min="28" max="28" width="57.109375" bestFit="1" customWidth="1"/>
    <col min="29" max="29" width="56.77734375" bestFit="1" customWidth="1"/>
    <col min="30" max="30" width="57.44140625" bestFit="1" customWidth="1"/>
    <col min="31" max="31" width="57" customWidth="1"/>
    <col min="32" max="32" width="57.109375" bestFit="1" customWidth="1"/>
    <col min="33" max="33" width="46.33203125" bestFit="1" customWidth="1"/>
    <col min="34" max="37" width="46.77734375" bestFit="1" customWidth="1"/>
    <col min="38" max="44" width="19.88671875" customWidth="1"/>
    <col min="45" max="45" width="19.5546875" bestFit="1" customWidth="1"/>
    <col min="46" max="46" width="2.21875" customWidth="1"/>
  </cols>
  <sheetData>
    <row r="1" spans="1:46" ht="15" thickBot="1" x14ac:dyDescent="0.35">
      <c r="A1" s="17" t="s">
        <v>110</v>
      </c>
    </row>
    <row r="2" spans="1:46" ht="27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54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3" t="s">
        <v>126</v>
      </c>
      <c r="AG2" s="3" t="s">
        <v>143</v>
      </c>
      <c r="AH2" s="3" t="s">
        <v>144</v>
      </c>
      <c r="AI2" s="3" t="s">
        <v>138</v>
      </c>
      <c r="AJ2" s="3" t="s">
        <v>125</v>
      </c>
      <c r="AK2" s="3" t="s">
        <v>133</v>
      </c>
      <c r="AL2" s="3"/>
      <c r="AM2" s="3"/>
      <c r="AN2" s="3"/>
      <c r="AO2" s="3"/>
      <c r="AP2" s="3"/>
      <c r="AQ2" s="3"/>
      <c r="AR2" s="3"/>
      <c r="AS2" s="3"/>
      <c r="AT2" s="12"/>
    </row>
    <row r="3" spans="1:46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SUM(J3:AT3)</f>
        <v>3865.12</v>
      </c>
      <c r="I3" s="9">
        <f>+F3*H3</f>
        <v>19615484</v>
      </c>
      <c r="J3" s="15" cm="1">
        <f t="array" ref="J3">+HLOOKUP($A$1,+[2]İcmal!$B$19:$AG$49,ROW(A1)+1,FALSE)</f>
        <v>0</v>
      </c>
      <c r="K3" s="15" cm="1">
        <f t="array" ref="K3">+HLOOKUP($A$1,+[3]İcmal!$B$19:$AG$49,ROW(B1)+1,FALSE)</f>
        <v>7.1280000000000001</v>
      </c>
      <c r="L3" s="15" cm="1">
        <f t="array" ref="L3">+HLOOKUP($A$1,+[4]İcmal!$B$19:$AG$49,ROW(C1)+1,FALSE)</f>
        <v>0</v>
      </c>
      <c r="M3" s="15" cm="1">
        <f t="array" ref="M3">+HLOOKUP($A$1,+[5]İcmal!$B$19:$AG$49,ROW(D1)+1,FALSE)</f>
        <v>0</v>
      </c>
      <c r="N3" s="15" cm="1">
        <f t="array" ref="N3">+HLOOKUP($A$1,+[6]İcmal!$B$19:$AG$49,ROW(E1)+1,FALSE)</f>
        <v>910.48099999999988</v>
      </c>
      <c r="O3" s="15" cm="1">
        <f t="array" ref="O3">+HLOOKUP($A$1,+[7]İcmal!$B$19:$AG$49,ROW(F1)+1,FALSE)</f>
        <v>442.81500000000005</v>
      </c>
      <c r="P3" s="15" cm="1">
        <f t="array" ref="P3">+HLOOKUP($A$1,+[8]İcmal!$B$19:$AG$49,ROW(G1)+1,FALSE)</f>
        <v>0</v>
      </c>
      <c r="Q3" s="15" cm="1">
        <f t="array" ref="Q3">+HLOOKUP($A$1,+[9]İcmal!$B$19:$AG$49,ROW(H1)+1,FALSE)</f>
        <v>0</v>
      </c>
      <c r="R3" s="15" cm="1">
        <f t="array" ref="R3">+HLOOKUP($A$1,+[10]İcmal!$B$19:$AG$49,ROW(I1)+1,FALSE)</f>
        <v>833.48199999999997</v>
      </c>
      <c r="S3" s="15" cm="1">
        <f t="array" ref="S3">+HLOOKUP($A$1,+[11]İcmal!$B$19:$AG$49,ROW(J1)+1,FALSE)</f>
        <v>590.00699999999983</v>
      </c>
      <c r="T3" s="15" cm="1">
        <f t="array" ref="T3">+HLOOKUP($A$1,+[12]İcmal!$B$19:$AG$49,ROW(K1)+1,FALSE)</f>
        <v>0</v>
      </c>
      <c r="U3" s="15" cm="1">
        <f t="array" ref="U3">+HLOOKUP($A$1,+[13]İcmal!$B$19:$AG$49,ROW(L1)+1,FALSE)</f>
        <v>0</v>
      </c>
      <c r="V3" s="15" cm="1">
        <f t="array" ref="V3">+HLOOKUP($A$1,+[14]İcmal!$B$19:$AG$49,ROW(M1)+1,FALSE)</f>
        <v>0</v>
      </c>
      <c r="W3" s="15" cm="1">
        <f t="array" ref="W3">+HLOOKUP($A$1,+[15]İcmal!$B$19:$AG$49,ROW(N1)+1,FALSE)</f>
        <v>163.87900000000005</v>
      </c>
      <c r="X3" s="15" cm="1">
        <f t="array" ref="X3">+HLOOKUP($A$1,+[16]İcmal!$B$19:$AG$49,ROW(O1)+1,FALSE)</f>
        <v>0</v>
      </c>
      <c r="Y3" s="15" cm="1">
        <f t="array" ref="Y3">+HLOOKUP($A$1,+[17]İcmal!$B$19:$AG$49,ROW(P1)+1,FALSE)</f>
        <v>0</v>
      </c>
      <c r="Z3" s="15" cm="1">
        <f t="array" ref="Z3">+HLOOKUP($A$1,+[18]İcmal!$B$19:$AG$49,ROW(Q1)+1,FALSE)</f>
        <v>0</v>
      </c>
      <c r="AA3" s="15" cm="1">
        <f t="array" ref="AA3">+HLOOKUP($A$1,+[19]İcmal!$B$19:$AG$49,ROW(R1)+1,FALSE)</f>
        <v>0</v>
      </c>
      <c r="AB3" s="15" cm="1">
        <f t="array" ref="AB3">+HLOOKUP($A$1,+[20]İcmal!$B$19:$AG$49,ROW(S1)+1,FALSE)</f>
        <v>344.86</v>
      </c>
      <c r="AC3" s="15" cm="1">
        <f t="array" ref="AC3">+HLOOKUP($A$1,+[21]İcmal!$B$19:$AG$49,ROW(T1)+1,FALSE)</f>
        <v>0</v>
      </c>
      <c r="AD3" s="15" cm="1">
        <f t="array" ref="AD3">+HLOOKUP($A$1,+[22]İcmal!$B$19:$AG$49,ROW(U1)+1,FALSE)</f>
        <v>0</v>
      </c>
      <c r="AE3" s="15" cm="1">
        <f t="array" ref="AE3">+HLOOKUP($A$1,+[23]İcmal!$B$19:$AG$49,ROW(V1)+1,FALSE)</f>
        <v>0</v>
      </c>
      <c r="AF3" s="15" cm="1">
        <f t="array" ref="AF3">+HLOOKUP($A$1,+[24]İcmal!$B$19:$AG$49,ROW(W1)+1,FALSE)</f>
        <v>229.90700000000001</v>
      </c>
      <c r="AG3" s="15" cm="1">
        <f t="array" ref="AG3">+HLOOKUP($A$1,+[25]İcmal!$B$19:$AG$49,ROW(X1)+1,FALSE)</f>
        <v>0</v>
      </c>
      <c r="AH3" s="15" cm="1">
        <f t="array" ref="AH3">+HLOOKUP($A$1,+[26]İcmal!$B$19:$AG$49,ROW(Y1)+1,FALSE)</f>
        <v>342.56099999999992</v>
      </c>
      <c r="AI3" s="15" cm="1">
        <f t="array" ref="AI3">+HLOOKUP($A$1,+[27]İcmal!$B$19:$AG$49,ROW(Z1)+1,FALSE)</f>
        <v>0</v>
      </c>
      <c r="AJ3" s="15" cm="1">
        <f t="array" ref="AJ3">+HLOOKUP($A$1,+[28]İcmal!$B$19:$AG$49,ROW(AA1)+1,FALSE)</f>
        <v>0</v>
      </c>
      <c r="AK3" s="15" cm="1">
        <f t="array" ref="AK3">+HLOOKUP($A$1,+[29]İcmal!$B$19:$AG$49,ROW(AB1)+1,FALSE)</f>
        <v>0</v>
      </c>
      <c r="AL3" s="15"/>
      <c r="AM3" s="15"/>
      <c r="AN3" s="15"/>
      <c r="AO3" s="15"/>
      <c r="AP3" s="15"/>
      <c r="AQ3" s="15"/>
      <c r="AR3" s="15"/>
      <c r="AS3" s="15"/>
      <c r="AT3" s="13"/>
    </row>
    <row r="4" spans="1:46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+HLOOKUP($A$1,+[2]İcmal!$B$19:$AG$49,ROW(A2)+1,FALSE)</f>
        <v>0</v>
      </c>
      <c r="K4" s="15" cm="1">
        <f t="array" ref="K4">+HLOOKUP($A$1,+[3]İcmal!$B$19:$AG$49,ROW(B2)+1,FALSE)</f>
        <v>0</v>
      </c>
      <c r="L4" s="15" cm="1">
        <f t="array" ref="L4">+HLOOKUP($A$1,+[4]İcmal!$B$19:$AG$49,ROW(C2)+1,FALSE)</f>
        <v>0</v>
      </c>
      <c r="M4" s="15" cm="1">
        <f t="array" ref="M4">+HLOOKUP($A$1,+[5]İcmal!$B$19:$AG$49,ROW(D2)+1,FALSE)</f>
        <v>0</v>
      </c>
      <c r="N4" s="15" cm="1">
        <f t="array" ref="N4">+HLOOKUP($A$1,+[6]İcmal!$B$19:$AG$49,ROW(E2)+1,FALSE)</f>
        <v>0</v>
      </c>
      <c r="O4" s="15" cm="1">
        <f t="array" ref="O4">+HLOOKUP($A$1,+[7]İcmal!$B$19:$AG$49,ROW(F2)+1,FALSE)</f>
        <v>0</v>
      </c>
      <c r="P4" s="15" cm="1">
        <f t="array" ref="P4">+HLOOKUP($A$1,+[8]İcmal!$B$19:$AG$49,ROW(G2)+1,FALSE)</f>
        <v>0</v>
      </c>
      <c r="Q4" s="15" cm="1">
        <f t="array" ref="Q4">+HLOOKUP($A$1,+[9]İcmal!$B$19:$AG$49,ROW(H2)+1,FALSE)</f>
        <v>0</v>
      </c>
      <c r="R4" s="15" cm="1">
        <f t="array" ref="R4">+HLOOKUP($A$1,+[10]İcmal!$B$19:$AG$49,ROW(I2)+1,FALSE)</f>
        <v>0</v>
      </c>
      <c r="S4" s="15" cm="1">
        <f t="array" ref="S4">+HLOOKUP($A$1,+[11]İcmal!$B$19:$AG$49,ROW(J2)+1,FALSE)</f>
        <v>0</v>
      </c>
      <c r="T4" s="15" cm="1">
        <f t="array" ref="T4">+HLOOKUP($A$1,+[12]İcmal!$B$19:$AG$49,ROW(K2)+1,FALSE)</f>
        <v>0</v>
      </c>
      <c r="U4" s="15" cm="1">
        <f t="array" ref="U4">+HLOOKUP($A$1,+[13]İcmal!$B$19:$AG$49,ROW(L2)+1,FALSE)</f>
        <v>0</v>
      </c>
      <c r="V4" s="15" cm="1">
        <f t="array" ref="V4">+HLOOKUP($A$1,+[14]İcmal!$B$19:$AG$49,ROW(M2)+1,FALSE)</f>
        <v>0</v>
      </c>
      <c r="W4" s="15" cm="1">
        <f t="array" ref="W4">+HLOOKUP($A$1,+[15]İcmal!$B$19:$AG$49,ROW(N2)+1,FALSE)</f>
        <v>0</v>
      </c>
      <c r="X4" s="15" cm="1">
        <f t="array" ref="X4">+HLOOKUP($A$1,+[16]İcmal!$B$19:$AG$49,ROW(O2)+1,FALSE)</f>
        <v>0</v>
      </c>
      <c r="Y4" s="15" cm="1">
        <f t="array" ref="Y4">+HLOOKUP($A$1,+[17]İcmal!$B$19:$AG$49,ROW(P2)+1,FALSE)</f>
        <v>0</v>
      </c>
      <c r="Z4" s="15" cm="1">
        <f t="array" ref="Z4">+HLOOKUP($A$1,+[18]İcmal!$B$19:$AG$49,ROW(Q2)+1,FALSE)</f>
        <v>0</v>
      </c>
      <c r="AA4" s="15" cm="1">
        <f t="array" ref="AA4">+HLOOKUP($A$1,+[19]İcmal!$B$19:$AG$49,ROW(R2)+1,FALSE)</f>
        <v>0</v>
      </c>
      <c r="AB4" s="15" cm="1">
        <f t="array" ref="AB4">+HLOOKUP($A$1,+[20]İcmal!$B$19:$AG$49,ROW(S2)+1,FALSE)</f>
        <v>0</v>
      </c>
      <c r="AC4" s="15" cm="1">
        <f t="array" ref="AC4">+HLOOKUP($A$1,+[21]İcmal!$B$19:$AG$49,ROW(T2)+1,FALSE)</f>
        <v>0</v>
      </c>
      <c r="AD4" s="15" cm="1">
        <f t="array" ref="AD4">+HLOOKUP($A$1,+[22]İcmal!$B$19:$AG$49,ROW(U2)+1,FALSE)</f>
        <v>0</v>
      </c>
      <c r="AE4" s="15" cm="1">
        <f t="array" ref="AE4">+HLOOKUP($A$1,+[23]İcmal!$B$19:$AG$49,ROW(V2)+1,FALSE)</f>
        <v>0</v>
      </c>
      <c r="AF4" s="15" cm="1">
        <f t="array" ref="AF4">+HLOOKUP($A$1,+[24]İcmal!$B$19:$AG$49,ROW(W2)+1,FALSE)</f>
        <v>0</v>
      </c>
      <c r="AG4" s="15" cm="1">
        <f t="array" ref="AG4">+HLOOKUP($A$1,+[25]İcmal!$B$19:$AG$49,ROW(X2)+1,FALSE)</f>
        <v>0</v>
      </c>
      <c r="AH4" s="15" cm="1">
        <f t="array" ref="AH4">+HLOOKUP($A$1,+[26]İcmal!$B$19:$AG$49,ROW(Y2)+1,FALSE)</f>
        <v>0</v>
      </c>
      <c r="AI4" s="15" cm="1">
        <f t="array" ref="AI4">+HLOOKUP($A$1,+[27]İcmal!$B$19:$AG$49,ROW(Z2)+1,FALSE)</f>
        <v>0</v>
      </c>
      <c r="AJ4" s="15" cm="1">
        <f t="array" ref="AJ4">+HLOOKUP($A$1,+[28]İcmal!$B$19:$AG$49,ROW(AA2)+1,FALSE)</f>
        <v>0</v>
      </c>
      <c r="AK4" s="15" cm="1">
        <f t="array" ref="AK4">+HLOOKUP($A$1,+[29]İcmal!$B$19:$AG$49,ROW(AB2)+1,FALSE)</f>
        <v>0</v>
      </c>
      <c r="AL4" s="15"/>
      <c r="AM4" s="15"/>
      <c r="AN4" s="15"/>
      <c r="AO4" s="15"/>
      <c r="AP4" s="15"/>
      <c r="AQ4" s="15"/>
      <c r="AR4" s="15"/>
      <c r="AS4" s="15"/>
      <c r="AT4" s="13"/>
    </row>
    <row r="5" spans="1:46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+HLOOKUP($A$1,+[2]İcmal!$B$19:$AG$49,ROW(A3)+1,FALSE)</f>
        <v>0</v>
      </c>
      <c r="K5" s="15" cm="1">
        <f t="array" ref="K5">+HLOOKUP($A$1,+[3]İcmal!$B$19:$AG$49,ROW(B3)+1,FALSE)</f>
        <v>0</v>
      </c>
      <c r="L5" s="15" cm="1">
        <f t="array" ref="L5">+HLOOKUP($A$1,+[4]İcmal!$B$19:$AG$49,ROW(C3)+1,FALSE)</f>
        <v>0</v>
      </c>
      <c r="M5" s="15" cm="1">
        <f t="array" ref="M5">+HLOOKUP($A$1,+[5]İcmal!$B$19:$AG$49,ROW(D3)+1,FALSE)</f>
        <v>0</v>
      </c>
      <c r="N5" s="15" cm="1">
        <f t="array" ref="N5">+HLOOKUP($A$1,+[6]İcmal!$B$19:$AG$49,ROW(E3)+1,FALSE)</f>
        <v>0</v>
      </c>
      <c r="O5" s="15" cm="1">
        <f t="array" ref="O5">+HLOOKUP($A$1,+[7]İcmal!$B$19:$AG$49,ROW(F3)+1,FALSE)</f>
        <v>0</v>
      </c>
      <c r="P5" s="15" cm="1">
        <f t="array" ref="P5">+HLOOKUP($A$1,+[8]İcmal!$B$19:$AG$49,ROW(G3)+1,FALSE)</f>
        <v>0</v>
      </c>
      <c r="Q5" s="15" cm="1">
        <f t="array" ref="Q5">+HLOOKUP($A$1,+[9]İcmal!$B$19:$AG$49,ROW(H3)+1,FALSE)</f>
        <v>0</v>
      </c>
      <c r="R5" s="15" cm="1">
        <f t="array" ref="R5">+HLOOKUP($A$1,+[10]İcmal!$B$19:$AG$49,ROW(I3)+1,FALSE)</f>
        <v>0</v>
      </c>
      <c r="S5" s="15" cm="1">
        <f t="array" ref="S5">+HLOOKUP($A$1,+[11]İcmal!$B$19:$AG$49,ROW(J3)+1,FALSE)</f>
        <v>0</v>
      </c>
      <c r="T5" s="15" cm="1">
        <f t="array" ref="T5">+HLOOKUP($A$1,+[12]İcmal!$B$19:$AG$49,ROW(K3)+1,FALSE)</f>
        <v>0</v>
      </c>
      <c r="U5" s="15" cm="1">
        <f t="array" ref="U5">+HLOOKUP($A$1,+[13]İcmal!$B$19:$AG$49,ROW(L3)+1,FALSE)</f>
        <v>0</v>
      </c>
      <c r="V5" s="15" cm="1">
        <f t="array" ref="V5">+HLOOKUP($A$1,+[14]İcmal!$B$19:$AG$49,ROW(M3)+1,FALSE)</f>
        <v>0</v>
      </c>
      <c r="W5" s="15" cm="1">
        <f t="array" ref="W5">+HLOOKUP($A$1,+[15]İcmal!$B$19:$AG$49,ROW(N3)+1,FALSE)</f>
        <v>0</v>
      </c>
      <c r="X5" s="15" cm="1">
        <f t="array" ref="X5">+HLOOKUP($A$1,+[16]İcmal!$B$19:$AG$49,ROW(O3)+1,FALSE)</f>
        <v>0</v>
      </c>
      <c r="Y5" s="15" cm="1">
        <f t="array" ref="Y5">+HLOOKUP($A$1,+[17]İcmal!$B$19:$AG$49,ROW(P3)+1,FALSE)</f>
        <v>0</v>
      </c>
      <c r="Z5" s="15" cm="1">
        <f t="array" ref="Z5">+HLOOKUP($A$1,+[18]İcmal!$B$19:$AG$49,ROW(Q3)+1,FALSE)</f>
        <v>0</v>
      </c>
      <c r="AA5" s="15" cm="1">
        <f t="array" ref="AA5">+HLOOKUP($A$1,+[19]İcmal!$B$19:$AG$49,ROW(R3)+1,FALSE)</f>
        <v>0</v>
      </c>
      <c r="AB5" s="15" cm="1">
        <f t="array" ref="AB5">+HLOOKUP($A$1,+[20]İcmal!$B$19:$AG$49,ROW(S3)+1,FALSE)</f>
        <v>0</v>
      </c>
      <c r="AC5" s="15" cm="1">
        <f t="array" ref="AC5">+HLOOKUP($A$1,+[21]İcmal!$B$19:$AG$49,ROW(T3)+1,FALSE)</f>
        <v>0</v>
      </c>
      <c r="AD5" s="15" cm="1">
        <f t="array" ref="AD5">+HLOOKUP($A$1,+[22]İcmal!$B$19:$AG$49,ROW(U3)+1,FALSE)</f>
        <v>0</v>
      </c>
      <c r="AE5" s="15" cm="1">
        <f t="array" ref="AE5">+HLOOKUP($A$1,+[23]İcmal!$B$19:$AG$49,ROW(V3)+1,FALSE)</f>
        <v>0</v>
      </c>
      <c r="AF5" s="15" cm="1">
        <f t="array" ref="AF5">+HLOOKUP($A$1,+[24]İcmal!$B$19:$AG$49,ROW(W3)+1,FALSE)</f>
        <v>0</v>
      </c>
      <c r="AG5" s="15" cm="1">
        <f t="array" ref="AG5">+HLOOKUP($A$1,+[25]İcmal!$B$19:$AG$49,ROW(X3)+1,FALSE)</f>
        <v>0</v>
      </c>
      <c r="AH5" s="15" cm="1">
        <f t="array" ref="AH5">+HLOOKUP($A$1,+[26]İcmal!$B$19:$AG$49,ROW(Y3)+1,FALSE)</f>
        <v>0</v>
      </c>
      <c r="AI5" s="15" cm="1">
        <f t="array" ref="AI5">+HLOOKUP($A$1,+[27]İcmal!$B$19:$AG$49,ROW(Z3)+1,FALSE)</f>
        <v>0</v>
      </c>
      <c r="AJ5" s="15" cm="1">
        <f t="array" ref="AJ5">+HLOOKUP($A$1,+[28]İcmal!$B$19:$AG$49,ROW(AA3)+1,FALSE)</f>
        <v>0</v>
      </c>
      <c r="AK5" s="15" cm="1">
        <f t="array" ref="AK5">+HLOOKUP($A$1,+[29]İcmal!$B$19:$AG$49,ROW(AB3)+1,FALSE)</f>
        <v>0</v>
      </c>
      <c r="AL5" s="15"/>
      <c r="AM5" s="15"/>
      <c r="AN5" s="15"/>
      <c r="AO5" s="15"/>
      <c r="AP5" s="15"/>
      <c r="AQ5" s="15"/>
      <c r="AR5" s="15"/>
      <c r="AS5" s="15"/>
      <c r="AT5" s="13"/>
    </row>
    <row r="6" spans="1:46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827.20100000000002</v>
      </c>
      <c r="I6" s="9">
        <f t="shared" si="2"/>
        <v>12684300.134</v>
      </c>
      <c r="J6" s="15" cm="1">
        <f t="array" ref="J6">+HLOOKUP($A$1,+[2]İcmal!$B$19:$AG$49,ROW(A4)+1,FALSE)</f>
        <v>0</v>
      </c>
      <c r="K6" s="15" cm="1">
        <f t="array" ref="K6">+HLOOKUP($A$1,+[3]İcmal!$B$19:$AG$49,ROW(B4)+1,FALSE)</f>
        <v>7.4770000000000003</v>
      </c>
      <c r="L6" s="15" cm="1">
        <f t="array" ref="L6">+HLOOKUP($A$1,+[4]İcmal!$B$19:$AG$49,ROW(C4)+1,FALSE)</f>
        <v>0</v>
      </c>
      <c r="M6" s="15" cm="1">
        <f t="array" ref="M6">+HLOOKUP($A$1,+[5]İcmal!$B$19:$AG$49,ROW(D4)+1,FALSE)</f>
        <v>0</v>
      </c>
      <c r="N6" s="15" cm="1">
        <f t="array" ref="N6">+HLOOKUP($A$1,+[6]İcmal!$B$19:$AG$49,ROW(E4)+1,FALSE)</f>
        <v>206.15199999999999</v>
      </c>
      <c r="O6" s="15" cm="1">
        <f t="array" ref="O6">+HLOOKUP($A$1,+[7]İcmal!$B$19:$AG$49,ROW(F4)+1,FALSE)</f>
        <v>85.980000000000018</v>
      </c>
      <c r="P6" s="15" cm="1">
        <f t="array" ref="P6">+HLOOKUP($A$1,+[8]İcmal!$B$19:$AG$49,ROW(G4)+1,FALSE)</f>
        <v>0</v>
      </c>
      <c r="Q6" s="15" cm="1">
        <f t="array" ref="Q6">+HLOOKUP($A$1,+[9]İcmal!$B$19:$AG$49,ROW(H4)+1,FALSE)</f>
        <v>0</v>
      </c>
      <c r="R6" s="15" cm="1">
        <f t="array" ref="R6">+HLOOKUP($A$1,+[10]İcmal!$B$19:$AG$49,ROW(I4)+1,FALSE)</f>
        <v>204.35500000000002</v>
      </c>
      <c r="S6" s="15" cm="1">
        <f t="array" ref="S6">+HLOOKUP($A$1,+[11]İcmal!$B$19:$AG$49,ROW(J4)+1,FALSE)</f>
        <v>114.23000000000002</v>
      </c>
      <c r="T6" s="15" cm="1">
        <f t="array" ref="T6">+HLOOKUP($A$1,+[12]İcmal!$B$19:$AG$49,ROW(K4)+1,FALSE)</f>
        <v>0</v>
      </c>
      <c r="U6" s="15" cm="1">
        <f t="array" ref="U6">+HLOOKUP($A$1,+[13]İcmal!$B$19:$AG$49,ROW(L4)+1,FALSE)</f>
        <v>0</v>
      </c>
      <c r="V6" s="15" cm="1">
        <f t="array" ref="V6">+HLOOKUP($A$1,+[14]İcmal!$B$19:$AG$49,ROW(M4)+1,FALSE)</f>
        <v>0</v>
      </c>
      <c r="W6" s="15" cm="1">
        <f t="array" ref="W6">+HLOOKUP($A$1,+[15]İcmal!$B$19:$AG$49,ROW(N4)+1,FALSE)</f>
        <v>38.563999999999993</v>
      </c>
      <c r="X6" s="15" cm="1">
        <f t="array" ref="X6">+HLOOKUP($A$1,+[16]İcmal!$B$19:$AG$49,ROW(O4)+1,FALSE)</f>
        <v>0</v>
      </c>
      <c r="Y6" s="15" cm="1">
        <f t="array" ref="Y6">+HLOOKUP($A$1,+[17]İcmal!$B$19:$AG$49,ROW(P4)+1,FALSE)</f>
        <v>0</v>
      </c>
      <c r="Z6" s="15" cm="1">
        <f t="array" ref="Z6">+HLOOKUP($A$1,+[18]İcmal!$B$19:$AG$49,ROW(Q4)+1,FALSE)</f>
        <v>0</v>
      </c>
      <c r="AA6" s="15" cm="1">
        <f t="array" ref="AA6">+HLOOKUP($A$1,+[19]İcmal!$B$19:$AG$49,ROW(R4)+1,FALSE)</f>
        <v>0</v>
      </c>
      <c r="AB6" s="15" cm="1">
        <f t="array" ref="AB6">+HLOOKUP($A$1,+[20]İcmal!$B$19:$AG$49,ROW(S4)+1,FALSE)</f>
        <v>69.518000000000001</v>
      </c>
      <c r="AC6" s="15" cm="1">
        <f t="array" ref="AC6">+HLOOKUP($A$1,+[21]İcmal!$B$19:$AG$49,ROW(T4)+1,FALSE)</f>
        <v>0</v>
      </c>
      <c r="AD6" s="15" cm="1">
        <f t="array" ref="AD6">+HLOOKUP($A$1,+[22]İcmal!$B$19:$AG$49,ROW(U4)+1,FALSE)</f>
        <v>0</v>
      </c>
      <c r="AE6" s="15" cm="1">
        <f t="array" ref="AE6">+HLOOKUP($A$1,+[23]İcmal!$B$19:$AG$49,ROW(V4)+1,FALSE)</f>
        <v>0</v>
      </c>
      <c r="AF6" s="15" cm="1">
        <f t="array" ref="AF6">+HLOOKUP($A$1,+[24]İcmal!$B$19:$AG$49,ROW(W4)+1,FALSE)</f>
        <v>33.706000000000003</v>
      </c>
      <c r="AG6" s="15" cm="1">
        <f t="array" ref="AG6">+HLOOKUP($A$1,+[25]İcmal!$B$19:$AG$49,ROW(X4)+1,FALSE)</f>
        <v>0</v>
      </c>
      <c r="AH6" s="15" cm="1">
        <f t="array" ref="AH6">+HLOOKUP($A$1,+[26]İcmal!$B$19:$AG$49,ROW(Y4)+1,FALSE)</f>
        <v>67.218999999999994</v>
      </c>
      <c r="AI6" s="15" cm="1">
        <f t="array" ref="AI6">+HLOOKUP($A$1,+[27]İcmal!$B$19:$AG$49,ROW(Z4)+1,FALSE)</f>
        <v>0</v>
      </c>
      <c r="AJ6" s="15" cm="1">
        <f t="array" ref="AJ6">+HLOOKUP($A$1,+[28]İcmal!$B$19:$AG$49,ROW(AA4)+1,FALSE)</f>
        <v>0</v>
      </c>
      <c r="AK6" s="15" cm="1">
        <f t="array" ref="AK6">+HLOOKUP($A$1,+[29]İcmal!$B$19:$AG$49,ROW(AB4)+1,FALSE)</f>
        <v>0</v>
      </c>
      <c r="AL6" s="15"/>
      <c r="AM6" s="15"/>
      <c r="AN6" s="15"/>
      <c r="AO6" s="15"/>
      <c r="AP6" s="15"/>
      <c r="AQ6" s="15"/>
      <c r="AR6" s="15"/>
      <c r="AS6" s="15"/>
      <c r="AT6" s="13"/>
    </row>
    <row r="7" spans="1:46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+HLOOKUP($A$1,+[2]İcmal!$B$19:$AG$49,ROW(A5)+1,FALSE)</f>
        <v>0</v>
      </c>
      <c r="K7" s="15" cm="1">
        <f t="array" ref="K7">+HLOOKUP($A$1,+[3]İcmal!$B$19:$AG$49,ROW(B5)+1,FALSE)</f>
        <v>0</v>
      </c>
      <c r="L7" s="15" cm="1">
        <f t="array" ref="L7">+HLOOKUP($A$1,+[4]İcmal!$B$19:$AG$49,ROW(C5)+1,FALSE)</f>
        <v>0</v>
      </c>
      <c r="M7" s="15" cm="1">
        <f t="array" ref="M7">+HLOOKUP($A$1,+[5]İcmal!$B$19:$AG$49,ROW(D5)+1,FALSE)</f>
        <v>0</v>
      </c>
      <c r="N7" s="15" cm="1">
        <f t="array" ref="N7">+HLOOKUP($A$1,+[6]İcmal!$B$19:$AG$49,ROW(E5)+1,FALSE)</f>
        <v>0</v>
      </c>
      <c r="O7" s="15" cm="1">
        <f t="array" ref="O7">+HLOOKUP($A$1,+[7]İcmal!$B$19:$AG$49,ROW(F5)+1,FALSE)</f>
        <v>0</v>
      </c>
      <c r="P7" s="15" cm="1">
        <f t="array" ref="P7">+HLOOKUP($A$1,+[8]İcmal!$B$19:$AG$49,ROW(G5)+1,FALSE)</f>
        <v>0</v>
      </c>
      <c r="Q7" s="15" cm="1">
        <f t="array" ref="Q7">+HLOOKUP($A$1,+[9]İcmal!$B$19:$AG$49,ROW(H5)+1,FALSE)</f>
        <v>0</v>
      </c>
      <c r="R7" s="15" cm="1">
        <f t="array" ref="R7">+HLOOKUP($A$1,+[10]İcmal!$B$19:$AG$49,ROW(I5)+1,FALSE)</f>
        <v>0</v>
      </c>
      <c r="S7" s="15" cm="1">
        <f t="array" ref="S7">+HLOOKUP($A$1,+[11]İcmal!$B$19:$AG$49,ROW(J5)+1,FALSE)</f>
        <v>0</v>
      </c>
      <c r="T7" s="15" cm="1">
        <f t="array" ref="T7">+HLOOKUP($A$1,+[12]İcmal!$B$19:$AG$49,ROW(K5)+1,FALSE)</f>
        <v>0</v>
      </c>
      <c r="U7" s="15" cm="1">
        <f t="array" ref="U7">+HLOOKUP($A$1,+[13]İcmal!$B$19:$AG$49,ROW(L5)+1,FALSE)</f>
        <v>0</v>
      </c>
      <c r="V7" s="15" cm="1">
        <f t="array" ref="V7">+HLOOKUP($A$1,+[14]İcmal!$B$19:$AG$49,ROW(M5)+1,FALSE)</f>
        <v>0</v>
      </c>
      <c r="W7" s="15" cm="1">
        <f t="array" ref="W7">+HLOOKUP($A$1,+[15]İcmal!$B$19:$AG$49,ROW(N5)+1,FALSE)</f>
        <v>0</v>
      </c>
      <c r="X7" s="15" cm="1">
        <f t="array" ref="X7">+HLOOKUP($A$1,+[16]İcmal!$B$19:$AG$49,ROW(O5)+1,FALSE)</f>
        <v>0</v>
      </c>
      <c r="Y7" s="15" cm="1">
        <f t="array" ref="Y7">+HLOOKUP($A$1,+[17]İcmal!$B$19:$AG$49,ROW(P5)+1,FALSE)</f>
        <v>0</v>
      </c>
      <c r="Z7" s="15" cm="1">
        <f t="array" ref="Z7">+HLOOKUP($A$1,+[18]İcmal!$B$19:$AG$49,ROW(Q5)+1,FALSE)</f>
        <v>0</v>
      </c>
      <c r="AA7" s="15" cm="1">
        <f t="array" ref="AA7">+HLOOKUP($A$1,+[19]İcmal!$B$19:$AG$49,ROW(R5)+1,FALSE)</f>
        <v>0</v>
      </c>
      <c r="AB7" s="15" cm="1">
        <f t="array" ref="AB7">+HLOOKUP($A$1,+[20]İcmal!$B$19:$AG$49,ROW(S5)+1,FALSE)</f>
        <v>0</v>
      </c>
      <c r="AC7" s="15" cm="1">
        <f t="array" ref="AC7">+HLOOKUP($A$1,+[21]İcmal!$B$19:$AG$49,ROW(T5)+1,FALSE)</f>
        <v>0</v>
      </c>
      <c r="AD7" s="15" cm="1">
        <f t="array" ref="AD7">+HLOOKUP($A$1,+[22]İcmal!$B$19:$AG$49,ROW(U5)+1,FALSE)</f>
        <v>0</v>
      </c>
      <c r="AE7" s="15" cm="1">
        <f t="array" ref="AE7">+HLOOKUP($A$1,+[23]İcmal!$B$19:$AG$49,ROW(V5)+1,FALSE)</f>
        <v>0</v>
      </c>
      <c r="AF7" s="15" cm="1">
        <f t="array" ref="AF7">+HLOOKUP($A$1,+[24]İcmal!$B$19:$AG$49,ROW(W5)+1,FALSE)</f>
        <v>0</v>
      </c>
      <c r="AG7" s="15" cm="1">
        <f t="array" ref="AG7">+HLOOKUP($A$1,+[25]İcmal!$B$19:$AG$49,ROW(X5)+1,FALSE)</f>
        <v>0</v>
      </c>
      <c r="AH7" s="15" cm="1">
        <f t="array" ref="AH7">+HLOOKUP($A$1,+[26]İcmal!$B$19:$AG$49,ROW(Y5)+1,FALSE)</f>
        <v>0</v>
      </c>
      <c r="AI7" s="15" cm="1">
        <f t="array" ref="AI7">+HLOOKUP($A$1,+[27]İcmal!$B$19:$AG$49,ROW(Z5)+1,FALSE)</f>
        <v>0</v>
      </c>
      <c r="AJ7" s="15" cm="1">
        <f t="array" ref="AJ7">+HLOOKUP($A$1,+[28]İcmal!$B$19:$AG$49,ROW(AA5)+1,FALSE)</f>
        <v>0</v>
      </c>
      <c r="AK7" s="15" cm="1">
        <f t="array" ref="AK7">+HLOOKUP($A$1,+[29]İcmal!$B$19:$AG$49,ROW(AB5)+1,FALSE)</f>
        <v>0</v>
      </c>
      <c r="AL7" s="15"/>
      <c r="AM7" s="15"/>
      <c r="AN7" s="15"/>
      <c r="AO7" s="15"/>
      <c r="AP7" s="15"/>
      <c r="AQ7" s="15"/>
      <c r="AR7" s="15"/>
      <c r="AS7" s="15"/>
      <c r="AT7" s="13"/>
    </row>
    <row r="8" spans="1:46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+HLOOKUP($A$1,+[2]İcmal!$B$19:$AG$49,ROW(A6)+1,FALSE)</f>
        <v>0</v>
      </c>
      <c r="K8" s="15" cm="1">
        <f t="array" ref="K8">+HLOOKUP($A$1,+[3]İcmal!$B$19:$AG$49,ROW(B6)+1,FALSE)</f>
        <v>0</v>
      </c>
      <c r="L8" s="15" cm="1">
        <f t="array" ref="L8">+HLOOKUP($A$1,+[4]İcmal!$B$19:$AG$49,ROW(C6)+1,FALSE)</f>
        <v>0</v>
      </c>
      <c r="M8" s="15" cm="1">
        <f t="array" ref="M8">+HLOOKUP($A$1,+[5]İcmal!$B$19:$AG$49,ROW(D6)+1,FALSE)</f>
        <v>0</v>
      </c>
      <c r="N8" s="15" cm="1">
        <f t="array" ref="N8">+HLOOKUP($A$1,+[6]İcmal!$B$19:$AG$49,ROW(E6)+1,FALSE)</f>
        <v>0</v>
      </c>
      <c r="O8" s="15" cm="1">
        <f t="array" ref="O8">+HLOOKUP($A$1,+[7]İcmal!$B$19:$AG$49,ROW(F6)+1,FALSE)</f>
        <v>0</v>
      </c>
      <c r="P8" s="15" cm="1">
        <f t="array" ref="P8">+HLOOKUP($A$1,+[8]İcmal!$B$19:$AG$49,ROW(G6)+1,FALSE)</f>
        <v>0</v>
      </c>
      <c r="Q8" s="15" cm="1">
        <f t="array" ref="Q8">+HLOOKUP($A$1,+[9]İcmal!$B$19:$AG$49,ROW(H6)+1,FALSE)</f>
        <v>0</v>
      </c>
      <c r="R8" s="15" cm="1">
        <f t="array" ref="R8">+HLOOKUP($A$1,+[10]İcmal!$B$19:$AG$49,ROW(I6)+1,FALSE)</f>
        <v>0</v>
      </c>
      <c r="S8" s="15" cm="1">
        <f t="array" ref="S8">+HLOOKUP($A$1,+[11]İcmal!$B$19:$AG$49,ROW(J6)+1,FALSE)</f>
        <v>0</v>
      </c>
      <c r="T8" s="15" cm="1">
        <f t="array" ref="T8">+HLOOKUP($A$1,+[12]İcmal!$B$19:$AG$49,ROW(K6)+1,FALSE)</f>
        <v>0</v>
      </c>
      <c r="U8" s="15" cm="1">
        <f t="array" ref="U8">+HLOOKUP($A$1,+[13]İcmal!$B$19:$AG$49,ROW(L6)+1,FALSE)</f>
        <v>0</v>
      </c>
      <c r="V8" s="15" cm="1">
        <f t="array" ref="V8">+HLOOKUP($A$1,+[14]İcmal!$B$19:$AG$49,ROW(M6)+1,FALSE)</f>
        <v>0</v>
      </c>
      <c r="W8" s="15" cm="1">
        <f t="array" ref="W8">+HLOOKUP($A$1,+[15]İcmal!$B$19:$AG$49,ROW(N6)+1,FALSE)</f>
        <v>0</v>
      </c>
      <c r="X8" s="15" cm="1">
        <f t="array" ref="X8">+HLOOKUP($A$1,+[16]İcmal!$B$19:$AG$49,ROW(O6)+1,FALSE)</f>
        <v>0</v>
      </c>
      <c r="Y8" s="15" cm="1">
        <f t="array" ref="Y8">+HLOOKUP($A$1,+[17]İcmal!$B$19:$AG$49,ROW(P6)+1,FALSE)</f>
        <v>0</v>
      </c>
      <c r="Z8" s="15" cm="1">
        <f t="array" ref="Z8">+HLOOKUP($A$1,+[18]İcmal!$B$19:$AG$49,ROW(Q6)+1,FALSE)</f>
        <v>0</v>
      </c>
      <c r="AA8" s="15" cm="1">
        <f t="array" ref="AA8">+HLOOKUP($A$1,+[19]İcmal!$B$19:$AG$49,ROW(R6)+1,FALSE)</f>
        <v>0</v>
      </c>
      <c r="AB8" s="15" cm="1">
        <f t="array" ref="AB8">+HLOOKUP($A$1,+[20]İcmal!$B$19:$AG$49,ROW(S6)+1,FALSE)</f>
        <v>0</v>
      </c>
      <c r="AC8" s="15" cm="1">
        <f t="array" ref="AC8">+HLOOKUP($A$1,+[21]İcmal!$B$19:$AG$49,ROW(T6)+1,FALSE)</f>
        <v>0</v>
      </c>
      <c r="AD8" s="15" cm="1">
        <f t="array" ref="AD8">+HLOOKUP($A$1,+[22]İcmal!$B$19:$AG$49,ROW(U6)+1,FALSE)</f>
        <v>0</v>
      </c>
      <c r="AE8" s="15" cm="1">
        <f t="array" ref="AE8">+HLOOKUP($A$1,+[23]İcmal!$B$19:$AG$49,ROW(V6)+1,FALSE)</f>
        <v>0</v>
      </c>
      <c r="AF8" s="15" cm="1">
        <f t="array" ref="AF8">+HLOOKUP($A$1,+[24]İcmal!$B$19:$AG$49,ROW(W6)+1,FALSE)</f>
        <v>0</v>
      </c>
      <c r="AG8" s="15" cm="1">
        <f t="array" ref="AG8">+HLOOKUP($A$1,+[25]İcmal!$B$19:$AG$49,ROW(X6)+1,FALSE)</f>
        <v>0</v>
      </c>
      <c r="AH8" s="15" cm="1">
        <f t="array" ref="AH8">+HLOOKUP($A$1,+[26]İcmal!$B$19:$AG$49,ROW(Y6)+1,FALSE)</f>
        <v>0</v>
      </c>
      <c r="AI8" s="15" cm="1">
        <f t="array" ref="AI8">+HLOOKUP($A$1,+[27]İcmal!$B$19:$AG$49,ROW(Z6)+1,FALSE)</f>
        <v>0</v>
      </c>
      <c r="AJ8" s="15" cm="1">
        <f t="array" ref="AJ8">+HLOOKUP($A$1,+[28]İcmal!$B$19:$AG$49,ROW(AA6)+1,FALSE)</f>
        <v>0</v>
      </c>
      <c r="AK8" s="15" cm="1">
        <f t="array" ref="AK8">+HLOOKUP($A$1,+[29]İcmal!$B$19:$AG$49,ROW(AB6)+1,FALSE)</f>
        <v>0</v>
      </c>
      <c r="AL8" s="15"/>
      <c r="AM8" s="15"/>
      <c r="AN8" s="15"/>
      <c r="AO8" s="15"/>
      <c r="AP8" s="15"/>
      <c r="AQ8" s="15"/>
      <c r="AR8" s="15"/>
      <c r="AS8" s="15"/>
      <c r="AT8" s="13"/>
    </row>
    <row r="9" spans="1:46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+HLOOKUP($A$1,+[2]İcmal!$B$19:$AG$49,ROW(A7)+1,FALSE)</f>
        <v>0</v>
      </c>
      <c r="K9" s="15" cm="1">
        <f t="array" ref="K9">+HLOOKUP($A$1,+[3]İcmal!$B$19:$AG$49,ROW(B7)+1,FALSE)</f>
        <v>0</v>
      </c>
      <c r="L9" s="15" cm="1">
        <f t="array" ref="L9">+HLOOKUP($A$1,+[4]İcmal!$B$19:$AG$49,ROW(C7)+1,FALSE)</f>
        <v>0</v>
      </c>
      <c r="M9" s="15" cm="1">
        <f t="array" ref="M9">+HLOOKUP($A$1,+[5]İcmal!$B$19:$AG$49,ROW(D7)+1,FALSE)</f>
        <v>0</v>
      </c>
      <c r="N9" s="15" cm="1">
        <f t="array" ref="N9">+HLOOKUP($A$1,+[6]İcmal!$B$19:$AG$49,ROW(E7)+1,FALSE)</f>
        <v>0</v>
      </c>
      <c r="O9" s="15" cm="1">
        <f t="array" ref="O9">+HLOOKUP($A$1,+[7]İcmal!$B$19:$AG$49,ROW(F7)+1,FALSE)</f>
        <v>0</v>
      </c>
      <c r="P9" s="15" cm="1">
        <f t="array" ref="P9">+HLOOKUP($A$1,+[8]İcmal!$B$19:$AG$49,ROW(G7)+1,FALSE)</f>
        <v>0</v>
      </c>
      <c r="Q9" s="15" cm="1">
        <f t="array" ref="Q9">+HLOOKUP($A$1,+[9]İcmal!$B$19:$AG$49,ROW(H7)+1,FALSE)</f>
        <v>0</v>
      </c>
      <c r="R9" s="15" cm="1">
        <f t="array" ref="R9">+HLOOKUP($A$1,+[10]İcmal!$B$19:$AG$49,ROW(I7)+1,FALSE)</f>
        <v>0</v>
      </c>
      <c r="S9" s="15" cm="1">
        <f t="array" ref="S9">+HLOOKUP($A$1,+[11]İcmal!$B$19:$AG$49,ROW(J7)+1,FALSE)</f>
        <v>0</v>
      </c>
      <c r="T9" s="15" cm="1">
        <f t="array" ref="T9">+HLOOKUP($A$1,+[12]İcmal!$B$19:$AG$49,ROW(K7)+1,FALSE)</f>
        <v>0</v>
      </c>
      <c r="U9" s="15" cm="1">
        <f t="array" ref="U9">+HLOOKUP($A$1,+[13]İcmal!$B$19:$AG$49,ROW(L7)+1,FALSE)</f>
        <v>0</v>
      </c>
      <c r="V9" s="15" cm="1">
        <f t="array" ref="V9">+HLOOKUP($A$1,+[14]İcmal!$B$19:$AG$49,ROW(M7)+1,FALSE)</f>
        <v>0</v>
      </c>
      <c r="W9" s="15" cm="1">
        <f t="array" ref="W9">+HLOOKUP($A$1,+[15]İcmal!$B$19:$AG$49,ROW(N7)+1,FALSE)</f>
        <v>0</v>
      </c>
      <c r="X9" s="15" cm="1">
        <f t="array" ref="X9">+HLOOKUP($A$1,+[16]İcmal!$B$19:$AG$49,ROW(O7)+1,FALSE)</f>
        <v>0</v>
      </c>
      <c r="Y9" s="15" cm="1">
        <f t="array" ref="Y9">+HLOOKUP($A$1,+[17]İcmal!$B$19:$AG$49,ROW(P7)+1,FALSE)</f>
        <v>0</v>
      </c>
      <c r="Z9" s="15" cm="1">
        <f t="array" ref="Z9">+HLOOKUP($A$1,+[18]İcmal!$B$19:$AG$49,ROW(Q7)+1,FALSE)</f>
        <v>0</v>
      </c>
      <c r="AA9" s="15" cm="1">
        <f t="array" ref="AA9">+HLOOKUP($A$1,+[19]İcmal!$B$19:$AG$49,ROW(R7)+1,FALSE)</f>
        <v>0</v>
      </c>
      <c r="AB9" s="15" cm="1">
        <f t="array" ref="AB9">+HLOOKUP($A$1,+[20]İcmal!$B$19:$AG$49,ROW(S7)+1,FALSE)</f>
        <v>0</v>
      </c>
      <c r="AC9" s="15" cm="1">
        <f t="array" ref="AC9">+HLOOKUP($A$1,+[21]İcmal!$B$19:$AG$49,ROW(T7)+1,FALSE)</f>
        <v>0</v>
      </c>
      <c r="AD9" s="15" cm="1">
        <f t="array" ref="AD9">+HLOOKUP($A$1,+[22]İcmal!$B$19:$AG$49,ROW(U7)+1,FALSE)</f>
        <v>0</v>
      </c>
      <c r="AE9" s="15" cm="1">
        <f t="array" ref="AE9">+HLOOKUP($A$1,+[23]İcmal!$B$19:$AG$49,ROW(V7)+1,FALSE)</f>
        <v>0</v>
      </c>
      <c r="AF9" s="15" cm="1">
        <f t="array" ref="AF9">+HLOOKUP($A$1,+[24]İcmal!$B$19:$AG$49,ROW(W7)+1,FALSE)</f>
        <v>0</v>
      </c>
      <c r="AG9" s="15" cm="1">
        <f t="array" ref="AG9">+HLOOKUP($A$1,+[25]İcmal!$B$19:$AG$49,ROW(X7)+1,FALSE)</f>
        <v>0</v>
      </c>
      <c r="AH9" s="15" cm="1">
        <f t="array" ref="AH9">+HLOOKUP($A$1,+[26]İcmal!$B$19:$AG$49,ROW(Y7)+1,FALSE)</f>
        <v>0</v>
      </c>
      <c r="AI9" s="15" cm="1">
        <f t="array" ref="AI9">+HLOOKUP($A$1,+[27]İcmal!$B$19:$AG$49,ROW(Z7)+1,FALSE)</f>
        <v>0</v>
      </c>
      <c r="AJ9" s="15" cm="1">
        <f t="array" ref="AJ9">+HLOOKUP($A$1,+[28]İcmal!$B$19:$AG$49,ROW(AA7)+1,FALSE)</f>
        <v>0</v>
      </c>
      <c r="AK9" s="15" cm="1">
        <f t="array" ref="AK9">+HLOOKUP($A$1,+[29]İcmal!$B$19:$AG$49,ROW(AB7)+1,FALSE)</f>
        <v>0</v>
      </c>
      <c r="AL9" s="15"/>
      <c r="AM9" s="15"/>
      <c r="AN9" s="15"/>
      <c r="AO9" s="15"/>
      <c r="AP9" s="15"/>
      <c r="AQ9" s="15"/>
      <c r="AR9" s="15"/>
      <c r="AS9" s="15"/>
      <c r="AT9" s="13"/>
    </row>
    <row r="10" spans="1:46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171</v>
      </c>
      <c r="I10" s="9">
        <f t="shared" si="2"/>
        <v>1368000</v>
      </c>
      <c r="J10" s="15" cm="1">
        <f t="array" ref="J10">+HLOOKUP($A$1,+[2]İcmal!$B$19:$AG$49,ROW(A8)+1,FALSE)</f>
        <v>0</v>
      </c>
      <c r="K10" s="15" cm="1">
        <f t="array" ref="K10">+HLOOKUP($A$1,+[3]İcmal!$B$19:$AG$49,ROW(B8)+1,FALSE)</f>
        <v>0</v>
      </c>
      <c r="L10" s="15" cm="1">
        <f t="array" ref="L10">+HLOOKUP($A$1,+[4]İcmal!$B$19:$AG$49,ROW(C8)+1,FALSE)</f>
        <v>0</v>
      </c>
      <c r="M10" s="15" cm="1">
        <f t="array" ref="M10">+HLOOKUP($A$1,+[5]İcmal!$B$19:$AG$49,ROW(D8)+1,FALSE)</f>
        <v>0</v>
      </c>
      <c r="N10" s="15" cm="1">
        <f t="array" ref="N10">+HLOOKUP($A$1,+[6]İcmal!$B$19:$AG$49,ROW(E8)+1,FALSE)</f>
        <v>86</v>
      </c>
      <c r="O10" s="15" cm="1">
        <f t="array" ref="O10">+HLOOKUP($A$1,+[7]İcmal!$B$19:$AG$49,ROW(F8)+1,FALSE)</f>
        <v>0</v>
      </c>
      <c r="P10" s="15" cm="1">
        <f t="array" ref="P10">+HLOOKUP($A$1,+[8]İcmal!$B$19:$AG$49,ROW(G8)+1,FALSE)</f>
        <v>0</v>
      </c>
      <c r="Q10" s="15" cm="1">
        <f t="array" ref="Q10">+HLOOKUP($A$1,+[9]İcmal!$B$19:$AG$49,ROW(H8)+1,FALSE)</f>
        <v>0</v>
      </c>
      <c r="R10" s="15" cm="1">
        <f t="array" ref="R10">+HLOOKUP($A$1,+[10]İcmal!$B$19:$AG$49,ROW(I8)+1,FALSE)</f>
        <v>85</v>
      </c>
      <c r="S10" s="15" cm="1">
        <f t="array" ref="S10">+HLOOKUP($A$1,+[11]İcmal!$B$19:$AG$49,ROW(J8)+1,FALSE)</f>
        <v>0</v>
      </c>
      <c r="T10" s="15" cm="1">
        <f t="array" ref="T10">+HLOOKUP($A$1,+[12]İcmal!$B$19:$AG$49,ROW(K8)+1,FALSE)</f>
        <v>0</v>
      </c>
      <c r="U10" s="15" cm="1">
        <f t="array" ref="U10">+HLOOKUP($A$1,+[13]İcmal!$B$19:$AG$49,ROW(L8)+1,FALSE)</f>
        <v>0</v>
      </c>
      <c r="V10" s="15" cm="1">
        <f t="array" ref="V10">+HLOOKUP($A$1,+[14]İcmal!$B$19:$AG$49,ROW(M8)+1,FALSE)</f>
        <v>0</v>
      </c>
      <c r="W10" s="15" cm="1">
        <f t="array" ref="W10">+HLOOKUP($A$1,+[15]İcmal!$B$19:$AG$49,ROW(N8)+1,FALSE)</f>
        <v>0</v>
      </c>
      <c r="X10" s="15" cm="1">
        <f t="array" ref="X10">+HLOOKUP($A$1,+[16]İcmal!$B$19:$AG$49,ROW(O8)+1,FALSE)</f>
        <v>0</v>
      </c>
      <c r="Y10" s="15" cm="1">
        <f t="array" ref="Y10">+HLOOKUP($A$1,+[17]İcmal!$B$19:$AG$49,ROW(P8)+1,FALSE)</f>
        <v>0</v>
      </c>
      <c r="Z10" s="15" cm="1">
        <f t="array" ref="Z10">+HLOOKUP($A$1,+[18]İcmal!$B$19:$AG$49,ROW(Q8)+1,FALSE)</f>
        <v>0</v>
      </c>
      <c r="AA10" s="15" cm="1">
        <f t="array" ref="AA10">+HLOOKUP($A$1,+[19]İcmal!$B$19:$AG$49,ROW(R8)+1,FALSE)</f>
        <v>0</v>
      </c>
      <c r="AB10" s="15" cm="1">
        <f t="array" ref="AB10">+HLOOKUP($A$1,+[20]İcmal!$B$19:$AG$49,ROW(S8)+1,FALSE)</f>
        <v>0</v>
      </c>
      <c r="AC10" s="15" cm="1">
        <f t="array" ref="AC10">+HLOOKUP($A$1,+[21]İcmal!$B$19:$AG$49,ROW(T8)+1,FALSE)</f>
        <v>0</v>
      </c>
      <c r="AD10" s="15" cm="1">
        <f t="array" ref="AD10">+HLOOKUP($A$1,+[22]İcmal!$B$19:$AG$49,ROW(U8)+1,FALSE)</f>
        <v>0</v>
      </c>
      <c r="AE10" s="15" cm="1">
        <f t="array" ref="AE10">+HLOOKUP($A$1,+[23]İcmal!$B$19:$AG$49,ROW(V8)+1,FALSE)</f>
        <v>0</v>
      </c>
      <c r="AF10" s="15" cm="1">
        <f t="array" ref="AF10">+HLOOKUP($A$1,+[24]İcmal!$B$19:$AG$49,ROW(W8)+1,FALSE)</f>
        <v>0</v>
      </c>
      <c r="AG10" s="15" cm="1">
        <f t="array" ref="AG10">+HLOOKUP($A$1,+[25]İcmal!$B$19:$AG$49,ROW(X8)+1,FALSE)</f>
        <v>0</v>
      </c>
      <c r="AH10" s="15" cm="1">
        <f t="array" ref="AH10">+HLOOKUP($A$1,+[26]İcmal!$B$19:$AG$49,ROW(Y8)+1,FALSE)</f>
        <v>0</v>
      </c>
      <c r="AI10" s="15" cm="1">
        <f t="array" ref="AI10">+HLOOKUP($A$1,+[27]İcmal!$B$19:$AG$49,ROW(Z8)+1,FALSE)</f>
        <v>0</v>
      </c>
      <c r="AJ10" s="15" cm="1">
        <f t="array" ref="AJ10">+HLOOKUP($A$1,+[28]İcmal!$B$19:$AG$49,ROW(AA8)+1,FALSE)</f>
        <v>0</v>
      </c>
      <c r="AK10" s="15" cm="1">
        <f t="array" ref="AK10">+HLOOKUP($A$1,+[29]İcmal!$B$19:$AG$49,ROW(AB8)+1,FALSE)</f>
        <v>0</v>
      </c>
      <c r="AL10" s="15"/>
      <c r="AM10" s="15"/>
      <c r="AN10" s="15"/>
      <c r="AO10" s="15"/>
      <c r="AP10" s="15"/>
      <c r="AQ10" s="15"/>
      <c r="AR10" s="15"/>
      <c r="AS10" s="15"/>
      <c r="AT10" s="13"/>
    </row>
    <row r="11" spans="1:46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+HLOOKUP($A$1,+[2]İcmal!$B$19:$AG$49,ROW(A9)+1,FALSE)</f>
        <v>0</v>
      </c>
      <c r="K11" s="15" cm="1">
        <f t="array" ref="K11">+HLOOKUP($A$1,+[3]İcmal!$B$19:$AG$49,ROW(B9)+1,FALSE)</f>
        <v>0</v>
      </c>
      <c r="L11" s="15" cm="1">
        <f t="array" ref="L11">+HLOOKUP($A$1,+[4]İcmal!$B$19:$AG$49,ROW(C9)+1,FALSE)</f>
        <v>0</v>
      </c>
      <c r="M11" s="15" cm="1">
        <f t="array" ref="M11">+HLOOKUP($A$1,+[5]İcmal!$B$19:$AG$49,ROW(D9)+1,FALSE)</f>
        <v>0</v>
      </c>
      <c r="N11" s="15" cm="1">
        <f t="array" ref="N11">+HLOOKUP($A$1,+[6]İcmal!$B$19:$AG$49,ROW(E9)+1,FALSE)</f>
        <v>0</v>
      </c>
      <c r="O11" s="15" cm="1">
        <f t="array" ref="O11">+HLOOKUP($A$1,+[7]İcmal!$B$19:$AG$49,ROW(F9)+1,FALSE)</f>
        <v>0</v>
      </c>
      <c r="P11" s="15" cm="1">
        <f t="array" ref="P11">+HLOOKUP($A$1,+[8]İcmal!$B$19:$AG$49,ROW(G9)+1,FALSE)</f>
        <v>0</v>
      </c>
      <c r="Q11" s="15" cm="1">
        <f t="array" ref="Q11">+HLOOKUP($A$1,+[9]İcmal!$B$19:$AG$49,ROW(H9)+1,FALSE)</f>
        <v>0</v>
      </c>
      <c r="R11" s="15" cm="1">
        <f t="array" ref="R11">+HLOOKUP($A$1,+[10]İcmal!$B$19:$AG$49,ROW(I9)+1,FALSE)</f>
        <v>0</v>
      </c>
      <c r="S11" s="15" cm="1">
        <f t="array" ref="S11">+HLOOKUP($A$1,+[11]İcmal!$B$19:$AG$49,ROW(J9)+1,FALSE)</f>
        <v>0</v>
      </c>
      <c r="T11" s="15" cm="1">
        <f t="array" ref="T11">+HLOOKUP($A$1,+[12]İcmal!$B$19:$AG$49,ROW(K9)+1,FALSE)</f>
        <v>0</v>
      </c>
      <c r="U11" s="15" cm="1">
        <f t="array" ref="U11">+HLOOKUP($A$1,+[13]İcmal!$B$19:$AG$49,ROW(L9)+1,FALSE)</f>
        <v>0</v>
      </c>
      <c r="V11" s="15" cm="1">
        <f t="array" ref="V11">+HLOOKUP($A$1,+[14]İcmal!$B$19:$AG$49,ROW(M9)+1,FALSE)</f>
        <v>0</v>
      </c>
      <c r="W11" s="15" cm="1">
        <f t="array" ref="W11">+HLOOKUP($A$1,+[15]İcmal!$B$19:$AG$49,ROW(N9)+1,FALSE)</f>
        <v>0</v>
      </c>
      <c r="X11" s="15" cm="1">
        <f t="array" ref="X11">+HLOOKUP($A$1,+[16]İcmal!$B$19:$AG$49,ROW(O9)+1,FALSE)</f>
        <v>0</v>
      </c>
      <c r="Y11" s="15" cm="1">
        <f t="array" ref="Y11">+HLOOKUP($A$1,+[17]İcmal!$B$19:$AG$49,ROW(P9)+1,FALSE)</f>
        <v>0</v>
      </c>
      <c r="Z11" s="15" cm="1">
        <f t="array" ref="Z11">+HLOOKUP($A$1,+[18]İcmal!$B$19:$AG$49,ROW(Q9)+1,FALSE)</f>
        <v>0</v>
      </c>
      <c r="AA11" s="15" cm="1">
        <f t="array" ref="AA11">+HLOOKUP($A$1,+[19]İcmal!$B$19:$AG$49,ROW(R9)+1,FALSE)</f>
        <v>0</v>
      </c>
      <c r="AB11" s="15" cm="1">
        <f t="array" ref="AB11">+HLOOKUP($A$1,+[20]İcmal!$B$19:$AG$49,ROW(S9)+1,FALSE)</f>
        <v>0</v>
      </c>
      <c r="AC11" s="15" cm="1">
        <f t="array" ref="AC11">+HLOOKUP($A$1,+[21]İcmal!$B$19:$AG$49,ROW(T9)+1,FALSE)</f>
        <v>0</v>
      </c>
      <c r="AD11" s="15" cm="1">
        <f t="array" ref="AD11">+HLOOKUP($A$1,+[22]İcmal!$B$19:$AG$49,ROW(U9)+1,FALSE)</f>
        <v>0</v>
      </c>
      <c r="AE11" s="15" cm="1">
        <f t="array" ref="AE11">+HLOOKUP($A$1,+[23]İcmal!$B$19:$AG$49,ROW(V9)+1,FALSE)</f>
        <v>0</v>
      </c>
      <c r="AF11" s="15" cm="1">
        <f t="array" ref="AF11">+HLOOKUP($A$1,+[24]İcmal!$B$19:$AG$49,ROW(W9)+1,FALSE)</f>
        <v>0</v>
      </c>
      <c r="AG11" s="15" cm="1">
        <f t="array" ref="AG11">+HLOOKUP($A$1,+[25]İcmal!$B$19:$AG$49,ROW(X9)+1,FALSE)</f>
        <v>0</v>
      </c>
      <c r="AH11" s="15" cm="1">
        <f t="array" ref="AH11">+HLOOKUP($A$1,+[26]İcmal!$B$19:$AG$49,ROW(Y9)+1,FALSE)</f>
        <v>0</v>
      </c>
      <c r="AI11" s="15" cm="1">
        <f t="array" ref="AI11">+HLOOKUP($A$1,+[27]İcmal!$B$19:$AG$49,ROW(Z9)+1,FALSE)</f>
        <v>0</v>
      </c>
      <c r="AJ11" s="15" cm="1">
        <f t="array" ref="AJ11">+HLOOKUP($A$1,+[28]İcmal!$B$19:$AG$49,ROW(AA9)+1,FALSE)</f>
        <v>0</v>
      </c>
      <c r="AK11" s="15" cm="1">
        <f t="array" ref="AK11">+HLOOKUP($A$1,+[29]İcmal!$B$19:$AG$49,ROW(AB9)+1,FALSE)</f>
        <v>0</v>
      </c>
      <c r="AL11" s="15"/>
      <c r="AM11" s="15"/>
      <c r="AN11" s="15"/>
      <c r="AO11" s="15"/>
      <c r="AP11" s="15"/>
      <c r="AQ11" s="15"/>
      <c r="AR11" s="15"/>
      <c r="AS11" s="15"/>
      <c r="AT11" s="13"/>
    </row>
    <row r="12" spans="1:46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+HLOOKUP($A$1,+[2]İcmal!$B$19:$AG$49,ROW(A10)+1,FALSE)</f>
        <v>0</v>
      </c>
      <c r="K12" s="15" cm="1">
        <f t="array" ref="K12">+HLOOKUP($A$1,+[3]İcmal!$B$19:$AG$49,ROW(B10)+1,FALSE)</f>
        <v>0</v>
      </c>
      <c r="L12" s="15" cm="1">
        <f t="array" ref="L12">+HLOOKUP($A$1,+[4]İcmal!$B$19:$AG$49,ROW(C10)+1,FALSE)</f>
        <v>0</v>
      </c>
      <c r="M12" s="15" cm="1">
        <f t="array" ref="M12">+HLOOKUP($A$1,+[5]İcmal!$B$19:$AG$49,ROW(D10)+1,FALSE)</f>
        <v>0</v>
      </c>
      <c r="N12" s="15" cm="1">
        <f t="array" ref="N12">+HLOOKUP($A$1,+[6]İcmal!$B$19:$AG$49,ROW(E10)+1,FALSE)</f>
        <v>0</v>
      </c>
      <c r="O12" s="15" cm="1">
        <f t="array" ref="O12">+HLOOKUP($A$1,+[7]İcmal!$B$19:$AG$49,ROW(F10)+1,FALSE)</f>
        <v>0</v>
      </c>
      <c r="P12" s="15" cm="1">
        <f t="array" ref="P12">+HLOOKUP($A$1,+[8]İcmal!$B$19:$AG$49,ROW(G10)+1,FALSE)</f>
        <v>0</v>
      </c>
      <c r="Q12" s="15" cm="1">
        <f t="array" ref="Q12">+HLOOKUP($A$1,+[9]İcmal!$B$19:$AG$49,ROW(H10)+1,FALSE)</f>
        <v>0</v>
      </c>
      <c r="R12" s="15" cm="1">
        <f t="array" ref="R12">+HLOOKUP($A$1,+[10]İcmal!$B$19:$AG$49,ROW(I10)+1,FALSE)</f>
        <v>0</v>
      </c>
      <c r="S12" s="15" cm="1">
        <f t="array" ref="S12">+HLOOKUP($A$1,+[11]İcmal!$B$19:$AG$49,ROW(J10)+1,FALSE)</f>
        <v>0</v>
      </c>
      <c r="T12" s="15" cm="1">
        <f t="array" ref="T12">+HLOOKUP($A$1,+[12]İcmal!$B$19:$AG$49,ROW(K10)+1,FALSE)</f>
        <v>0</v>
      </c>
      <c r="U12" s="15" cm="1">
        <f t="array" ref="U12">+HLOOKUP($A$1,+[13]İcmal!$B$19:$AG$49,ROW(L10)+1,FALSE)</f>
        <v>0</v>
      </c>
      <c r="V12" s="15" cm="1">
        <f t="array" ref="V12">+HLOOKUP($A$1,+[14]İcmal!$B$19:$AG$49,ROW(M10)+1,FALSE)</f>
        <v>0</v>
      </c>
      <c r="W12" s="15" cm="1">
        <f t="array" ref="W12">+HLOOKUP($A$1,+[15]İcmal!$B$19:$AG$49,ROW(N10)+1,FALSE)</f>
        <v>0</v>
      </c>
      <c r="X12" s="15" cm="1">
        <f t="array" ref="X12">+HLOOKUP($A$1,+[16]İcmal!$B$19:$AG$49,ROW(O10)+1,FALSE)</f>
        <v>0</v>
      </c>
      <c r="Y12" s="15" cm="1">
        <f t="array" ref="Y12">+HLOOKUP($A$1,+[17]İcmal!$B$19:$AG$49,ROW(P10)+1,FALSE)</f>
        <v>0</v>
      </c>
      <c r="Z12" s="15" cm="1">
        <f t="array" ref="Z12">+HLOOKUP($A$1,+[18]İcmal!$B$19:$AG$49,ROW(Q10)+1,FALSE)</f>
        <v>0</v>
      </c>
      <c r="AA12" s="15" cm="1">
        <f t="array" ref="AA12">+HLOOKUP($A$1,+[19]İcmal!$B$19:$AG$49,ROW(R10)+1,FALSE)</f>
        <v>0</v>
      </c>
      <c r="AB12" s="15" cm="1">
        <f t="array" ref="AB12">+HLOOKUP($A$1,+[20]İcmal!$B$19:$AG$49,ROW(S10)+1,FALSE)</f>
        <v>0</v>
      </c>
      <c r="AC12" s="15" cm="1">
        <f t="array" ref="AC12">+HLOOKUP($A$1,+[21]İcmal!$B$19:$AG$49,ROW(T10)+1,FALSE)</f>
        <v>0</v>
      </c>
      <c r="AD12" s="15" cm="1">
        <f t="array" ref="AD12">+HLOOKUP($A$1,+[22]İcmal!$B$19:$AG$49,ROW(U10)+1,FALSE)</f>
        <v>0</v>
      </c>
      <c r="AE12" s="15" cm="1">
        <f t="array" ref="AE12">+HLOOKUP($A$1,+[23]İcmal!$B$19:$AG$49,ROW(V10)+1,FALSE)</f>
        <v>0</v>
      </c>
      <c r="AF12" s="15" cm="1">
        <f t="array" ref="AF12">+HLOOKUP($A$1,+[24]İcmal!$B$19:$AG$49,ROW(W10)+1,FALSE)</f>
        <v>0</v>
      </c>
      <c r="AG12" s="15" cm="1">
        <f t="array" ref="AG12">+HLOOKUP($A$1,+[25]İcmal!$B$19:$AG$49,ROW(X10)+1,FALSE)</f>
        <v>0</v>
      </c>
      <c r="AH12" s="15" cm="1">
        <f t="array" ref="AH12">+HLOOKUP($A$1,+[26]İcmal!$B$19:$AG$49,ROW(Y10)+1,FALSE)</f>
        <v>0</v>
      </c>
      <c r="AI12" s="15" cm="1">
        <f t="array" ref="AI12">+HLOOKUP($A$1,+[27]İcmal!$B$19:$AG$49,ROW(Z10)+1,FALSE)</f>
        <v>0</v>
      </c>
      <c r="AJ12" s="15" cm="1">
        <f t="array" ref="AJ12">+HLOOKUP($A$1,+[28]İcmal!$B$19:$AG$49,ROW(AA10)+1,FALSE)</f>
        <v>0</v>
      </c>
      <c r="AK12" s="15" cm="1">
        <f t="array" ref="AK12">+HLOOKUP($A$1,+[29]İcmal!$B$19:$AG$49,ROW(AB10)+1,FALSE)</f>
        <v>0</v>
      </c>
      <c r="AL12" s="15"/>
      <c r="AM12" s="15"/>
      <c r="AN12" s="15"/>
      <c r="AO12" s="15"/>
      <c r="AP12" s="15"/>
      <c r="AQ12" s="15"/>
      <c r="AR12" s="15"/>
      <c r="AS12" s="15"/>
      <c r="AT12" s="13"/>
    </row>
    <row r="13" spans="1:46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284</v>
      </c>
      <c r="I13" s="9">
        <f t="shared" si="2"/>
        <v>7952000</v>
      </c>
      <c r="J13" s="15" cm="1">
        <f t="array" ref="J13">+HLOOKUP($A$1,+[2]İcmal!$B$19:$AG$49,ROW(A11)+1,FALSE)</f>
        <v>10</v>
      </c>
      <c r="K13" s="15" cm="1">
        <f t="array" ref="K13">+HLOOKUP($A$1,+[3]İcmal!$B$19:$AG$49,ROW(B11)+1,FALSE)</f>
        <v>27</v>
      </c>
      <c r="L13" s="15" cm="1">
        <f t="array" ref="L13">+HLOOKUP($A$1,+[4]İcmal!$B$19:$AG$49,ROW(C11)+1,FALSE)</f>
        <v>0</v>
      </c>
      <c r="M13" s="15" cm="1">
        <f t="array" ref="M13">+HLOOKUP($A$1,+[5]İcmal!$B$19:$AG$49,ROW(D11)+1,FALSE)</f>
        <v>0</v>
      </c>
      <c r="N13" s="15" cm="1">
        <f t="array" ref="N13">+HLOOKUP($A$1,+[6]İcmal!$B$19:$AG$49,ROW(E11)+1,FALSE)</f>
        <v>57</v>
      </c>
      <c r="O13" s="15" cm="1">
        <f t="array" ref="O13">+HLOOKUP($A$1,+[7]İcmal!$B$19:$AG$49,ROW(F11)+1,FALSE)</f>
        <v>36</v>
      </c>
      <c r="P13" s="15" cm="1">
        <f t="array" ref="P13">+HLOOKUP($A$1,+[8]İcmal!$B$19:$AG$49,ROW(G11)+1,FALSE)</f>
        <v>0</v>
      </c>
      <c r="Q13" s="15" cm="1">
        <f t="array" ref="Q13">+HLOOKUP($A$1,+[9]İcmal!$B$19:$AG$49,ROW(H11)+1,FALSE)</f>
        <v>0</v>
      </c>
      <c r="R13" s="15" cm="1">
        <f t="array" ref="R13">+HLOOKUP($A$1,+[10]İcmal!$B$19:$AG$49,ROW(I11)+1,FALSE)</f>
        <v>57</v>
      </c>
      <c r="S13" s="15" cm="1">
        <f t="array" ref="S13">+HLOOKUP($A$1,+[11]İcmal!$B$19:$AG$49,ROW(J11)+1,FALSE)</f>
        <v>75</v>
      </c>
      <c r="T13" s="15" cm="1">
        <f t="array" ref="T13">+HLOOKUP($A$1,+[12]İcmal!$B$19:$AG$49,ROW(K11)+1,FALSE)</f>
        <v>0</v>
      </c>
      <c r="U13" s="15" cm="1">
        <f t="array" ref="U13">+HLOOKUP($A$1,+[13]İcmal!$B$19:$AG$49,ROW(L11)+1,FALSE)</f>
        <v>0</v>
      </c>
      <c r="V13" s="15" cm="1">
        <f t="array" ref="V13">+HLOOKUP($A$1,+[14]İcmal!$B$19:$AG$49,ROW(M11)+1,FALSE)</f>
        <v>0</v>
      </c>
      <c r="W13" s="15" cm="1">
        <f t="array" ref="W13">+HLOOKUP($A$1,+[15]İcmal!$B$19:$AG$49,ROW(N11)+1,FALSE)</f>
        <v>0</v>
      </c>
      <c r="X13" s="15" cm="1">
        <f t="array" ref="X13">+HLOOKUP($A$1,+[16]İcmal!$B$19:$AG$49,ROW(O11)+1,FALSE)</f>
        <v>0</v>
      </c>
      <c r="Y13" s="15" cm="1">
        <f t="array" ref="Y13">+HLOOKUP($A$1,+[17]İcmal!$B$19:$AG$49,ROW(P11)+1,FALSE)</f>
        <v>0</v>
      </c>
      <c r="Z13" s="15" cm="1">
        <f t="array" ref="Z13">+HLOOKUP($A$1,+[18]İcmal!$B$19:$AG$49,ROW(Q11)+1,FALSE)</f>
        <v>0</v>
      </c>
      <c r="AA13" s="15" cm="1">
        <f t="array" ref="AA13">+HLOOKUP($A$1,+[19]İcmal!$B$19:$AG$49,ROW(R11)+1,FALSE)</f>
        <v>0</v>
      </c>
      <c r="AB13" s="15" cm="1">
        <f t="array" ref="AB13">+HLOOKUP($A$1,+[20]İcmal!$B$19:$AG$49,ROW(S11)+1,FALSE)</f>
        <v>22</v>
      </c>
      <c r="AC13" s="15" cm="1">
        <f t="array" ref="AC13">+HLOOKUP($A$1,+[21]İcmal!$B$19:$AG$49,ROW(T11)+1,FALSE)</f>
        <v>0</v>
      </c>
      <c r="AD13" s="15" cm="1">
        <f t="array" ref="AD13">+HLOOKUP($A$1,+[22]İcmal!$B$19:$AG$49,ROW(U11)+1,FALSE)</f>
        <v>0</v>
      </c>
      <c r="AE13" s="15" cm="1">
        <f t="array" ref="AE13">+HLOOKUP($A$1,+[23]İcmal!$B$19:$AG$49,ROW(V11)+1,FALSE)</f>
        <v>0</v>
      </c>
      <c r="AF13" s="15" cm="1">
        <f t="array" ref="AF13">+HLOOKUP($A$1,+[24]İcmal!$B$19:$AG$49,ROW(W11)+1,FALSE)</f>
        <v>0</v>
      </c>
      <c r="AG13" s="15" cm="1">
        <f t="array" ref="AG13">+HLOOKUP($A$1,+[25]İcmal!$B$19:$AG$49,ROW(X11)+1,FALSE)</f>
        <v>0</v>
      </c>
      <c r="AH13" s="15" cm="1">
        <f t="array" ref="AH13">+HLOOKUP($A$1,+[26]İcmal!$B$19:$AG$49,ROW(Y11)+1,FALSE)</f>
        <v>0</v>
      </c>
      <c r="AI13" s="15" cm="1">
        <f t="array" ref="AI13">+HLOOKUP($A$1,+[27]İcmal!$B$19:$AG$49,ROW(Z11)+1,FALSE)</f>
        <v>0</v>
      </c>
      <c r="AJ13" s="15" cm="1">
        <f t="array" ref="AJ13">+HLOOKUP($A$1,+[28]İcmal!$B$19:$AG$49,ROW(AA11)+1,FALSE)</f>
        <v>0</v>
      </c>
      <c r="AK13" s="15" cm="1">
        <f t="array" ref="AK13">+HLOOKUP($A$1,+[29]İcmal!$B$19:$AG$49,ROW(AB11)+1,FALSE)</f>
        <v>0</v>
      </c>
      <c r="AL13" s="15"/>
      <c r="AM13" s="15"/>
      <c r="AN13" s="15"/>
      <c r="AO13" s="15"/>
      <c r="AP13" s="15"/>
      <c r="AQ13" s="15"/>
      <c r="AR13" s="15"/>
      <c r="AS13" s="15"/>
      <c r="AT13" s="13"/>
    </row>
    <row r="14" spans="1:46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3654</v>
      </c>
      <c r="I14" s="9">
        <f t="shared" si="2"/>
        <v>1370250</v>
      </c>
      <c r="J14" s="15" cm="1">
        <f t="array" ref="J14">+HLOOKUP($A$1,+[2]İcmal!$B$19:$AG$49,ROW(A12)+1,FALSE)</f>
        <v>0</v>
      </c>
      <c r="K14" s="15" cm="1">
        <f t="array" ref="K14">+HLOOKUP($A$1,+[3]İcmal!$B$19:$AG$49,ROW(B12)+1,FALSE)</f>
        <v>0</v>
      </c>
      <c r="L14" s="15" cm="1">
        <f t="array" ref="L14">+HLOOKUP($A$1,+[4]İcmal!$B$19:$AG$49,ROW(C12)+1,FALSE)</f>
        <v>0</v>
      </c>
      <c r="M14" s="15" cm="1">
        <f t="array" ref="M14">+HLOOKUP($A$1,+[5]İcmal!$B$19:$AG$49,ROW(D12)+1,FALSE)</f>
        <v>0</v>
      </c>
      <c r="N14" s="15" cm="1">
        <f t="array" ref="N14">+HLOOKUP($A$1,+[6]İcmal!$B$19:$AG$49,ROW(E12)+1,FALSE)</f>
        <v>990</v>
      </c>
      <c r="O14" s="15" cm="1">
        <f t="array" ref="O14">+HLOOKUP($A$1,+[7]İcmal!$B$19:$AG$49,ROW(F12)+1,FALSE)</f>
        <v>486</v>
      </c>
      <c r="P14" s="15" cm="1">
        <f t="array" ref="P14">+HLOOKUP($A$1,+[8]İcmal!$B$19:$AG$49,ROW(G12)+1,FALSE)</f>
        <v>0</v>
      </c>
      <c r="Q14" s="15" cm="1">
        <f t="array" ref="Q14">+HLOOKUP($A$1,+[9]İcmal!$B$19:$AG$49,ROW(H12)+1,FALSE)</f>
        <v>0</v>
      </c>
      <c r="R14" s="15" cm="1">
        <f t="array" ref="R14">+HLOOKUP($A$1,+[10]İcmal!$B$19:$AG$49,ROW(I12)+1,FALSE)</f>
        <v>990</v>
      </c>
      <c r="S14" s="15" cm="1">
        <f t="array" ref="S14">+HLOOKUP($A$1,+[11]İcmal!$B$19:$AG$49,ROW(J12)+1,FALSE)</f>
        <v>648</v>
      </c>
      <c r="T14" s="15" cm="1">
        <f t="array" ref="T14">+HLOOKUP($A$1,+[12]İcmal!$B$19:$AG$49,ROW(K12)+1,FALSE)</f>
        <v>0</v>
      </c>
      <c r="U14" s="15" cm="1">
        <f t="array" ref="U14">+HLOOKUP($A$1,+[13]İcmal!$B$19:$AG$49,ROW(L12)+1,FALSE)</f>
        <v>0</v>
      </c>
      <c r="V14" s="15" cm="1">
        <f t="array" ref="V14">+HLOOKUP($A$1,+[14]İcmal!$B$19:$AG$49,ROW(M12)+1,FALSE)</f>
        <v>0</v>
      </c>
      <c r="W14" s="15" cm="1">
        <f t="array" ref="W14">+HLOOKUP($A$1,+[15]İcmal!$B$19:$AG$49,ROW(N12)+1,FALSE)</f>
        <v>0</v>
      </c>
      <c r="X14" s="15" cm="1">
        <f t="array" ref="X14">+HLOOKUP($A$1,+[16]İcmal!$B$19:$AG$49,ROW(O12)+1,FALSE)</f>
        <v>0</v>
      </c>
      <c r="Y14" s="15" cm="1">
        <f t="array" ref="Y14">+HLOOKUP($A$1,+[17]İcmal!$B$19:$AG$49,ROW(P12)+1,FALSE)</f>
        <v>0</v>
      </c>
      <c r="Z14" s="15" cm="1">
        <f t="array" ref="Z14">+HLOOKUP($A$1,+[18]İcmal!$B$19:$AG$49,ROW(Q12)+1,FALSE)</f>
        <v>0</v>
      </c>
      <c r="AA14" s="15" cm="1">
        <f t="array" ref="AA14">+HLOOKUP($A$1,+[19]İcmal!$B$19:$AG$49,ROW(R12)+1,FALSE)</f>
        <v>0</v>
      </c>
      <c r="AB14" s="15" cm="1">
        <f t="array" ref="AB14">+HLOOKUP($A$1,+[20]İcmal!$B$19:$AG$49,ROW(S12)+1,FALSE)</f>
        <v>180</v>
      </c>
      <c r="AC14" s="15" cm="1">
        <f t="array" ref="AC14">+HLOOKUP($A$1,+[21]İcmal!$B$19:$AG$49,ROW(T12)+1,FALSE)</f>
        <v>0</v>
      </c>
      <c r="AD14" s="15" cm="1">
        <f t="array" ref="AD14">+HLOOKUP($A$1,+[22]İcmal!$B$19:$AG$49,ROW(U12)+1,FALSE)</f>
        <v>0</v>
      </c>
      <c r="AE14" s="15" cm="1">
        <f t="array" ref="AE14">+HLOOKUP($A$1,+[23]İcmal!$B$19:$AG$49,ROW(V12)+1,FALSE)</f>
        <v>0</v>
      </c>
      <c r="AF14" s="15" cm="1">
        <f t="array" ref="AF14">+HLOOKUP($A$1,+[24]İcmal!$B$19:$AG$49,ROW(W12)+1,FALSE)</f>
        <v>180</v>
      </c>
      <c r="AG14" s="15" cm="1">
        <f t="array" ref="AG14">+HLOOKUP($A$1,+[25]İcmal!$B$19:$AG$49,ROW(X12)+1,FALSE)</f>
        <v>0</v>
      </c>
      <c r="AH14" s="15" cm="1">
        <f t="array" ref="AH14">+HLOOKUP($A$1,+[26]İcmal!$B$19:$AG$49,ROW(Y12)+1,FALSE)</f>
        <v>180</v>
      </c>
      <c r="AI14" s="15" cm="1">
        <f t="array" ref="AI14">+HLOOKUP($A$1,+[27]İcmal!$B$19:$AG$49,ROW(Z12)+1,FALSE)</f>
        <v>0</v>
      </c>
      <c r="AJ14" s="15" cm="1">
        <f t="array" ref="AJ14">+HLOOKUP($A$1,+[28]İcmal!$B$19:$AG$49,ROW(AA12)+1,FALSE)</f>
        <v>0</v>
      </c>
      <c r="AK14" s="15" cm="1">
        <f t="array" ref="AK14">+HLOOKUP($A$1,+[29]İcmal!$B$19:$AG$49,ROW(AB12)+1,FALSE)</f>
        <v>0</v>
      </c>
      <c r="AL14" s="15"/>
      <c r="AM14" s="15"/>
      <c r="AN14" s="15"/>
      <c r="AO14" s="15"/>
      <c r="AP14" s="15"/>
      <c r="AQ14" s="15"/>
      <c r="AR14" s="15"/>
      <c r="AS14" s="15"/>
      <c r="AT14" s="13"/>
    </row>
    <row r="15" spans="1:46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+HLOOKUP($A$1,+[2]İcmal!$B$19:$AG$49,ROW(A13)+1,FALSE)</f>
        <v>0</v>
      </c>
      <c r="K15" s="15" cm="1">
        <f t="array" ref="K15">+HLOOKUP($A$1,+[3]İcmal!$B$19:$AG$49,ROW(B13)+1,FALSE)</f>
        <v>0</v>
      </c>
      <c r="L15" s="15" cm="1">
        <f t="array" ref="L15">+HLOOKUP($A$1,+[4]İcmal!$B$19:$AG$49,ROW(C13)+1,FALSE)</f>
        <v>0</v>
      </c>
      <c r="M15" s="15" cm="1">
        <f t="array" ref="M15">+HLOOKUP($A$1,+[5]İcmal!$B$19:$AG$49,ROW(D13)+1,FALSE)</f>
        <v>0</v>
      </c>
      <c r="N15" s="15" cm="1">
        <f t="array" ref="N15">+HLOOKUP($A$1,+[6]İcmal!$B$19:$AG$49,ROW(E13)+1,FALSE)</f>
        <v>0</v>
      </c>
      <c r="O15" s="15" cm="1">
        <f t="array" ref="O15">+HLOOKUP($A$1,+[7]İcmal!$B$19:$AG$49,ROW(F13)+1,FALSE)</f>
        <v>0</v>
      </c>
      <c r="P15" s="15" cm="1">
        <f t="array" ref="P15">+HLOOKUP($A$1,+[8]İcmal!$B$19:$AG$49,ROW(G13)+1,FALSE)</f>
        <v>0</v>
      </c>
      <c r="Q15" s="15" cm="1">
        <f t="array" ref="Q15">+HLOOKUP($A$1,+[9]İcmal!$B$19:$AG$49,ROW(H13)+1,FALSE)</f>
        <v>0</v>
      </c>
      <c r="R15" s="15" cm="1">
        <f t="array" ref="R15">+HLOOKUP($A$1,+[10]İcmal!$B$19:$AG$49,ROW(I13)+1,FALSE)</f>
        <v>0</v>
      </c>
      <c r="S15" s="15" cm="1">
        <f t="array" ref="S15">+HLOOKUP($A$1,+[11]İcmal!$B$19:$AG$49,ROW(J13)+1,FALSE)</f>
        <v>0</v>
      </c>
      <c r="T15" s="15" cm="1">
        <f t="array" ref="T15">+HLOOKUP($A$1,+[12]İcmal!$B$19:$AG$49,ROW(K13)+1,FALSE)</f>
        <v>0</v>
      </c>
      <c r="U15" s="15" cm="1">
        <f t="array" ref="U15">+HLOOKUP($A$1,+[13]İcmal!$B$19:$AG$49,ROW(L13)+1,FALSE)</f>
        <v>0</v>
      </c>
      <c r="V15" s="15" cm="1">
        <f t="array" ref="V15">+HLOOKUP($A$1,+[14]İcmal!$B$19:$AG$49,ROW(M13)+1,FALSE)</f>
        <v>0</v>
      </c>
      <c r="W15" s="15" cm="1">
        <f t="array" ref="W15">+HLOOKUP($A$1,+[15]İcmal!$B$19:$AG$49,ROW(N13)+1,FALSE)</f>
        <v>0</v>
      </c>
      <c r="X15" s="15" cm="1">
        <f t="array" ref="X15">+HLOOKUP($A$1,+[16]İcmal!$B$19:$AG$49,ROW(O13)+1,FALSE)</f>
        <v>0</v>
      </c>
      <c r="Y15" s="15" cm="1">
        <f t="array" ref="Y15">+HLOOKUP($A$1,+[17]İcmal!$B$19:$AG$49,ROW(P13)+1,FALSE)</f>
        <v>0</v>
      </c>
      <c r="Z15" s="15" cm="1">
        <f t="array" ref="Z15">+HLOOKUP($A$1,+[18]İcmal!$B$19:$AG$49,ROW(Q13)+1,FALSE)</f>
        <v>0</v>
      </c>
      <c r="AA15" s="15" cm="1">
        <f t="array" ref="AA15">+HLOOKUP($A$1,+[19]İcmal!$B$19:$AG$49,ROW(R13)+1,FALSE)</f>
        <v>0</v>
      </c>
      <c r="AB15" s="15" cm="1">
        <f t="array" ref="AB15">+HLOOKUP($A$1,+[20]İcmal!$B$19:$AG$49,ROW(S13)+1,FALSE)</f>
        <v>0</v>
      </c>
      <c r="AC15" s="15" cm="1">
        <f t="array" ref="AC15">+HLOOKUP($A$1,+[21]İcmal!$B$19:$AG$49,ROW(T13)+1,FALSE)</f>
        <v>0</v>
      </c>
      <c r="AD15" s="15" cm="1">
        <f t="array" ref="AD15">+HLOOKUP($A$1,+[22]İcmal!$B$19:$AG$49,ROW(U13)+1,FALSE)</f>
        <v>0</v>
      </c>
      <c r="AE15" s="15" cm="1">
        <f t="array" ref="AE15">+HLOOKUP($A$1,+[23]İcmal!$B$19:$AG$49,ROW(V13)+1,FALSE)</f>
        <v>0</v>
      </c>
      <c r="AF15" s="15" cm="1">
        <f t="array" ref="AF15">+HLOOKUP($A$1,+[24]İcmal!$B$19:$AG$49,ROW(W13)+1,FALSE)</f>
        <v>0</v>
      </c>
      <c r="AG15" s="15" cm="1">
        <f t="array" ref="AG15">+HLOOKUP($A$1,+[25]İcmal!$B$19:$AG$49,ROW(X13)+1,FALSE)</f>
        <v>0</v>
      </c>
      <c r="AH15" s="15" cm="1">
        <f t="array" ref="AH15">+HLOOKUP($A$1,+[26]İcmal!$B$19:$AG$49,ROW(Y13)+1,FALSE)</f>
        <v>0</v>
      </c>
      <c r="AI15" s="15" cm="1">
        <f t="array" ref="AI15">+HLOOKUP($A$1,+[27]İcmal!$B$19:$AG$49,ROW(Z13)+1,FALSE)</f>
        <v>0</v>
      </c>
      <c r="AJ15" s="15" cm="1">
        <f t="array" ref="AJ15">+HLOOKUP($A$1,+[28]İcmal!$B$19:$AG$49,ROW(AA13)+1,FALSE)</f>
        <v>0</v>
      </c>
      <c r="AK15" s="15" cm="1">
        <f t="array" ref="AK15">+HLOOKUP($A$1,+[29]İcmal!$B$19:$AG$49,ROW(AB13)+1,FALSE)</f>
        <v>0</v>
      </c>
      <c r="AL15" s="15"/>
      <c r="AM15" s="15"/>
      <c r="AN15" s="15"/>
      <c r="AO15" s="15"/>
      <c r="AP15" s="15"/>
      <c r="AQ15" s="15"/>
      <c r="AR15" s="15"/>
      <c r="AS15" s="15"/>
      <c r="AT15" s="13"/>
    </row>
    <row r="16" spans="1:46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154.398</v>
      </c>
      <c r="I16" s="9">
        <f t="shared" si="2"/>
        <v>15748596</v>
      </c>
      <c r="J16" s="15" cm="1">
        <f t="array" ref="J16">+HLOOKUP($A$1,+[2]İcmal!$B$19:$AG$49,ROW(A14)+1,FALSE)</f>
        <v>0</v>
      </c>
      <c r="K16" s="15" cm="1">
        <f t="array" ref="K16">+HLOOKUP($A$1,+[3]İcmal!$B$19:$AG$49,ROW(B14)+1,FALSE)</f>
        <v>1.7490000000000001</v>
      </c>
      <c r="L16" s="15" cm="1">
        <f t="array" ref="L16">+HLOOKUP($A$1,+[4]İcmal!$B$19:$AG$49,ROW(C14)+1,FALSE)</f>
        <v>0</v>
      </c>
      <c r="M16" s="15" cm="1">
        <f t="array" ref="M16">+HLOOKUP($A$1,+[5]İcmal!$B$19:$AG$49,ROW(D14)+1,FALSE)</f>
        <v>0</v>
      </c>
      <c r="N16" s="15" cm="1">
        <f t="array" ref="N16">+HLOOKUP($A$1,+[6]İcmal!$B$19:$AG$49,ROW(E14)+1,FALSE)</f>
        <v>40.289000000000001</v>
      </c>
      <c r="O16" s="15" cm="1">
        <f t="array" ref="O16">+HLOOKUP($A$1,+[7]İcmal!$B$19:$AG$49,ROW(F14)+1,FALSE)</f>
        <v>17.211999999999996</v>
      </c>
      <c r="P16" s="15" cm="1">
        <f t="array" ref="P16">+HLOOKUP($A$1,+[8]İcmal!$B$19:$AG$49,ROW(G14)+1,FALSE)</f>
        <v>0</v>
      </c>
      <c r="Q16" s="15" cm="1">
        <f t="array" ref="Q16">+HLOOKUP($A$1,+[9]İcmal!$B$19:$AG$49,ROW(H14)+1,FALSE)</f>
        <v>0</v>
      </c>
      <c r="R16" s="15" cm="1">
        <f t="array" ref="R16">+HLOOKUP($A$1,+[10]İcmal!$B$19:$AG$49,ROW(I14)+1,FALSE)</f>
        <v>41.177999999999997</v>
      </c>
      <c r="S16" s="15" cm="1">
        <f t="array" ref="S16">+HLOOKUP($A$1,+[11]İcmal!$B$19:$AG$49,ROW(J14)+1,FALSE)</f>
        <v>22.949999999999996</v>
      </c>
      <c r="T16" s="15" cm="1">
        <f t="array" ref="T16">+HLOOKUP($A$1,+[12]İcmal!$B$19:$AG$49,ROW(K14)+1,FALSE)</f>
        <v>0</v>
      </c>
      <c r="U16" s="15" cm="1">
        <f t="array" ref="U16">+HLOOKUP($A$1,+[13]İcmal!$B$19:$AG$49,ROW(L14)+1,FALSE)</f>
        <v>0</v>
      </c>
      <c r="V16" s="15" cm="1">
        <f t="array" ref="V16">+HLOOKUP($A$1,+[14]İcmal!$B$19:$AG$49,ROW(M14)+1,FALSE)</f>
        <v>0</v>
      </c>
      <c r="W16" s="15" cm="1">
        <f t="array" ref="W16">+HLOOKUP($A$1,+[15]İcmal!$B$19:$AG$49,ROW(N14)+1,FALSE)</f>
        <v>6.9490000000000007</v>
      </c>
      <c r="X16" s="15" cm="1">
        <f t="array" ref="X16">+HLOOKUP($A$1,+[16]İcmal!$B$19:$AG$49,ROW(O14)+1,FALSE)</f>
        <v>0</v>
      </c>
      <c r="Y16" s="15" cm="1">
        <f t="array" ref="Y16">+HLOOKUP($A$1,+[17]İcmal!$B$19:$AG$49,ROW(P14)+1,FALSE)</f>
        <v>0</v>
      </c>
      <c r="Z16" s="15" cm="1">
        <f t="array" ref="Z16">+HLOOKUP($A$1,+[18]İcmal!$B$19:$AG$49,ROW(Q14)+1,FALSE)</f>
        <v>0</v>
      </c>
      <c r="AA16" s="15" cm="1">
        <f t="array" ref="AA16">+HLOOKUP($A$1,+[19]İcmal!$B$19:$AG$49,ROW(R14)+1,FALSE)</f>
        <v>0</v>
      </c>
      <c r="AB16" s="15" cm="1">
        <f t="array" ref="AB16">+HLOOKUP($A$1,+[20]İcmal!$B$19:$AG$49,ROW(S14)+1,FALSE)</f>
        <v>8.8520000000000003</v>
      </c>
      <c r="AC16" s="15" cm="1">
        <f t="array" ref="AC16">+HLOOKUP($A$1,+[21]İcmal!$B$19:$AG$49,ROW(T14)+1,FALSE)</f>
        <v>0</v>
      </c>
      <c r="AD16" s="15" cm="1">
        <f t="array" ref="AD16">+HLOOKUP($A$1,+[22]İcmal!$B$19:$AG$49,ROW(U14)+1,FALSE)</f>
        <v>0</v>
      </c>
      <c r="AE16" s="15" cm="1">
        <f t="array" ref="AE16">+HLOOKUP($A$1,+[23]İcmal!$B$19:$AG$49,ROW(V14)+1,FALSE)</f>
        <v>0</v>
      </c>
      <c r="AF16" s="15" cm="1">
        <f t="array" ref="AF16">+HLOOKUP($A$1,+[24]İcmal!$B$19:$AG$49,ROW(W14)+1,FALSE)</f>
        <v>6.3670000000000009</v>
      </c>
      <c r="AG16" s="15" cm="1">
        <f t="array" ref="AG16">+HLOOKUP($A$1,+[25]İcmal!$B$19:$AG$49,ROW(X14)+1,FALSE)</f>
        <v>0</v>
      </c>
      <c r="AH16" s="15" cm="1">
        <f t="array" ref="AH16">+HLOOKUP($A$1,+[26]İcmal!$B$19:$AG$49,ROW(Y14)+1,FALSE)</f>
        <v>8.8520000000000003</v>
      </c>
      <c r="AI16" s="15" cm="1">
        <f t="array" ref="AI16">+HLOOKUP($A$1,+[27]İcmal!$B$19:$AG$49,ROW(Z14)+1,FALSE)</f>
        <v>0</v>
      </c>
      <c r="AJ16" s="15" cm="1">
        <f t="array" ref="AJ16">+HLOOKUP($A$1,+[28]İcmal!$B$19:$AG$49,ROW(AA14)+1,FALSE)</f>
        <v>0</v>
      </c>
      <c r="AK16" s="15" cm="1">
        <f t="array" ref="AK16">+HLOOKUP($A$1,+[29]İcmal!$B$19:$AG$49,ROW(AB14)+1,FALSE)</f>
        <v>0</v>
      </c>
      <c r="AL16" s="15"/>
      <c r="AM16" s="15"/>
      <c r="AN16" s="15"/>
      <c r="AO16" s="15"/>
      <c r="AP16" s="15"/>
      <c r="AQ16" s="15"/>
      <c r="AR16" s="15"/>
      <c r="AS16" s="15"/>
      <c r="AT16" s="13"/>
    </row>
    <row r="17" spans="1:46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10179</v>
      </c>
      <c r="I17" s="9">
        <f t="shared" si="2"/>
        <v>34608600</v>
      </c>
      <c r="J17" s="15" cm="1">
        <f t="array" ref="J17">+HLOOKUP($A$1,+[2]İcmal!$B$19:$AG$49,ROW(A15)+1,FALSE)</f>
        <v>0</v>
      </c>
      <c r="K17" s="15" cm="1">
        <f t="array" ref="K17">+HLOOKUP($A$1,+[3]İcmal!$B$19:$AG$49,ROW(B15)+1,FALSE)</f>
        <v>0</v>
      </c>
      <c r="L17" s="15" cm="1">
        <f t="array" ref="L17">+HLOOKUP($A$1,+[4]İcmal!$B$19:$AG$49,ROW(C15)+1,FALSE)</f>
        <v>0</v>
      </c>
      <c r="M17" s="15" cm="1">
        <f t="array" ref="M17">+HLOOKUP($A$1,+[5]İcmal!$B$19:$AG$49,ROW(D15)+1,FALSE)</f>
        <v>0</v>
      </c>
      <c r="N17" s="15" cm="1">
        <f t="array" ref="N17">+HLOOKUP($A$1,+[6]İcmal!$B$19:$AG$49,ROW(E15)+1,FALSE)</f>
        <v>2610</v>
      </c>
      <c r="O17" s="15" cm="1">
        <f t="array" ref="O17">+HLOOKUP($A$1,+[7]İcmal!$B$19:$AG$49,ROW(F15)+1,FALSE)</f>
        <v>1269</v>
      </c>
      <c r="P17" s="15" cm="1">
        <f t="array" ref="P17">+HLOOKUP($A$1,+[8]İcmal!$B$19:$AG$49,ROW(G15)+1,FALSE)</f>
        <v>0</v>
      </c>
      <c r="Q17" s="15" cm="1">
        <f t="array" ref="Q17">+HLOOKUP($A$1,+[9]İcmal!$B$19:$AG$49,ROW(H15)+1,FALSE)</f>
        <v>0</v>
      </c>
      <c r="R17" s="15" cm="1">
        <f t="array" ref="R17">+HLOOKUP($A$1,+[10]İcmal!$B$19:$AG$49,ROW(I15)+1,FALSE)</f>
        <v>2610</v>
      </c>
      <c r="S17" s="15" cm="1">
        <f t="array" ref="S17">+HLOOKUP($A$1,+[11]İcmal!$B$19:$AG$49,ROW(J15)+1,FALSE)</f>
        <v>1692</v>
      </c>
      <c r="T17" s="15" cm="1">
        <f t="array" ref="T17">+HLOOKUP($A$1,+[12]İcmal!$B$19:$AG$49,ROW(K15)+1,FALSE)</f>
        <v>0</v>
      </c>
      <c r="U17" s="15" cm="1">
        <f t="array" ref="U17">+HLOOKUP($A$1,+[13]İcmal!$B$19:$AG$49,ROW(L15)+1,FALSE)</f>
        <v>0</v>
      </c>
      <c r="V17" s="15" cm="1">
        <f t="array" ref="V17">+HLOOKUP($A$1,+[14]İcmal!$B$19:$AG$49,ROW(M15)+1,FALSE)</f>
        <v>0</v>
      </c>
      <c r="W17" s="15" cm="1">
        <f t="array" ref="W17">+HLOOKUP($A$1,+[15]İcmal!$B$19:$AG$49,ROW(N15)+1,FALSE)</f>
        <v>0</v>
      </c>
      <c r="X17" s="15" cm="1">
        <f t="array" ref="X17">+HLOOKUP($A$1,+[16]İcmal!$B$19:$AG$49,ROW(O15)+1,FALSE)</f>
        <v>0</v>
      </c>
      <c r="Y17" s="15" cm="1">
        <f t="array" ref="Y17">+HLOOKUP($A$1,+[17]İcmal!$B$19:$AG$49,ROW(P15)+1,FALSE)</f>
        <v>0</v>
      </c>
      <c r="Z17" s="15" cm="1">
        <f t="array" ref="Z17">+HLOOKUP($A$1,+[18]İcmal!$B$19:$AG$49,ROW(Q15)+1,FALSE)</f>
        <v>0</v>
      </c>
      <c r="AA17" s="15" cm="1">
        <f t="array" ref="AA17">+HLOOKUP($A$1,+[19]İcmal!$B$19:$AG$49,ROW(R15)+1,FALSE)</f>
        <v>0</v>
      </c>
      <c r="AB17" s="15" cm="1">
        <f t="array" ref="AB17">+HLOOKUP($A$1,+[20]İcmal!$B$19:$AG$49,ROW(S15)+1,FALSE)</f>
        <v>666</v>
      </c>
      <c r="AC17" s="15" cm="1">
        <f t="array" ref="AC17">+HLOOKUP($A$1,+[21]İcmal!$B$19:$AG$49,ROW(T15)+1,FALSE)</f>
        <v>0</v>
      </c>
      <c r="AD17" s="15" cm="1">
        <f t="array" ref="AD17">+HLOOKUP($A$1,+[22]İcmal!$B$19:$AG$49,ROW(U15)+1,FALSE)</f>
        <v>0</v>
      </c>
      <c r="AE17" s="15" cm="1">
        <f t="array" ref="AE17">+HLOOKUP($A$1,+[23]İcmal!$B$19:$AG$49,ROW(V15)+1,FALSE)</f>
        <v>0</v>
      </c>
      <c r="AF17" s="15" cm="1">
        <f t="array" ref="AF17">+HLOOKUP($A$1,+[24]İcmal!$B$19:$AG$49,ROW(W15)+1,FALSE)</f>
        <v>666</v>
      </c>
      <c r="AG17" s="15" cm="1">
        <f t="array" ref="AG17">+HLOOKUP($A$1,+[25]İcmal!$B$19:$AG$49,ROW(X15)+1,FALSE)</f>
        <v>0</v>
      </c>
      <c r="AH17" s="15" cm="1">
        <f t="array" ref="AH17">+HLOOKUP($A$1,+[26]İcmal!$B$19:$AG$49,ROW(Y15)+1,FALSE)</f>
        <v>666</v>
      </c>
      <c r="AI17" s="15" cm="1">
        <f t="array" ref="AI17">+HLOOKUP($A$1,+[27]İcmal!$B$19:$AG$49,ROW(Z15)+1,FALSE)</f>
        <v>0</v>
      </c>
      <c r="AJ17" s="15" cm="1">
        <f t="array" ref="AJ17">+HLOOKUP($A$1,+[28]İcmal!$B$19:$AG$49,ROW(AA15)+1,FALSE)</f>
        <v>0</v>
      </c>
      <c r="AK17" s="15" cm="1">
        <f t="array" ref="AK17">+HLOOKUP($A$1,+[29]İcmal!$B$19:$AG$49,ROW(AB15)+1,FALSE)</f>
        <v>0</v>
      </c>
      <c r="AL17" s="15"/>
      <c r="AM17" s="15"/>
      <c r="AN17" s="15"/>
      <c r="AO17" s="15"/>
      <c r="AP17" s="15"/>
      <c r="AQ17" s="15"/>
      <c r="AR17" s="15"/>
      <c r="AS17" s="15"/>
      <c r="AT17" s="13"/>
    </row>
    <row r="18" spans="1:46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+HLOOKUP($A$1,+[2]İcmal!$B$19:$AG$49,ROW(A16)+1,FALSE)</f>
        <v>0</v>
      </c>
      <c r="K18" s="15" cm="1">
        <f t="array" ref="K18">+HLOOKUP($A$1,+[3]İcmal!$B$19:$AG$49,ROW(B16)+1,FALSE)</f>
        <v>0</v>
      </c>
      <c r="L18" s="15" cm="1">
        <f t="array" ref="L18">+HLOOKUP($A$1,+[4]İcmal!$B$19:$AG$49,ROW(C16)+1,FALSE)</f>
        <v>0</v>
      </c>
      <c r="M18" s="15" cm="1">
        <f t="array" ref="M18">+HLOOKUP($A$1,+[5]İcmal!$B$19:$AG$49,ROW(D16)+1,FALSE)</f>
        <v>0</v>
      </c>
      <c r="N18" s="15" cm="1">
        <f t="array" ref="N18">+HLOOKUP($A$1,+[6]İcmal!$B$19:$AG$49,ROW(E16)+1,FALSE)</f>
        <v>0</v>
      </c>
      <c r="O18" s="15" cm="1">
        <f t="array" ref="O18">+HLOOKUP($A$1,+[7]İcmal!$B$19:$AG$49,ROW(F16)+1,FALSE)</f>
        <v>0</v>
      </c>
      <c r="P18" s="15" cm="1">
        <f t="array" ref="P18">+HLOOKUP($A$1,+[8]İcmal!$B$19:$AG$49,ROW(G16)+1,FALSE)</f>
        <v>0</v>
      </c>
      <c r="Q18" s="15" cm="1">
        <f t="array" ref="Q18">+HLOOKUP($A$1,+[9]İcmal!$B$19:$AG$49,ROW(H16)+1,FALSE)</f>
        <v>0</v>
      </c>
      <c r="R18" s="15" cm="1">
        <f t="array" ref="R18">+HLOOKUP($A$1,+[10]İcmal!$B$19:$AG$49,ROW(I16)+1,FALSE)</f>
        <v>0</v>
      </c>
      <c r="S18" s="15" cm="1">
        <f t="array" ref="S18">+HLOOKUP($A$1,+[11]İcmal!$B$19:$AG$49,ROW(J16)+1,FALSE)</f>
        <v>0</v>
      </c>
      <c r="T18" s="15" cm="1">
        <f t="array" ref="T18">+HLOOKUP($A$1,+[12]İcmal!$B$19:$AG$49,ROW(K16)+1,FALSE)</f>
        <v>0</v>
      </c>
      <c r="U18" s="15" cm="1">
        <f t="array" ref="U18">+HLOOKUP($A$1,+[13]İcmal!$B$19:$AG$49,ROW(L16)+1,FALSE)</f>
        <v>0</v>
      </c>
      <c r="V18" s="15" cm="1">
        <f t="array" ref="V18">+HLOOKUP($A$1,+[14]İcmal!$B$19:$AG$49,ROW(M16)+1,FALSE)</f>
        <v>0</v>
      </c>
      <c r="W18" s="15" cm="1">
        <f t="array" ref="W18">+HLOOKUP($A$1,+[15]İcmal!$B$19:$AG$49,ROW(N16)+1,FALSE)</f>
        <v>0</v>
      </c>
      <c r="X18" s="15" cm="1">
        <f t="array" ref="X18">+HLOOKUP($A$1,+[16]İcmal!$B$19:$AG$49,ROW(O16)+1,FALSE)</f>
        <v>0</v>
      </c>
      <c r="Y18" s="15" cm="1">
        <f t="array" ref="Y18">+HLOOKUP($A$1,+[17]İcmal!$B$19:$AG$49,ROW(P16)+1,FALSE)</f>
        <v>0</v>
      </c>
      <c r="Z18" s="15" cm="1">
        <f t="array" ref="Z18">+HLOOKUP($A$1,+[18]İcmal!$B$19:$AG$49,ROW(Q16)+1,FALSE)</f>
        <v>0</v>
      </c>
      <c r="AA18" s="15" cm="1">
        <f t="array" ref="AA18">+HLOOKUP($A$1,+[19]İcmal!$B$19:$AG$49,ROW(R16)+1,FALSE)</f>
        <v>0</v>
      </c>
      <c r="AB18" s="15" cm="1">
        <f t="array" ref="AB18">+HLOOKUP($A$1,+[20]İcmal!$B$19:$AG$49,ROW(S16)+1,FALSE)</f>
        <v>0</v>
      </c>
      <c r="AC18" s="15" cm="1">
        <f t="array" ref="AC18">+HLOOKUP($A$1,+[21]İcmal!$B$19:$AG$49,ROW(T16)+1,FALSE)</f>
        <v>0</v>
      </c>
      <c r="AD18" s="15" cm="1">
        <f t="array" ref="AD18">+HLOOKUP($A$1,+[22]İcmal!$B$19:$AG$49,ROW(U16)+1,FALSE)</f>
        <v>0</v>
      </c>
      <c r="AE18" s="15" cm="1">
        <f t="array" ref="AE18">+HLOOKUP($A$1,+[23]İcmal!$B$19:$AG$49,ROW(V16)+1,FALSE)</f>
        <v>0</v>
      </c>
      <c r="AF18" s="15" cm="1">
        <f t="array" ref="AF18">+HLOOKUP($A$1,+[24]İcmal!$B$19:$AG$49,ROW(W16)+1,FALSE)</f>
        <v>0</v>
      </c>
      <c r="AG18" s="15" cm="1">
        <f t="array" ref="AG18">+HLOOKUP($A$1,+[25]İcmal!$B$19:$AG$49,ROW(X16)+1,FALSE)</f>
        <v>0</v>
      </c>
      <c r="AH18" s="15" cm="1">
        <f t="array" ref="AH18">+HLOOKUP($A$1,+[26]İcmal!$B$19:$AG$49,ROW(Y16)+1,FALSE)</f>
        <v>0</v>
      </c>
      <c r="AI18" s="15" cm="1">
        <f t="array" ref="AI18">+HLOOKUP($A$1,+[27]İcmal!$B$19:$AG$49,ROW(Z16)+1,FALSE)</f>
        <v>0</v>
      </c>
      <c r="AJ18" s="15" cm="1">
        <f t="array" ref="AJ18">+HLOOKUP($A$1,+[28]İcmal!$B$19:$AG$49,ROW(AA16)+1,FALSE)</f>
        <v>0</v>
      </c>
      <c r="AK18" s="15" cm="1">
        <f t="array" ref="AK18">+HLOOKUP($A$1,+[29]İcmal!$B$19:$AG$49,ROW(AB16)+1,FALSE)</f>
        <v>0</v>
      </c>
      <c r="AL18" s="15"/>
      <c r="AM18" s="15"/>
      <c r="AN18" s="15"/>
      <c r="AO18" s="15"/>
      <c r="AP18" s="15"/>
      <c r="AQ18" s="15"/>
      <c r="AR18" s="15"/>
      <c r="AS18" s="15"/>
      <c r="AT18" s="13"/>
    </row>
    <row r="19" spans="1:46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+HLOOKUP($A$1,+[2]İcmal!$B$19:$AG$49,ROW(A17)+1,FALSE)</f>
        <v>0</v>
      </c>
      <c r="K19" s="15" cm="1">
        <f t="array" ref="K19">+HLOOKUP($A$1,+[3]İcmal!$B$19:$AG$49,ROW(B17)+1,FALSE)</f>
        <v>0</v>
      </c>
      <c r="L19" s="15" cm="1">
        <f t="array" ref="L19">+HLOOKUP($A$1,+[4]İcmal!$B$19:$AG$49,ROW(C17)+1,FALSE)</f>
        <v>0</v>
      </c>
      <c r="M19" s="15" cm="1">
        <f t="array" ref="M19">+HLOOKUP($A$1,+[5]İcmal!$B$19:$AG$49,ROW(D17)+1,FALSE)</f>
        <v>0</v>
      </c>
      <c r="N19" s="15" cm="1">
        <f t="array" ref="N19">+HLOOKUP($A$1,+[6]İcmal!$B$19:$AG$49,ROW(E17)+1,FALSE)</f>
        <v>0</v>
      </c>
      <c r="O19" s="15" cm="1">
        <f t="array" ref="O19">+HLOOKUP($A$1,+[7]İcmal!$B$19:$AG$49,ROW(F17)+1,FALSE)</f>
        <v>0</v>
      </c>
      <c r="P19" s="15" cm="1">
        <f t="array" ref="P19">+HLOOKUP($A$1,+[8]İcmal!$B$19:$AG$49,ROW(G17)+1,FALSE)</f>
        <v>0</v>
      </c>
      <c r="Q19" s="15" cm="1">
        <f t="array" ref="Q19">+HLOOKUP($A$1,+[9]İcmal!$B$19:$AG$49,ROW(H17)+1,FALSE)</f>
        <v>0</v>
      </c>
      <c r="R19" s="15" cm="1">
        <f t="array" ref="R19">+HLOOKUP($A$1,+[10]İcmal!$B$19:$AG$49,ROW(I17)+1,FALSE)</f>
        <v>0</v>
      </c>
      <c r="S19" s="15" cm="1">
        <f t="array" ref="S19">+HLOOKUP($A$1,+[11]İcmal!$B$19:$AG$49,ROW(J17)+1,FALSE)</f>
        <v>0</v>
      </c>
      <c r="T19" s="15" cm="1">
        <f t="array" ref="T19">+HLOOKUP($A$1,+[12]İcmal!$B$19:$AG$49,ROW(K17)+1,FALSE)</f>
        <v>0</v>
      </c>
      <c r="U19" s="15" cm="1">
        <f t="array" ref="U19">+HLOOKUP($A$1,+[13]İcmal!$B$19:$AG$49,ROW(L17)+1,FALSE)</f>
        <v>0</v>
      </c>
      <c r="V19" s="15" cm="1">
        <f t="array" ref="V19">+HLOOKUP($A$1,+[14]İcmal!$B$19:$AG$49,ROW(M17)+1,FALSE)</f>
        <v>0</v>
      </c>
      <c r="W19" s="15" cm="1">
        <f t="array" ref="W19">+HLOOKUP($A$1,+[15]İcmal!$B$19:$AG$49,ROW(N17)+1,FALSE)</f>
        <v>0</v>
      </c>
      <c r="X19" s="15" cm="1">
        <f t="array" ref="X19">+HLOOKUP($A$1,+[16]İcmal!$B$19:$AG$49,ROW(O17)+1,FALSE)</f>
        <v>0</v>
      </c>
      <c r="Y19" s="15" cm="1">
        <f t="array" ref="Y19">+HLOOKUP($A$1,+[17]İcmal!$B$19:$AG$49,ROW(P17)+1,FALSE)</f>
        <v>0</v>
      </c>
      <c r="Z19" s="15" cm="1">
        <f t="array" ref="Z19">+HLOOKUP($A$1,+[18]İcmal!$B$19:$AG$49,ROW(Q17)+1,FALSE)</f>
        <v>0</v>
      </c>
      <c r="AA19" s="15" cm="1">
        <f t="array" ref="AA19">+HLOOKUP($A$1,+[19]İcmal!$B$19:$AG$49,ROW(R17)+1,FALSE)</f>
        <v>0</v>
      </c>
      <c r="AB19" s="15" cm="1">
        <f t="array" ref="AB19">+HLOOKUP($A$1,+[20]İcmal!$B$19:$AG$49,ROW(S17)+1,FALSE)</f>
        <v>0</v>
      </c>
      <c r="AC19" s="15" cm="1">
        <f t="array" ref="AC19">+HLOOKUP($A$1,+[21]İcmal!$B$19:$AG$49,ROW(T17)+1,FALSE)</f>
        <v>0</v>
      </c>
      <c r="AD19" s="15" cm="1">
        <f t="array" ref="AD19">+HLOOKUP($A$1,+[22]İcmal!$B$19:$AG$49,ROW(U17)+1,FALSE)</f>
        <v>0</v>
      </c>
      <c r="AE19" s="15" cm="1">
        <f t="array" ref="AE19">+HLOOKUP($A$1,+[23]İcmal!$B$19:$AG$49,ROW(V17)+1,FALSE)</f>
        <v>0</v>
      </c>
      <c r="AF19" s="15" cm="1">
        <f t="array" ref="AF19">+HLOOKUP($A$1,+[24]İcmal!$B$19:$AG$49,ROW(W17)+1,FALSE)</f>
        <v>0</v>
      </c>
      <c r="AG19" s="15" cm="1">
        <f t="array" ref="AG19">+HLOOKUP($A$1,+[25]İcmal!$B$19:$AG$49,ROW(X17)+1,FALSE)</f>
        <v>0</v>
      </c>
      <c r="AH19" s="15" cm="1">
        <f t="array" ref="AH19">+HLOOKUP($A$1,+[26]İcmal!$B$19:$AG$49,ROW(Y17)+1,FALSE)</f>
        <v>0</v>
      </c>
      <c r="AI19" s="15" cm="1">
        <f t="array" ref="AI19">+HLOOKUP($A$1,+[27]İcmal!$B$19:$AG$49,ROW(Z17)+1,FALSE)</f>
        <v>0</v>
      </c>
      <c r="AJ19" s="15" cm="1">
        <f t="array" ref="AJ19">+HLOOKUP($A$1,+[28]İcmal!$B$19:$AG$49,ROW(AA17)+1,FALSE)</f>
        <v>0</v>
      </c>
      <c r="AK19" s="15" cm="1">
        <f t="array" ref="AK19">+HLOOKUP($A$1,+[29]İcmal!$B$19:$AG$49,ROW(AB17)+1,FALSE)</f>
        <v>0</v>
      </c>
      <c r="AL19" s="15"/>
      <c r="AM19" s="15"/>
      <c r="AN19" s="15"/>
      <c r="AO19" s="15"/>
      <c r="AP19" s="15"/>
      <c r="AQ19" s="15"/>
      <c r="AR19" s="15"/>
      <c r="AS19" s="15"/>
      <c r="AT19" s="13"/>
    </row>
    <row r="20" spans="1:46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+HLOOKUP($A$1,+[2]İcmal!$B$19:$AG$49,ROW(A18)+1,FALSE)</f>
        <v>0</v>
      </c>
      <c r="K20" s="15" cm="1">
        <f t="array" ref="K20">+HLOOKUP($A$1,+[3]İcmal!$B$19:$AG$49,ROW(B18)+1,FALSE)</f>
        <v>0</v>
      </c>
      <c r="L20" s="15" cm="1">
        <f t="array" ref="L20">+HLOOKUP($A$1,+[4]İcmal!$B$19:$AG$49,ROW(C18)+1,FALSE)</f>
        <v>0</v>
      </c>
      <c r="M20" s="15" cm="1">
        <f t="array" ref="M20">+HLOOKUP($A$1,+[5]İcmal!$B$19:$AG$49,ROW(D18)+1,FALSE)</f>
        <v>0</v>
      </c>
      <c r="N20" s="15" cm="1">
        <f t="array" ref="N20">+HLOOKUP($A$1,+[6]İcmal!$B$19:$AG$49,ROW(E18)+1,FALSE)</f>
        <v>0</v>
      </c>
      <c r="O20" s="15" cm="1">
        <f t="array" ref="O20">+HLOOKUP($A$1,+[7]İcmal!$B$19:$AG$49,ROW(F18)+1,FALSE)</f>
        <v>0</v>
      </c>
      <c r="P20" s="15" cm="1">
        <f t="array" ref="P20">+HLOOKUP($A$1,+[8]İcmal!$B$19:$AG$49,ROW(G18)+1,FALSE)</f>
        <v>0</v>
      </c>
      <c r="Q20" s="15" cm="1">
        <f t="array" ref="Q20">+HLOOKUP($A$1,+[9]İcmal!$B$19:$AG$49,ROW(H18)+1,FALSE)</f>
        <v>0</v>
      </c>
      <c r="R20" s="15" cm="1">
        <f t="array" ref="R20">+HLOOKUP($A$1,+[10]İcmal!$B$19:$AG$49,ROW(I18)+1,FALSE)</f>
        <v>0</v>
      </c>
      <c r="S20" s="15" cm="1">
        <f t="array" ref="S20">+HLOOKUP($A$1,+[11]İcmal!$B$19:$AG$49,ROW(J18)+1,FALSE)</f>
        <v>0</v>
      </c>
      <c r="T20" s="15" cm="1">
        <f t="array" ref="T20">+HLOOKUP($A$1,+[12]İcmal!$B$19:$AG$49,ROW(K18)+1,FALSE)</f>
        <v>0</v>
      </c>
      <c r="U20" s="15" cm="1">
        <f t="array" ref="U20">+HLOOKUP($A$1,+[13]İcmal!$B$19:$AG$49,ROW(L18)+1,FALSE)</f>
        <v>0</v>
      </c>
      <c r="V20" s="15" cm="1">
        <f t="array" ref="V20">+HLOOKUP($A$1,+[14]İcmal!$B$19:$AG$49,ROW(M18)+1,FALSE)</f>
        <v>0</v>
      </c>
      <c r="W20" s="15" cm="1">
        <f t="array" ref="W20">+HLOOKUP($A$1,+[15]İcmal!$B$19:$AG$49,ROW(N18)+1,FALSE)</f>
        <v>0</v>
      </c>
      <c r="X20" s="15" cm="1">
        <f t="array" ref="X20">+HLOOKUP($A$1,+[16]İcmal!$B$19:$AG$49,ROW(O18)+1,FALSE)</f>
        <v>0</v>
      </c>
      <c r="Y20" s="15" cm="1">
        <f t="array" ref="Y20">+HLOOKUP($A$1,+[17]İcmal!$B$19:$AG$49,ROW(P18)+1,FALSE)</f>
        <v>0</v>
      </c>
      <c r="Z20" s="15" cm="1">
        <f t="array" ref="Z20">+HLOOKUP($A$1,+[18]İcmal!$B$19:$AG$49,ROW(Q18)+1,FALSE)</f>
        <v>0</v>
      </c>
      <c r="AA20" s="15" cm="1">
        <f t="array" ref="AA20">+HLOOKUP($A$1,+[19]İcmal!$B$19:$AG$49,ROW(R18)+1,FALSE)</f>
        <v>0</v>
      </c>
      <c r="AB20" s="15" cm="1">
        <f t="array" ref="AB20">+HLOOKUP($A$1,+[20]İcmal!$B$19:$AG$49,ROW(S18)+1,FALSE)</f>
        <v>0</v>
      </c>
      <c r="AC20" s="15" cm="1">
        <f t="array" ref="AC20">+HLOOKUP($A$1,+[21]İcmal!$B$19:$AG$49,ROW(T18)+1,FALSE)</f>
        <v>0</v>
      </c>
      <c r="AD20" s="15" cm="1">
        <f t="array" ref="AD20">+HLOOKUP($A$1,+[22]İcmal!$B$19:$AG$49,ROW(U18)+1,FALSE)</f>
        <v>0</v>
      </c>
      <c r="AE20" s="15" cm="1">
        <f t="array" ref="AE20">+HLOOKUP($A$1,+[23]İcmal!$B$19:$AG$49,ROW(V18)+1,FALSE)</f>
        <v>0</v>
      </c>
      <c r="AF20" s="15" cm="1">
        <f t="array" ref="AF20">+HLOOKUP($A$1,+[24]İcmal!$B$19:$AG$49,ROW(W18)+1,FALSE)</f>
        <v>0</v>
      </c>
      <c r="AG20" s="15" cm="1">
        <f t="array" ref="AG20">+HLOOKUP($A$1,+[25]İcmal!$B$19:$AG$49,ROW(X18)+1,FALSE)</f>
        <v>0</v>
      </c>
      <c r="AH20" s="15" cm="1">
        <f t="array" ref="AH20">+HLOOKUP($A$1,+[26]İcmal!$B$19:$AG$49,ROW(Y18)+1,FALSE)</f>
        <v>0</v>
      </c>
      <c r="AI20" s="15" cm="1">
        <f t="array" ref="AI20">+HLOOKUP($A$1,+[27]İcmal!$B$19:$AG$49,ROW(Z18)+1,FALSE)</f>
        <v>0</v>
      </c>
      <c r="AJ20" s="15" cm="1">
        <f t="array" ref="AJ20">+HLOOKUP($A$1,+[28]İcmal!$B$19:$AG$49,ROW(AA18)+1,FALSE)</f>
        <v>0</v>
      </c>
      <c r="AK20" s="15" cm="1">
        <f t="array" ref="AK20">+HLOOKUP($A$1,+[29]İcmal!$B$19:$AG$49,ROW(AB18)+1,FALSE)</f>
        <v>0</v>
      </c>
      <c r="AL20" s="15"/>
      <c r="AM20" s="15"/>
      <c r="AN20" s="15"/>
      <c r="AO20" s="15"/>
      <c r="AP20" s="15"/>
      <c r="AQ20" s="15"/>
      <c r="AR20" s="15"/>
      <c r="AS20" s="15"/>
      <c r="AT20" s="13"/>
    </row>
    <row r="21" spans="1:46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+HLOOKUP($A$1,+[2]İcmal!$B$19:$AG$49,ROW(A19)+1,FALSE)</f>
        <v>0</v>
      </c>
      <c r="K21" s="15" cm="1">
        <f t="array" ref="K21">+HLOOKUP($A$1,+[3]İcmal!$B$19:$AG$49,ROW(B19)+1,FALSE)</f>
        <v>0</v>
      </c>
      <c r="L21" s="15" cm="1">
        <f t="array" ref="L21">+HLOOKUP($A$1,+[4]İcmal!$B$19:$AG$49,ROW(C19)+1,FALSE)</f>
        <v>0</v>
      </c>
      <c r="M21" s="15" cm="1">
        <f t="array" ref="M21">+HLOOKUP($A$1,+[5]İcmal!$B$19:$AG$49,ROW(D19)+1,FALSE)</f>
        <v>0</v>
      </c>
      <c r="N21" s="15" cm="1">
        <f t="array" ref="N21">+HLOOKUP($A$1,+[6]İcmal!$B$19:$AG$49,ROW(E19)+1,FALSE)</f>
        <v>0</v>
      </c>
      <c r="O21" s="15" cm="1">
        <f t="array" ref="O21">+HLOOKUP($A$1,+[7]İcmal!$B$19:$AG$49,ROW(F19)+1,FALSE)</f>
        <v>0</v>
      </c>
      <c r="P21" s="15" cm="1">
        <f t="array" ref="P21">+HLOOKUP($A$1,+[8]İcmal!$B$19:$AG$49,ROW(G19)+1,FALSE)</f>
        <v>0</v>
      </c>
      <c r="Q21" s="15" cm="1">
        <f t="array" ref="Q21">+HLOOKUP($A$1,+[9]İcmal!$B$19:$AG$49,ROW(H19)+1,FALSE)</f>
        <v>0</v>
      </c>
      <c r="R21" s="15" cm="1">
        <f t="array" ref="R21">+HLOOKUP($A$1,+[10]İcmal!$B$19:$AG$49,ROW(I19)+1,FALSE)</f>
        <v>0</v>
      </c>
      <c r="S21" s="15" cm="1">
        <f t="array" ref="S21">+HLOOKUP($A$1,+[11]İcmal!$B$19:$AG$49,ROW(J19)+1,FALSE)</f>
        <v>0</v>
      </c>
      <c r="T21" s="15" cm="1">
        <f t="array" ref="T21">+HLOOKUP($A$1,+[12]İcmal!$B$19:$AG$49,ROW(K19)+1,FALSE)</f>
        <v>0</v>
      </c>
      <c r="U21" s="15" cm="1">
        <f t="array" ref="U21">+HLOOKUP($A$1,+[13]İcmal!$B$19:$AG$49,ROW(L19)+1,FALSE)</f>
        <v>0</v>
      </c>
      <c r="V21" s="15" cm="1">
        <f t="array" ref="V21">+HLOOKUP($A$1,+[14]İcmal!$B$19:$AG$49,ROW(M19)+1,FALSE)</f>
        <v>0</v>
      </c>
      <c r="W21" s="15" cm="1">
        <f t="array" ref="W21">+HLOOKUP($A$1,+[15]İcmal!$B$19:$AG$49,ROW(N19)+1,FALSE)</f>
        <v>0</v>
      </c>
      <c r="X21" s="15" cm="1">
        <f t="array" ref="X21">+HLOOKUP($A$1,+[16]İcmal!$B$19:$AG$49,ROW(O19)+1,FALSE)</f>
        <v>0</v>
      </c>
      <c r="Y21" s="15" cm="1">
        <f t="array" ref="Y21">+HLOOKUP($A$1,+[17]İcmal!$B$19:$AG$49,ROW(P19)+1,FALSE)</f>
        <v>0</v>
      </c>
      <c r="Z21" s="15" cm="1">
        <f t="array" ref="Z21">+HLOOKUP($A$1,+[18]İcmal!$B$19:$AG$49,ROW(Q19)+1,FALSE)</f>
        <v>0</v>
      </c>
      <c r="AA21" s="15" cm="1">
        <f t="array" ref="AA21">+HLOOKUP($A$1,+[19]İcmal!$B$19:$AG$49,ROW(R19)+1,FALSE)</f>
        <v>0</v>
      </c>
      <c r="AB21" s="15" cm="1">
        <f t="array" ref="AB21">+HLOOKUP($A$1,+[20]İcmal!$B$19:$AG$49,ROW(S19)+1,FALSE)</f>
        <v>0</v>
      </c>
      <c r="AC21" s="15" cm="1">
        <f t="array" ref="AC21">+HLOOKUP($A$1,+[21]İcmal!$B$19:$AG$49,ROW(T19)+1,FALSE)</f>
        <v>0</v>
      </c>
      <c r="AD21" s="15" cm="1">
        <f t="array" ref="AD21">+HLOOKUP($A$1,+[22]İcmal!$B$19:$AG$49,ROW(U19)+1,FALSE)</f>
        <v>0</v>
      </c>
      <c r="AE21" s="15" cm="1">
        <f t="array" ref="AE21">+HLOOKUP($A$1,+[23]İcmal!$B$19:$AG$49,ROW(V19)+1,FALSE)</f>
        <v>0</v>
      </c>
      <c r="AF21" s="15" cm="1">
        <f t="array" ref="AF21">+HLOOKUP($A$1,+[24]İcmal!$B$19:$AG$49,ROW(W19)+1,FALSE)</f>
        <v>0</v>
      </c>
      <c r="AG21" s="15" cm="1">
        <f t="array" ref="AG21">+HLOOKUP($A$1,+[25]İcmal!$B$19:$AG$49,ROW(X19)+1,FALSE)</f>
        <v>0</v>
      </c>
      <c r="AH21" s="15" cm="1">
        <f t="array" ref="AH21">+HLOOKUP($A$1,+[26]İcmal!$B$19:$AG$49,ROW(Y19)+1,FALSE)</f>
        <v>0</v>
      </c>
      <c r="AI21" s="15" cm="1">
        <f t="array" ref="AI21">+HLOOKUP($A$1,+[27]İcmal!$B$19:$AG$49,ROW(Z19)+1,FALSE)</f>
        <v>0</v>
      </c>
      <c r="AJ21" s="15" cm="1">
        <f t="array" ref="AJ21">+HLOOKUP($A$1,+[28]İcmal!$B$19:$AG$49,ROW(AA19)+1,FALSE)</f>
        <v>0</v>
      </c>
      <c r="AK21" s="15" cm="1">
        <f t="array" ref="AK21">+HLOOKUP($A$1,+[29]İcmal!$B$19:$AG$49,ROW(AB19)+1,FALSE)</f>
        <v>0</v>
      </c>
      <c r="AL21" s="15"/>
      <c r="AM21" s="15"/>
      <c r="AN21" s="15"/>
      <c r="AO21" s="15"/>
      <c r="AP21" s="15"/>
      <c r="AQ21" s="15"/>
      <c r="AR21" s="15"/>
      <c r="AS21" s="15"/>
      <c r="AT21" s="13"/>
    </row>
    <row r="22" spans="1:46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+HLOOKUP($A$1,+[2]İcmal!$B$19:$AG$49,ROW(A20)+1,FALSE)</f>
        <v>0</v>
      </c>
      <c r="K22" s="15" cm="1">
        <f t="array" ref="K22">+HLOOKUP($A$1,+[3]İcmal!$B$19:$AG$49,ROW(B20)+1,FALSE)</f>
        <v>0</v>
      </c>
      <c r="L22" s="15" cm="1">
        <f t="array" ref="L22">+HLOOKUP($A$1,+[4]İcmal!$B$19:$AG$49,ROW(C20)+1,FALSE)</f>
        <v>0</v>
      </c>
      <c r="M22" s="15" cm="1">
        <f t="array" ref="M22">+HLOOKUP($A$1,+[5]İcmal!$B$19:$AG$49,ROW(D20)+1,FALSE)</f>
        <v>0</v>
      </c>
      <c r="N22" s="15" cm="1">
        <f t="array" ref="N22">+HLOOKUP($A$1,+[6]İcmal!$B$19:$AG$49,ROW(E20)+1,FALSE)</f>
        <v>0</v>
      </c>
      <c r="O22" s="15" cm="1">
        <f t="array" ref="O22">+HLOOKUP($A$1,+[7]İcmal!$B$19:$AG$49,ROW(F20)+1,FALSE)</f>
        <v>0</v>
      </c>
      <c r="P22" s="15" cm="1">
        <f t="array" ref="P22">+HLOOKUP($A$1,+[8]İcmal!$B$19:$AG$49,ROW(G20)+1,FALSE)</f>
        <v>0</v>
      </c>
      <c r="Q22" s="15" cm="1">
        <f t="array" ref="Q22">+HLOOKUP($A$1,+[9]İcmal!$B$19:$AG$49,ROW(H20)+1,FALSE)</f>
        <v>0</v>
      </c>
      <c r="R22" s="15" cm="1">
        <f t="array" ref="R22">+HLOOKUP($A$1,+[10]İcmal!$B$19:$AG$49,ROW(I20)+1,FALSE)</f>
        <v>0</v>
      </c>
      <c r="S22" s="15" cm="1">
        <f t="array" ref="S22">+HLOOKUP($A$1,+[11]İcmal!$B$19:$AG$49,ROW(J20)+1,FALSE)</f>
        <v>0</v>
      </c>
      <c r="T22" s="15" cm="1">
        <f t="array" ref="T22">+HLOOKUP($A$1,+[12]İcmal!$B$19:$AG$49,ROW(K20)+1,FALSE)</f>
        <v>0</v>
      </c>
      <c r="U22" s="15" cm="1">
        <f t="array" ref="U22">+HLOOKUP($A$1,+[13]İcmal!$B$19:$AG$49,ROW(L20)+1,FALSE)</f>
        <v>0</v>
      </c>
      <c r="V22" s="15" cm="1">
        <f t="array" ref="V22">+HLOOKUP($A$1,+[14]İcmal!$B$19:$AG$49,ROW(M20)+1,FALSE)</f>
        <v>0</v>
      </c>
      <c r="W22" s="15" cm="1">
        <f t="array" ref="W22">+HLOOKUP($A$1,+[15]İcmal!$B$19:$AG$49,ROW(N20)+1,FALSE)</f>
        <v>0</v>
      </c>
      <c r="X22" s="15" cm="1">
        <f t="array" ref="X22">+HLOOKUP($A$1,+[16]İcmal!$B$19:$AG$49,ROW(O20)+1,FALSE)</f>
        <v>0</v>
      </c>
      <c r="Y22" s="15" cm="1">
        <f t="array" ref="Y22">+HLOOKUP($A$1,+[17]İcmal!$B$19:$AG$49,ROW(P20)+1,FALSE)</f>
        <v>0</v>
      </c>
      <c r="Z22" s="15" cm="1">
        <f t="array" ref="Z22">+HLOOKUP($A$1,+[18]İcmal!$B$19:$AG$49,ROW(Q20)+1,FALSE)</f>
        <v>0</v>
      </c>
      <c r="AA22" s="15" cm="1">
        <f t="array" ref="AA22">+HLOOKUP($A$1,+[19]İcmal!$B$19:$AG$49,ROW(R20)+1,FALSE)</f>
        <v>0</v>
      </c>
      <c r="AB22" s="15" cm="1">
        <f t="array" ref="AB22">+HLOOKUP($A$1,+[20]İcmal!$B$19:$AG$49,ROW(S20)+1,FALSE)</f>
        <v>0</v>
      </c>
      <c r="AC22" s="15" cm="1">
        <f t="array" ref="AC22">+HLOOKUP($A$1,+[21]İcmal!$B$19:$AG$49,ROW(T20)+1,FALSE)</f>
        <v>0</v>
      </c>
      <c r="AD22" s="15" cm="1">
        <f t="array" ref="AD22">+HLOOKUP($A$1,+[22]İcmal!$B$19:$AG$49,ROW(U20)+1,FALSE)</f>
        <v>0</v>
      </c>
      <c r="AE22" s="15" cm="1">
        <f t="array" ref="AE22">+HLOOKUP($A$1,+[23]İcmal!$B$19:$AG$49,ROW(V20)+1,FALSE)</f>
        <v>0</v>
      </c>
      <c r="AF22" s="15" cm="1">
        <f t="array" ref="AF22">+HLOOKUP($A$1,+[24]İcmal!$B$19:$AG$49,ROW(W20)+1,FALSE)</f>
        <v>0</v>
      </c>
      <c r="AG22" s="15" cm="1">
        <f t="array" ref="AG22">+HLOOKUP($A$1,+[25]İcmal!$B$19:$AG$49,ROW(X20)+1,FALSE)</f>
        <v>0</v>
      </c>
      <c r="AH22" s="15" cm="1">
        <f t="array" ref="AH22">+HLOOKUP($A$1,+[26]İcmal!$B$19:$AG$49,ROW(Y20)+1,FALSE)</f>
        <v>0</v>
      </c>
      <c r="AI22" s="15" cm="1">
        <f t="array" ref="AI22">+HLOOKUP($A$1,+[27]İcmal!$B$19:$AG$49,ROW(Z20)+1,FALSE)</f>
        <v>0</v>
      </c>
      <c r="AJ22" s="15" cm="1">
        <f t="array" ref="AJ22">+HLOOKUP($A$1,+[28]İcmal!$B$19:$AG$49,ROW(AA20)+1,FALSE)</f>
        <v>0</v>
      </c>
      <c r="AK22" s="15" cm="1">
        <f t="array" ref="AK22">+HLOOKUP($A$1,+[29]İcmal!$B$19:$AG$49,ROW(AB20)+1,FALSE)</f>
        <v>0</v>
      </c>
      <c r="AL22" s="15"/>
      <c r="AM22" s="15"/>
      <c r="AN22" s="15"/>
      <c r="AO22" s="15"/>
      <c r="AP22" s="15"/>
      <c r="AQ22" s="15"/>
      <c r="AR22" s="15"/>
      <c r="AS22" s="15"/>
      <c r="AT22" s="13"/>
    </row>
    <row r="23" spans="1:46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+HLOOKUP($A$1,+[2]İcmal!$B$19:$AG$49,ROW(A21)+1,FALSE)</f>
        <v>0</v>
      </c>
      <c r="K23" s="15" cm="1">
        <f t="array" ref="K23">+HLOOKUP($A$1,+[3]İcmal!$B$19:$AG$49,ROW(B21)+1,FALSE)</f>
        <v>0</v>
      </c>
      <c r="L23" s="15" cm="1">
        <f t="array" ref="L23">+HLOOKUP($A$1,+[4]İcmal!$B$19:$AG$49,ROW(C21)+1,FALSE)</f>
        <v>0</v>
      </c>
      <c r="M23" s="15" cm="1">
        <f t="array" ref="M23">+HLOOKUP($A$1,+[5]İcmal!$B$19:$AG$49,ROW(D21)+1,FALSE)</f>
        <v>0</v>
      </c>
      <c r="N23" s="15" cm="1">
        <f t="array" ref="N23">+HLOOKUP($A$1,+[6]İcmal!$B$19:$AG$49,ROW(E21)+1,FALSE)</f>
        <v>0</v>
      </c>
      <c r="O23" s="15" cm="1">
        <f t="array" ref="O23">+HLOOKUP($A$1,+[7]İcmal!$B$19:$AG$49,ROW(F21)+1,FALSE)</f>
        <v>0</v>
      </c>
      <c r="P23" s="15" cm="1">
        <f t="array" ref="P23">+HLOOKUP($A$1,+[8]İcmal!$B$19:$AG$49,ROW(G21)+1,FALSE)</f>
        <v>0</v>
      </c>
      <c r="Q23" s="15" cm="1">
        <f t="array" ref="Q23">+HLOOKUP($A$1,+[9]İcmal!$B$19:$AG$49,ROW(H21)+1,FALSE)</f>
        <v>0</v>
      </c>
      <c r="R23" s="15" cm="1">
        <f t="array" ref="R23">+HLOOKUP($A$1,+[10]İcmal!$B$19:$AG$49,ROW(I21)+1,FALSE)</f>
        <v>0</v>
      </c>
      <c r="S23" s="15" cm="1">
        <f t="array" ref="S23">+HLOOKUP($A$1,+[11]İcmal!$B$19:$AG$49,ROW(J21)+1,FALSE)</f>
        <v>0</v>
      </c>
      <c r="T23" s="15" cm="1">
        <f t="array" ref="T23">+HLOOKUP($A$1,+[12]İcmal!$B$19:$AG$49,ROW(K21)+1,FALSE)</f>
        <v>0</v>
      </c>
      <c r="U23" s="15" cm="1">
        <f t="array" ref="U23">+HLOOKUP($A$1,+[13]İcmal!$B$19:$AG$49,ROW(L21)+1,FALSE)</f>
        <v>0</v>
      </c>
      <c r="V23" s="15" cm="1">
        <f t="array" ref="V23">+HLOOKUP($A$1,+[14]İcmal!$B$19:$AG$49,ROW(M21)+1,FALSE)</f>
        <v>0</v>
      </c>
      <c r="W23" s="15" cm="1">
        <f t="array" ref="W23">+HLOOKUP($A$1,+[15]İcmal!$B$19:$AG$49,ROW(N21)+1,FALSE)</f>
        <v>0</v>
      </c>
      <c r="X23" s="15" cm="1">
        <f t="array" ref="X23">+HLOOKUP($A$1,+[16]İcmal!$B$19:$AG$49,ROW(O21)+1,FALSE)</f>
        <v>0</v>
      </c>
      <c r="Y23" s="15" cm="1">
        <f t="array" ref="Y23">+HLOOKUP($A$1,+[17]İcmal!$B$19:$AG$49,ROW(P21)+1,FALSE)</f>
        <v>0</v>
      </c>
      <c r="Z23" s="15" cm="1">
        <f t="array" ref="Z23">+HLOOKUP($A$1,+[18]İcmal!$B$19:$AG$49,ROW(Q21)+1,FALSE)</f>
        <v>0</v>
      </c>
      <c r="AA23" s="15" cm="1">
        <f t="array" ref="AA23">+HLOOKUP($A$1,+[19]İcmal!$B$19:$AG$49,ROW(R21)+1,FALSE)</f>
        <v>0</v>
      </c>
      <c r="AB23" s="15" cm="1">
        <f t="array" ref="AB23">+HLOOKUP($A$1,+[20]İcmal!$B$19:$AG$49,ROW(S21)+1,FALSE)</f>
        <v>0</v>
      </c>
      <c r="AC23" s="15" cm="1">
        <f t="array" ref="AC23">+HLOOKUP($A$1,+[21]İcmal!$B$19:$AG$49,ROW(T21)+1,FALSE)</f>
        <v>0</v>
      </c>
      <c r="AD23" s="15" cm="1">
        <f t="array" ref="AD23">+HLOOKUP($A$1,+[22]İcmal!$B$19:$AG$49,ROW(U21)+1,FALSE)</f>
        <v>0</v>
      </c>
      <c r="AE23" s="15" cm="1">
        <f t="array" ref="AE23">+HLOOKUP($A$1,+[23]İcmal!$B$19:$AG$49,ROW(V21)+1,FALSE)</f>
        <v>0</v>
      </c>
      <c r="AF23" s="15" cm="1">
        <f t="array" ref="AF23">+HLOOKUP($A$1,+[24]İcmal!$B$19:$AG$49,ROW(W21)+1,FALSE)</f>
        <v>0</v>
      </c>
      <c r="AG23" s="15" cm="1">
        <f t="array" ref="AG23">+HLOOKUP($A$1,+[25]İcmal!$B$19:$AG$49,ROW(X21)+1,FALSE)</f>
        <v>0</v>
      </c>
      <c r="AH23" s="15" cm="1">
        <f t="array" ref="AH23">+HLOOKUP($A$1,+[26]İcmal!$B$19:$AG$49,ROW(Y21)+1,FALSE)</f>
        <v>0</v>
      </c>
      <c r="AI23" s="15" cm="1">
        <f t="array" ref="AI23">+HLOOKUP($A$1,+[27]İcmal!$B$19:$AG$49,ROW(Z21)+1,FALSE)</f>
        <v>0</v>
      </c>
      <c r="AJ23" s="15" cm="1">
        <f t="array" ref="AJ23">+HLOOKUP($A$1,+[28]İcmal!$B$19:$AG$49,ROW(AA21)+1,FALSE)</f>
        <v>0</v>
      </c>
      <c r="AK23" s="15" cm="1">
        <f t="array" ref="AK23">+HLOOKUP($A$1,+[29]İcmal!$B$19:$AG$49,ROW(AB21)+1,FALSE)</f>
        <v>0</v>
      </c>
      <c r="AL23" s="15"/>
      <c r="AM23" s="15"/>
      <c r="AN23" s="15"/>
      <c r="AO23" s="15"/>
      <c r="AP23" s="15"/>
      <c r="AQ23" s="15"/>
      <c r="AR23" s="15"/>
      <c r="AS23" s="15"/>
      <c r="AT23" s="13"/>
    </row>
    <row r="24" spans="1:46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+HLOOKUP($A$1,+[2]İcmal!$B$19:$AG$49,ROW(A22)+1,FALSE)</f>
        <v>0</v>
      </c>
      <c r="K24" s="15" cm="1">
        <f t="array" ref="K24">+HLOOKUP($A$1,+[3]İcmal!$B$19:$AG$49,ROW(B22)+1,FALSE)</f>
        <v>0</v>
      </c>
      <c r="L24" s="15" cm="1">
        <f t="array" ref="L24">+HLOOKUP($A$1,+[4]İcmal!$B$19:$AG$49,ROW(C22)+1,FALSE)</f>
        <v>0</v>
      </c>
      <c r="M24" s="15" cm="1">
        <f t="array" ref="M24">+HLOOKUP($A$1,+[5]İcmal!$B$19:$AG$49,ROW(D22)+1,FALSE)</f>
        <v>0</v>
      </c>
      <c r="N24" s="15" cm="1">
        <f t="array" ref="N24">+HLOOKUP($A$1,+[6]İcmal!$B$19:$AG$49,ROW(E22)+1,FALSE)</f>
        <v>0</v>
      </c>
      <c r="O24" s="15" cm="1">
        <f t="array" ref="O24">+HLOOKUP($A$1,+[7]İcmal!$B$19:$AG$49,ROW(F22)+1,FALSE)</f>
        <v>0</v>
      </c>
      <c r="P24" s="15" cm="1">
        <f t="array" ref="P24">+HLOOKUP($A$1,+[8]İcmal!$B$19:$AG$49,ROW(G22)+1,FALSE)</f>
        <v>0</v>
      </c>
      <c r="Q24" s="15" cm="1">
        <f t="array" ref="Q24">+HLOOKUP($A$1,+[9]İcmal!$B$19:$AG$49,ROW(H22)+1,FALSE)</f>
        <v>0</v>
      </c>
      <c r="R24" s="15" cm="1">
        <f t="array" ref="R24">+HLOOKUP($A$1,+[10]İcmal!$B$19:$AG$49,ROW(I22)+1,FALSE)</f>
        <v>0</v>
      </c>
      <c r="S24" s="15" cm="1">
        <f t="array" ref="S24">+HLOOKUP($A$1,+[11]İcmal!$B$19:$AG$49,ROW(J22)+1,FALSE)</f>
        <v>0</v>
      </c>
      <c r="T24" s="15" cm="1">
        <f t="array" ref="T24">+HLOOKUP($A$1,+[12]İcmal!$B$19:$AG$49,ROW(K22)+1,FALSE)</f>
        <v>0</v>
      </c>
      <c r="U24" s="15" cm="1">
        <f t="array" ref="U24">+HLOOKUP($A$1,+[13]İcmal!$B$19:$AG$49,ROW(L22)+1,FALSE)</f>
        <v>0</v>
      </c>
      <c r="V24" s="15" cm="1">
        <f t="array" ref="V24">+HLOOKUP($A$1,+[14]İcmal!$B$19:$AG$49,ROW(M22)+1,FALSE)</f>
        <v>0</v>
      </c>
      <c r="W24" s="15" cm="1">
        <f t="array" ref="W24">+HLOOKUP($A$1,+[15]İcmal!$B$19:$AG$49,ROW(N22)+1,FALSE)</f>
        <v>0</v>
      </c>
      <c r="X24" s="15" cm="1">
        <f t="array" ref="X24">+HLOOKUP($A$1,+[16]İcmal!$B$19:$AG$49,ROW(O22)+1,FALSE)</f>
        <v>0</v>
      </c>
      <c r="Y24" s="15" cm="1">
        <f t="array" ref="Y24">+HLOOKUP($A$1,+[17]İcmal!$B$19:$AG$49,ROW(P22)+1,FALSE)</f>
        <v>0</v>
      </c>
      <c r="Z24" s="15" cm="1">
        <f t="array" ref="Z24">+HLOOKUP($A$1,+[18]İcmal!$B$19:$AG$49,ROW(Q22)+1,FALSE)</f>
        <v>0</v>
      </c>
      <c r="AA24" s="15" cm="1">
        <f t="array" ref="AA24">+HLOOKUP($A$1,+[19]İcmal!$B$19:$AG$49,ROW(R22)+1,FALSE)</f>
        <v>0</v>
      </c>
      <c r="AB24" s="15" cm="1">
        <f t="array" ref="AB24">+HLOOKUP($A$1,+[20]İcmal!$B$19:$AG$49,ROW(S22)+1,FALSE)</f>
        <v>0</v>
      </c>
      <c r="AC24" s="15" cm="1">
        <f t="array" ref="AC24">+HLOOKUP($A$1,+[21]İcmal!$B$19:$AG$49,ROW(T22)+1,FALSE)</f>
        <v>0</v>
      </c>
      <c r="AD24" s="15" cm="1">
        <f t="array" ref="AD24">+HLOOKUP($A$1,+[22]İcmal!$B$19:$AG$49,ROW(U22)+1,FALSE)</f>
        <v>0</v>
      </c>
      <c r="AE24" s="15" cm="1">
        <f t="array" ref="AE24">+HLOOKUP($A$1,+[23]İcmal!$B$19:$AG$49,ROW(V22)+1,FALSE)</f>
        <v>0</v>
      </c>
      <c r="AF24" s="15" cm="1">
        <f t="array" ref="AF24">+HLOOKUP($A$1,+[24]İcmal!$B$19:$AG$49,ROW(W22)+1,FALSE)</f>
        <v>0</v>
      </c>
      <c r="AG24" s="15" cm="1">
        <f t="array" ref="AG24">+HLOOKUP($A$1,+[25]İcmal!$B$19:$AG$49,ROW(X22)+1,FALSE)</f>
        <v>0</v>
      </c>
      <c r="AH24" s="15" cm="1">
        <f t="array" ref="AH24">+HLOOKUP($A$1,+[26]İcmal!$B$19:$AG$49,ROW(Y22)+1,FALSE)</f>
        <v>0</v>
      </c>
      <c r="AI24" s="15" cm="1">
        <f t="array" ref="AI24">+HLOOKUP($A$1,+[27]İcmal!$B$19:$AG$49,ROW(Z22)+1,FALSE)</f>
        <v>0</v>
      </c>
      <c r="AJ24" s="15" cm="1">
        <f t="array" ref="AJ24">+HLOOKUP($A$1,+[28]İcmal!$B$19:$AG$49,ROW(AA22)+1,FALSE)</f>
        <v>0</v>
      </c>
      <c r="AK24" s="15" cm="1">
        <f t="array" ref="AK24">+HLOOKUP($A$1,+[29]İcmal!$B$19:$AG$49,ROW(AB22)+1,FALSE)</f>
        <v>0</v>
      </c>
      <c r="AL24" s="15"/>
      <c r="AM24" s="15"/>
      <c r="AN24" s="15"/>
      <c r="AO24" s="15"/>
      <c r="AP24" s="15"/>
      <c r="AQ24" s="15"/>
      <c r="AR24" s="15"/>
      <c r="AS24" s="15"/>
      <c r="AT24" s="13"/>
    </row>
    <row r="25" spans="1:46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+HLOOKUP($A$1,+[2]İcmal!$B$19:$AG$49,ROW(A23)+1,FALSE)</f>
        <v>0</v>
      </c>
      <c r="K25" s="15" cm="1">
        <f t="array" ref="K25">+HLOOKUP($A$1,+[3]İcmal!$B$19:$AG$49,ROW(B23)+1,FALSE)</f>
        <v>0</v>
      </c>
      <c r="L25" s="15" cm="1">
        <f t="array" ref="L25">+HLOOKUP($A$1,+[4]İcmal!$B$19:$AG$49,ROW(C23)+1,FALSE)</f>
        <v>0</v>
      </c>
      <c r="M25" s="15" cm="1">
        <f t="array" ref="M25">+HLOOKUP($A$1,+[5]İcmal!$B$19:$AG$49,ROW(D23)+1,FALSE)</f>
        <v>0</v>
      </c>
      <c r="N25" s="15" cm="1">
        <f t="array" ref="N25">+HLOOKUP($A$1,+[6]İcmal!$B$19:$AG$49,ROW(E23)+1,FALSE)</f>
        <v>0</v>
      </c>
      <c r="O25" s="15" cm="1">
        <f t="array" ref="O25">+HLOOKUP($A$1,+[7]İcmal!$B$19:$AG$49,ROW(F23)+1,FALSE)</f>
        <v>0</v>
      </c>
      <c r="P25" s="15" cm="1">
        <f t="array" ref="P25">+HLOOKUP($A$1,+[8]İcmal!$B$19:$AG$49,ROW(G23)+1,FALSE)</f>
        <v>0</v>
      </c>
      <c r="Q25" s="15" cm="1">
        <f t="array" ref="Q25">+HLOOKUP($A$1,+[9]İcmal!$B$19:$AG$49,ROW(H23)+1,FALSE)</f>
        <v>0</v>
      </c>
      <c r="R25" s="15" cm="1">
        <f t="array" ref="R25">+HLOOKUP($A$1,+[10]İcmal!$B$19:$AG$49,ROW(I23)+1,FALSE)</f>
        <v>0</v>
      </c>
      <c r="S25" s="15" cm="1">
        <f t="array" ref="S25">+HLOOKUP($A$1,+[11]İcmal!$B$19:$AG$49,ROW(J23)+1,FALSE)</f>
        <v>0</v>
      </c>
      <c r="T25" s="15" cm="1">
        <f t="array" ref="T25">+HLOOKUP($A$1,+[12]İcmal!$B$19:$AG$49,ROW(K23)+1,FALSE)</f>
        <v>0</v>
      </c>
      <c r="U25" s="15" cm="1">
        <f t="array" ref="U25">+HLOOKUP($A$1,+[13]İcmal!$B$19:$AG$49,ROW(L23)+1,FALSE)</f>
        <v>0</v>
      </c>
      <c r="V25" s="15" cm="1">
        <f t="array" ref="V25">+HLOOKUP($A$1,+[14]İcmal!$B$19:$AG$49,ROW(M23)+1,FALSE)</f>
        <v>0</v>
      </c>
      <c r="W25" s="15" cm="1">
        <f t="array" ref="W25">+HLOOKUP($A$1,+[15]İcmal!$B$19:$AG$49,ROW(N23)+1,FALSE)</f>
        <v>0</v>
      </c>
      <c r="X25" s="15" cm="1">
        <f t="array" ref="X25">+HLOOKUP($A$1,+[16]İcmal!$B$19:$AG$49,ROW(O23)+1,FALSE)</f>
        <v>0</v>
      </c>
      <c r="Y25" s="15" cm="1">
        <f t="array" ref="Y25">+HLOOKUP($A$1,+[17]İcmal!$B$19:$AG$49,ROW(P23)+1,FALSE)</f>
        <v>0</v>
      </c>
      <c r="Z25" s="15" cm="1">
        <f t="array" ref="Z25">+HLOOKUP($A$1,+[18]İcmal!$B$19:$AG$49,ROW(Q23)+1,FALSE)</f>
        <v>0</v>
      </c>
      <c r="AA25" s="15" cm="1">
        <f t="array" ref="AA25">+HLOOKUP($A$1,+[19]İcmal!$B$19:$AG$49,ROW(R23)+1,FALSE)</f>
        <v>0</v>
      </c>
      <c r="AB25" s="15" cm="1">
        <f t="array" ref="AB25">+HLOOKUP($A$1,+[20]İcmal!$B$19:$AG$49,ROW(S23)+1,FALSE)</f>
        <v>0</v>
      </c>
      <c r="AC25" s="15" cm="1">
        <f t="array" ref="AC25">+HLOOKUP($A$1,+[21]İcmal!$B$19:$AG$49,ROW(T23)+1,FALSE)</f>
        <v>0</v>
      </c>
      <c r="AD25" s="15" cm="1">
        <f t="array" ref="AD25">+HLOOKUP($A$1,+[22]İcmal!$B$19:$AG$49,ROW(U23)+1,FALSE)</f>
        <v>0</v>
      </c>
      <c r="AE25" s="15" cm="1">
        <f t="array" ref="AE25">+HLOOKUP($A$1,+[23]İcmal!$B$19:$AG$49,ROW(V23)+1,FALSE)</f>
        <v>0</v>
      </c>
      <c r="AF25" s="15" cm="1">
        <f t="array" ref="AF25">+HLOOKUP($A$1,+[24]İcmal!$B$19:$AG$49,ROW(W23)+1,FALSE)</f>
        <v>0</v>
      </c>
      <c r="AG25" s="15" cm="1">
        <f t="array" ref="AG25">+HLOOKUP($A$1,+[25]İcmal!$B$19:$AG$49,ROW(X23)+1,FALSE)</f>
        <v>0</v>
      </c>
      <c r="AH25" s="15" cm="1">
        <f t="array" ref="AH25">+HLOOKUP($A$1,+[26]İcmal!$B$19:$AG$49,ROW(Y23)+1,FALSE)</f>
        <v>0</v>
      </c>
      <c r="AI25" s="15" cm="1">
        <f t="array" ref="AI25">+HLOOKUP($A$1,+[27]İcmal!$B$19:$AG$49,ROW(Z23)+1,FALSE)</f>
        <v>0</v>
      </c>
      <c r="AJ25" s="15" cm="1">
        <f t="array" ref="AJ25">+HLOOKUP($A$1,+[28]İcmal!$B$19:$AG$49,ROW(AA23)+1,FALSE)</f>
        <v>0</v>
      </c>
      <c r="AK25" s="15" cm="1">
        <f t="array" ref="AK25">+HLOOKUP($A$1,+[29]İcmal!$B$19:$AG$49,ROW(AB23)+1,FALSE)</f>
        <v>0</v>
      </c>
      <c r="AL25" s="15"/>
      <c r="AM25" s="15"/>
      <c r="AN25" s="15"/>
      <c r="AO25" s="15"/>
      <c r="AP25" s="15"/>
      <c r="AQ25" s="15"/>
      <c r="AR25" s="15"/>
      <c r="AS25" s="15"/>
      <c r="AT25" s="13"/>
    </row>
    <row r="26" spans="1:46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+HLOOKUP($A$1,+[2]İcmal!$B$19:$AG$49,ROW(A24)+1,FALSE)</f>
        <v>0</v>
      </c>
      <c r="K26" s="15" cm="1">
        <f t="array" ref="K26">+HLOOKUP($A$1,+[3]İcmal!$B$19:$AG$49,ROW(B24)+1,FALSE)</f>
        <v>0</v>
      </c>
      <c r="L26" s="15" cm="1">
        <f t="array" ref="L26">+HLOOKUP($A$1,+[4]İcmal!$B$19:$AG$49,ROW(C24)+1,FALSE)</f>
        <v>0</v>
      </c>
      <c r="M26" s="15" cm="1">
        <f t="array" ref="M26">+HLOOKUP($A$1,+[5]İcmal!$B$19:$AG$49,ROW(D24)+1,FALSE)</f>
        <v>0</v>
      </c>
      <c r="N26" s="15" cm="1">
        <f t="array" ref="N26">+HLOOKUP($A$1,+[6]İcmal!$B$19:$AG$49,ROW(E24)+1,FALSE)</f>
        <v>0</v>
      </c>
      <c r="O26" s="15" cm="1">
        <f t="array" ref="O26">+HLOOKUP($A$1,+[7]İcmal!$B$19:$AG$49,ROW(F24)+1,FALSE)</f>
        <v>0</v>
      </c>
      <c r="P26" s="15" cm="1">
        <f t="array" ref="P26">+HLOOKUP($A$1,+[8]İcmal!$B$19:$AG$49,ROW(G24)+1,FALSE)</f>
        <v>0</v>
      </c>
      <c r="Q26" s="15" cm="1">
        <f t="array" ref="Q26">+HLOOKUP($A$1,+[9]İcmal!$B$19:$AG$49,ROW(H24)+1,FALSE)</f>
        <v>0</v>
      </c>
      <c r="R26" s="15" cm="1">
        <f t="array" ref="R26">+HLOOKUP($A$1,+[10]İcmal!$B$19:$AG$49,ROW(I24)+1,FALSE)</f>
        <v>0</v>
      </c>
      <c r="S26" s="15" cm="1">
        <f t="array" ref="S26">+HLOOKUP($A$1,+[11]İcmal!$B$19:$AG$49,ROW(J24)+1,FALSE)</f>
        <v>0</v>
      </c>
      <c r="T26" s="15" cm="1">
        <f t="array" ref="T26">+HLOOKUP($A$1,+[12]İcmal!$B$19:$AG$49,ROW(K24)+1,FALSE)</f>
        <v>0</v>
      </c>
      <c r="U26" s="15" cm="1">
        <f t="array" ref="U26">+HLOOKUP($A$1,+[13]İcmal!$B$19:$AG$49,ROW(L24)+1,FALSE)</f>
        <v>0</v>
      </c>
      <c r="V26" s="15" cm="1">
        <f t="array" ref="V26">+HLOOKUP($A$1,+[14]İcmal!$B$19:$AG$49,ROW(M24)+1,FALSE)</f>
        <v>0</v>
      </c>
      <c r="W26" s="15" cm="1">
        <f t="array" ref="W26">+HLOOKUP($A$1,+[15]İcmal!$B$19:$AG$49,ROW(N24)+1,FALSE)</f>
        <v>0</v>
      </c>
      <c r="X26" s="15" cm="1">
        <f t="array" ref="X26">+HLOOKUP($A$1,+[16]İcmal!$B$19:$AG$49,ROW(O24)+1,FALSE)</f>
        <v>0</v>
      </c>
      <c r="Y26" s="15" cm="1">
        <f t="array" ref="Y26">+HLOOKUP($A$1,+[17]İcmal!$B$19:$AG$49,ROW(P24)+1,FALSE)</f>
        <v>0</v>
      </c>
      <c r="Z26" s="15" cm="1">
        <f t="array" ref="Z26">+HLOOKUP($A$1,+[18]İcmal!$B$19:$AG$49,ROW(Q24)+1,FALSE)</f>
        <v>0</v>
      </c>
      <c r="AA26" s="15" cm="1">
        <f t="array" ref="AA26">+HLOOKUP($A$1,+[19]İcmal!$B$19:$AG$49,ROW(R24)+1,FALSE)</f>
        <v>0</v>
      </c>
      <c r="AB26" s="15" cm="1">
        <f t="array" ref="AB26">+HLOOKUP($A$1,+[20]İcmal!$B$19:$AG$49,ROW(S24)+1,FALSE)</f>
        <v>0</v>
      </c>
      <c r="AC26" s="15" cm="1">
        <f t="array" ref="AC26">+HLOOKUP($A$1,+[21]İcmal!$B$19:$AG$49,ROW(T24)+1,FALSE)</f>
        <v>0</v>
      </c>
      <c r="AD26" s="15" cm="1">
        <f t="array" ref="AD26">+HLOOKUP($A$1,+[22]İcmal!$B$19:$AG$49,ROW(U24)+1,FALSE)</f>
        <v>0</v>
      </c>
      <c r="AE26" s="15" cm="1">
        <f t="array" ref="AE26">+HLOOKUP($A$1,+[23]İcmal!$B$19:$AG$49,ROW(V24)+1,FALSE)</f>
        <v>0</v>
      </c>
      <c r="AF26" s="15" cm="1">
        <f t="array" ref="AF26">+HLOOKUP($A$1,+[24]İcmal!$B$19:$AG$49,ROW(W24)+1,FALSE)</f>
        <v>0</v>
      </c>
      <c r="AG26" s="15" cm="1">
        <f t="array" ref="AG26">+HLOOKUP($A$1,+[25]İcmal!$B$19:$AG$49,ROW(X24)+1,FALSE)</f>
        <v>0</v>
      </c>
      <c r="AH26" s="15" cm="1">
        <f t="array" ref="AH26">+HLOOKUP($A$1,+[26]İcmal!$B$19:$AG$49,ROW(Y24)+1,FALSE)</f>
        <v>0</v>
      </c>
      <c r="AI26" s="15" cm="1">
        <f t="array" ref="AI26">+HLOOKUP($A$1,+[27]İcmal!$B$19:$AG$49,ROW(Z24)+1,FALSE)</f>
        <v>0</v>
      </c>
      <c r="AJ26" s="15" cm="1">
        <f t="array" ref="AJ26">+HLOOKUP($A$1,+[28]İcmal!$B$19:$AG$49,ROW(AA24)+1,FALSE)</f>
        <v>0</v>
      </c>
      <c r="AK26" s="15" cm="1">
        <f t="array" ref="AK26">+HLOOKUP($A$1,+[29]İcmal!$B$19:$AG$49,ROW(AB24)+1,FALSE)</f>
        <v>0</v>
      </c>
      <c r="AL26" s="15"/>
      <c r="AM26" s="15"/>
      <c r="AN26" s="15"/>
      <c r="AO26" s="15"/>
      <c r="AP26" s="15"/>
      <c r="AQ26" s="15"/>
      <c r="AR26" s="15"/>
      <c r="AS26" s="15"/>
      <c r="AT26" s="13"/>
    </row>
    <row r="27" spans="1:46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+HLOOKUP($A$1,+[2]İcmal!$B$19:$AG$49,ROW(A25)+1,FALSE)</f>
        <v>0</v>
      </c>
      <c r="K27" s="15" cm="1">
        <f t="array" ref="K27">+HLOOKUP($A$1,+[3]İcmal!$B$19:$AG$49,ROW(B25)+1,FALSE)</f>
        <v>0</v>
      </c>
      <c r="L27" s="15" cm="1">
        <f t="array" ref="L27">+HLOOKUP($A$1,+[4]İcmal!$B$19:$AG$49,ROW(C25)+1,FALSE)</f>
        <v>0</v>
      </c>
      <c r="M27" s="15" cm="1">
        <f t="array" ref="M27">+HLOOKUP($A$1,+[5]İcmal!$B$19:$AG$49,ROW(D25)+1,FALSE)</f>
        <v>0</v>
      </c>
      <c r="N27" s="15" cm="1">
        <f t="array" ref="N27">+HLOOKUP($A$1,+[6]İcmal!$B$19:$AG$49,ROW(E25)+1,FALSE)</f>
        <v>0</v>
      </c>
      <c r="O27" s="15" cm="1">
        <f t="array" ref="O27">+HLOOKUP($A$1,+[7]İcmal!$B$19:$AG$49,ROW(F25)+1,FALSE)</f>
        <v>0</v>
      </c>
      <c r="P27" s="15" cm="1">
        <f t="array" ref="P27">+HLOOKUP($A$1,+[8]İcmal!$B$19:$AG$49,ROW(G25)+1,FALSE)</f>
        <v>0</v>
      </c>
      <c r="Q27" s="15" cm="1">
        <f t="array" ref="Q27">+HLOOKUP($A$1,+[9]İcmal!$B$19:$AG$49,ROW(H25)+1,FALSE)</f>
        <v>0</v>
      </c>
      <c r="R27" s="15" cm="1">
        <f t="array" ref="R27">+HLOOKUP($A$1,+[10]İcmal!$B$19:$AG$49,ROW(I25)+1,FALSE)</f>
        <v>0</v>
      </c>
      <c r="S27" s="15" cm="1">
        <f t="array" ref="S27">+HLOOKUP($A$1,+[11]İcmal!$B$19:$AG$49,ROW(J25)+1,FALSE)</f>
        <v>0</v>
      </c>
      <c r="T27" s="15" cm="1">
        <f t="array" ref="T27">+HLOOKUP($A$1,+[12]İcmal!$B$19:$AG$49,ROW(K25)+1,FALSE)</f>
        <v>0</v>
      </c>
      <c r="U27" s="15" cm="1">
        <f t="array" ref="U27">+HLOOKUP($A$1,+[13]İcmal!$B$19:$AG$49,ROW(L25)+1,FALSE)</f>
        <v>0</v>
      </c>
      <c r="V27" s="15" cm="1">
        <f t="array" ref="V27">+HLOOKUP($A$1,+[14]İcmal!$B$19:$AG$49,ROW(M25)+1,FALSE)</f>
        <v>0</v>
      </c>
      <c r="W27" s="15" cm="1">
        <f t="array" ref="W27">+HLOOKUP($A$1,+[15]İcmal!$B$19:$AG$49,ROW(N25)+1,FALSE)</f>
        <v>0</v>
      </c>
      <c r="X27" s="15" cm="1">
        <f t="array" ref="X27">+HLOOKUP($A$1,+[16]İcmal!$B$19:$AG$49,ROW(O25)+1,FALSE)</f>
        <v>0</v>
      </c>
      <c r="Y27" s="15" cm="1">
        <f t="array" ref="Y27">+HLOOKUP($A$1,+[17]İcmal!$B$19:$AG$49,ROW(P25)+1,FALSE)</f>
        <v>0</v>
      </c>
      <c r="Z27" s="15" cm="1">
        <f t="array" ref="Z27">+HLOOKUP($A$1,+[18]İcmal!$B$19:$AG$49,ROW(Q25)+1,FALSE)</f>
        <v>0</v>
      </c>
      <c r="AA27" s="15" cm="1">
        <f t="array" ref="AA27">+HLOOKUP($A$1,+[19]İcmal!$B$19:$AG$49,ROW(R25)+1,FALSE)</f>
        <v>0</v>
      </c>
      <c r="AB27" s="15" cm="1">
        <f t="array" ref="AB27">+HLOOKUP($A$1,+[20]İcmal!$B$19:$AG$49,ROW(S25)+1,FALSE)</f>
        <v>0</v>
      </c>
      <c r="AC27" s="15" cm="1">
        <f t="array" ref="AC27">+HLOOKUP($A$1,+[21]İcmal!$B$19:$AG$49,ROW(T25)+1,FALSE)</f>
        <v>0</v>
      </c>
      <c r="AD27" s="15" cm="1">
        <f t="array" ref="AD27">+HLOOKUP($A$1,+[22]İcmal!$B$19:$AG$49,ROW(U25)+1,FALSE)</f>
        <v>0</v>
      </c>
      <c r="AE27" s="15" cm="1">
        <f t="array" ref="AE27">+HLOOKUP($A$1,+[23]İcmal!$B$19:$AG$49,ROW(V25)+1,FALSE)</f>
        <v>0</v>
      </c>
      <c r="AF27" s="15" cm="1">
        <f t="array" ref="AF27">+HLOOKUP($A$1,+[24]İcmal!$B$19:$AG$49,ROW(W25)+1,FALSE)</f>
        <v>0</v>
      </c>
      <c r="AG27" s="15" cm="1">
        <f t="array" ref="AG27">+HLOOKUP($A$1,+[25]İcmal!$B$19:$AG$49,ROW(X25)+1,FALSE)</f>
        <v>0</v>
      </c>
      <c r="AH27" s="15" cm="1">
        <f t="array" ref="AH27">+HLOOKUP($A$1,+[26]İcmal!$B$19:$AG$49,ROW(Y25)+1,FALSE)</f>
        <v>0</v>
      </c>
      <c r="AI27" s="15" cm="1">
        <f t="array" ref="AI27">+HLOOKUP($A$1,+[27]İcmal!$B$19:$AG$49,ROW(Z25)+1,FALSE)</f>
        <v>0</v>
      </c>
      <c r="AJ27" s="15" cm="1">
        <f t="array" ref="AJ27">+HLOOKUP($A$1,+[28]İcmal!$B$19:$AG$49,ROW(AA25)+1,FALSE)</f>
        <v>0</v>
      </c>
      <c r="AK27" s="15" cm="1">
        <f t="array" ref="AK27">+HLOOKUP($A$1,+[29]İcmal!$B$19:$AG$49,ROW(AB25)+1,FALSE)</f>
        <v>0</v>
      </c>
      <c r="AL27" s="15"/>
      <c r="AM27" s="15"/>
      <c r="AN27" s="15"/>
      <c r="AO27" s="15"/>
      <c r="AP27" s="15"/>
      <c r="AQ27" s="15"/>
      <c r="AR27" s="15"/>
      <c r="AS27" s="15"/>
      <c r="AT27" s="13"/>
    </row>
    <row r="28" spans="1:46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9.5500000000000007</v>
      </c>
      <c r="I28" s="9">
        <f t="shared" si="2"/>
        <v>441687.50000000006</v>
      </c>
      <c r="J28" s="15" cm="1">
        <f t="array" ref="J28">+HLOOKUP($A$1,+[2]İcmal!$B$19:$AG$49,ROW(A26)+1,FALSE)</f>
        <v>0</v>
      </c>
      <c r="K28" s="15" cm="1">
        <f t="array" ref="K28">+HLOOKUP($A$1,+[3]İcmal!$B$19:$AG$49,ROW(B26)+1,FALSE)</f>
        <v>3.6999999999999998E-2</v>
      </c>
      <c r="L28" s="15" cm="1">
        <f t="array" ref="L28">+HLOOKUP($A$1,+[4]İcmal!$B$19:$AG$49,ROW(C26)+1,FALSE)</f>
        <v>0</v>
      </c>
      <c r="M28" s="15" cm="1">
        <f t="array" ref="M28">+HLOOKUP($A$1,+[5]İcmal!$B$19:$AG$49,ROW(D26)+1,FALSE)</f>
        <v>0</v>
      </c>
      <c r="N28" s="15" cm="1">
        <f t="array" ref="N28">+HLOOKUP($A$1,+[6]İcmal!$B$19:$AG$49,ROW(E26)+1,FALSE)</f>
        <v>3.0069999999999997</v>
      </c>
      <c r="O28" s="15" cm="1">
        <f t="array" ref="O28">+HLOOKUP($A$1,+[7]İcmal!$B$19:$AG$49,ROW(F26)+1,FALSE)</f>
        <v>0.90800000000000003</v>
      </c>
      <c r="P28" s="15" cm="1">
        <f t="array" ref="P28">+HLOOKUP($A$1,+[8]İcmal!$B$19:$AG$49,ROW(G26)+1,FALSE)</f>
        <v>0</v>
      </c>
      <c r="Q28" s="15" cm="1">
        <f t="array" ref="Q28">+HLOOKUP($A$1,+[9]İcmal!$B$19:$AG$49,ROW(H26)+1,FALSE)</f>
        <v>0</v>
      </c>
      <c r="R28" s="15" cm="1">
        <f t="array" ref="R28">+HLOOKUP($A$1,+[10]İcmal!$B$19:$AG$49,ROW(I26)+1,FALSE)</f>
        <v>2.4869999999999997</v>
      </c>
      <c r="S28" s="15" cm="1">
        <f t="array" ref="S28">+HLOOKUP($A$1,+[11]İcmal!$B$19:$AG$49,ROW(J26)+1,FALSE)</f>
        <v>1.2089999999999999</v>
      </c>
      <c r="T28" s="15" cm="1">
        <f t="array" ref="T28">+HLOOKUP($A$1,+[12]İcmal!$B$19:$AG$49,ROW(K26)+1,FALSE)</f>
        <v>0</v>
      </c>
      <c r="U28" s="15" cm="1">
        <f t="array" ref="U28">+HLOOKUP($A$1,+[13]İcmal!$B$19:$AG$49,ROW(L26)+1,FALSE)</f>
        <v>0</v>
      </c>
      <c r="V28" s="15" cm="1">
        <f t="array" ref="V28">+HLOOKUP($A$1,+[14]İcmal!$B$19:$AG$49,ROW(M26)+1,FALSE)</f>
        <v>0</v>
      </c>
      <c r="W28" s="15" cm="1">
        <f t="array" ref="W28">+HLOOKUP($A$1,+[15]İcmal!$B$19:$AG$49,ROW(N26)+1,FALSE)</f>
        <v>0.34799999999999998</v>
      </c>
      <c r="X28" s="15" cm="1">
        <f t="array" ref="X28">+HLOOKUP($A$1,+[16]İcmal!$B$19:$AG$49,ROW(O26)+1,FALSE)</f>
        <v>0</v>
      </c>
      <c r="Y28" s="15" cm="1">
        <f t="array" ref="Y28">+HLOOKUP($A$1,+[17]İcmal!$B$19:$AG$49,ROW(P26)+1,FALSE)</f>
        <v>0</v>
      </c>
      <c r="Z28" s="15" cm="1">
        <f t="array" ref="Z28">+HLOOKUP($A$1,+[18]İcmal!$B$19:$AG$49,ROW(Q26)+1,FALSE)</f>
        <v>0</v>
      </c>
      <c r="AA28" s="15" cm="1">
        <f t="array" ref="AA28">+HLOOKUP($A$1,+[19]İcmal!$B$19:$AG$49,ROW(R26)+1,FALSE)</f>
        <v>0</v>
      </c>
      <c r="AB28" s="15" cm="1">
        <f t="array" ref="AB28">+HLOOKUP($A$1,+[20]İcmal!$B$19:$AG$49,ROW(S26)+1,FALSE)</f>
        <v>0.56299999999999994</v>
      </c>
      <c r="AC28" s="15" cm="1">
        <f t="array" ref="AC28">+HLOOKUP($A$1,+[21]İcmal!$B$19:$AG$49,ROW(T26)+1,FALSE)</f>
        <v>0</v>
      </c>
      <c r="AD28" s="15" cm="1">
        <f t="array" ref="AD28">+HLOOKUP($A$1,+[22]İcmal!$B$19:$AG$49,ROW(U26)+1,FALSE)</f>
        <v>0</v>
      </c>
      <c r="AE28" s="15" cm="1">
        <f t="array" ref="AE28">+HLOOKUP($A$1,+[23]İcmal!$B$19:$AG$49,ROW(V26)+1,FALSE)</f>
        <v>0</v>
      </c>
      <c r="AF28" s="15" cm="1">
        <f t="array" ref="AF28">+HLOOKUP($A$1,+[24]İcmal!$B$19:$AG$49,ROW(W26)+1,FALSE)</f>
        <v>0.42799999999999999</v>
      </c>
      <c r="AG28" s="15" cm="1">
        <f t="array" ref="AG28">+HLOOKUP($A$1,+[25]İcmal!$B$19:$AG$49,ROW(X26)+1,FALSE)</f>
        <v>0</v>
      </c>
      <c r="AH28" s="15" cm="1">
        <f t="array" ref="AH28">+HLOOKUP($A$1,+[26]İcmal!$B$19:$AG$49,ROW(Y26)+1,FALSE)</f>
        <v>0.56299999999999994</v>
      </c>
      <c r="AI28" s="15" cm="1">
        <f t="array" ref="AI28">+HLOOKUP($A$1,+[27]İcmal!$B$19:$AG$49,ROW(Z26)+1,FALSE)</f>
        <v>0</v>
      </c>
      <c r="AJ28" s="15" cm="1">
        <f t="array" ref="AJ28">+HLOOKUP($A$1,+[28]İcmal!$B$19:$AG$49,ROW(AA26)+1,FALSE)</f>
        <v>0</v>
      </c>
      <c r="AK28" s="15" cm="1">
        <f t="array" ref="AK28">+HLOOKUP($A$1,+[29]İcmal!$B$19:$AG$49,ROW(AB26)+1,FALSE)</f>
        <v>0</v>
      </c>
      <c r="AL28" s="15"/>
      <c r="AM28" s="15"/>
      <c r="AN28" s="15"/>
      <c r="AO28" s="15"/>
      <c r="AP28" s="15"/>
      <c r="AQ28" s="15"/>
      <c r="AR28" s="15"/>
      <c r="AS28" s="15"/>
      <c r="AT28" s="13"/>
    </row>
    <row r="29" spans="1:46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+HLOOKUP($A$1,+[2]İcmal!$B$19:$AG$49,ROW(A27)+1,FALSE)</f>
        <v>0</v>
      </c>
      <c r="K29" s="15" cm="1">
        <f t="array" ref="K29">+HLOOKUP($A$1,+[3]İcmal!$B$19:$AG$49,ROW(B27)+1,FALSE)</f>
        <v>0</v>
      </c>
      <c r="L29" s="15" cm="1">
        <f t="array" ref="L29">+HLOOKUP($A$1,+[4]İcmal!$B$19:$AG$49,ROW(C27)+1,FALSE)</f>
        <v>0</v>
      </c>
      <c r="M29" s="15" cm="1">
        <f t="array" ref="M29">+HLOOKUP($A$1,+[5]İcmal!$B$19:$AG$49,ROW(D27)+1,FALSE)</f>
        <v>0</v>
      </c>
      <c r="N29" s="15" cm="1">
        <f t="array" ref="N29">+HLOOKUP($A$1,+[6]İcmal!$B$19:$AG$49,ROW(E27)+1,FALSE)</f>
        <v>0</v>
      </c>
      <c r="O29" s="15" cm="1">
        <f t="array" ref="O29">+HLOOKUP($A$1,+[7]İcmal!$B$19:$AG$49,ROW(F27)+1,FALSE)</f>
        <v>0</v>
      </c>
      <c r="P29" s="15" cm="1">
        <f t="array" ref="P29">+HLOOKUP($A$1,+[8]İcmal!$B$19:$AG$49,ROW(G27)+1,FALSE)</f>
        <v>0</v>
      </c>
      <c r="Q29" s="15" cm="1">
        <f t="array" ref="Q29">+HLOOKUP($A$1,+[9]İcmal!$B$19:$AG$49,ROW(H27)+1,FALSE)</f>
        <v>0</v>
      </c>
      <c r="R29" s="15" cm="1">
        <f t="array" ref="R29">+HLOOKUP($A$1,+[10]İcmal!$B$19:$AG$49,ROW(I27)+1,FALSE)</f>
        <v>0</v>
      </c>
      <c r="S29" s="15" cm="1">
        <f t="array" ref="S29">+HLOOKUP($A$1,+[11]İcmal!$B$19:$AG$49,ROW(J27)+1,FALSE)</f>
        <v>0</v>
      </c>
      <c r="T29" s="15" cm="1">
        <f t="array" ref="T29">+HLOOKUP($A$1,+[12]İcmal!$B$19:$AG$49,ROW(K27)+1,FALSE)</f>
        <v>0</v>
      </c>
      <c r="U29" s="15" cm="1">
        <f t="array" ref="U29">+HLOOKUP($A$1,+[13]İcmal!$B$19:$AG$49,ROW(L27)+1,FALSE)</f>
        <v>0</v>
      </c>
      <c r="V29" s="15" cm="1">
        <f t="array" ref="V29">+HLOOKUP($A$1,+[14]İcmal!$B$19:$AG$49,ROW(M27)+1,FALSE)</f>
        <v>0</v>
      </c>
      <c r="W29" s="15" cm="1">
        <f t="array" ref="W29">+HLOOKUP($A$1,+[15]İcmal!$B$19:$AG$49,ROW(N27)+1,FALSE)</f>
        <v>0</v>
      </c>
      <c r="X29" s="15" cm="1">
        <f t="array" ref="X29">+HLOOKUP($A$1,+[16]İcmal!$B$19:$AG$49,ROW(O27)+1,FALSE)</f>
        <v>0</v>
      </c>
      <c r="Y29" s="15" cm="1">
        <f t="array" ref="Y29">+HLOOKUP($A$1,+[17]İcmal!$B$19:$AG$49,ROW(P27)+1,FALSE)</f>
        <v>0</v>
      </c>
      <c r="Z29" s="15" cm="1">
        <f t="array" ref="Z29">+HLOOKUP($A$1,+[18]İcmal!$B$19:$AG$49,ROW(Q27)+1,FALSE)</f>
        <v>0</v>
      </c>
      <c r="AA29" s="15" cm="1">
        <f t="array" ref="AA29">+HLOOKUP($A$1,+[19]İcmal!$B$19:$AG$49,ROW(R27)+1,FALSE)</f>
        <v>0</v>
      </c>
      <c r="AB29" s="15" cm="1">
        <f t="array" ref="AB29">+HLOOKUP($A$1,+[20]İcmal!$B$19:$AG$49,ROW(S27)+1,FALSE)</f>
        <v>0</v>
      </c>
      <c r="AC29" s="15" cm="1">
        <f t="array" ref="AC29">+HLOOKUP($A$1,+[21]İcmal!$B$19:$AG$49,ROW(T27)+1,FALSE)</f>
        <v>0</v>
      </c>
      <c r="AD29" s="15" cm="1">
        <f t="array" ref="AD29">+HLOOKUP($A$1,+[22]İcmal!$B$19:$AG$49,ROW(U27)+1,FALSE)</f>
        <v>0</v>
      </c>
      <c r="AE29" s="15" cm="1">
        <f t="array" ref="AE29">+HLOOKUP($A$1,+[23]İcmal!$B$19:$AG$49,ROW(V27)+1,FALSE)</f>
        <v>0</v>
      </c>
      <c r="AF29" s="15" cm="1">
        <f t="array" ref="AF29">+HLOOKUP($A$1,+[24]İcmal!$B$19:$AG$49,ROW(W27)+1,FALSE)</f>
        <v>0</v>
      </c>
      <c r="AG29" s="15" cm="1">
        <f t="array" ref="AG29">+HLOOKUP($A$1,+[25]İcmal!$B$19:$AG$49,ROW(X27)+1,FALSE)</f>
        <v>0</v>
      </c>
      <c r="AH29" s="15" cm="1">
        <f t="array" ref="AH29">+HLOOKUP($A$1,+[26]İcmal!$B$19:$AG$49,ROW(Y27)+1,FALSE)</f>
        <v>0</v>
      </c>
      <c r="AI29" s="15" cm="1">
        <f t="array" ref="AI29">+HLOOKUP($A$1,+[27]İcmal!$B$19:$AG$49,ROW(Z27)+1,FALSE)</f>
        <v>0</v>
      </c>
      <c r="AJ29" s="15" cm="1">
        <f t="array" ref="AJ29">+HLOOKUP($A$1,+[28]İcmal!$B$19:$AG$49,ROW(AA27)+1,FALSE)</f>
        <v>0</v>
      </c>
      <c r="AK29" s="15" cm="1">
        <f t="array" ref="AK29">+HLOOKUP($A$1,+[29]İcmal!$B$19:$AG$49,ROW(AB27)+1,FALSE)</f>
        <v>0</v>
      </c>
      <c r="AL29" s="15"/>
      <c r="AM29" s="15"/>
      <c r="AN29" s="15"/>
      <c r="AO29" s="15"/>
      <c r="AP29" s="15"/>
      <c r="AQ29" s="15"/>
      <c r="AR29" s="15"/>
      <c r="AS29" s="15"/>
      <c r="AT29" s="13"/>
    </row>
    <row r="30" spans="1:46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51.403999999999996</v>
      </c>
      <c r="I30" s="9">
        <f t="shared" si="2"/>
        <v>5003305.5319999997</v>
      </c>
      <c r="J30" s="15" cm="1">
        <f t="array" ref="J30">+HLOOKUP($A$1,+[2]İcmal!$B$19:$AG$49,ROW(A28)+1,FALSE)</f>
        <v>0</v>
      </c>
      <c r="K30" s="15" cm="1">
        <f t="array" ref="K30">+HLOOKUP($A$1,+[3]İcmal!$B$19:$AG$49,ROW(B28)+1,FALSE)</f>
        <v>0.745</v>
      </c>
      <c r="L30" s="15" cm="1">
        <f t="array" ref="L30">+HLOOKUP($A$1,+[4]İcmal!$B$19:$AG$49,ROW(C28)+1,FALSE)</f>
        <v>0</v>
      </c>
      <c r="M30" s="15" cm="1">
        <f t="array" ref="M30">+HLOOKUP($A$1,+[5]İcmal!$B$19:$AG$49,ROW(D28)+1,FALSE)</f>
        <v>0</v>
      </c>
      <c r="N30" s="15" cm="1">
        <f t="array" ref="N30">+HLOOKUP($A$1,+[6]İcmal!$B$19:$AG$49,ROW(E28)+1,FALSE)</f>
        <v>13.562000000000001</v>
      </c>
      <c r="O30" s="15" cm="1">
        <f t="array" ref="O30">+HLOOKUP($A$1,+[7]İcmal!$B$19:$AG$49,ROW(F28)+1,FALSE)</f>
        <v>5.5339999999999998</v>
      </c>
      <c r="P30" s="15" cm="1">
        <f t="array" ref="P30">+HLOOKUP($A$1,+[8]İcmal!$B$19:$AG$49,ROW(G28)+1,FALSE)</f>
        <v>0</v>
      </c>
      <c r="Q30" s="15" cm="1">
        <f t="array" ref="Q30">+HLOOKUP($A$1,+[9]İcmal!$B$19:$AG$49,ROW(H28)+1,FALSE)</f>
        <v>0</v>
      </c>
      <c r="R30" s="15" cm="1">
        <f t="array" ref="R30">+HLOOKUP($A$1,+[10]İcmal!$B$19:$AG$49,ROW(I28)+1,FALSE)</f>
        <v>13.778</v>
      </c>
      <c r="S30" s="15" cm="1">
        <f t="array" ref="S30">+HLOOKUP($A$1,+[11]İcmal!$B$19:$AG$49,ROW(J28)+1,FALSE)</f>
        <v>7.3849999999999998</v>
      </c>
      <c r="T30" s="15" cm="1">
        <f t="array" ref="T30">+HLOOKUP($A$1,+[12]İcmal!$B$19:$AG$49,ROW(K28)+1,FALSE)</f>
        <v>0</v>
      </c>
      <c r="U30" s="15" cm="1">
        <f t="array" ref="U30">+HLOOKUP($A$1,+[13]İcmal!$B$19:$AG$49,ROW(L28)+1,FALSE)</f>
        <v>0</v>
      </c>
      <c r="V30" s="15" cm="1">
        <f t="array" ref="V30">+HLOOKUP($A$1,+[14]İcmal!$B$19:$AG$49,ROW(M28)+1,FALSE)</f>
        <v>0</v>
      </c>
      <c r="W30" s="15" cm="1">
        <f t="array" ref="W30">+HLOOKUP($A$1,+[15]İcmal!$B$19:$AG$49,ROW(N28)+1,FALSE)</f>
        <v>2.6529999999999996</v>
      </c>
      <c r="X30" s="15" cm="1">
        <f t="array" ref="X30">+HLOOKUP($A$1,+[16]İcmal!$B$19:$AG$49,ROW(O28)+1,FALSE)</f>
        <v>0</v>
      </c>
      <c r="Y30" s="15" cm="1">
        <f t="array" ref="Y30">+HLOOKUP($A$1,+[17]İcmal!$B$19:$AG$49,ROW(P28)+1,FALSE)</f>
        <v>0</v>
      </c>
      <c r="Z30" s="15" cm="1">
        <f t="array" ref="Z30">+HLOOKUP($A$1,+[18]İcmal!$B$19:$AG$49,ROW(Q28)+1,FALSE)</f>
        <v>0</v>
      </c>
      <c r="AA30" s="15" cm="1">
        <f t="array" ref="AA30">+HLOOKUP($A$1,+[19]İcmal!$B$19:$AG$49,ROW(R28)+1,FALSE)</f>
        <v>0</v>
      </c>
      <c r="AB30" s="15" cm="1">
        <f t="array" ref="AB30">+HLOOKUP($A$1,+[20]İcmal!$B$19:$AG$49,ROW(S28)+1,FALSE)</f>
        <v>3.0309999999999997</v>
      </c>
      <c r="AC30" s="15" cm="1">
        <f t="array" ref="AC30">+HLOOKUP($A$1,+[21]İcmal!$B$19:$AG$49,ROW(T28)+1,FALSE)</f>
        <v>0</v>
      </c>
      <c r="AD30" s="15" cm="1">
        <f t="array" ref="AD30">+HLOOKUP($A$1,+[22]İcmal!$B$19:$AG$49,ROW(U28)+1,FALSE)</f>
        <v>0</v>
      </c>
      <c r="AE30" s="15" cm="1">
        <f t="array" ref="AE30">+HLOOKUP($A$1,+[23]İcmal!$B$19:$AG$49,ROW(V28)+1,FALSE)</f>
        <v>0</v>
      </c>
      <c r="AF30" s="15" cm="1">
        <f t="array" ref="AF30">+HLOOKUP($A$1,+[24]İcmal!$B$19:$AG$49,ROW(W28)+1,FALSE)</f>
        <v>1.6850000000000001</v>
      </c>
      <c r="AG30" s="15" cm="1">
        <f t="array" ref="AG30">+HLOOKUP($A$1,+[25]İcmal!$B$19:$AG$49,ROW(X28)+1,FALSE)</f>
        <v>0</v>
      </c>
      <c r="AH30" s="15" cm="1">
        <f t="array" ref="AH30">+HLOOKUP($A$1,+[26]İcmal!$B$19:$AG$49,ROW(Y28)+1,FALSE)</f>
        <v>3.0309999999999997</v>
      </c>
      <c r="AI30" s="15" cm="1">
        <f t="array" ref="AI30">+HLOOKUP($A$1,+[27]İcmal!$B$19:$AG$49,ROW(Z28)+1,FALSE)</f>
        <v>0</v>
      </c>
      <c r="AJ30" s="15" cm="1">
        <f t="array" ref="AJ30">+HLOOKUP($A$1,+[28]İcmal!$B$19:$AG$49,ROW(AA28)+1,FALSE)</f>
        <v>0</v>
      </c>
      <c r="AK30" s="15" cm="1">
        <f t="array" ref="AK30">+HLOOKUP($A$1,+[29]İcmal!$B$19:$AG$49,ROW(AB28)+1,FALSE)</f>
        <v>0</v>
      </c>
      <c r="AL30" s="15"/>
      <c r="AM30" s="15"/>
      <c r="AN30" s="15"/>
      <c r="AO30" s="15"/>
      <c r="AP30" s="15"/>
      <c r="AQ30" s="15"/>
      <c r="AR30" s="15"/>
      <c r="AS30" s="15"/>
      <c r="AT30" s="13"/>
    </row>
    <row r="31" spans="1:46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+HLOOKUP($A$1,+[2]İcmal!$B$19:$AG$49,ROW(A29)+1,FALSE)</f>
        <v>0</v>
      </c>
      <c r="K31" s="15" cm="1">
        <f t="array" ref="K31">+HLOOKUP($A$1,+[3]İcmal!$B$19:$AG$49,ROW(B29)+1,FALSE)</f>
        <v>0</v>
      </c>
      <c r="L31" s="15" cm="1">
        <f t="array" ref="L31">+HLOOKUP($A$1,+[4]İcmal!$B$19:$AG$49,ROW(C29)+1,FALSE)</f>
        <v>0</v>
      </c>
      <c r="M31" s="15" cm="1">
        <f t="array" ref="M31">+HLOOKUP($A$1,+[5]İcmal!$B$19:$AG$49,ROW(D29)+1,FALSE)</f>
        <v>0</v>
      </c>
      <c r="N31" s="15" cm="1">
        <f t="array" ref="N31">+HLOOKUP($A$1,+[6]İcmal!$B$19:$AG$49,ROW(E29)+1,FALSE)</f>
        <v>0</v>
      </c>
      <c r="O31" s="15" cm="1">
        <f t="array" ref="O31">+HLOOKUP($A$1,+[7]İcmal!$B$19:$AG$49,ROW(F29)+1,FALSE)</f>
        <v>0</v>
      </c>
      <c r="P31" s="15" cm="1">
        <f t="array" ref="P31">+HLOOKUP($A$1,+[8]İcmal!$B$19:$AG$49,ROW(G29)+1,FALSE)</f>
        <v>0</v>
      </c>
      <c r="Q31" s="15" cm="1">
        <f t="array" ref="Q31">+HLOOKUP($A$1,+[9]İcmal!$B$19:$AG$49,ROW(H29)+1,FALSE)</f>
        <v>0</v>
      </c>
      <c r="R31" s="15" cm="1">
        <f t="array" ref="R31">+HLOOKUP($A$1,+[10]İcmal!$B$19:$AG$49,ROW(I29)+1,FALSE)</f>
        <v>0</v>
      </c>
      <c r="S31" s="15" cm="1">
        <f t="array" ref="S31">+HLOOKUP($A$1,+[11]İcmal!$B$19:$AG$49,ROW(J29)+1,FALSE)</f>
        <v>0</v>
      </c>
      <c r="T31" s="15" cm="1">
        <f t="array" ref="T31">+HLOOKUP($A$1,+[12]İcmal!$B$19:$AG$49,ROW(K29)+1,FALSE)</f>
        <v>0</v>
      </c>
      <c r="U31" s="15" cm="1">
        <f t="array" ref="U31">+HLOOKUP($A$1,+[13]İcmal!$B$19:$AG$49,ROW(L29)+1,FALSE)</f>
        <v>0</v>
      </c>
      <c r="V31" s="15" cm="1">
        <f t="array" ref="V31">+HLOOKUP($A$1,+[14]İcmal!$B$19:$AG$49,ROW(M29)+1,FALSE)</f>
        <v>0</v>
      </c>
      <c r="W31" s="15" cm="1">
        <f t="array" ref="W31">+HLOOKUP($A$1,+[15]İcmal!$B$19:$AG$49,ROW(N29)+1,FALSE)</f>
        <v>0</v>
      </c>
      <c r="X31" s="15" cm="1">
        <f t="array" ref="X31">+HLOOKUP($A$1,+[16]İcmal!$B$19:$AG$49,ROW(O29)+1,FALSE)</f>
        <v>0</v>
      </c>
      <c r="Y31" s="15" cm="1">
        <f t="array" ref="Y31">+HLOOKUP($A$1,+[17]İcmal!$B$19:$AG$49,ROW(P29)+1,FALSE)</f>
        <v>0</v>
      </c>
      <c r="Z31" s="15" cm="1">
        <f t="array" ref="Z31">+HLOOKUP($A$1,+[18]İcmal!$B$19:$AG$49,ROW(Q29)+1,FALSE)</f>
        <v>0</v>
      </c>
      <c r="AA31" s="15" cm="1">
        <f t="array" ref="AA31">+HLOOKUP($A$1,+[19]İcmal!$B$19:$AG$49,ROW(R29)+1,FALSE)</f>
        <v>0</v>
      </c>
      <c r="AB31" s="15" cm="1">
        <f t="array" ref="AB31">+HLOOKUP($A$1,+[20]İcmal!$B$19:$AG$49,ROW(S29)+1,FALSE)</f>
        <v>0</v>
      </c>
      <c r="AC31" s="15" cm="1">
        <f t="array" ref="AC31">+HLOOKUP($A$1,+[21]İcmal!$B$19:$AG$49,ROW(T29)+1,FALSE)</f>
        <v>0</v>
      </c>
      <c r="AD31" s="15" cm="1">
        <f t="array" ref="AD31">+HLOOKUP($A$1,+[22]İcmal!$B$19:$AG$49,ROW(U29)+1,FALSE)</f>
        <v>0</v>
      </c>
      <c r="AE31" s="15" cm="1">
        <f t="array" ref="AE31">+HLOOKUP($A$1,+[23]İcmal!$B$19:$AG$49,ROW(V29)+1,FALSE)</f>
        <v>0</v>
      </c>
      <c r="AF31" s="15" cm="1">
        <f t="array" ref="AF31">+HLOOKUP($A$1,+[24]İcmal!$B$19:$AG$49,ROW(W29)+1,FALSE)</f>
        <v>0</v>
      </c>
      <c r="AG31" s="15" cm="1">
        <f t="array" ref="AG31">+HLOOKUP($A$1,+[25]İcmal!$B$19:$AG$49,ROW(X29)+1,FALSE)</f>
        <v>0</v>
      </c>
      <c r="AH31" s="15" cm="1">
        <f t="array" ref="AH31">+HLOOKUP($A$1,+[26]İcmal!$B$19:$AG$49,ROW(Y29)+1,FALSE)</f>
        <v>0</v>
      </c>
      <c r="AI31" s="15" cm="1">
        <f t="array" ref="AI31">+HLOOKUP($A$1,+[27]İcmal!$B$19:$AG$49,ROW(Z29)+1,FALSE)</f>
        <v>0</v>
      </c>
      <c r="AJ31" s="15" cm="1">
        <f t="array" ref="AJ31">+HLOOKUP($A$1,+[28]İcmal!$B$19:$AG$49,ROW(AA29)+1,FALSE)</f>
        <v>0</v>
      </c>
      <c r="AK31" s="15" cm="1">
        <f t="array" ref="AK31">+HLOOKUP($A$1,+[29]İcmal!$B$19:$AG$49,ROW(AB29)+1,FALSE)</f>
        <v>0</v>
      </c>
      <c r="AL31" s="15"/>
      <c r="AM31" s="15"/>
      <c r="AN31" s="15"/>
      <c r="AO31" s="15"/>
      <c r="AP31" s="15"/>
      <c r="AQ31" s="15"/>
      <c r="AR31" s="15"/>
      <c r="AS31" s="15"/>
      <c r="AT31" s="13"/>
    </row>
    <row r="32" spans="1:46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+HLOOKUP($A$1,+[2]İcmal!$B$19:$AG$49,ROW(A30)+1,FALSE)</f>
        <v>0</v>
      </c>
      <c r="K32" s="15" cm="1">
        <f t="array" ref="K32">+HLOOKUP($A$1,+[3]İcmal!$B$19:$AG$49,ROW(B30)+1,FALSE)</f>
        <v>0</v>
      </c>
      <c r="L32" s="15" cm="1">
        <f t="array" ref="L32">+HLOOKUP($A$1,+[4]İcmal!$B$19:$AG$49,ROW(C30)+1,FALSE)</f>
        <v>0</v>
      </c>
      <c r="M32" s="15" cm="1">
        <f t="array" ref="M32">+HLOOKUP($A$1,+[5]İcmal!$B$19:$AG$49,ROW(D30)+1,FALSE)</f>
        <v>0</v>
      </c>
      <c r="N32" s="15" cm="1">
        <f t="array" ref="N32">+HLOOKUP($A$1,+[6]İcmal!$B$19:$AG$49,ROW(E30)+1,FALSE)</f>
        <v>0</v>
      </c>
      <c r="O32" s="15" cm="1">
        <f t="array" ref="O32">+HLOOKUP($A$1,+[7]İcmal!$B$19:$AG$49,ROW(F30)+1,FALSE)</f>
        <v>0</v>
      </c>
      <c r="P32" s="15" cm="1">
        <f t="array" ref="P32">+HLOOKUP($A$1,+[8]İcmal!$B$19:$AG$49,ROW(G30)+1,FALSE)</f>
        <v>0</v>
      </c>
      <c r="Q32" s="15" cm="1">
        <f t="array" ref="Q32">+HLOOKUP($A$1,+[9]İcmal!$B$19:$AG$49,ROW(H30)+1,FALSE)</f>
        <v>0</v>
      </c>
      <c r="R32" s="15" cm="1">
        <f t="array" ref="R32">+HLOOKUP($A$1,+[10]İcmal!$B$19:$AG$49,ROW(I30)+1,FALSE)</f>
        <v>0</v>
      </c>
      <c r="S32" s="15" cm="1">
        <f t="array" ref="S32">+HLOOKUP($A$1,+[11]İcmal!$B$19:$AG$49,ROW(J30)+1,FALSE)</f>
        <v>0</v>
      </c>
      <c r="T32" s="15" cm="1">
        <f t="array" ref="T32">+HLOOKUP($A$1,+[12]İcmal!$B$19:$AG$49,ROW(K30)+1,FALSE)</f>
        <v>0</v>
      </c>
      <c r="U32" s="15" cm="1">
        <f t="array" ref="U32">+HLOOKUP($A$1,+[13]İcmal!$B$19:$AG$49,ROW(L30)+1,FALSE)</f>
        <v>0</v>
      </c>
      <c r="V32" s="15" cm="1">
        <f t="array" ref="V32">+HLOOKUP($A$1,+[14]İcmal!$B$19:$AG$49,ROW(M30)+1,FALSE)</f>
        <v>0</v>
      </c>
      <c r="W32" s="15" cm="1">
        <f t="array" ref="W32">+HLOOKUP($A$1,+[15]İcmal!$B$19:$AG$49,ROW(N30)+1,FALSE)</f>
        <v>0</v>
      </c>
      <c r="X32" s="15" cm="1">
        <f t="array" ref="X32">+HLOOKUP($A$1,+[16]İcmal!$B$19:$AG$49,ROW(O30)+1,FALSE)</f>
        <v>0</v>
      </c>
      <c r="Y32" s="15" cm="1">
        <f t="array" ref="Y32">+HLOOKUP($A$1,+[17]İcmal!$B$19:$AG$49,ROW(P30)+1,FALSE)</f>
        <v>0</v>
      </c>
      <c r="Z32" s="15" cm="1">
        <f t="array" ref="Z32">+HLOOKUP($A$1,+[18]İcmal!$B$19:$AG$49,ROW(Q30)+1,FALSE)</f>
        <v>0</v>
      </c>
      <c r="AA32" s="15" cm="1">
        <f t="array" ref="AA32">+HLOOKUP($A$1,+[19]İcmal!$B$19:$AG$49,ROW(R30)+1,FALSE)</f>
        <v>0</v>
      </c>
      <c r="AB32" s="15" cm="1">
        <f t="array" ref="AB32">+HLOOKUP($A$1,+[20]İcmal!$B$19:$AG$49,ROW(S30)+1,FALSE)</f>
        <v>0</v>
      </c>
      <c r="AC32" s="15" cm="1">
        <f t="array" ref="AC32">+HLOOKUP($A$1,+[21]İcmal!$B$19:$AG$49,ROW(T30)+1,FALSE)</f>
        <v>0</v>
      </c>
      <c r="AD32" s="15" cm="1">
        <f t="array" ref="AD32">+HLOOKUP($A$1,+[22]İcmal!$B$19:$AG$49,ROW(U30)+1,FALSE)</f>
        <v>0</v>
      </c>
      <c r="AE32" s="15" cm="1">
        <f t="array" ref="AE32">+HLOOKUP($A$1,+[23]İcmal!$B$19:$AG$49,ROW(V30)+1,FALSE)</f>
        <v>0</v>
      </c>
      <c r="AF32" s="15" cm="1">
        <f t="array" ref="AF32">+HLOOKUP($A$1,+[24]İcmal!$B$19:$AG$49,ROW(W30)+1,FALSE)</f>
        <v>0</v>
      </c>
      <c r="AG32" s="15" cm="1">
        <f t="array" ref="AG32">+HLOOKUP($A$1,+[25]İcmal!$B$19:$AG$49,ROW(X30)+1,FALSE)</f>
        <v>0</v>
      </c>
      <c r="AH32" s="15" cm="1">
        <f t="array" ref="AH32">+HLOOKUP($A$1,+[26]İcmal!$B$19:$AG$49,ROW(Y30)+1,FALSE)</f>
        <v>0</v>
      </c>
      <c r="AI32" s="15" cm="1">
        <f t="array" ref="AI32">+HLOOKUP($A$1,+[27]İcmal!$B$19:$AG$49,ROW(Z30)+1,FALSE)</f>
        <v>0</v>
      </c>
      <c r="AJ32" s="15" cm="1">
        <f t="array" ref="AJ32">+HLOOKUP($A$1,+[28]İcmal!$B$19:$AG$49,ROW(AA30)+1,FALSE)</f>
        <v>0</v>
      </c>
      <c r="AK32" s="15" cm="1">
        <f t="array" ref="AK32">+HLOOKUP($A$1,+[29]İcmal!$B$19:$AG$49,ROW(AB30)+1,FALSE)</f>
        <v>0</v>
      </c>
      <c r="AL32" s="15"/>
      <c r="AM32" s="15"/>
      <c r="AN32" s="15"/>
      <c r="AO32" s="15"/>
      <c r="AP32" s="15"/>
      <c r="AQ32" s="15"/>
      <c r="AR32" s="15"/>
      <c r="AS32" s="15"/>
      <c r="AT32" s="14"/>
    </row>
    <row r="33" spans="7:45" x14ac:dyDescent="0.3">
      <c r="I33" s="16">
        <f>SUM(I3:I32)</f>
        <v>98792223.166000009</v>
      </c>
      <c r="J33" s="16">
        <f t="shared" ref="J33:AS33" si="3">+SUMPRODUCT(J3:J32,$F$3:$F$32)</f>
        <v>280000</v>
      </c>
      <c r="K33" s="16">
        <f t="shared" si="3"/>
        <v>1159449.253</v>
      </c>
      <c r="L33" s="16">
        <f t="shared" si="3"/>
        <v>0</v>
      </c>
      <c r="M33" s="16">
        <f t="shared" si="3"/>
        <v>0</v>
      </c>
      <c r="N33" s="16">
        <f t="shared" si="3"/>
        <v>24879657.739</v>
      </c>
      <c r="O33" s="16">
        <f t="shared" si="3"/>
        <v>11406813.267000001</v>
      </c>
      <c r="P33" s="16">
        <f t="shared" si="3"/>
        <v>0</v>
      </c>
      <c r="Q33" s="16">
        <f t="shared" si="3"/>
        <v>0</v>
      </c>
      <c r="R33" s="16">
        <f t="shared" si="3"/>
        <v>24540984.544</v>
      </c>
      <c r="S33" s="16">
        <f t="shared" si="3"/>
        <v>15957308.799999999</v>
      </c>
      <c r="T33" s="16">
        <f t="shared" si="3"/>
        <v>0</v>
      </c>
      <c r="U33" s="16">
        <f t="shared" si="3"/>
        <v>0</v>
      </c>
      <c r="V33" s="16">
        <f t="shared" si="3"/>
        <v>0</v>
      </c>
      <c r="W33" s="16">
        <f t="shared" si="3"/>
        <v>2406143.7500000005</v>
      </c>
      <c r="X33" s="16">
        <f t="shared" si="3"/>
        <v>0</v>
      </c>
      <c r="Y33" s="16">
        <f t="shared" si="3"/>
        <v>0</v>
      </c>
      <c r="Z33" s="16">
        <f t="shared" si="3"/>
        <v>0</v>
      </c>
      <c r="AA33" s="16">
        <f t="shared" si="3"/>
        <v>0</v>
      </c>
      <c r="AB33" s="16">
        <f t="shared" si="3"/>
        <v>6988012.585</v>
      </c>
      <c r="AC33" s="16">
        <f t="shared" si="3"/>
        <v>0</v>
      </c>
      <c r="AD33" s="16">
        <f t="shared" si="3"/>
        <v>0</v>
      </c>
      <c r="AE33" s="16">
        <f t="shared" si="3"/>
        <v>0</v>
      </c>
      <c r="AF33" s="16">
        <f t="shared" si="3"/>
        <v>4848760.9340000004</v>
      </c>
      <c r="AG33" s="16">
        <f t="shared" si="3"/>
        <v>0</v>
      </c>
      <c r="AH33" s="16">
        <f t="shared" si="3"/>
        <v>6325092.2939999988</v>
      </c>
      <c r="AI33" s="16">
        <f t="shared" si="3"/>
        <v>0</v>
      </c>
      <c r="AJ33" s="16">
        <f t="shared" si="3"/>
        <v>0</v>
      </c>
      <c r="AK33" s="16">
        <f t="shared" si="3"/>
        <v>0</v>
      </c>
      <c r="AL33" s="16"/>
      <c r="AM33" s="16"/>
      <c r="AN33" s="16"/>
      <c r="AO33" s="16"/>
      <c r="AP33" s="16"/>
      <c r="AQ33" s="16"/>
      <c r="AR33" s="16"/>
      <c r="AS33" s="16">
        <f t="shared" si="3"/>
        <v>0</v>
      </c>
    </row>
    <row r="34" spans="7:45" x14ac:dyDescent="0.3">
      <c r="H34" s="52"/>
    </row>
    <row r="35" spans="7:45" x14ac:dyDescent="0.3">
      <c r="G35" s="16"/>
      <c r="H35" s="16"/>
      <c r="I35" s="16"/>
    </row>
    <row r="36" spans="7:45" x14ac:dyDescent="0.3">
      <c r="I36" s="16"/>
      <c r="K36" s="49"/>
      <c r="N36" s="49"/>
      <c r="O36" s="49"/>
      <c r="P36" s="49"/>
      <c r="Q36" s="49"/>
    </row>
    <row r="37" spans="7:45" x14ac:dyDescent="0.3"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7:45" x14ac:dyDescent="0.3">
      <c r="I38" s="16"/>
    </row>
    <row r="39" spans="7:45" x14ac:dyDescent="0.3">
      <c r="I39" s="16"/>
    </row>
    <row r="40" spans="7:45" x14ac:dyDescent="0.3">
      <c r="I40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BAFE-7538-4FE5-BBAF-4A05820205DD}">
  <sheetPr>
    <tabColor rgb="FFFF0000"/>
  </sheetPr>
  <dimension ref="A1:AT40"/>
  <sheetViews>
    <sheetView zoomScale="70" zoomScaleNormal="70" workbookViewId="0">
      <selection activeCell="A2" sqref="A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7" width="19.33203125" bestFit="1" customWidth="1"/>
    <col min="18" max="25" width="19.21875" bestFit="1" customWidth="1"/>
    <col min="26" max="26" width="46.77734375" bestFit="1" customWidth="1"/>
    <col min="27" max="27" width="48.88671875" bestFit="1" customWidth="1"/>
    <col min="28" max="28" width="57.109375" bestFit="1" customWidth="1"/>
    <col min="29" max="29" width="56.77734375" bestFit="1" customWidth="1"/>
    <col min="30" max="30" width="57.44140625" bestFit="1" customWidth="1"/>
    <col min="31" max="31" width="57" customWidth="1"/>
    <col min="32" max="32" width="57.109375" bestFit="1" customWidth="1"/>
    <col min="33" max="33" width="46.33203125" bestFit="1" customWidth="1"/>
    <col min="34" max="37" width="46.77734375" bestFit="1" customWidth="1"/>
    <col min="38" max="44" width="19.88671875" customWidth="1"/>
    <col min="45" max="45" width="19.5546875" bestFit="1" customWidth="1"/>
    <col min="46" max="46" width="2.21875" customWidth="1"/>
  </cols>
  <sheetData>
    <row r="1" spans="1:46" ht="15" thickBot="1" x14ac:dyDescent="0.35">
      <c r="A1" s="17" t="s">
        <v>111</v>
      </c>
    </row>
    <row r="2" spans="1:46" ht="27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54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3" t="s">
        <v>126</v>
      </c>
      <c r="AG2" s="3" t="s">
        <v>143</v>
      </c>
      <c r="AH2" s="3" t="s">
        <v>144</v>
      </c>
      <c r="AI2" s="3" t="s">
        <v>138</v>
      </c>
      <c r="AJ2" s="3" t="s">
        <v>125</v>
      </c>
      <c r="AK2" s="3" t="s">
        <v>133</v>
      </c>
      <c r="AL2" s="3"/>
      <c r="AM2" s="3"/>
      <c r="AN2" s="3"/>
      <c r="AO2" s="3"/>
      <c r="AP2" s="3"/>
      <c r="AQ2" s="3"/>
      <c r="AR2" s="3"/>
      <c r="AS2" s="3"/>
      <c r="AT2" s="12"/>
    </row>
    <row r="3" spans="1:46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SUM(J3:AT3)</f>
        <v>4064.9949999999999</v>
      </c>
      <c r="I3" s="9">
        <f>+F3*H3</f>
        <v>20629849.625</v>
      </c>
      <c r="J3" s="15" cm="1">
        <f t="array" ref="J3">+HLOOKUP($A$1,+[2]İcmal!$B$19:$AG$49,ROW(A1)+1,FALSE)</f>
        <v>10.138</v>
      </c>
      <c r="K3" s="15" cm="1">
        <f t="array" ref="K3">+HLOOKUP($A$1,+[3]İcmal!$B$19:$AG$49,ROW(B1)+1,FALSE)</f>
        <v>468.96</v>
      </c>
      <c r="L3" s="15" cm="1">
        <f t="array" ref="L3">+HLOOKUP($A$1,+[4]İcmal!$B$19:$AG$49,ROW(C1)+1,FALSE)</f>
        <v>0</v>
      </c>
      <c r="M3" s="15" cm="1">
        <f t="array" ref="M3">+HLOOKUP($A$1,+[5]İcmal!$B$19:$AG$49,ROW(D1)+1,FALSE)</f>
        <v>0</v>
      </c>
      <c r="N3" s="15" cm="1">
        <f t="array" ref="N3">+HLOOKUP($A$1,+[6]İcmal!$B$19:$AG$49,ROW(E1)+1,FALSE)</f>
        <v>882.57399999999984</v>
      </c>
      <c r="O3" s="15" cm="1">
        <f t="array" ref="O3">+HLOOKUP($A$1,+[7]İcmal!$B$19:$AG$49,ROW(F1)+1,FALSE)</f>
        <v>741.8130000000001</v>
      </c>
      <c r="P3" s="15" cm="1">
        <f t="array" ref="P3">+HLOOKUP($A$1,+[8]İcmal!$B$19:$AG$49,ROW(G1)+1,FALSE)</f>
        <v>0</v>
      </c>
      <c r="Q3" s="15" cm="1">
        <f t="array" ref="Q3">+HLOOKUP($A$1,+[9]İcmal!$B$19:$AG$49,ROW(H1)+1,FALSE)</f>
        <v>0</v>
      </c>
      <c r="R3" s="15" cm="1">
        <f t="array" ref="R3">+HLOOKUP($A$1,+[10]İcmal!$B$19:$AG$49,ROW(I1)+1,FALSE)</f>
        <v>863.46400000000006</v>
      </c>
      <c r="S3" s="15" cm="1">
        <f t="array" ref="S3">+HLOOKUP($A$1,+[11]İcmal!$B$19:$AG$49,ROW(J1)+1,FALSE)</f>
        <v>441.48500000000001</v>
      </c>
      <c r="T3" s="15" cm="1">
        <f t="array" ref="T3">+HLOOKUP($A$1,+[12]İcmal!$B$19:$AG$49,ROW(K1)+1,FALSE)</f>
        <v>0</v>
      </c>
      <c r="U3" s="15" cm="1">
        <f t="array" ref="U3">+HLOOKUP($A$1,+[13]İcmal!$B$19:$AG$49,ROW(L1)+1,FALSE)</f>
        <v>0</v>
      </c>
      <c r="V3" s="15" cm="1">
        <f t="array" ref="V3">+HLOOKUP($A$1,+[14]İcmal!$B$19:$AG$49,ROW(M1)+1,FALSE)</f>
        <v>9.5180000000000007</v>
      </c>
      <c r="W3" s="15" cm="1">
        <f t="array" ref="W3">+HLOOKUP($A$1,+[15]İcmal!$B$19:$AG$49,ROW(N1)+1,FALSE)</f>
        <v>647.04300000000001</v>
      </c>
      <c r="X3" s="15" cm="1">
        <f t="array" ref="X3">+HLOOKUP($A$1,+[16]İcmal!$B$19:$AG$49,ROW(O1)+1,FALSE)</f>
        <v>0</v>
      </c>
      <c r="Y3" s="15" cm="1">
        <f t="array" ref="Y3">+HLOOKUP($A$1,+[17]İcmal!$B$19:$AG$49,ROW(P1)+1,FALSE)</f>
        <v>0</v>
      </c>
      <c r="Z3" s="15" cm="1">
        <f t="array" ref="Z3">+HLOOKUP($A$1,+[18]İcmal!$B$19:$AG$49,ROW(Q1)+1,FALSE)</f>
        <v>0</v>
      </c>
      <c r="AA3" s="15" cm="1">
        <f t="array" ref="AA3">+HLOOKUP($A$1,+[19]İcmal!$B$19:$AG$49,ROW(R1)+1,FALSE)</f>
        <v>0</v>
      </c>
      <c r="AB3" s="15" cm="1">
        <f t="array" ref="AB3">+HLOOKUP($A$1,+[20]İcmal!$B$19:$AG$49,ROW(S1)+1,FALSE)</f>
        <v>0</v>
      </c>
      <c r="AC3" s="15" cm="1">
        <f t="array" ref="AC3">+HLOOKUP($A$1,+[21]İcmal!$B$19:$AG$49,ROW(T1)+1,FALSE)</f>
        <v>0</v>
      </c>
      <c r="AD3" s="15" cm="1">
        <f t="array" ref="AD3">+HLOOKUP($A$1,+[22]İcmal!$B$19:$AG$49,ROW(U1)+1,FALSE)</f>
        <v>0</v>
      </c>
      <c r="AE3" s="15" cm="1">
        <f t="array" ref="AE3">+HLOOKUP($A$1,+[23]İcmal!$B$19:$AG$49,ROW(V1)+1,FALSE)</f>
        <v>0</v>
      </c>
      <c r="AF3" s="15" cm="1">
        <f t="array" ref="AF3">+HLOOKUP($A$1,+[24]İcmal!$B$19:$AG$49,ROW(W1)+1,FALSE)</f>
        <v>0</v>
      </c>
      <c r="AG3" s="15" cm="1">
        <f t="array" ref="AG3">+HLOOKUP($A$1,+[25]İcmal!$B$19:$AG$49,ROW(X1)+1,FALSE)</f>
        <v>0</v>
      </c>
      <c r="AH3" s="15" cm="1">
        <f t="array" ref="AH3">+HLOOKUP($A$1,+[26]İcmal!$B$19:$AG$49,ROW(Y1)+1,FALSE)</f>
        <v>0</v>
      </c>
      <c r="AI3" s="15" cm="1">
        <f t="array" ref="AI3">+HLOOKUP($A$1,+[27]İcmal!$B$19:$AG$49,ROW(Z1)+1,FALSE)</f>
        <v>0</v>
      </c>
      <c r="AJ3" s="15" cm="1">
        <f t="array" ref="AJ3">+HLOOKUP($A$1,+[28]İcmal!$B$19:$AG$49,ROW(AA1)+1,FALSE)</f>
        <v>0</v>
      </c>
      <c r="AK3" s="15" cm="1">
        <f t="array" ref="AK3">+HLOOKUP($A$1,+[29]İcmal!$B$19:$AG$49,ROW(AB1)+1,FALSE)</f>
        <v>0</v>
      </c>
      <c r="AL3" s="15"/>
      <c r="AM3" s="15"/>
      <c r="AN3" s="15"/>
      <c r="AO3" s="15"/>
      <c r="AP3" s="15"/>
      <c r="AQ3" s="15"/>
      <c r="AR3" s="15"/>
      <c r="AS3" s="15"/>
      <c r="AT3" s="13"/>
    </row>
    <row r="4" spans="1:46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+HLOOKUP($A$1,+[2]İcmal!$B$19:$AG$49,ROW(A2)+1,FALSE)</f>
        <v>0</v>
      </c>
      <c r="K4" s="15" cm="1">
        <f t="array" ref="K4">+HLOOKUP($A$1,+[3]İcmal!$B$19:$AG$49,ROW(B2)+1,FALSE)</f>
        <v>0</v>
      </c>
      <c r="L4" s="15" cm="1">
        <f t="array" ref="L4">+HLOOKUP($A$1,+[4]İcmal!$B$19:$AG$49,ROW(C2)+1,FALSE)</f>
        <v>0</v>
      </c>
      <c r="M4" s="15" cm="1">
        <f t="array" ref="M4">+HLOOKUP($A$1,+[5]İcmal!$B$19:$AG$49,ROW(D2)+1,FALSE)</f>
        <v>0</v>
      </c>
      <c r="N4" s="15" cm="1">
        <f t="array" ref="N4">+HLOOKUP($A$1,+[6]İcmal!$B$19:$AG$49,ROW(E2)+1,FALSE)</f>
        <v>0</v>
      </c>
      <c r="O4" s="15" cm="1">
        <f t="array" ref="O4">+HLOOKUP($A$1,+[7]İcmal!$B$19:$AG$49,ROW(F2)+1,FALSE)</f>
        <v>0</v>
      </c>
      <c r="P4" s="15" cm="1">
        <f t="array" ref="P4">+HLOOKUP($A$1,+[8]İcmal!$B$19:$AG$49,ROW(G2)+1,FALSE)</f>
        <v>0</v>
      </c>
      <c r="Q4" s="15" cm="1">
        <f t="array" ref="Q4">+HLOOKUP($A$1,+[9]İcmal!$B$19:$AG$49,ROW(H2)+1,FALSE)</f>
        <v>0</v>
      </c>
      <c r="R4" s="15" cm="1">
        <f t="array" ref="R4">+HLOOKUP($A$1,+[10]İcmal!$B$19:$AG$49,ROW(I2)+1,FALSE)</f>
        <v>0</v>
      </c>
      <c r="S4" s="15" cm="1">
        <f t="array" ref="S4">+HLOOKUP($A$1,+[11]İcmal!$B$19:$AG$49,ROW(J2)+1,FALSE)</f>
        <v>0</v>
      </c>
      <c r="T4" s="15" cm="1">
        <f t="array" ref="T4">+HLOOKUP($A$1,+[12]İcmal!$B$19:$AG$49,ROW(K2)+1,FALSE)</f>
        <v>0</v>
      </c>
      <c r="U4" s="15" cm="1">
        <f t="array" ref="U4">+HLOOKUP($A$1,+[13]İcmal!$B$19:$AG$49,ROW(L2)+1,FALSE)</f>
        <v>0</v>
      </c>
      <c r="V4" s="15" cm="1">
        <f t="array" ref="V4">+HLOOKUP($A$1,+[14]İcmal!$B$19:$AG$49,ROW(M2)+1,FALSE)</f>
        <v>0</v>
      </c>
      <c r="W4" s="15" cm="1">
        <f t="array" ref="W4">+HLOOKUP($A$1,+[15]İcmal!$B$19:$AG$49,ROW(N2)+1,FALSE)</f>
        <v>0</v>
      </c>
      <c r="X4" s="15" cm="1">
        <f t="array" ref="X4">+HLOOKUP($A$1,+[16]İcmal!$B$19:$AG$49,ROW(O2)+1,FALSE)</f>
        <v>0</v>
      </c>
      <c r="Y4" s="15" cm="1">
        <f t="array" ref="Y4">+HLOOKUP($A$1,+[17]İcmal!$B$19:$AG$49,ROW(P2)+1,FALSE)</f>
        <v>0</v>
      </c>
      <c r="Z4" s="15" cm="1">
        <f t="array" ref="Z4">+HLOOKUP($A$1,+[18]İcmal!$B$19:$AG$49,ROW(Q2)+1,FALSE)</f>
        <v>0</v>
      </c>
      <c r="AA4" s="15" cm="1">
        <f t="array" ref="AA4">+HLOOKUP($A$1,+[19]İcmal!$B$19:$AG$49,ROW(R2)+1,FALSE)</f>
        <v>0</v>
      </c>
      <c r="AB4" s="15" cm="1">
        <f t="array" ref="AB4">+HLOOKUP($A$1,+[20]İcmal!$B$19:$AG$49,ROW(S2)+1,FALSE)</f>
        <v>0</v>
      </c>
      <c r="AC4" s="15" cm="1">
        <f t="array" ref="AC4">+HLOOKUP($A$1,+[21]İcmal!$B$19:$AG$49,ROW(T2)+1,FALSE)</f>
        <v>0</v>
      </c>
      <c r="AD4" s="15" cm="1">
        <f t="array" ref="AD4">+HLOOKUP($A$1,+[22]İcmal!$B$19:$AG$49,ROW(U2)+1,FALSE)</f>
        <v>0</v>
      </c>
      <c r="AE4" s="15" cm="1">
        <f t="array" ref="AE4">+HLOOKUP($A$1,+[23]İcmal!$B$19:$AG$49,ROW(V2)+1,FALSE)</f>
        <v>0</v>
      </c>
      <c r="AF4" s="15" cm="1">
        <f t="array" ref="AF4">+HLOOKUP($A$1,+[24]İcmal!$B$19:$AG$49,ROW(W2)+1,FALSE)</f>
        <v>0</v>
      </c>
      <c r="AG4" s="15" cm="1">
        <f t="array" ref="AG4">+HLOOKUP($A$1,+[25]İcmal!$B$19:$AG$49,ROW(X2)+1,FALSE)</f>
        <v>0</v>
      </c>
      <c r="AH4" s="15" cm="1">
        <f t="array" ref="AH4">+HLOOKUP($A$1,+[26]İcmal!$B$19:$AG$49,ROW(Y2)+1,FALSE)</f>
        <v>0</v>
      </c>
      <c r="AI4" s="15" cm="1">
        <f t="array" ref="AI4">+HLOOKUP($A$1,+[27]İcmal!$B$19:$AG$49,ROW(Z2)+1,FALSE)</f>
        <v>0</v>
      </c>
      <c r="AJ4" s="15" cm="1">
        <f t="array" ref="AJ4">+HLOOKUP($A$1,+[28]İcmal!$B$19:$AG$49,ROW(AA2)+1,FALSE)</f>
        <v>0</v>
      </c>
      <c r="AK4" s="15" cm="1">
        <f t="array" ref="AK4">+HLOOKUP($A$1,+[29]İcmal!$B$19:$AG$49,ROW(AB2)+1,FALSE)</f>
        <v>0</v>
      </c>
      <c r="AL4" s="15"/>
      <c r="AM4" s="15"/>
      <c r="AN4" s="15"/>
      <c r="AO4" s="15"/>
      <c r="AP4" s="15"/>
      <c r="AQ4" s="15"/>
      <c r="AR4" s="15"/>
      <c r="AS4" s="15"/>
      <c r="AT4" s="13"/>
    </row>
    <row r="5" spans="1:46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+HLOOKUP($A$1,+[2]İcmal!$B$19:$AG$49,ROW(A3)+1,FALSE)</f>
        <v>0</v>
      </c>
      <c r="K5" s="15" cm="1">
        <f t="array" ref="K5">+HLOOKUP($A$1,+[3]İcmal!$B$19:$AG$49,ROW(B3)+1,FALSE)</f>
        <v>0</v>
      </c>
      <c r="L5" s="15" cm="1">
        <f t="array" ref="L5">+HLOOKUP($A$1,+[4]İcmal!$B$19:$AG$49,ROW(C3)+1,FALSE)</f>
        <v>0</v>
      </c>
      <c r="M5" s="15" cm="1">
        <f t="array" ref="M5">+HLOOKUP($A$1,+[5]İcmal!$B$19:$AG$49,ROW(D3)+1,FALSE)</f>
        <v>0</v>
      </c>
      <c r="N5" s="15" cm="1">
        <f t="array" ref="N5">+HLOOKUP($A$1,+[6]İcmal!$B$19:$AG$49,ROW(E3)+1,FALSE)</f>
        <v>0</v>
      </c>
      <c r="O5" s="15" cm="1">
        <f t="array" ref="O5">+HLOOKUP($A$1,+[7]İcmal!$B$19:$AG$49,ROW(F3)+1,FALSE)</f>
        <v>0</v>
      </c>
      <c r="P5" s="15" cm="1">
        <f t="array" ref="P5">+HLOOKUP($A$1,+[8]İcmal!$B$19:$AG$49,ROW(G3)+1,FALSE)</f>
        <v>0</v>
      </c>
      <c r="Q5" s="15" cm="1">
        <f t="array" ref="Q5">+HLOOKUP($A$1,+[9]İcmal!$B$19:$AG$49,ROW(H3)+1,FALSE)</f>
        <v>0</v>
      </c>
      <c r="R5" s="15" cm="1">
        <f t="array" ref="R5">+HLOOKUP($A$1,+[10]İcmal!$B$19:$AG$49,ROW(I3)+1,FALSE)</f>
        <v>0</v>
      </c>
      <c r="S5" s="15" cm="1">
        <f t="array" ref="S5">+HLOOKUP($A$1,+[11]İcmal!$B$19:$AG$49,ROW(J3)+1,FALSE)</f>
        <v>0</v>
      </c>
      <c r="T5" s="15" cm="1">
        <f t="array" ref="T5">+HLOOKUP($A$1,+[12]İcmal!$B$19:$AG$49,ROW(K3)+1,FALSE)</f>
        <v>0</v>
      </c>
      <c r="U5" s="15" cm="1">
        <f t="array" ref="U5">+HLOOKUP($A$1,+[13]İcmal!$B$19:$AG$49,ROW(L3)+1,FALSE)</f>
        <v>0</v>
      </c>
      <c r="V5" s="15" cm="1">
        <f t="array" ref="V5">+HLOOKUP($A$1,+[14]İcmal!$B$19:$AG$49,ROW(M3)+1,FALSE)</f>
        <v>0</v>
      </c>
      <c r="W5" s="15" cm="1">
        <f t="array" ref="W5">+HLOOKUP($A$1,+[15]İcmal!$B$19:$AG$49,ROW(N3)+1,FALSE)</f>
        <v>0</v>
      </c>
      <c r="X5" s="15" cm="1">
        <f t="array" ref="X5">+HLOOKUP($A$1,+[16]İcmal!$B$19:$AG$49,ROW(O3)+1,FALSE)</f>
        <v>0</v>
      </c>
      <c r="Y5" s="15" cm="1">
        <f t="array" ref="Y5">+HLOOKUP($A$1,+[17]İcmal!$B$19:$AG$49,ROW(P3)+1,FALSE)</f>
        <v>0</v>
      </c>
      <c r="Z5" s="15" cm="1">
        <f t="array" ref="Z5">+HLOOKUP($A$1,+[18]İcmal!$B$19:$AG$49,ROW(Q3)+1,FALSE)</f>
        <v>0</v>
      </c>
      <c r="AA5" s="15" cm="1">
        <f t="array" ref="AA5">+HLOOKUP($A$1,+[19]İcmal!$B$19:$AG$49,ROW(R3)+1,FALSE)</f>
        <v>0</v>
      </c>
      <c r="AB5" s="15" cm="1">
        <f t="array" ref="AB5">+HLOOKUP($A$1,+[20]İcmal!$B$19:$AG$49,ROW(S3)+1,FALSE)</f>
        <v>0</v>
      </c>
      <c r="AC5" s="15" cm="1">
        <f t="array" ref="AC5">+HLOOKUP($A$1,+[21]İcmal!$B$19:$AG$49,ROW(T3)+1,FALSE)</f>
        <v>0</v>
      </c>
      <c r="AD5" s="15" cm="1">
        <f t="array" ref="AD5">+HLOOKUP($A$1,+[22]İcmal!$B$19:$AG$49,ROW(U3)+1,FALSE)</f>
        <v>0</v>
      </c>
      <c r="AE5" s="15" cm="1">
        <f t="array" ref="AE5">+HLOOKUP($A$1,+[23]İcmal!$B$19:$AG$49,ROW(V3)+1,FALSE)</f>
        <v>0</v>
      </c>
      <c r="AF5" s="15" cm="1">
        <f t="array" ref="AF5">+HLOOKUP($A$1,+[24]İcmal!$B$19:$AG$49,ROW(W3)+1,FALSE)</f>
        <v>0</v>
      </c>
      <c r="AG5" s="15" cm="1">
        <f t="array" ref="AG5">+HLOOKUP($A$1,+[25]İcmal!$B$19:$AG$49,ROW(X3)+1,FALSE)</f>
        <v>0</v>
      </c>
      <c r="AH5" s="15" cm="1">
        <f t="array" ref="AH5">+HLOOKUP($A$1,+[26]İcmal!$B$19:$AG$49,ROW(Y3)+1,FALSE)</f>
        <v>0</v>
      </c>
      <c r="AI5" s="15" cm="1">
        <f t="array" ref="AI5">+HLOOKUP($A$1,+[27]İcmal!$B$19:$AG$49,ROW(Z3)+1,FALSE)</f>
        <v>0</v>
      </c>
      <c r="AJ5" s="15" cm="1">
        <f t="array" ref="AJ5">+HLOOKUP($A$1,+[28]İcmal!$B$19:$AG$49,ROW(AA3)+1,FALSE)</f>
        <v>0</v>
      </c>
      <c r="AK5" s="15" cm="1">
        <f t="array" ref="AK5">+HLOOKUP($A$1,+[29]İcmal!$B$19:$AG$49,ROW(AB3)+1,FALSE)</f>
        <v>0</v>
      </c>
      <c r="AL5" s="15"/>
      <c r="AM5" s="15"/>
      <c r="AN5" s="15"/>
      <c r="AO5" s="15"/>
      <c r="AP5" s="15"/>
      <c r="AQ5" s="15"/>
      <c r="AR5" s="15"/>
      <c r="AS5" s="15"/>
      <c r="AT5" s="13"/>
    </row>
    <row r="6" spans="1:46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868.80600000000004</v>
      </c>
      <c r="I6" s="9">
        <f t="shared" si="2"/>
        <v>13322271.204</v>
      </c>
      <c r="J6" s="15" cm="1">
        <f t="array" ref="J6">+HLOOKUP($A$1,+[2]İcmal!$B$19:$AG$49,ROW(A4)+1,FALSE)</f>
        <v>10.653999999999998</v>
      </c>
      <c r="K6" s="15" cm="1">
        <f t="array" ref="K6">+HLOOKUP($A$1,+[3]İcmal!$B$19:$AG$49,ROW(B4)+1,FALSE)</f>
        <v>95.316000000000017</v>
      </c>
      <c r="L6" s="15" cm="1">
        <f t="array" ref="L6">+HLOOKUP($A$1,+[4]İcmal!$B$19:$AG$49,ROW(C4)+1,FALSE)</f>
        <v>0</v>
      </c>
      <c r="M6" s="15" cm="1">
        <f t="array" ref="M6">+HLOOKUP($A$1,+[5]İcmal!$B$19:$AG$49,ROW(D4)+1,FALSE)</f>
        <v>0</v>
      </c>
      <c r="N6" s="15" cm="1">
        <f t="array" ref="N6">+HLOOKUP($A$1,+[6]İcmal!$B$19:$AG$49,ROW(E4)+1,FALSE)</f>
        <v>192.71600000000001</v>
      </c>
      <c r="O6" s="15" cm="1">
        <f t="array" ref="O6">+HLOOKUP($A$1,+[7]İcmal!$B$19:$AG$49,ROW(F4)+1,FALSE)</f>
        <v>147.089</v>
      </c>
      <c r="P6" s="15" cm="1">
        <f t="array" ref="P6">+HLOOKUP($A$1,+[8]İcmal!$B$19:$AG$49,ROW(G4)+1,FALSE)</f>
        <v>0</v>
      </c>
      <c r="Q6" s="15" cm="1">
        <f t="array" ref="Q6">+HLOOKUP($A$1,+[9]İcmal!$B$19:$AG$49,ROW(H4)+1,FALSE)</f>
        <v>0</v>
      </c>
      <c r="R6" s="15" cm="1">
        <f t="array" ref="R6">+HLOOKUP($A$1,+[10]İcmal!$B$19:$AG$49,ROW(I4)+1,FALSE)</f>
        <v>198.62800000000001</v>
      </c>
      <c r="S6" s="15" cm="1">
        <f t="array" ref="S6">+HLOOKUP($A$1,+[11]İcmal!$B$19:$AG$49,ROW(J4)+1,FALSE)</f>
        <v>84.65</v>
      </c>
      <c r="T6" s="15" cm="1">
        <f t="array" ref="T6">+HLOOKUP($A$1,+[12]İcmal!$B$19:$AG$49,ROW(K4)+1,FALSE)</f>
        <v>0</v>
      </c>
      <c r="U6" s="15" cm="1">
        <f t="array" ref="U6">+HLOOKUP($A$1,+[13]İcmal!$B$19:$AG$49,ROW(L4)+1,FALSE)</f>
        <v>0</v>
      </c>
      <c r="V6" s="15" cm="1">
        <f t="array" ref="V6">+HLOOKUP($A$1,+[14]İcmal!$B$19:$AG$49,ROW(M4)+1,FALSE)</f>
        <v>10.034000000000001</v>
      </c>
      <c r="W6" s="15" cm="1">
        <f t="array" ref="W6">+HLOOKUP($A$1,+[15]İcmal!$B$19:$AG$49,ROW(N4)+1,FALSE)</f>
        <v>129.71899999999999</v>
      </c>
      <c r="X6" s="15" cm="1">
        <f t="array" ref="X6">+HLOOKUP($A$1,+[16]İcmal!$B$19:$AG$49,ROW(O4)+1,FALSE)</f>
        <v>0</v>
      </c>
      <c r="Y6" s="15" cm="1">
        <f t="array" ref="Y6">+HLOOKUP($A$1,+[17]İcmal!$B$19:$AG$49,ROW(P4)+1,FALSE)</f>
        <v>0</v>
      </c>
      <c r="Z6" s="15" cm="1">
        <f t="array" ref="Z6">+HLOOKUP($A$1,+[18]İcmal!$B$19:$AG$49,ROW(Q4)+1,FALSE)</f>
        <v>0</v>
      </c>
      <c r="AA6" s="15" cm="1">
        <f t="array" ref="AA6">+HLOOKUP($A$1,+[19]İcmal!$B$19:$AG$49,ROW(R4)+1,FALSE)</f>
        <v>0</v>
      </c>
      <c r="AB6" s="15" cm="1">
        <f t="array" ref="AB6">+HLOOKUP($A$1,+[20]İcmal!$B$19:$AG$49,ROW(S4)+1,FALSE)</f>
        <v>0</v>
      </c>
      <c r="AC6" s="15" cm="1">
        <f t="array" ref="AC6">+HLOOKUP($A$1,+[21]İcmal!$B$19:$AG$49,ROW(T4)+1,FALSE)</f>
        <v>0</v>
      </c>
      <c r="AD6" s="15" cm="1">
        <f t="array" ref="AD6">+HLOOKUP($A$1,+[22]İcmal!$B$19:$AG$49,ROW(U4)+1,FALSE)</f>
        <v>0</v>
      </c>
      <c r="AE6" s="15" cm="1">
        <f t="array" ref="AE6">+HLOOKUP($A$1,+[23]İcmal!$B$19:$AG$49,ROW(V4)+1,FALSE)</f>
        <v>0</v>
      </c>
      <c r="AF6" s="15" cm="1">
        <f t="array" ref="AF6">+HLOOKUP($A$1,+[24]İcmal!$B$19:$AG$49,ROW(W4)+1,FALSE)</f>
        <v>0</v>
      </c>
      <c r="AG6" s="15" cm="1">
        <f t="array" ref="AG6">+HLOOKUP($A$1,+[25]İcmal!$B$19:$AG$49,ROW(X4)+1,FALSE)</f>
        <v>0</v>
      </c>
      <c r="AH6" s="15" cm="1">
        <f t="array" ref="AH6">+HLOOKUP($A$1,+[26]İcmal!$B$19:$AG$49,ROW(Y4)+1,FALSE)</f>
        <v>0</v>
      </c>
      <c r="AI6" s="15" cm="1">
        <f t="array" ref="AI6">+HLOOKUP($A$1,+[27]İcmal!$B$19:$AG$49,ROW(Z4)+1,FALSE)</f>
        <v>0</v>
      </c>
      <c r="AJ6" s="15" cm="1">
        <f t="array" ref="AJ6">+HLOOKUP($A$1,+[28]İcmal!$B$19:$AG$49,ROW(AA4)+1,FALSE)</f>
        <v>0</v>
      </c>
      <c r="AK6" s="15" cm="1">
        <f t="array" ref="AK6">+HLOOKUP($A$1,+[29]İcmal!$B$19:$AG$49,ROW(AB4)+1,FALSE)</f>
        <v>0</v>
      </c>
      <c r="AL6" s="15"/>
      <c r="AM6" s="15"/>
      <c r="AN6" s="15"/>
      <c r="AO6" s="15"/>
      <c r="AP6" s="15"/>
      <c r="AQ6" s="15"/>
      <c r="AR6" s="15"/>
      <c r="AS6" s="15"/>
      <c r="AT6" s="13"/>
    </row>
    <row r="7" spans="1:46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+HLOOKUP($A$1,+[2]İcmal!$B$19:$AG$49,ROW(A5)+1,FALSE)</f>
        <v>0</v>
      </c>
      <c r="K7" s="15" cm="1">
        <f t="array" ref="K7">+HLOOKUP($A$1,+[3]İcmal!$B$19:$AG$49,ROW(B5)+1,FALSE)</f>
        <v>0</v>
      </c>
      <c r="L7" s="15" cm="1">
        <f t="array" ref="L7">+HLOOKUP($A$1,+[4]İcmal!$B$19:$AG$49,ROW(C5)+1,FALSE)</f>
        <v>0</v>
      </c>
      <c r="M7" s="15" cm="1">
        <f t="array" ref="M7">+HLOOKUP($A$1,+[5]İcmal!$B$19:$AG$49,ROW(D5)+1,FALSE)</f>
        <v>0</v>
      </c>
      <c r="N7" s="15" cm="1">
        <f t="array" ref="N7">+HLOOKUP($A$1,+[6]İcmal!$B$19:$AG$49,ROW(E5)+1,FALSE)</f>
        <v>0</v>
      </c>
      <c r="O7" s="15" cm="1">
        <f t="array" ref="O7">+HLOOKUP($A$1,+[7]İcmal!$B$19:$AG$49,ROW(F5)+1,FALSE)</f>
        <v>0</v>
      </c>
      <c r="P7" s="15" cm="1">
        <f t="array" ref="P7">+HLOOKUP($A$1,+[8]İcmal!$B$19:$AG$49,ROW(G5)+1,FALSE)</f>
        <v>0</v>
      </c>
      <c r="Q7" s="15" cm="1">
        <f t="array" ref="Q7">+HLOOKUP($A$1,+[9]İcmal!$B$19:$AG$49,ROW(H5)+1,FALSE)</f>
        <v>0</v>
      </c>
      <c r="R7" s="15" cm="1">
        <f t="array" ref="R7">+HLOOKUP($A$1,+[10]İcmal!$B$19:$AG$49,ROW(I5)+1,FALSE)</f>
        <v>0</v>
      </c>
      <c r="S7" s="15" cm="1">
        <f t="array" ref="S7">+HLOOKUP($A$1,+[11]İcmal!$B$19:$AG$49,ROW(J5)+1,FALSE)</f>
        <v>0</v>
      </c>
      <c r="T7" s="15" cm="1">
        <f t="array" ref="T7">+HLOOKUP($A$1,+[12]İcmal!$B$19:$AG$49,ROW(K5)+1,FALSE)</f>
        <v>0</v>
      </c>
      <c r="U7" s="15" cm="1">
        <f t="array" ref="U7">+HLOOKUP($A$1,+[13]İcmal!$B$19:$AG$49,ROW(L5)+1,FALSE)</f>
        <v>0</v>
      </c>
      <c r="V7" s="15" cm="1">
        <f t="array" ref="V7">+HLOOKUP($A$1,+[14]İcmal!$B$19:$AG$49,ROW(M5)+1,FALSE)</f>
        <v>0</v>
      </c>
      <c r="W7" s="15" cm="1">
        <f t="array" ref="W7">+HLOOKUP($A$1,+[15]İcmal!$B$19:$AG$49,ROW(N5)+1,FALSE)</f>
        <v>0</v>
      </c>
      <c r="X7" s="15" cm="1">
        <f t="array" ref="X7">+HLOOKUP($A$1,+[16]İcmal!$B$19:$AG$49,ROW(O5)+1,FALSE)</f>
        <v>0</v>
      </c>
      <c r="Y7" s="15" cm="1">
        <f t="array" ref="Y7">+HLOOKUP($A$1,+[17]İcmal!$B$19:$AG$49,ROW(P5)+1,FALSE)</f>
        <v>0</v>
      </c>
      <c r="Z7" s="15" cm="1">
        <f t="array" ref="Z7">+HLOOKUP($A$1,+[18]İcmal!$B$19:$AG$49,ROW(Q5)+1,FALSE)</f>
        <v>0</v>
      </c>
      <c r="AA7" s="15" cm="1">
        <f t="array" ref="AA7">+HLOOKUP($A$1,+[19]İcmal!$B$19:$AG$49,ROW(R5)+1,FALSE)</f>
        <v>0</v>
      </c>
      <c r="AB7" s="15" cm="1">
        <f t="array" ref="AB7">+HLOOKUP($A$1,+[20]İcmal!$B$19:$AG$49,ROW(S5)+1,FALSE)</f>
        <v>0</v>
      </c>
      <c r="AC7" s="15" cm="1">
        <f t="array" ref="AC7">+HLOOKUP($A$1,+[21]İcmal!$B$19:$AG$49,ROW(T5)+1,FALSE)</f>
        <v>0</v>
      </c>
      <c r="AD7" s="15" cm="1">
        <f t="array" ref="AD7">+HLOOKUP($A$1,+[22]İcmal!$B$19:$AG$49,ROW(U5)+1,FALSE)</f>
        <v>0</v>
      </c>
      <c r="AE7" s="15" cm="1">
        <f t="array" ref="AE7">+HLOOKUP($A$1,+[23]İcmal!$B$19:$AG$49,ROW(V5)+1,FALSE)</f>
        <v>0</v>
      </c>
      <c r="AF7" s="15" cm="1">
        <f t="array" ref="AF7">+HLOOKUP($A$1,+[24]İcmal!$B$19:$AG$49,ROW(W5)+1,FALSE)</f>
        <v>0</v>
      </c>
      <c r="AG7" s="15" cm="1">
        <f t="array" ref="AG7">+HLOOKUP($A$1,+[25]İcmal!$B$19:$AG$49,ROW(X5)+1,FALSE)</f>
        <v>0</v>
      </c>
      <c r="AH7" s="15" cm="1">
        <f t="array" ref="AH7">+HLOOKUP($A$1,+[26]İcmal!$B$19:$AG$49,ROW(Y5)+1,FALSE)</f>
        <v>0</v>
      </c>
      <c r="AI7" s="15" cm="1">
        <f t="array" ref="AI7">+HLOOKUP($A$1,+[27]İcmal!$B$19:$AG$49,ROW(Z5)+1,FALSE)</f>
        <v>0</v>
      </c>
      <c r="AJ7" s="15" cm="1">
        <f t="array" ref="AJ7">+HLOOKUP($A$1,+[28]İcmal!$B$19:$AG$49,ROW(AA5)+1,FALSE)</f>
        <v>0</v>
      </c>
      <c r="AK7" s="15" cm="1">
        <f t="array" ref="AK7">+HLOOKUP($A$1,+[29]İcmal!$B$19:$AG$49,ROW(AB5)+1,FALSE)</f>
        <v>0</v>
      </c>
      <c r="AL7" s="15"/>
      <c r="AM7" s="15"/>
      <c r="AN7" s="15"/>
      <c r="AO7" s="15"/>
      <c r="AP7" s="15"/>
      <c r="AQ7" s="15"/>
      <c r="AR7" s="15"/>
      <c r="AS7" s="15"/>
      <c r="AT7" s="13"/>
    </row>
    <row r="8" spans="1:46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+HLOOKUP($A$1,+[2]İcmal!$B$19:$AG$49,ROW(A6)+1,FALSE)</f>
        <v>0</v>
      </c>
      <c r="K8" s="15" cm="1">
        <f t="array" ref="K8">+HLOOKUP($A$1,+[3]İcmal!$B$19:$AG$49,ROW(B6)+1,FALSE)</f>
        <v>0</v>
      </c>
      <c r="L8" s="15" cm="1">
        <f t="array" ref="L8">+HLOOKUP($A$1,+[4]İcmal!$B$19:$AG$49,ROW(C6)+1,FALSE)</f>
        <v>0</v>
      </c>
      <c r="M8" s="15" cm="1">
        <f t="array" ref="M8">+HLOOKUP($A$1,+[5]İcmal!$B$19:$AG$49,ROW(D6)+1,FALSE)</f>
        <v>0</v>
      </c>
      <c r="N8" s="15" cm="1">
        <f t="array" ref="N8">+HLOOKUP($A$1,+[6]İcmal!$B$19:$AG$49,ROW(E6)+1,FALSE)</f>
        <v>0</v>
      </c>
      <c r="O8" s="15" cm="1">
        <f t="array" ref="O8">+HLOOKUP($A$1,+[7]İcmal!$B$19:$AG$49,ROW(F6)+1,FALSE)</f>
        <v>0</v>
      </c>
      <c r="P8" s="15" cm="1">
        <f t="array" ref="P8">+HLOOKUP($A$1,+[8]İcmal!$B$19:$AG$49,ROW(G6)+1,FALSE)</f>
        <v>0</v>
      </c>
      <c r="Q8" s="15" cm="1">
        <f t="array" ref="Q8">+HLOOKUP($A$1,+[9]İcmal!$B$19:$AG$49,ROW(H6)+1,FALSE)</f>
        <v>0</v>
      </c>
      <c r="R8" s="15" cm="1">
        <f t="array" ref="R8">+HLOOKUP($A$1,+[10]İcmal!$B$19:$AG$49,ROW(I6)+1,FALSE)</f>
        <v>0</v>
      </c>
      <c r="S8" s="15" cm="1">
        <f t="array" ref="S8">+HLOOKUP($A$1,+[11]İcmal!$B$19:$AG$49,ROW(J6)+1,FALSE)</f>
        <v>0</v>
      </c>
      <c r="T8" s="15" cm="1">
        <f t="array" ref="T8">+HLOOKUP($A$1,+[12]İcmal!$B$19:$AG$49,ROW(K6)+1,FALSE)</f>
        <v>0</v>
      </c>
      <c r="U8" s="15" cm="1">
        <f t="array" ref="U8">+HLOOKUP($A$1,+[13]İcmal!$B$19:$AG$49,ROW(L6)+1,FALSE)</f>
        <v>0</v>
      </c>
      <c r="V8" s="15" cm="1">
        <f t="array" ref="V8">+HLOOKUP($A$1,+[14]İcmal!$B$19:$AG$49,ROW(M6)+1,FALSE)</f>
        <v>0</v>
      </c>
      <c r="W8" s="15" cm="1">
        <f t="array" ref="W8">+HLOOKUP($A$1,+[15]İcmal!$B$19:$AG$49,ROW(N6)+1,FALSE)</f>
        <v>0</v>
      </c>
      <c r="X8" s="15" cm="1">
        <f t="array" ref="X8">+HLOOKUP($A$1,+[16]İcmal!$B$19:$AG$49,ROW(O6)+1,FALSE)</f>
        <v>0</v>
      </c>
      <c r="Y8" s="15" cm="1">
        <f t="array" ref="Y8">+HLOOKUP($A$1,+[17]İcmal!$B$19:$AG$49,ROW(P6)+1,FALSE)</f>
        <v>0</v>
      </c>
      <c r="Z8" s="15" cm="1">
        <f t="array" ref="Z8">+HLOOKUP($A$1,+[18]İcmal!$B$19:$AG$49,ROW(Q6)+1,FALSE)</f>
        <v>0</v>
      </c>
      <c r="AA8" s="15" cm="1">
        <f t="array" ref="AA8">+HLOOKUP($A$1,+[19]İcmal!$B$19:$AG$49,ROW(R6)+1,FALSE)</f>
        <v>0</v>
      </c>
      <c r="AB8" s="15" cm="1">
        <f t="array" ref="AB8">+HLOOKUP($A$1,+[20]İcmal!$B$19:$AG$49,ROW(S6)+1,FALSE)</f>
        <v>0</v>
      </c>
      <c r="AC8" s="15" cm="1">
        <f t="array" ref="AC8">+HLOOKUP($A$1,+[21]İcmal!$B$19:$AG$49,ROW(T6)+1,FALSE)</f>
        <v>0</v>
      </c>
      <c r="AD8" s="15" cm="1">
        <f t="array" ref="AD8">+HLOOKUP($A$1,+[22]İcmal!$B$19:$AG$49,ROW(U6)+1,FALSE)</f>
        <v>0</v>
      </c>
      <c r="AE8" s="15" cm="1">
        <f t="array" ref="AE8">+HLOOKUP($A$1,+[23]İcmal!$B$19:$AG$49,ROW(V6)+1,FALSE)</f>
        <v>0</v>
      </c>
      <c r="AF8" s="15" cm="1">
        <f t="array" ref="AF8">+HLOOKUP($A$1,+[24]İcmal!$B$19:$AG$49,ROW(W6)+1,FALSE)</f>
        <v>0</v>
      </c>
      <c r="AG8" s="15" cm="1">
        <f t="array" ref="AG8">+HLOOKUP($A$1,+[25]İcmal!$B$19:$AG$49,ROW(X6)+1,FALSE)</f>
        <v>0</v>
      </c>
      <c r="AH8" s="15" cm="1">
        <f t="array" ref="AH8">+HLOOKUP($A$1,+[26]İcmal!$B$19:$AG$49,ROW(Y6)+1,FALSE)</f>
        <v>0</v>
      </c>
      <c r="AI8" s="15" cm="1">
        <f t="array" ref="AI8">+HLOOKUP($A$1,+[27]İcmal!$B$19:$AG$49,ROW(Z6)+1,FALSE)</f>
        <v>0</v>
      </c>
      <c r="AJ8" s="15" cm="1">
        <f t="array" ref="AJ8">+HLOOKUP($A$1,+[28]İcmal!$B$19:$AG$49,ROW(AA6)+1,FALSE)</f>
        <v>0</v>
      </c>
      <c r="AK8" s="15" cm="1">
        <f t="array" ref="AK8">+HLOOKUP($A$1,+[29]İcmal!$B$19:$AG$49,ROW(AB6)+1,FALSE)</f>
        <v>0</v>
      </c>
      <c r="AL8" s="15"/>
      <c r="AM8" s="15"/>
      <c r="AN8" s="15"/>
      <c r="AO8" s="15"/>
      <c r="AP8" s="15"/>
      <c r="AQ8" s="15"/>
      <c r="AR8" s="15"/>
      <c r="AS8" s="15"/>
      <c r="AT8" s="13"/>
    </row>
    <row r="9" spans="1:46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+HLOOKUP($A$1,+[2]İcmal!$B$19:$AG$49,ROW(A7)+1,FALSE)</f>
        <v>0</v>
      </c>
      <c r="K9" s="15" cm="1">
        <f t="array" ref="K9">+HLOOKUP($A$1,+[3]İcmal!$B$19:$AG$49,ROW(B7)+1,FALSE)</f>
        <v>0</v>
      </c>
      <c r="L9" s="15" cm="1">
        <f t="array" ref="L9">+HLOOKUP($A$1,+[4]İcmal!$B$19:$AG$49,ROW(C7)+1,FALSE)</f>
        <v>0</v>
      </c>
      <c r="M9" s="15" cm="1">
        <f t="array" ref="M9">+HLOOKUP($A$1,+[5]İcmal!$B$19:$AG$49,ROW(D7)+1,FALSE)</f>
        <v>0</v>
      </c>
      <c r="N9" s="15" cm="1">
        <f t="array" ref="N9">+HLOOKUP($A$1,+[6]İcmal!$B$19:$AG$49,ROW(E7)+1,FALSE)</f>
        <v>0</v>
      </c>
      <c r="O9" s="15" cm="1">
        <f t="array" ref="O9">+HLOOKUP($A$1,+[7]İcmal!$B$19:$AG$49,ROW(F7)+1,FALSE)</f>
        <v>0</v>
      </c>
      <c r="P9" s="15" cm="1">
        <f t="array" ref="P9">+HLOOKUP($A$1,+[8]İcmal!$B$19:$AG$49,ROW(G7)+1,FALSE)</f>
        <v>0</v>
      </c>
      <c r="Q9" s="15" cm="1">
        <f t="array" ref="Q9">+HLOOKUP($A$1,+[9]İcmal!$B$19:$AG$49,ROW(H7)+1,FALSE)</f>
        <v>0</v>
      </c>
      <c r="R9" s="15" cm="1">
        <f t="array" ref="R9">+HLOOKUP($A$1,+[10]İcmal!$B$19:$AG$49,ROW(I7)+1,FALSE)</f>
        <v>0</v>
      </c>
      <c r="S9" s="15" cm="1">
        <f t="array" ref="S9">+HLOOKUP($A$1,+[11]İcmal!$B$19:$AG$49,ROW(J7)+1,FALSE)</f>
        <v>0</v>
      </c>
      <c r="T9" s="15" cm="1">
        <f t="array" ref="T9">+HLOOKUP($A$1,+[12]İcmal!$B$19:$AG$49,ROW(K7)+1,FALSE)</f>
        <v>0</v>
      </c>
      <c r="U9" s="15" cm="1">
        <f t="array" ref="U9">+HLOOKUP($A$1,+[13]İcmal!$B$19:$AG$49,ROW(L7)+1,FALSE)</f>
        <v>0</v>
      </c>
      <c r="V9" s="15" cm="1">
        <f t="array" ref="V9">+HLOOKUP($A$1,+[14]İcmal!$B$19:$AG$49,ROW(M7)+1,FALSE)</f>
        <v>0</v>
      </c>
      <c r="W9" s="15" cm="1">
        <f t="array" ref="W9">+HLOOKUP($A$1,+[15]İcmal!$B$19:$AG$49,ROW(N7)+1,FALSE)</f>
        <v>0</v>
      </c>
      <c r="X9" s="15" cm="1">
        <f t="array" ref="X9">+HLOOKUP($A$1,+[16]İcmal!$B$19:$AG$49,ROW(O7)+1,FALSE)</f>
        <v>0</v>
      </c>
      <c r="Y9" s="15" cm="1">
        <f t="array" ref="Y9">+HLOOKUP($A$1,+[17]İcmal!$B$19:$AG$49,ROW(P7)+1,FALSE)</f>
        <v>0</v>
      </c>
      <c r="Z9" s="15" cm="1">
        <f t="array" ref="Z9">+HLOOKUP($A$1,+[18]İcmal!$B$19:$AG$49,ROW(Q7)+1,FALSE)</f>
        <v>0</v>
      </c>
      <c r="AA9" s="15" cm="1">
        <f t="array" ref="AA9">+HLOOKUP($A$1,+[19]İcmal!$B$19:$AG$49,ROW(R7)+1,FALSE)</f>
        <v>0</v>
      </c>
      <c r="AB9" s="15" cm="1">
        <f t="array" ref="AB9">+HLOOKUP($A$1,+[20]İcmal!$B$19:$AG$49,ROW(S7)+1,FALSE)</f>
        <v>0</v>
      </c>
      <c r="AC9" s="15" cm="1">
        <f t="array" ref="AC9">+HLOOKUP($A$1,+[21]İcmal!$B$19:$AG$49,ROW(T7)+1,FALSE)</f>
        <v>0</v>
      </c>
      <c r="AD9" s="15" cm="1">
        <f t="array" ref="AD9">+HLOOKUP($A$1,+[22]İcmal!$B$19:$AG$49,ROW(U7)+1,FALSE)</f>
        <v>0</v>
      </c>
      <c r="AE9" s="15" cm="1">
        <f t="array" ref="AE9">+HLOOKUP($A$1,+[23]İcmal!$B$19:$AG$49,ROW(V7)+1,FALSE)</f>
        <v>0</v>
      </c>
      <c r="AF9" s="15" cm="1">
        <f t="array" ref="AF9">+HLOOKUP($A$1,+[24]İcmal!$B$19:$AG$49,ROW(W7)+1,FALSE)</f>
        <v>0</v>
      </c>
      <c r="AG9" s="15" cm="1">
        <f t="array" ref="AG9">+HLOOKUP($A$1,+[25]İcmal!$B$19:$AG$49,ROW(X7)+1,FALSE)</f>
        <v>0</v>
      </c>
      <c r="AH9" s="15" cm="1">
        <f t="array" ref="AH9">+HLOOKUP($A$1,+[26]İcmal!$B$19:$AG$49,ROW(Y7)+1,FALSE)</f>
        <v>0</v>
      </c>
      <c r="AI9" s="15" cm="1">
        <f t="array" ref="AI9">+HLOOKUP($A$1,+[27]İcmal!$B$19:$AG$49,ROW(Z7)+1,FALSE)</f>
        <v>0</v>
      </c>
      <c r="AJ9" s="15" cm="1">
        <f t="array" ref="AJ9">+HLOOKUP($A$1,+[28]İcmal!$B$19:$AG$49,ROW(AA7)+1,FALSE)</f>
        <v>0</v>
      </c>
      <c r="AK9" s="15" cm="1">
        <f t="array" ref="AK9">+HLOOKUP($A$1,+[29]İcmal!$B$19:$AG$49,ROW(AB7)+1,FALSE)</f>
        <v>0</v>
      </c>
      <c r="AL9" s="15"/>
      <c r="AM9" s="15"/>
      <c r="AN9" s="15"/>
      <c r="AO9" s="15"/>
      <c r="AP9" s="15"/>
      <c r="AQ9" s="15"/>
      <c r="AR9" s="15"/>
      <c r="AS9" s="15"/>
      <c r="AT9" s="13"/>
    </row>
    <row r="10" spans="1:46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292</v>
      </c>
      <c r="I10" s="9">
        <f t="shared" si="2"/>
        <v>2336000</v>
      </c>
      <c r="J10" s="15" cm="1">
        <f t="array" ref="J10">+HLOOKUP($A$1,+[2]İcmal!$B$19:$AG$49,ROW(A8)+1,FALSE)</f>
        <v>0</v>
      </c>
      <c r="K10" s="15" cm="1">
        <f t="array" ref="K10">+HLOOKUP($A$1,+[3]İcmal!$B$19:$AG$49,ROW(B8)+1,FALSE)</f>
        <v>0</v>
      </c>
      <c r="L10" s="15" cm="1">
        <f t="array" ref="L10">+HLOOKUP($A$1,+[4]İcmal!$B$19:$AG$49,ROW(C8)+1,FALSE)</f>
        <v>0</v>
      </c>
      <c r="M10" s="15" cm="1">
        <f t="array" ref="M10">+HLOOKUP($A$1,+[5]İcmal!$B$19:$AG$49,ROW(D8)+1,FALSE)</f>
        <v>0</v>
      </c>
      <c r="N10" s="15" cm="1">
        <f t="array" ref="N10">+HLOOKUP($A$1,+[6]İcmal!$B$19:$AG$49,ROW(E8)+1,FALSE)</f>
        <v>139</v>
      </c>
      <c r="O10" s="15" cm="1">
        <f t="array" ref="O10">+HLOOKUP($A$1,+[7]İcmal!$B$19:$AG$49,ROW(F8)+1,FALSE)</f>
        <v>0</v>
      </c>
      <c r="P10" s="15" cm="1">
        <f t="array" ref="P10">+HLOOKUP($A$1,+[8]İcmal!$B$19:$AG$49,ROW(G8)+1,FALSE)</f>
        <v>0</v>
      </c>
      <c r="Q10" s="15" cm="1">
        <f t="array" ref="Q10">+HLOOKUP($A$1,+[9]İcmal!$B$19:$AG$49,ROW(H8)+1,FALSE)</f>
        <v>0</v>
      </c>
      <c r="R10" s="15" cm="1">
        <f t="array" ref="R10">+HLOOKUP($A$1,+[10]İcmal!$B$19:$AG$49,ROW(I8)+1,FALSE)</f>
        <v>135</v>
      </c>
      <c r="S10" s="15" cm="1">
        <f t="array" ref="S10">+HLOOKUP($A$1,+[11]İcmal!$B$19:$AG$49,ROW(J8)+1,FALSE)</f>
        <v>18</v>
      </c>
      <c r="T10" s="15" cm="1">
        <f t="array" ref="T10">+HLOOKUP($A$1,+[12]İcmal!$B$19:$AG$49,ROW(K8)+1,FALSE)</f>
        <v>0</v>
      </c>
      <c r="U10" s="15" cm="1">
        <f t="array" ref="U10">+HLOOKUP($A$1,+[13]İcmal!$B$19:$AG$49,ROW(L8)+1,FALSE)</f>
        <v>0</v>
      </c>
      <c r="V10" s="15" cm="1">
        <f t="array" ref="V10">+HLOOKUP($A$1,+[14]İcmal!$B$19:$AG$49,ROW(M8)+1,FALSE)</f>
        <v>0</v>
      </c>
      <c r="W10" s="15" cm="1">
        <f t="array" ref="W10">+HLOOKUP($A$1,+[15]İcmal!$B$19:$AG$49,ROW(N8)+1,FALSE)</f>
        <v>0</v>
      </c>
      <c r="X10" s="15" cm="1">
        <f t="array" ref="X10">+HLOOKUP($A$1,+[16]İcmal!$B$19:$AG$49,ROW(O8)+1,FALSE)</f>
        <v>0</v>
      </c>
      <c r="Y10" s="15" cm="1">
        <f t="array" ref="Y10">+HLOOKUP($A$1,+[17]İcmal!$B$19:$AG$49,ROW(P8)+1,FALSE)</f>
        <v>0</v>
      </c>
      <c r="Z10" s="15" cm="1">
        <f t="array" ref="Z10">+HLOOKUP($A$1,+[18]İcmal!$B$19:$AG$49,ROW(Q8)+1,FALSE)</f>
        <v>0</v>
      </c>
      <c r="AA10" s="15" cm="1">
        <f t="array" ref="AA10">+HLOOKUP($A$1,+[19]İcmal!$B$19:$AG$49,ROW(R8)+1,FALSE)</f>
        <v>0</v>
      </c>
      <c r="AB10" s="15" cm="1">
        <f t="array" ref="AB10">+HLOOKUP($A$1,+[20]İcmal!$B$19:$AG$49,ROW(S8)+1,FALSE)</f>
        <v>0</v>
      </c>
      <c r="AC10" s="15" cm="1">
        <f t="array" ref="AC10">+HLOOKUP($A$1,+[21]İcmal!$B$19:$AG$49,ROW(T8)+1,FALSE)</f>
        <v>0</v>
      </c>
      <c r="AD10" s="15" cm="1">
        <f t="array" ref="AD10">+HLOOKUP($A$1,+[22]İcmal!$B$19:$AG$49,ROW(U8)+1,FALSE)</f>
        <v>0</v>
      </c>
      <c r="AE10" s="15" cm="1">
        <f t="array" ref="AE10">+HLOOKUP($A$1,+[23]İcmal!$B$19:$AG$49,ROW(V8)+1,FALSE)</f>
        <v>0</v>
      </c>
      <c r="AF10" s="15" cm="1">
        <f t="array" ref="AF10">+HLOOKUP($A$1,+[24]İcmal!$B$19:$AG$49,ROW(W8)+1,FALSE)</f>
        <v>0</v>
      </c>
      <c r="AG10" s="15" cm="1">
        <f t="array" ref="AG10">+HLOOKUP($A$1,+[25]İcmal!$B$19:$AG$49,ROW(X8)+1,FALSE)</f>
        <v>0</v>
      </c>
      <c r="AH10" s="15" cm="1">
        <f t="array" ref="AH10">+HLOOKUP($A$1,+[26]İcmal!$B$19:$AG$49,ROW(Y8)+1,FALSE)</f>
        <v>0</v>
      </c>
      <c r="AI10" s="15" cm="1">
        <f t="array" ref="AI10">+HLOOKUP($A$1,+[27]İcmal!$B$19:$AG$49,ROW(Z8)+1,FALSE)</f>
        <v>0</v>
      </c>
      <c r="AJ10" s="15" cm="1">
        <f t="array" ref="AJ10">+HLOOKUP($A$1,+[28]İcmal!$B$19:$AG$49,ROW(AA8)+1,FALSE)</f>
        <v>0</v>
      </c>
      <c r="AK10" s="15" cm="1">
        <f t="array" ref="AK10">+HLOOKUP($A$1,+[29]İcmal!$B$19:$AG$49,ROW(AB8)+1,FALSE)</f>
        <v>0</v>
      </c>
      <c r="AL10" s="15"/>
      <c r="AM10" s="15"/>
      <c r="AN10" s="15"/>
      <c r="AO10" s="15"/>
      <c r="AP10" s="15"/>
      <c r="AQ10" s="15"/>
      <c r="AR10" s="15"/>
      <c r="AS10" s="15"/>
      <c r="AT10" s="13"/>
    </row>
    <row r="11" spans="1:46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+HLOOKUP($A$1,+[2]İcmal!$B$19:$AG$49,ROW(A9)+1,FALSE)</f>
        <v>0</v>
      </c>
      <c r="K11" s="15" cm="1">
        <f t="array" ref="K11">+HLOOKUP($A$1,+[3]İcmal!$B$19:$AG$49,ROW(B9)+1,FALSE)</f>
        <v>0</v>
      </c>
      <c r="L11" s="15" cm="1">
        <f t="array" ref="L11">+HLOOKUP($A$1,+[4]İcmal!$B$19:$AG$49,ROW(C9)+1,FALSE)</f>
        <v>0</v>
      </c>
      <c r="M11" s="15" cm="1">
        <f t="array" ref="M11">+HLOOKUP($A$1,+[5]İcmal!$B$19:$AG$49,ROW(D9)+1,FALSE)</f>
        <v>0</v>
      </c>
      <c r="N11" s="15" cm="1">
        <f t="array" ref="N11">+HLOOKUP($A$1,+[6]İcmal!$B$19:$AG$49,ROW(E9)+1,FALSE)</f>
        <v>0</v>
      </c>
      <c r="O11" s="15" cm="1">
        <f t="array" ref="O11">+HLOOKUP($A$1,+[7]İcmal!$B$19:$AG$49,ROW(F9)+1,FALSE)</f>
        <v>0</v>
      </c>
      <c r="P11" s="15" cm="1">
        <f t="array" ref="P11">+HLOOKUP($A$1,+[8]İcmal!$B$19:$AG$49,ROW(G9)+1,FALSE)</f>
        <v>0</v>
      </c>
      <c r="Q11" s="15" cm="1">
        <f t="array" ref="Q11">+HLOOKUP($A$1,+[9]İcmal!$B$19:$AG$49,ROW(H9)+1,FALSE)</f>
        <v>0</v>
      </c>
      <c r="R11" s="15" cm="1">
        <f t="array" ref="R11">+HLOOKUP($A$1,+[10]İcmal!$B$19:$AG$49,ROW(I9)+1,FALSE)</f>
        <v>0</v>
      </c>
      <c r="S11" s="15" cm="1">
        <f t="array" ref="S11">+HLOOKUP($A$1,+[11]İcmal!$B$19:$AG$49,ROW(J9)+1,FALSE)</f>
        <v>0</v>
      </c>
      <c r="T11" s="15" cm="1">
        <f t="array" ref="T11">+HLOOKUP($A$1,+[12]İcmal!$B$19:$AG$49,ROW(K9)+1,FALSE)</f>
        <v>0</v>
      </c>
      <c r="U11" s="15" cm="1">
        <f t="array" ref="U11">+HLOOKUP($A$1,+[13]İcmal!$B$19:$AG$49,ROW(L9)+1,FALSE)</f>
        <v>0</v>
      </c>
      <c r="V11" s="15" cm="1">
        <f t="array" ref="V11">+HLOOKUP($A$1,+[14]İcmal!$B$19:$AG$49,ROW(M9)+1,FALSE)</f>
        <v>0</v>
      </c>
      <c r="W11" s="15" cm="1">
        <f t="array" ref="W11">+HLOOKUP($A$1,+[15]İcmal!$B$19:$AG$49,ROW(N9)+1,FALSE)</f>
        <v>0</v>
      </c>
      <c r="X11" s="15" cm="1">
        <f t="array" ref="X11">+HLOOKUP($A$1,+[16]İcmal!$B$19:$AG$49,ROW(O9)+1,FALSE)</f>
        <v>0</v>
      </c>
      <c r="Y11" s="15" cm="1">
        <f t="array" ref="Y11">+HLOOKUP($A$1,+[17]İcmal!$B$19:$AG$49,ROW(P9)+1,FALSE)</f>
        <v>0</v>
      </c>
      <c r="Z11" s="15" cm="1">
        <f t="array" ref="Z11">+HLOOKUP($A$1,+[18]İcmal!$B$19:$AG$49,ROW(Q9)+1,FALSE)</f>
        <v>0</v>
      </c>
      <c r="AA11" s="15" cm="1">
        <f t="array" ref="AA11">+HLOOKUP($A$1,+[19]İcmal!$B$19:$AG$49,ROW(R9)+1,FALSE)</f>
        <v>0</v>
      </c>
      <c r="AB11" s="15" cm="1">
        <f t="array" ref="AB11">+HLOOKUP($A$1,+[20]İcmal!$B$19:$AG$49,ROW(S9)+1,FALSE)</f>
        <v>0</v>
      </c>
      <c r="AC11" s="15" cm="1">
        <f t="array" ref="AC11">+HLOOKUP($A$1,+[21]İcmal!$B$19:$AG$49,ROW(T9)+1,FALSE)</f>
        <v>0</v>
      </c>
      <c r="AD11" s="15" cm="1">
        <f t="array" ref="AD11">+HLOOKUP($A$1,+[22]İcmal!$B$19:$AG$49,ROW(U9)+1,FALSE)</f>
        <v>0</v>
      </c>
      <c r="AE11" s="15" cm="1">
        <f t="array" ref="AE11">+HLOOKUP($A$1,+[23]İcmal!$B$19:$AG$49,ROW(V9)+1,FALSE)</f>
        <v>0</v>
      </c>
      <c r="AF11" s="15" cm="1">
        <f t="array" ref="AF11">+HLOOKUP($A$1,+[24]İcmal!$B$19:$AG$49,ROW(W9)+1,FALSE)</f>
        <v>0</v>
      </c>
      <c r="AG11" s="15" cm="1">
        <f t="array" ref="AG11">+HLOOKUP($A$1,+[25]İcmal!$B$19:$AG$49,ROW(X9)+1,FALSE)</f>
        <v>0</v>
      </c>
      <c r="AH11" s="15" cm="1">
        <f t="array" ref="AH11">+HLOOKUP($A$1,+[26]İcmal!$B$19:$AG$49,ROW(Y9)+1,FALSE)</f>
        <v>0</v>
      </c>
      <c r="AI11" s="15" cm="1">
        <f t="array" ref="AI11">+HLOOKUP($A$1,+[27]İcmal!$B$19:$AG$49,ROW(Z9)+1,FALSE)</f>
        <v>0</v>
      </c>
      <c r="AJ11" s="15" cm="1">
        <f t="array" ref="AJ11">+HLOOKUP($A$1,+[28]İcmal!$B$19:$AG$49,ROW(AA9)+1,FALSE)</f>
        <v>0</v>
      </c>
      <c r="AK11" s="15" cm="1">
        <f t="array" ref="AK11">+HLOOKUP($A$1,+[29]İcmal!$B$19:$AG$49,ROW(AB9)+1,FALSE)</f>
        <v>0</v>
      </c>
      <c r="AL11" s="15"/>
      <c r="AM11" s="15"/>
      <c r="AN11" s="15"/>
      <c r="AO11" s="15"/>
      <c r="AP11" s="15"/>
      <c r="AQ11" s="15"/>
      <c r="AR11" s="15"/>
      <c r="AS11" s="15"/>
      <c r="AT11" s="13"/>
    </row>
    <row r="12" spans="1:46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+HLOOKUP($A$1,+[2]İcmal!$B$19:$AG$49,ROW(A10)+1,FALSE)</f>
        <v>0</v>
      </c>
      <c r="K12" s="15" cm="1">
        <f t="array" ref="K12">+HLOOKUP($A$1,+[3]İcmal!$B$19:$AG$49,ROW(B10)+1,FALSE)</f>
        <v>0</v>
      </c>
      <c r="L12" s="15" cm="1">
        <f t="array" ref="L12">+HLOOKUP($A$1,+[4]İcmal!$B$19:$AG$49,ROW(C10)+1,FALSE)</f>
        <v>0</v>
      </c>
      <c r="M12" s="15" cm="1">
        <f t="array" ref="M12">+HLOOKUP($A$1,+[5]İcmal!$B$19:$AG$49,ROW(D10)+1,FALSE)</f>
        <v>0</v>
      </c>
      <c r="N12" s="15" cm="1">
        <f t="array" ref="N12">+HLOOKUP($A$1,+[6]İcmal!$B$19:$AG$49,ROW(E10)+1,FALSE)</f>
        <v>0</v>
      </c>
      <c r="O12" s="15" cm="1">
        <f t="array" ref="O12">+HLOOKUP($A$1,+[7]İcmal!$B$19:$AG$49,ROW(F10)+1,FALSE)</f>
        <v>0</v>
      </c>
      <c r="P12" s="15" cm="1">
        <f t="array" ref="P12">+HLOOKUP($A$1,+[8]İcmal!$B$19:$AG$49,ROW(G10)+1,FALSE)</f>
        <v>0</v>
      </c>
      <c r="Q12" s="15" cm="1">
        <f t="array" ref="Q12">+HLOOKUP($A$1,+[9]İcmal!$B$19:$AG$49,ROW(H10)+1,FALSE)</f>
        <v>0</v>
      </c>
      <c r="R12" s="15" cm="1">
        <f t="array" ref="R12">+HLOOKUP($A$1,+[10]İcmal!$B$19:$AG$49,ROW(I10)+1,FALSE)</f>
        <v>0</v>
      </c>
      <c r="S12" s="15" cm="1">
        <f t="array" ref="S12">+HLOOKUP($A$1,+[11]İcmal!$B$19:$AG$49,ROW(J10)+1,FALSE)</f>
        <v>0</v>
      </c>
      <c r="T12" s="15" cm="1">
        <f t="array" ref="T12">+HLOOKUP($A$1,+[12]İcmal!$B$19:$AG$49,ROW(K10)+1,FALSE)</f>
        <v>0</v>
      </c>
      <c r="U12" s="15" cm="1">
        <f t="array" ref="U12">+HLOOKUP($A$1,+[13]İcmal!$B$19:$AG$49,ROW(L10)+1,FALSE)</f>
        <v>0</v>
      </c>
      <c r="V12" s="15" cm="1">
        <f t="array" ref="V12">+HLOOKUP($A$1,+[14]İcmal!$B$19:$AG$49,ROW(M10)+1,FALSE)</f>
        <v>0</v>
      </c>
      <c r="W12" s="15" cm="1">
        <f t="array" ref="W12">+HLOOKUP($A$1,+[15]İcmal!$B$19:$AG$49,ROW(N10)+1,FALSE)</f>
        <v>0</v>
      </c>
      <c r="X12" s="15" cm="1">
        <f t="array" ref="X12">+HLOOKUP($A$1,+[16]İcmal!$B$19:$AG$49,ROW(O10)+1,FALSE)</f>
        <v>0</v>
      </c>
      <c r="Y12" s="15" cm="1">
        <f t="array" ref="Y12">+HLOOKUP($A$1,+[17]İcmal!$B$19:$AG$49,ROW(P10)+1,FALSE)</f>
        <v>0</v>
      </c>
      <c r="Z12" s="15" cm="1">
        <f t="array" ref="Z12">+HLOOKUP($A$1,+[18]İcmal!$B$19:$AG$49,ROW(Q10)+1,FALSE)</f>
        <v>0</v>
      </c>
      <c r="AA12" s="15" cm="1">
        <f t="array" ref="AA12">+HLOOKUP($A$1,+[19]İcmal!$B$19:$AG$49,ROW(R10)+1,FALSE)</f>
        <v>0</v>
      </c>
      <c r="AB12" s="15" cm="1">
        <f t="array" ref="AB12">+HLOOKUP($A$1,+[20]İcmal!$B$19:$AG$49,ROW(S10)+1,FALSE)</f>
        <v>0</v>
      </c>
      <c r="AC12" s="15" cm="1">
        <f t="array" ref="AC12">+HLOOKUP($A$1,+[21]İcmal!$B$19:$AG$49,ROW(T10)+1,FALSE)</f>
        <v>0</v>
      </c>
      <c r="AD12" s="15" cm="1">
        <f t="array" ref="AD12">+HLOOKUP($A$1,+[22]İcmal!$B$19:$AG$49,ROW(U10)+1,FALSE)</f>
        <v>0</v>
      </c>
      <c r="AE12" s="15" cm="1">
        <f t="array" ref="AE12">+HLOOKUP($A$1,+[23]İcmal!$B$19:$AG$49,ROW(V10)+1,FALSE)</f>
        <v>0</v>
      </c>
      <c r="AF12" s="15" cm="1">
        <f t="array" ref="AF12">+HLOOKUP($A$1,+[24]İcmal!$B$19:$AG$49,ROW(W10)+1,FALSE)</f>
        <v>0</v>
      </c>
      <c r="AG12" s="15" cm="1">
        <f t="array" ref="AG12">+HLOOKUP($A$1,+[25]İcmal!$B$19:$AG$49,ROW(X10)+1,FALSE)</f>
        <v>0</v>
      </c>
      <c r="AH12" s="15" cm="1">
        <f t="array" ref="AH12">+HLOOKUP($A$1,+[26]İcmal!$B$19:$AG$49,ROW(Y10)+1,FALSE)</f>
        <v>0</v>
      </c>
      <c r="AI12" s="15" cm="1">
        <f t="array" ref="AI12">+HLOOKUP($A$1,+[27]İcmal!$B$19:$AG$49,ROW(Z10)+1,FALSE)</f>
        <v>0</v>
      </c>
      <c r="AJ12" s="15" cm="1">
        <f t="array" ref="AJ12">+HLOOKUP($A$1,+[28]İcmal!$B$19:$AG$49,ROW(AA10)+1,FALSE)</f>
        <v>0</v>
      </c>
      <c r="AK12" s="15" cm="1">
        <f t="array" ref="AK12">+HLOOKUP($A$1,+[29]İcmal!$B$19:$AG$49,ROW(AB10)+1,FALSE)</f>
        <v>0</v>
      </c>
      <c r="AL12" s="15"/>
      <c r="AM12" s="15"/>
      <c r="AN12" s="15"/>
      <c r="AO12" s="15"/>
      <c r="AP12" s="15"/>
      <c r="AQ12" s="15"/>
      <c r="AR12" s="15"/>
      <c r="AS12" s="15"/>
      <c r="AT12" s="13"/>
    </row>
    <row r="13" spans="1:46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632</v>
      </c>
      <c r="I13" s="9">
        <f t="shared" si="2"/>
        <v>17696000</v>
      </c>
      <c r="J13" s="15" cm="1">
        <f t="array" ref="J13">+HLOOKUP($A$1,+[2]İcmal!$B$19:$AG$49,ROW(A11)+1,FALSE)</f>
        <v>94</v>
      </c>
      <c r="K13" s="15" cm="1">
        <f t="array" ref="K13">+HLOOKUP($A$1,+[3]İcmal!$B$19:$AG$49,ROW(B11)+1,FALSE)</f>
        <v>57</v>
      </c>
      <c r="L13" s="15" cm="1">
        <f t="array" ref="L13">+HLOOKUP($A$1,+[4]İcmal!$B$19:$AG$49,ROW(C11)+1,FALSE)</f>
        <v>0</v>
      </c>
      <c r="M13" s="15" cm="1">
        <f t="array" ref="M13">+HLOOKUP($A$1,+[5]İcmal!$B$19:$AG$49,ROW(D11)+1,FALSE)</f>
        <v>0</v>
      </c>
      <c r="N13" s="15" cm="1">
        <f t="array" ref="N13">+HLOOKUP($A$1,+[6]İcmal!$B$19:$AG$49,ROW(E11)+1,FALSE)</f>
        <v>93</v>
      </c>
      <c r="O13" s="15" cm="1">
        <f t="array" ref="O13">+HLOOKUP($A$1,+[7]İcmal!$B$19:$AG$49,ROW(F11)+1,FALSE)</f>
        <v>90</v>
      </c>
      <c r="P13" s="15" cm="1">
        <f t="array" ref="P13">+HLOOKUP($A$1,+[8]İcmal!$B$19:$AG$49,ROW(G11)+1,FALSE)</f>
        <v>0</v>
      </c>
      <c r="Q13" s="15" cm="1">
        <f t="array" ref="Q13">+HLOOKUP($A$1,+[9]İcmal!$B$19:$AG$49,ROW(H11)+1,FALSE)</f>
        <v>0</v>
      </c>
      <c r="R13" s="15" cm="1">
        <f t="array" ref="R13">+HLOOKUP($A$1,+[10]İcmal!$B$19:$AG$49,ROW(I11)+1,FALSE)</f>
        <v>90</v>
      </c>
      <c r="S13" s="15" cm="1">
        <f t="array" ref="S13">+HLOOKUP($A$1,+[11]İcmal!$B$19:$AG$49,ROW(J11)+1,FALSE)</f>
        <v>24</v>
      </c>
      <c r="T13" s="15" cm="1">
        <f t="array" ref="T13">+HLOOKUP($A$1,+[12]İcmal!$B$19:$AG$49,ROW(K11)+1,FALSE)</f>
        <v>0</v>
      </c>
      <c r="U13" s="15" cm="1">
        <f t="array" ref="U13">+HLOOKUP($A$1,+[13]İcmal!$B$19:$AG$49,ROW(L11)+1,FALSE)</f>
        <v>0</v>
      </c>
      <c r="V13" s="15" cm="1">
        <f t="array" ref="V13">+HLOOKUP($A$1,+[14]İcmal!$B$19:$AG$49,ROW(M11)+1,FALSE)</f>
        <v>94</v>
      </c>
      <c r="W13" s="15" cm="1">
        <f t="array" ref="W13">+HLOOKUP($A$1,+[15]İcmal!$B$19:$AG$49,ROW(N11)+1,FALSE)</f>
        <v>90</v>
      </c>
      <c r="X13" s="15" cm="1">
        <f t="array" ref="X13">+HLOOKUP($A$1,+[16]İcmal!$B$19:$AG$49,ROW(O11)+1,FALSE)</f>
        <v>0</v>
      </c>
      <c r="Y13" s="15" cm="1">
        <f t="array" ref="Y13">+HLOOKUP($A$1,+[17]İcmal!$B$19:$AG$49,ROW(P11)+1,FALSE)</f>
        <v>0</v>
      </c>
      <c r="Z13" s="15" cm="1">
        <f t="array" ref="Z13">+HLOOKUP($A$1,+[18]İcmal!$B$19:$AG$49,ROW(Q11)+1,FALSE)</f>
        <v>0</v>
      </c>
      <c r="AA13" s="15" cm="1">
        <f t="array" ref="AA13">+HLOOKUP($A$1,+[19]İcmal!$B$19:$AG$49,ROW(R11)+1,FALSE)</f>
        <v>0</v>
      </c>
      <c r="AB13" s="15" cm="1">
        <f t="array" ref="AB13">+HLOOKUP($A$1,+[20]İcmal!$B$19:$AG$49,ROW(S11)+1,FALSE)</f>
        <v>0</v>
      </c>
      <c r="AC13" s="15" cm="1">
        <f t="array" ref="AC13">+HLOOKUP($A$1,+[21]İcmal!$B$19:$AG$49,ROW(T11)+1,FALSE)</f>
        <v>0</v>
      </c>
      <c r="AD13" s="15" cm="1">
        <f t="array" ref="AD13">+HLOOKUP($A$1,+[22]İcmal!$B$19:$AG$49,ROW(U11)+1,FALSE)</f>
        <v>0</v>
      </c>
      <c r="AE13" s="15" cm="1">
        <f t="array" ref="AE13">+HLOOKUP($A$1,+[23]İcmal!$B$19:$AG$49,ROW(V11)+1,FALSE)</f>
        <v>0</v>
      </c>
      <c r="AF13" s="15" cm="1">
        <f t="array" ref="AF13">+HLOOKUP($A$1,+[24]İcmal!$B$19:$AG$49,ROW(W11)+1,FALSE)</f>
        <v>0</v>
      </c>
      <c r="AG13" s="15" cm="1">
        <f t="array" ref="AG13">+HLOOKUP($A$1,+[25]İcmal!$B$19:$AG$49,ROW(X11)+1,FALSE)</f>
        <v>0</v>
      </c>
      <c r="AH13" s="15" cm="1">
        <f t="array" ref="AH13">+HLOOKUP($A$1,+[26]İcmal!$B$19:$AG$49,ROW(Y11)+1,FALSE)</f>
        <v>0</v>
      </c>
      <c r="AI13" s="15" cm="1">
        <f t="array" ref="AI13">+HLOOKUP($A$1,+[27]İcmal!$B$19:$AG$49,ROW(Z11)+1,FALSE)</f>
        <v>0</v>
      </c>
      <c r="AJ13" s="15" cm="1">
        <f t="array" ref="AJ13">+HLOOKUP($A$1,+[28]İcmal!$B$19:$AG$49,ROW(AA11)+1,FALSE)</f>
        <v>0</v>
      </c>
      <c r="AK13" s="15" cm="1">
        <f t="array" ref="AK13">+HLOOKUP($A$1,+[29]İcmal!$B$19:$AG$49,ROW(AB11)+1,FALSE)</f>
        <v>0</v>
      </c>
      <c r="AL13" s="15"/>
      <c r="AM13" s="15"/>
      <c r="AN13" s="15"/>
      <c r="AO13" s="15"/>
      <c r="AP13" s="15"/>
      <c r="AQ13" s="15"/>
      <c r="AR13" s="15"/>
      <c r="AS13" s="15"/>
      <c r="AT13" s="13"/>
    </row>
    <row r="14" spans="1:46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4050</v>
      </c>
      <c r="I14" s="9">
        <f t="shared" si="2"/>
        <v>1518750</v>
      </c>
      <c r="J14" s="15" cm="1">
        <f t="array" ref="J14">+HLOOKUP($A$1,+[2]İcmal!$B$19:$AG$49,ROW(A12)+1,FALSE)</f>
        <v>0</v>
      </c>
      <c r="K14" s="15" cm="1">
        <f t="array" ref="K14">+HLOOKUP($A$1,+[3]İcmal!$B$19:$AG$49,ROW(B12)+1,FALSE)</f>
        <v>324</v>
      </c>
      <c r="L14" s="15" cm="1">
        <f t="array" ref="L14">+HLOOKUP($A$1,+[4]İcmal!$B$19:$AG$49,ROW(C12)+1,FALSE)</f>
        <v>0</v>
      </c>
      <c r="M14" s="15" cm="1">
        <f t="array" ref="M14">+HLOOKUP($A$1,+[5]İcmal!$B$19:$AG$49,ROW(D12)+1,FALSE)</f>
        <v>0</v>
      </c>
      <c r="N14" s="15" cm="1">
        <f t="array" ref="N14">+HLOOKUP($A$1,+[6]İcmal!$B$19:$AG$49,ROW(E12)+1,FALSE)</f>
        <v>846</v>
      </c>
      <c r="O14" s="15" cm="1">
        <f t="array" ref="O14">+HLOOKUP($A$1,+[7]İcmal!$B$19:$AG$49,ROW(F12)+1,FALSE)</f>
        <v>810</v>
      </c>
      <c r="P14" s="15" cm="1">
        <f t="array" ref="P14">+HLOOKUP($A$1,+[8]İcmal!$B$19:$AG$49,ROW(G12)+1,FALSE)</f>
        <v>0</v>
      </c>
      <c r="Q14" s="15" cm="1">
        <f t="array" ref="Q14">+HLOOKUP($A$1,+[9]İcmal!$B$19:$AG$49,ROW(H12)+1,FALSE)</f>
        <v>0</v>
      </c>
      <c r="R14" s="15" cm="1">
        <f t="array" ref="R14">+HLOOKUP($A$1,+[10]İcmal!$B$19:$AG$49,ROW(I12)+1,FALSE)</f>
        <v>774</v>
      </c>
      <c r="S14" s="15" cm="1">
        <f t="array" ref="S14">+HLOOKUP($A$1,+[11]İcmal!$B$19:$AG$49,ROW(J12)+1,FALSE)</f>
        <v>486</v>
      </c>
      <c r="T14" s="15" cm="1">
        <f t="array" ref="T14">+HLOOKUP($A$1,+[12]İcmal!$B$19:$AG$49,ROW(K12)+1,FALSE)</f>
        <v>0</v>
      </c>
      <c r="U14" s="15" cm="1">
        <f t="array" ref="U14">+HLOOKUP($A$1,+[13]İcmal!$B$19:$AG$49,ROW(L12)+1,FALSE)</f>
        <v>0</v>
      </c>
      <c r="V14" s="15" cm="1">
        <f t="array" ref="V14">+HLOOKUP($A$1,+[14]İcmal!$B$19:$AG$49,ROW(M12)+1,FALSE)</f>
        <v>0</v>
      </c>
      <c r="W14" s="15" cm="1">
        <f t="array" ref="W14">+HLOOKUP($A$1,+[15]İcmal!$B$19:$AG$49,ROW(N12)+1,FALSE)</f>
        <v>810</v>
      </c>
      <c r="X14" s="15" cm="1">
        <f t="array" ref="X14">+HLOOKUP($A$1,+[16]İcmal!$B$19:$AG$49,ROW(O12)+1,FALSE)</f>
        <v>0</v>
      </c>
      <c r="Y14" s="15" cm="1">
        <f t="array" ref="Y14">+HLOOKUP($A$1,+[17]İcmal!$B$19:$AG$49,ROW(P12)+1,FALSE)</f>
        <v>0</v>
      </c>
      <c r="Z14" s="15" cm="1">
        <f t="array" ref="Z14">+HLOOKUP($A$1,+[18]İcmal!$B$19:$AG$49,ROW(Q12)+1,FALSE)</f>
        <v>0</v>
      </c>
      <c r="AA14" s="15" cm="1">
        <f t="array" ref="AA14">+HLOOKUP($A$1,+[19]İcmal!$B$19:$AG$49,ROW(R12)+1,FALSE)</f>
        <v>0</v>
      </c>
      <c r="AB14" s="15" cm="1">
        <f t="array" ref="AB14">+HLOOKUP($A$1,+[20]İcmal!$B$19:$AG$49,ROW(S12)+1,FALSE)</f>
        <v>0</v>
      </c>
      <c r="AC14" s="15" cm="1">
        <f t="array" ref="AC14">+HLOOKUP($A$1,+[21]İcmal!$B$19:$AG$49,ROW(T12)+1,FALSE)</f>
        <v>0</v>
      </c>
      <c r="AD14" s="15" cm="1">
        <f t="array" ref="AD14">+HLOOKUP($A$1,+[22]İcmal!$B$19:$AG$49,ROW(U12)+1,FALSE)</f>
        <v>0</v>
      </c>
      <c r="AE14" s="15" cm="1">
        <f t="array" ref="AE14">+HLOOKUP($A$1,+[23]İcmal!$B$19:$AG$49,ROW(V12)+1,FALSE)</f>
        <v>0</v>
      </c>
      <c r="AF14" s="15" cm="1">
        <f t="array" ref="AF14">+HLOOKUP($A$1,+[24]İcmal!$B$19:$AG$49,ROW(W12)+1,FALSE)</f>
        <v>0</v>
      </c>
      <c r="AG14" s="15" cm="1">
        <f t="array" ref="AG14">+HLOOKUP($A$1,+[25]İcmal!$B$19:$AG$49,ROW(X12)+1,FALSE)</f>
        <v>0</v>
      </c>
      <c r="AH14" s="15" cm="1">
        <f t="array" ref="AH14">+HLOOKUP($A$1,+[26]İcmal!$B$19:$AG$49,ROW(Y12)+1,FALSE)</f>
        <v>0</v>
      </c>
      <c r="AI14" s="15" cm="1">
        <f t="array" ref="AI14">+HLOOKUP($A$1,+[27]İcmal!$B$19:$AG$49,ROW(Z12)+1,FALSE)</f>
        <v>0</v>
      </c>
      <c r="AJ14" s="15" cm="1">
        <f t="array" ref="AJ14">+HLOOKUP($A$1,+[28]İcmal!$B$19:$AG$49,ROW(AA12)+1,FALSE)</f>
        <v>0</v>
      </c>
      <c r="AK14" s="15" cm="1">
        <f t="array" ref="AK14">+HLOOKUP($A$1,+[29]İcmal!$B$19:$AG$49,ROW(AB12)+1,FALSE)</f>
        <v>0</v>
      </c>
      <c r="AL14" s="15"/>
      <c r="AM14" s="15"/>
      <c r="AN14" s="15"/>
      <c r="AO14" s="15"/>
      <c r="AP14" s="15"/>
      <c r="AQ14" s="15"/>
      <c r="AR14" s="15"/>
      <c r="AS14" s="15"/>
      <c r="AT14" s="13"/>
    </row>
    <row r="15" spans="1:46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+HLOOKUP($A$1,+[2]İcmal!$B$19:$AG$49,ROW(A13)+1,FALSE)</f>
        <v>0</v>
      </c>
      <c r="K15" s="15" cm="1">
        <f t="array" ref="K15">+HLOOKUP($A$1,+[3]İcmal!$B$19:$AG$49,ROW(B13)+1,FALSE)</f>
        <v>0</v>
      </c>
      <c r="L15" s="15" cm="1">
        <f t="array" ref="L15">+HLOOKUP($A$1,+[4]İcmal!$B$19:$AG$49,ROW(C13)+1,FALSE)</f>
        <v>0</v>
      </c>
      <c r="M15" s="15" cm="1">
        <f t="array" ref="M15">+HLOOKUP($A$1,+[5]İcmal!$B$19:$AG$49,ROW(D13)+1,FALSE)</f>
        <v>0</v>
      </c>
      <c r="N15" s="15" cm="1">
        <f t="array" ref="N15">+HLOOKUP($A$1,+[6]İcmal!$B$19:$AG$49,ROW(E13)+1,FALSE)</f>
        <v>0</v>
      </c>
      <c r="O15" s="15" cm="1">
        <f t="array" ref="O15">+HLOOKUP($A$1,+[7]İcmal!$B$19:$AG$49,ROW(F13)+1,FALSE)</f>
        <v>0</v>
      </c>
      <c r="P15" s="15" cm="1">
        <f t="array" ref="P15">+HLOOKUP($A$1,+[8]İcmal!$B$19:$AG$49,ROW(G13)+1,FALSE)</f>
        <v>0</v>
      </c>
      <c r="Q15" s="15" cm="1">
        <f t="array" ref="Q15">+HLOOKUP($A$1,+[9]İcmal!$B$19:$AG$49,ROW(H13)+1,FALSE)</f>
        <v>0</v>
      </c>
      <c r="R15" s="15" cm="1">
        <f t="array" ref="R15">+HLOOKUP($A$1,+[10]İcmal!$B$19:$AG$49,ROW(I13)+1,FALSE)</f>
        <v>0</v>
      </c>
      <c r="S15" s="15" cm="1">
        <f t="array" ref="S15">+HLOOKUP($A$1,+[11]İcmal!$B$19:$AG$49,ROW(J13)+1,FALSE)</f>
        <v>0</v>
      </c>
      <c r="T15" s="15" cm="1">
        <f t="array" ref="T15">+HLOOKUP($A$1,+[12]İcmal!$B$19:$AG$49,ROW(K13)+1,FALSE)</f>
        <v>0</v>
      </c>
      <c r="U15" s="15" cm="1">
        <f t="array" ref="U15">+HLOOKUP($A$1,+[13]İcmal!$B$19:$AG$49,ROW(L13)+1,FALSE)</f>
        <v>0</v>
      </c>
      <c r="V15" s="15" cm="1">
        <f t="array" ref="V15">+HLOOKUP($A$1,+[14]İcmal!$B$19:$AG$49,ROW(M13)+1,FALSE)</f>
        <v>0</v>
      </c>
      <c r="W15" s="15" cm="1">
        <f t="array" ref="W15">+HLOOKUP($A$1,+[15]İcmal!$B$19:$AG$49,ROW(N13)+1,FALSE)</f>
        <v>0</v>
      </c>
      <c r="X15" s="15" cm="1">
        <f t="array" ref="X15">+HLOOKUP($A$1,+[16]İcmal!$B$19:$AG$49,ROW(O13)+1,FALSE)</f>
        <v>0</v>
      </c>
      <c r="Y15" s="15" cm="1">
        <f t="array" ref="Y15">+HLOOKUP($A$1,+[17]İcmal!$B$19:$AG$49,ROW(P13)+1,FALSE)</f>
        <v>0</v>
      </c>
      <c r="Z15" s="15" cm="1">
        <f t="array" ref="Z15">+HLOOKUP($A$1,+[18]İcmal!$B$19:$AG$49,ROW(Q13)+1,FALSE)</f>
        <v>0</v>
      </c>
      <c r="AA15" s="15" cm="1">
        <f t="array" ref="AA15">+HLOOKUP($A$1,+[19]İcmal!$B$19:$AG$49,ROW(R13)+1,FALSE)</f>
        <v>0</v>
      </c>
      <c r="AB15" s="15" cm="1">
        <f t="array" ref="AB15">+HLOOKUP($A$1,+[20]İcmal!$B$19:$AG$49,ROW(S13)+1,FALSE)</f>
        <v>0</v>
      </c>
      <c r="AC15" s="15" cm="1">
        <f t="array" ref="AC15">+HLOOKUP($A$1,+[21]İcmal!$B$19:$AG$49,ROW(T13)+1,FALSE)</f>
        <v>0</v>
      </c>
      <c r="AD15" s="15" cm="1">
        <f t="array" ref="AD15">+HLOOKUP($A$1,+[22]İcmal!$B$19:$AG$49,ROW(U13)+1,FALSE)</f>
        <v>0</v>
      </c>
      <c r="AE15" s="15" cm="1">
        <f t="array" ref="AE15">+HLOOKUP($A$1,+[23]İcmal!$B$19:$AG$49,ROW(V13)+1,FALSE)</f>
        <v>0</v>
      </c>
      <c r="AF15" s="15" cm="1">
        <f t="array" ref="AF15">+HLOOKUP($A$1,+[24]İcmal!$B$19:$AG$49,ROW(W13)+1,FALSE)</f>
        <v>0</v>
      </c>
      <c r="AG15" s="15" cm="1">
        <f t="array" ref="AG15">+HLOOKUP($A$1,+[25]İcmal!$B$19:$AG$49,ROW(X13)+1,FALSE)</f>
        <v>0</v>
      </c>
      <c r="AH15" s="15" cm="1">
        <f t="array" ref="AH15">+HLOOKUP($A$1,+[26]İcmal!$B$19:$AG$49,ROW(Y13)+1,FALSE)</f>
        <v>0</v>
      </c>
      <c r="AI15" s="15" cm="1">
        <f t="array" ref="AI15">+HLOOKUP($A$1,+[27]İcmal!$B$19:$AG$49,ROW(Z13)+1,FALSE)</f>
        <v>0</v>
      </c>
      <c r="AJ15" s="15" cm="1">
        <f t="array" ref="AJ15">+HLOOKUP($A$1,+[28]İcmal!$B$19:$AG$49,ROW(AA13)+1,FALSE)</f>
        <v>0</v>
      </c>
      <c r="AK15" s="15" cm="1">
        <f t="array" ref="AK15">+HLOOKUP($A$1,+[29]İcmal!$B$19:$AG$49,ROW(AB13)+1,FALSE)</f>
        <v>0</v>
      </c>
      <c r="AL15" s="15"/>
      <c r="AM15" s="15"/>
      <c r="AN15" s="15"/>
      <c r="AO15" s="15"/>
      <c r="AP15" s="15"/>
      <c r="AQ15" s="15"/>
      <c r="AR15" s="15"/>
      <c r="AS15" s="15"/>
      <c r="AT15" s="13"/>
    </row>
    <row r="16" spans="1:46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172.05700000000002</v>
      </c>
      <c r="I16" s="9">
        <f t="shared" si="2"/>
        <v>17549814</v>
      </c>
      <c r="J16" s="15" cm="1">
        <f t="array" ref="J16">+HLOOKUP($A$1,+[2]İcmal!$B$19:$AG$49,ROW(A14)+1,FALSE)</f>
        <v>2.4129999999999998</v>
      </c>
      <c r="K16" s="15" cm="1">
        <f t="array" ref="K16">+HLOOKUP($A$1,+[3]İcmal!$B$19:$AG$49,ROW(B14)+1,FALSE)</f>
        <v>17.981999999999992</v>
      </c>
      <c r="L16" s="15" cm="1">
        <f t="array" ref="L16">+HLOOKUP($A$1,+[4]İcmal!$B$19:$AG$49,ROW(C14)+1,FALSE)</f>
        <v>0</v>
      </c>
      <c r="M16" s="15" cm="1">
        <f t="array" ref="M16">+HLOOKUP($A$1,+[5]İcmal!$B$19:$AG$49,ROW(D14)+1,FALSE)</f>
        <v>0</v>
      </c>
      <c r="N16" s="15" cm="1">
        <f t="array" ref="N16">+HLOOKUP($A$1,+[6]İcmal!$B$19:$AG$49,ROW(E14)+1,FALSE)</f>
        <v>39.058000000000007</v>
      </c>
      <c r="O16" s="15" cm="1">
        <f t="array" ref="O16">+HLOOKUP($A$1,+[7]İcmal!$B$19:$AG$49,ROW(F14)+1,FALSE)</f>
        <v>28.466000000000001</v>
      </c>
      <c r="P16" s="15" cm="1">
        <f t="array" ref="P16">+HLOOKUP($A$1,+[8]İcmal!$B$19:$AG$49,ROW(G14)+1,FALSE)</f>
        <v>0</v>
      </c>
      <c r="Q16" s="15" cm="1">
        <f t="array" ref="Q16">+HLOOKUP($A$1,+[9]İcmal!$B$19:$AG$49,ROW(H14)+1,FALSE)</f>
        <v>0</v>
      </c>
      <c r="R16" s="15" cm="1">
        <f t="array" ref="R16">+HLOOKUP($A$1,+[10]İcmal!$B$19:$AG$49,ROW(I14)+1,FALSE)</f>
        <v>40.258000000000003</v>
      </c>
      <c r="S16" s="15" cm="1">
        <f t="array" ref="S16">+HLOOKUP($A$1,+[11]İcmal!$B$19:$AG$49,ROW(J14)+1,FALSE)</f>
        <v>15.683999999999997</v>
      </c>
      <c r="T16" s="15" cm="1">
        <f t="array" ref="T16">+HLOOKUP($A$1,+[12]İcmal!$B$19:$AG$49,ROW(K14)+1,FALSE)</f>
        <v>0</v>
      </c>
      <c r="U16" s="15" cm="1">
        <f t="array" ref="U16">+HLOOKUP($A$1,+[13]İcmal!$B$19:$AG$49,ROW(L14)+1,FALSE)</f>
        <v>0</v>
      </c>
      <c r="V16" s="15" cm="1">
        <f t="array" ref="V16">+HLOOKUP($A$1,+[14]İcmal!$B$19:$AG$49,ROW(M14)+1,FALSE)</f>
        <v>2.4129999999999998</v>
      </c>
      <c r="W16" s="15" cm="1">
        <f t="array" ref="W16">+HLOOKUP($A$1,+[15]İcmal!$B$19:$AG$49,ROW(N14)+1,FALSE)</f>
        <v>25.783000000000001</v>
      </c>
      <c r="X16" s="15" cm="1">
        <f t="array" ref="X16">+HLOOKUP($A$1,+[16]İcmal!$B$19:$AG$49,ROW(O14)+1,FALSE)</f>
        <v>0</v>
      </c>
      <c r="Y16" s="15" cm="1">
        <f t="array" ref="Y16">+HLOOKUP($A$1,+[17]İcmal!$B$19:$AG$49,ROW(P14)+1,FALSE)</f>
        <v>0</v>
      </c>
      <c r="Z16" s="15" cm="1">
        <f t="array" ref="Z16">+HLOOKUP($A$1,+[18]İcmal!$B$19:$AG$49,ROW(Q14)+1,FALSE)</f>
        <v>0</v>
      </c>
      <c r="AA16" s="15" cm="1">
        <f t="array" ref="AA16">+HLOOKUP($A$1,+[19]İcmal!$B$19:$AG$49,ROW(R14)+1,FALSE)</f>
        <v>0</v>
      </c>
      <c r="AB16" s="15" cm="1">
        <f t="array" ref="AB16">+HLOOKUP($A$1,+[20]İcmal!$B$19:$AG$49,ROW(S14)+1,FALSE)</f>
        <v>0</v>
      </c>
      <c r="AC16" s="15" cm="1">
        <f t="array" ref="AC16">+HLOOKUP($A$1,+[21]İcmal!$B$19:$AG$49,ROW(T14)+1,FALSE)</f>
        <v>0</v>
      </c>
      <c r="AD16" s="15" cm="1">
        <f t="array" ref="AD16">+HLOOKUP($A$1,+[22]İcmal!$B$19:$AG$49,ROW(U14)+1,FALSE)</f>
        <v>0</v>
      </c>
      <c r="AE16" s="15" cm="1">
        <f t="array" ref="AE16">+HLOOKUP($A$1,+[23]İcmal!$B$19:$AG$49,ROW(V14)+1,FALSE)</f>
        <v>0</v>
      </c>
      <c r="AF16" s="15" cm="1">
        <f t="array" ref="AF16">+HLOOKUP($A$1,+[24]İcmal!$B$19:$AG$49,ROW(W14)+1,FALSE)</f>
        <v>0</v>
      </c>
      <c r="AG16" s="15" cm="1">
        <f t="array" ref="AG16">+HLOOKUP($A$1,+[25]İcmal!$B$19:$AG$49,ROW(X14)+1,FALSE)</f>
        <v>0</v>
      </c>
      <c r="AH16" s="15" cm="1">
        <f t="array" ref="AH16">+HLOOKUP($A$1,+[26]İcmal!$B$19:$AG$49,ROW(Y14)+1,FALSE)</f>
        <v>0</v>
      </c>
      <c r="AI16" s="15" cm="1">
        <f t="array" ref="AI16">+HLOOKUP($A$1,+[27]İcmal!$B$19:$AG$49,ROW(Z14)+1,FALSE)</f>
        <v>0</v>
      </c>
      <c r="AJ16" s="15" cm="1">
        <f t="array" ref="AJ16">+HLOOKUP($A$1,+[28]İcmal!$B$19:$AG$49,ROW(AA14)+1,FALSE)</f>
        <v>0</v>
      </c>
      <c r="AK16" s="15" cm="1">
        <f t="array" ref="AK16">+HLOOKUP($A$1,+[29]İcmal!$B$19:$AG$49,ROW(AB14)+1,FALSE)</f>
        <v>0</v>
      </c>
      <c r="AL16" s="15"/>
      <c r="AM16" s="15"/>
      <c r="AN16" s="15"/>
      <c r="AO16" s="15"/>
      <c r="AP16" s="15"/>
      <c r="AQ16" s="15"/>
      <c r="AR16" s="15"/>
      <c r="AS16" s="15"/>
      <c r="AT16" s="13"/>
    </row>
    <row r="17" spans="1:46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10944</v>
      </c>
      <c r="I17" s="9">
        <f t="shared" si="2"/>
        <v>37209600</v>
      </c>
      <c r="J17" s="15" cm="1">
        <f t="array" ref="J17">+HLOOKUP($A$1,+[2]İcmal!$B$19:$AG$49,ROW(A15)+1,FALSE)</f>
        <v>0</v>
      </c>
      <c r="K17" s="15" cm="1">
        <f t="array" ref="K17">+HLOOKUP($A$1,+[3]İcmal!$B$19:$AG$49,ROW(B15)+1,FALSE)</f>
        <v>846</v>
      </c>
      <c r="L17" s="15" cm="1">
        <f t="array" ref="L17">+HLOOKUP($A$1,+[4]İcmal!$B$19:$AG$49,ROW(C15)+1,FALSE)</f>
        <v>0</v>
      </c>
      <c r="M17" s="15" cm="1">
        <f t="array" ref="M17">+HLOOKUP($A$1,+[5]İcmal!$B$19:$AG$49,ROW(D15)+1,FALSE)</f>
        <v>0</v>
      </c>
      <c r="N17" s="15" cm="1">
        <f t="array" ref="N17">+HLOOKUP($A$1,+[6]İcmal!$B$19:$AG$49,ROW(E15)+1,FALSE)</f>
        <v>2088</v>
      </c>
      <c r="O17" s="15" cm="1">
        <f t="array" ref="O17">+HLOOKUP($A$1,+[7]İcmal!$B$19:$AG$49,ROW(F15)+1,FALSE)</f>
        <v>2115</v>
      </c>
      <c r="P17" s="15" cm="1">
        <f t="array" ref="P17">+HLOOKUP($A$1,+[8]İcmal!$B$19:$AG$49,ROW(G15)+1,FALSE)</f>
        <v>0</v>
      </c>
      <c r="Q17" s="15" cm="1">
        <f t="array" ref="Q17">+HLOOKUP($A$1,+[9]İcmal!$B$19:$AG$49,ROW(H15)+1,FALSE)</f>
        <v>0</v>
      </c>
      <c r="R17" s="15" cm="1">
        <f t="array" ref="R17">+HLOOKUP($A$1,+[10]İcmal!$B$19:$AG$49,ROW(I15)+1,FALSE)</f>
        <v>2088</v>
      </c>
      <c r="S17" s="15" cm="1">
        <f t="array" ref="S17">+HLOOKUP($A$1,+[11]İcmal!$B$19:$AG$49,ROW(J15)+1,FALSE)</f>
        <v>1692</v>
      </c>
      <c r="T17" s="15" cm="1">
        <f t="array" ref="T17">+HLOOKUP($A$1,+[12]İcmal!$B$19:$AG$49,ROW(K15)+1,FALSE)</f>
        <v>0</v>
      </c>
      <c r="U17" s="15" cm="1">
        <f t="array" ref="U17">+HLOOKUP($A$1,+[13]İcmal!$B$19:$AG$49,ROW(L15)+1,FALSE)</f>
        <v>0</v>
      </c>
      <c r="V17" s="15" cm="1">
        <f t="array" ref="V17">+HLOOKUP($A$1,+[14]İcmal!$B$19:$AG$49,ROW(M15)+1,FALSE)</f>
        <v>0</v>
      </c>
      <c r="W17" s="15" cm="1">
        <f t="array" ref="W17">+HLOOKUP($A$1,+[15]İcmal!$B$19:$AG$49,ROW(N15)+1,FALSE)</f>
        <v>2115</v>
      </c>
      <c r="X17" s="15" cm="1">
        <f t="array" ref="X17">+HLOOKUP($A$1,+[16]İcmal!$B$19:$AG$49,ROW(O15)+1,FALSE)</f>
        <v>0</v>
      </c>
      <c r="Y17" s="15" cm="1">
        <f t="array" ref="Y17">+HLOOKUP($A$1,+[17]İcmal!$B$19:$AG$49,ROW(P15)+1,FALSE)</f>
        <v>0</v>
      </c>
      <c r="Z17" s="15" cm="1">
        <f t="array" ref="Z17">+HLOOKUP($A$1,+[18]İcmal!$B$19:$AG$49,ROW(Q15)+1,FALSE)</f>
        <v>0</v>
      </c>
      <c r="AA17" s="15" cm="1">
        <f t="array" ref="AA17">+HLOOKUP($A$1,+[19]İcmal!$B$19:$AG$49,ROW(R15)+1,FALSE)</f>
        <v>0</v>
      </c>
      <c r="AB17" s="15" cm="1">
        <f t="array" ref="AB17">+HLOOKUP($A$1,+[20]İcmal!$B$19:$AG$49,ROW(S15)+1,FALSE)</f>
        <v>0</v>
      </c>
      <c r="AC17" s="15" cm="1">
        <f t="array" ref="AC17">+HLOOKUP($A$1,+[21]İcmal!$B$19:$AG$49,ROW(T15)+1,FALSE)</f>
        <v>0</v>
      </c>
      <c r="AD17" s="15" cm="1">
        <f t="array" ref="AD17">+HLOOKUP($A$1,+[22]İcmal!$B$19:$AG$49,ROW(U15)+1,FALSE)</f>
        <v>0</v>
      </c>
      <c r="AE17" s="15" cm="1">
        <f t="array" ref="AE17">+HLOOKUP($A$1,+[23]İcmal!$B$19:$AG$49,ROW(V15)+1,FALSE)</f>
        <v>0</v>
      </c>
      <c r="AF17" s="15" cm="1">
        <f t="array" ref="AF17">+HLOOKUP($A$1,+[24]İcmal!$B$19:$AG$49,ROW(W15)+1,FALSE)</f>
        <v>0</v>
      </c>
      <c r="AG17" s="15" cm="1">
        <f t="array" ref="AG17">+HLOOKUP($A$1,+[25]İcmal!$B$19:$AG$49,ROW(X15)+1,FALSE)</f>
        <v>0</v>
      </c>
      <c r="AH17" s="15" cm="1">
        <f t="array" ref="AH17">+HLOOKUP($A$1,+[26]İcmal!$B$19:$AG$49,ROW(Y15)+1,FALSE)</f>
        <v>0</v>
      </c>
      <c r="AI17" s="15" cm="1">
        <f t="array" ref="AI17">+HLOOKUP($A$1,+[27]İcmal!$B$19:$AG$49,ROW(Z15)+1,FALSE)</f>
        <v>0</v>
      </c>
      <c r="AJ17" s="15" cm="1">
        <f t="array" ref="AJ17">+HLOOKUP($A$1,+[28]İcmal!$B$19:$AG$49,ROW(AA15)+1,FALSE)</f>
        <v>0</v>
      </c>
      <c r="AK17" s="15" cm="1">
        <f t="array" ref="AK17">+HLOOKUP($A$1,+[29]İcmal!$B$19:$AG$49,ROW(AB15)+1,FALSE)</f>
        <v>0</v>
      </c>
      <c r="AL17" s="15"/>
      <c r="AM17" s="15"/>
      <c r="AN17" s="15"/>
      <c r="AO17" s="15"/>
      <c r="AP17" s="15"/>
      <c r="AQ17" s="15"/>
      <c r="AR17" s="15"/>
      <c r="AS17" s="15"/>
      <c r="AT17" s="13"/>
    </row>
    <row r="18" spans="1:46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+HLOOKUP($A$1,+[2]İcmal!$B$19:$AG$49,ROW(A16)+1,FALSE)</f>
        <v>0</v>
      </c>
      <c r="K18" s="15" cm="1">
        <f t="array" ref="K18">+HLOOKUP($A$1,+[3]İcmal!$B$19:$AG$49,ROW(B16)+1,FALSE)</f>
        <v>0</v>
      </c>
      <c r="L18" s="15" cm="1">
        <f t="array" ref="L18">+HLOOKUP($A$1,+[4]İcmal!$B$19:$AG$49,ROW(C16)+1,FALSE)</f>
        <v>0</v>
      </c>
      <c r="M18" s="15" cm="1">
        <f t="array" ref="M18">+HLOOKUP($A$1,+[5]İcmal!$B$19:$AG$49,ROW(D16)+1,FALSE)</f>
        <v>0</v>
      </c>
      <c r="N18" s="15" cm="1">
        <f t="array" ref="N18">+HLOOKUP($A$1,+[6]İcmal!$B$19:$AG$49,ROW(E16)+1,FALSE)</f>
        <v>0</v>
      </c>
      <c r="O18" s="15" cm="1">
        <f t="array" ref="O18">+HLOOKUP($A$1,+[7]İcmal!$B$19:$AG$49,ROW(F16)+1,FALSE)</f>
        <v>0</v>
      </c>
      <c r="P18" s="15" cm="1">
        <f t="array" ref="P18">+HLOOKUP($A$1,+[8]İcmal!$B$19:$AG$49,ROW(G16)+1,FALSE)</f>
        <v>0</v>
      </c>
      <c r="Q18" s="15" cm="1">
        <f t="array" ref="Q18">+HLOOKUP($A$1,+[9]İcmal!$B$19:$AG$49,ROW(H16)+1,FALSE)</f>
        <v>0</v>
      </c>
      <c r="R18" s="15" cm="1">
        <f t="array" ref="R18">+HLOOKUP($A$1,+[10]İcmal!$B$19:$AG$49,ROW(I16)+1,FALSE)</f>
        <v>0</v>
      </c>
      <c r="S18" s="15" cm="1">
        <f t="array" ref="S18">+HLOOKUP($A$1,+[11]İcmal!$B$19:$AG$49,ROW(J16)+1,FALSE)</f>
        <v>0</v>
      </c>
      <c r="T18" s="15" cm="1">
        <f t="array" ref="T18">+HLOOKUP($A$1,+[12]İcmal!$B$19:$AG$49,ROW(K16)+1,FALSE)</f>
        <v>0</v>
      </c>
      <c r="U18" s="15" cm="1">
        <f t="array" ref="U18">+HLOOKUP($A$1,+[13]İcmal!$B$19:$AG$49,ROW(L16)+1,FALSE)</f>
        <v>0</v>
      </c>
      <c r="V18" s="15" cm="1">
        <f t="array" ref="V18">+HLOOKUP($A$1,+[14]İcmal!$B$19:$AG$49,ROW(M16)+1,FALSE)</f>
        <v>0</v>
      </c>
      <c r="W18" s="15" cm="1">
        <f t="array" ref="W18">+HLOOKUP($A$1,+[15]İcmal!$B$19:$AG$49,ROW(N16)+1,FALSE)</f>
        <v>0</v>
      </c>
      <c r="X18" s="15" cm="1">
        <f t="array" ref="X18">+HLOOKUP($A$1,+[16]İcmal!$B$19:$AG$49,ROW(O16)+1,FALSE)</f>
        <v>0</v>
      </c>
      <c r="Y18" s="15" cm="1">
        <f t="array" ref="Y18">+HLOOKUP($A$1,+[17]İcmal!$B$19:$AG$49,ROW(P16)+1,FALSE)</f>
        <v>0</v>
      </c>
      <c r="Z18" s="15" cm="1">
        <f t="array" ref="Z18">+HLOOKUP($A$1,+[18]İcmal!$B$19:$AG$49,ROW(Q16)+1,FALSE)</f>
        <v>0</v>
      </c>
      <c r="AA18" s="15" cm="1">
        <f t="array" ref="AA18">+HLOOKUP($A$1,+[19]İcmal!$B$19:$AG$49,ROW(R16)+1,FALSE)</f>
        <v>0</v>
      </c>
      <c r="AB18" s="15" cm="1">
        <f t="array" ref="AB18">+HLOOKUP($A$1,+[20]İcmal!$B$19:$AG$49,ROW(S16)+1,FALSE)</f>
        <v>0</v>
      </c>
      <c r="AC18" s="15" cm="1">
        <f t="array" ref="AC18">+HLOOKUP($A$1,+[21]İcmal!$B$19:$AG$49,ROW(T16)+1,FALSE)</f>
        <v>0</v>
      </c>
      <c r="AD18" s="15" cm="1">
        <f t="array" ref="AD18">+HLOOKUP($A$1,+[22]İcmal!$B$19:$AG$49,ROW(U16)+1,FALSE)</f>
        <v>0</v>
      </c>
      <c r="AE18" s="15" cm="1">
        <f t="array" ref="AE18">+HLOOKUP($A$1,+[23]İcmal!$B$19:$AG$49,ROW(V16)+1,FALSE)</f>
        <v>0</v>
      </c>
      <c r="AF18" s="15" cm="1">
        <f t="array" ref="AF18">+HLOOKUP($A$1,+[24]İcmal!$B$19:$AG$49,ROW(W16)+1,FALSE)</f>
        <v>0</v>
      </c>
      <c r="AG18" s="15" cm="1">
        <f t="array" ref="AG18">+HLOOKUP($A$1,+[25]İcmal!$B$19:$AG$49,ROW(X16)+1,FALSE)</f>
        <v>0</v>
      </c>
      <c r="AH18" s="15" cm="1">
        <f t="array" ref="AH18">+HLOOKUP($A$1,+[26]İcmal!$B$19:$AG$49,ROW(Y16)+1,FALSE)</f>
        <v>0</v>
      </c>
      <c r="AI18" s="15" cm="1">
        <f t="array" ref="AI18">+HLOOKUP($A$1,+[27]İcmal!$B$19:$AG$49,ROW(Z16)+1,FALSE)</f>
        <v>0</v>
      </c>
      <c r="AJ18" s="15" cm="1">
        <f t="array" ref="AJ18">+HLOOKUP($A$1,+[28]İcmal!$B$19:$AG$49,ROW(AA16)+1,FALSE)</f>
        <v>0</v>
      </c>
      <c r="AK18" s="15" cm="1">
        <f t="array" ref="AK18">+HLOOKUP($A$1,+[29]İcmal!$B$19:$AG$49,ROW(AB16)+1,FALSE)</f>
        <v>0</v>
      </c>
      <c r="AL18" s="15"/>
      <c r="AM18" s="15"/>
      <c r="AN18" s="15"/>
      <c r="AO18" s="15"/>
      <c r="AP18" s="15"/>
      <c r="AQ18" s="15"/>
      <c r="AR18" s="15"/>
      <c r="AS18" s="15"/>
      <c r="AT18" s="13"/>
    </row>
    <row r="19" spans="1:46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+HLOOKUP($A$1,+[2]İcmal!$B$19:$AG$49,ROW(A17)+1,FALSE)</f>
        <v>0</v>
      </c>
      <c r="K19" s="15" cm="1">
        <f t="array" ref="K19">+HLOOKUP($A$1,+[3]İcmal!$B$19:$AG$49,ROW(B17)+1,FALSE)</f>
        <v>0</v>
      </c>
      <c r="L19" s="15" cm="1">
        <f t="array" ref="L19">+HLOOKUP($A$1,+[4]İcmal!$B$19:$AG$49,ROW(C17)+1,FALSE)</f>
        <v>0</v>
      </c>
      <c r="M19" s="15" cm="1">
        <f t="array" ref="M19">+HLOOKUP($A$1,+[5]İcmal!$B$19:$AG$49,ROW(D17)+1,FALSE)</f>
        <v>0</v>
      </c>
      <c r="N19" s="15" cm="1">
        <f t="array" ref="N19">+HLOOKUP($A$1,+[6]İcmal!$B$19:$AG$49,ROW(E17)+1,FALSE)</f>
        <v>0</v>
      </c>
      <c r="O19" s="15" cm="1">
        <f t="array" ref="O19">+HLOOKUP($A$1,+[7]İcmal!$B$19:$AG$49,ROW(F17)+1,FALSE)</f>
        <v>0</v>
      </c>
      <c r="P19" s="15" cm="1">
        <f t="array" ref="P19">+HLOOKUP($A$1,+[8]İcmal!$B$19:$AG$49,ROW(G17)+1,FALSE)</f>
        <v>0</v>
      </c>
      <c r="Q19" s="15" cm="1">
        <f t="array" ref="Q19">+HLOOKUP($A$1,+[9]İcmal!$B$19:$AG$49,ROW(H17)+1,FALSE)</f>
        <v>0</v>
      </c>
      <c r="R19" s="15" cm="1">
        <f t="array" ref="R19">+HLOOKUP($A$1,+[10]İcmal!$B$19:$AG$49,ROW(I17)+1,FALSE)</f>
        <v>0</v>
      </c>
      <c r="S19" s="15" cm="1">
        <f t="array" ref="S19">+HLOOKUP($A$1,+[11]İcmal!$B$19:$AG$49,ROW(J17)+1,FALSE)</f>
        <v>0</v>
      </c>
      <c r="T19" s="15" cm="1">
        <f t="array" ref="T19">+HLOOKUP($A$1,+[12]İcmal!$B$19:$AG$49,ROW(K17)+1,FALSE)</f>
        <v>0</v>
      </c>
      <c r="U19" s="15" cm="1">
        <f t="array" ref="U19">+HLOOKUP($A$1,+[13]İcmal!$B$19:$AG$49,ROW(L17)+1,FALSE)</f>
        <v>0</v>
      </c>
      <c r="V19" s="15" cm="1">
        <f t="array" ref="V19">+HLOOKUP($A$1,+[14]İcmal!$B$19:$AG$49,ROW(M17)+1,FALSE)</f>
        <v>0</v>
      </c>
      <c r="W19" s="15" cm="1">
        <f t="array" ref="W19">+HLOOKUP($A$1,+[15]İcmal!$B$19:$AG$49,ROW(N17)+1,FALSE)</f>
        <v>0</v>
      </c>
      <c r="X19" s="15" cm="1">
        <f t="array" ref="X19">+HLOOKUP($A$1,+[16]İcmal!$B$19:$AG$49,ROW(O17)+1,FALSE)</f>
        <v>0</v>
      </c>
      <c r="Y19" s="15" cm="1">
        <f t="array" ref="Y19">+HLOOKUP($A$1,+[17]İcmal!$B$19:$AG$49,ROW(P17)+1,FALSE)</f>
        <v>0</v>
      </c>
      <c r="Z19" s="15" cm="1">
        <f t="array" ref="Z19">+HLOOKUP($A$1,+[18]İcmal!$B$19:$AG$49,ROW(Q17)+1,FALSE)</f>
        <v>0</v>
      </c>
      <c r="AA19" s="15" cm="1">
        <f t="array" ref="AA19">+HLOOKUP($A$1,+[19]İcmal!$B$19:$AG$49,ROW(R17)+1,FALSE)</f>
        <v>0</v>
      </c>
      <c r="AB19" s="15" cm="1">
        <f t="array" ref="AB19">+HLOOKUP($A$1,+[20]İcmal!$B$19:$AG$49,ROW(S17)+1,FALSE)</f>
        <v>0</v>
      </c>
      <c r="AC19" s="15" cm="1">
        <f t="array" ref="AC19">+HLOOKUP($A$1,+[21]İcmal!$B$19:$AG$49,ROW(T17)+1,FALSE)</f>
        <v>0</v>
      </c>
      <c r="AD19" s="15" cm="1">
        <f t="array" ref="AD19">+HLOOKUP($A$1,+[22]İcmal!$B$19:$AG$49,ROW(U17)+1,FALSE)</f>
        <v>0</v>
      </c>
      <c r="AE19" s="15" cm="1">
        <f t="array" ref="AE19">+HLOOKUP($A$1,+[23]İcmal!$B$19:$AG$49,ROW(V17)+1,FALSE)</f>
        <v>0</v>
      </c>
      <c r="AF19" s="15" cm="1">
        <f t="array" ref="AF19">+HLOOKUP($A$1,+[24]İcmal!$B$19:$AG$49,ROW(W17)+1,FALSE)</f>
        <v>0</v>
      </c>
      <c r="AG19" s="15" cm="1">
        <f t="array" ref="AG19">+HLOOKUP($A$1,+[25]İcmal!$B$19:$AG$49,ROW(X17)+1,FALSE)</f>
        <v>0</v>
      </c>
      <c r="AH19" s="15" cm="1">
        <f t="array" ref="AH19">+HLOOKUP($A$1,+[26]İcmal!$B$19:$AG$49,ROW(Y17)+1,FALSE)</f>
        <v>0</v>
      </c>
      <c r="AI19" s="15" cm="1">
        <f t="array" ref="AI19">+HLOOKUP($A$1,+[27]İcmal!$B$19:$AG$49,ROW(Z17)+1,FALSE)</f>
        <v>0</v>
      </c>
      <c r="AJ19" s="15" cm="1">
        <f t="array" ref="AJ19">+HLOOKUP($A$1,+[28]İcmal!$B$19:$AG$49,ROW(AA17)+1,FALSE)</f>
        <v>0</v>
      </c>
      <c r="AK19" s="15" cm="1">
        <f t="array" ref="AK19">+HLOOKUP($A$1,+[29]İcmal!$B$19:$AG$49,ROW(AB17)+1,FALSE)</f>
        <v>0</v>
      </c>
      <c r="AL19" s="15"/>
      <c r="AM19" s="15"/>
      <c r="AN19" s="15"/>
      <c r="AO19" s="15"/>
      <c r="AP19" s="15"/>
      <c r="AQ19" s="15"/>
      <c r="AR19" s="15"/>
      <c r="AS19" s="15"/>
      <c r="AT19" s="13"/>
    </row>
    <row r="20" spans="1:46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+HLOOKUP($A$1,+[2]İcmal!$B$19:$AG$49,ROW(A18)+1,FALSE)</f>
        <v>0</v>
      </c>
      <c r="K20" s="15" cm="1">
        <f t="array" ref="K20">+HLOOKUP($A$1,+[3]İcmal!$B$19:$AG$49,ROW(B18)+1,FALSE)</f>
        <v>0</v>
      </c>
      <c r="L20" s="15" cm="1">
        <f t="array" ref="L20">+HLOOKUP($A$1,+[4]İcmal!$B$19:$AG$49,ROW(C18)+1,FALSE)</f>
        <v>0</v>
      </c>
      <c r="M20" s="15" cm="1">
        <f t="array" ref="M20">+HLOOKUP($A$1,+[5]İcmal!$B$19:$AG$49,ROW(D18)+1,FALSE)</f>
        <v>0</v>
      </c>
      <c r="N20" s="15" cm="1">
        <f t="array" ref="N20">+HLOOKUP($A$1,+[6]İcmal!$B$19:$AG$49,ROW(E18)+1,FALSE)</f>
        <v>0</v>
      </c>
      <c r="O20" s="15" cm="1">
        <f t="array" ref="O20">+HLOOKUP($A$1,+[7]İcmal!$B$19:$AG$49,ROW(F18)+1,FALSE)</f>
        <v>0</v>
      </c>
      <c r="P20" s="15" cm="1">
        <f t="array" ref="P20">+HLOOKUP($A$1,+[8]İcmal!$B$19:$AG$49,ROW(G18)+1,FALSE)</f>
        <v>0</v>
      </c>
      <c r="Q20" s="15" cm="1">
        <f t="array" ref="Q20">+HLOOKUP($A$1,+[9]İcmal!$B$19:$AG$49,ROW(H18)+1,FALSE)</f>
        <v>0</v>
      </c>
      <c r="R20" s="15" cm="1">
        <f t="array" ref="R20">+HLOOKUP($A$1,+[10]İcmal!$B$19:$AG$49,ROW(I18)+1,FALSE)</f>
        <v>0</v>
      </c>
      <c r="S20" s="15" cm="1">
        <f t="array" ref="S20">+HLOOKUP($A$1,+[11]İcmal!$B$19:$AG$49,ROW(J18)+1,FALSE)</f>
        <v>0</v>
      </c>
      <c r="T20" s="15" cm="1">
        <f t="array" ref="T20">+HLOOKUP($A$1,+[12]İcmal!$B$19:$AG$49,ROW(K18)+1,FALSE)</f>
        <v>0</v>
      </c>
      <c r="U20" s="15" cm="1">
        <f t="array" ref="U20">+HLOOKUP($A$1,+[13]İcmal!$B$19:$AG$49,ROW(L18)+1,FALSE)</f>
        <v>0</v>
      </c>
      <c r="V20" s="15" cm="1">
        <f t="array" ref="V20">+HLOOKUP($A$1,+[14]İcmal!$B$19:$AG$49,ROW(M18)+1,FALSE)</f>
        <v>0</v>
      </c>
      <c r="W20" s="15" cm="1">
        <f t="array" ref="W20">+HLOOKUP($A$1,+[15]İcmal!$B$19:$AG$49,ROW(N18)+1,FALSE)</f>
        <v>0</v>
      </c>
      <c r="X20" s="15" cm="1">
        <f t="array" ref="X20">+HLOOKUP($A$1,+[16]İcmal!$B$19:$AG$49,ROW(O18)+1,FALSE)</f>
        <v>0</v>
      </c>
      <c r="Y20" s="15" cm="1">
        <f t="array" ref="Y20">+HLOOKUP($A$1,+[17]İcmal!$B$19:$AG$49,ROW(P18)+1,FALSE)</f>
        <v>0</v>
      </c>
      <c r="Z20" s="15" cm="1">
        <f t="array" ref="Z20">+HLOOKUP($A$1,+[18]İcmal!$B$19:$AG$49,ROW(Q18)+1,FALSE)</f>
        <v>0</v>
      </c>
      <c r="AA20" s="15" cm="1">
        <f t="array" ref="AA20">+HLOOKUP($A$1,+[19]İcmal!$B$19:$AG$49,ROW(R18)+1,FALSE)</f>
        <v>0</v>
      </c>
      <c r="AB20" s="15" cm="1">
        <f t="array" ref="AB20">+HLOOKUP($A$1,+[20]İcmal!$B$19:$AG$49,ROW(S18)+1,FALSE)</f>
        <v>0</v>
      </c>
      <c r="AC20" s="15" cm="1">
        <f t="array" ref="AC20">+HLOOKUP($A$1,+[21]İcmal!$B$19:$AG$49,ROW(T18)+1,FALSE)</f>
        <v>0</v>
      </c>
      <c r="AD20" s="15" cm="1">
        <f t="array" ref="AD20">+HLOOKUP($A$1,+[22]İcmal!$B$19:$AG$49,ROW(U18)+1,FALSE)</f>
        <v>0</v>
      </c>
      <c r="AE20" s="15" cm="1">
        <f t="array" ref="AE20">+HLOOKUP($A$1,+[23]İcmal!$B$19:$AG$49,ROW(V18)+1,FALSE)</f>
        <v>0</v>
      </c>
      <c r="AF20" s="15" cm="1">
        <f t="array" ref="AF20">+HLOOKUP($A$1,+[24]İcmal!$B$19:$AG$49,ROW(W18)+1,FALSE)</f>
        <v>0</v>
      </c>
      <c r="AG20" s="15" cm="1">
        <f t="array" ref="AG20">+HLOOKUP($A$1,+[25]İcmal!$B$19:$AG$49,ROW(X18)+1,FALSE)</f>
        <v>0</v>
      </c>
      <c r="AH20" s="15" cm="1">
        <f t="array" ref="AH20">+HLOOKUP($A$1,+[26]İcmal!$B$19:$AG$49,ROW(Y18)+1,FALSE)</f>
        <v>0</v>
      </c>
      <c r="AI20" s="15" cm="1">
        <f t="array" ref="AI20">+HLOOKUP($A$1,+[27]İcmal!$B$19:$AG$49,ROW(Z18)+1,FALSE)</f>
        <v>0</v>
      </c>
      <c r="AJ20" s="15" cm="1">
        <f t="array" ref="AJ20">+HLOOKUP($A$1,+[28]İcmal!$B$19:$AG$49,ROW(AA18)+1,FALSE)</f>
        <v>0</v>
      </c>
      <c r="AK20" s="15" cm="1">
        <f t="array" ref="AK20">+HLOOKUP($A$1,+[29]İcmal!$B$19:$AG$49,ROW(AB18)+1,FALSE)</f>
        <v>0</v>
      </c>
      <c r="AL20" s="15"/>
      <c r="AM20" s="15"/>
      <c r="AN20" s="15"/>
      <c r="AO20" s="15"/>
      <c r="AP20" s="15"/>
      <c r="AQ20" s="15"/>
      <c r="AR20" s="15"/>
      <c r="AS20" s="15"/>
      <c r="AT20" s="13"/>
    </row>
    <row r="21" spans="1:46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+HLOOKUP($A$1,+[2]İcmal!$B$19:$AG$49,ROW(A19)+1,FALSE)</f>
        <v>0</v>
      </c>
      <c r="K21" s="15" cm="1">
        <f t="array" ref="K21">+HLOOKUP($A$1,+[3]İcmal!$B$19:$AG$49,ROW(B19)+1,FALSE)</f>
        <v>0</v>
      </c>
      <c r="L21" s="15" cm="1">
        <f t="array" ref="L21">+HLOOKUP($A$1,+[4]İcmal!$B$19:$AG$49,ROW(C19)+1,FALSE)</f>
        <v>0</v>
      </c>
      <c r="M21" s="15" cm="1">
        <f t="array" ref="M21">+HLOOKUP($A$1,+[5]İcmal!$B$19:$AG$49,ROW(D19)+1,FALSE)</f>
        <v>0</v>
      </c>
      <c r="N21" s="15" cm="1">
        <f t="array" ref="N21">+HLOOKUP($A$1,+[6]İcmal!$B$19:$AG$49,ROW(E19)+1,FALSE)</f>
        <v>0</v>
      </c>
      <c r="O21" s="15" cm="1">
        <f t="array" ref="O21">+HLOOKUP($A$1,+[7]İcmal!$B$19:$AG$49,ROW(F19)+1,FALSE)</f>
        <v>0</v>
      </c>
      <c r="P21" s="15" cm="1">
        <f t="array" ref="P21">+HLOOKUP($A$1,+[8]İcmal!$B$19:$AG$49,ROW(G19)+1,FALSE)</f>
        <v>0</v>
      </c>
      <c r="Q21" s="15" cm="1">
        <f t="array" ref="Q21">+HLOOKUP($A$1,+[9]İcmal!$B$19:$AG$49,ROW(H19)+1,FALSE)</f>
        <v>0</v>
      </c>
      <c r="R21" s="15" cm="1">
        <f t="array" ref="R21">+HLOOKUP($A$1,+[10]İcmal!$B$19:$AG$49,ROW(I19)+1,FALSE)</f>
        <v>0</v>
      </c>
      <c r="S21" s="15" cm="1">
        <f t="array" ref="S21">+HLOOKUP($A$1,+[11]İcmal!$B$19:$AG$49,ROW(J19)+1,FALSE)</f>
        <v>0</v>
      </c>
      <c r="T21" s="15" cm="1">
        <f t="array" ref="T21">+HLOOKUP($A$1,+[12]İcmal!$B$19:$AG$49,ROW(K19)+1,FALSE)</f>
        <v>0</v>
      </c>
      <c r="U21" s="15" cm="1">
        <f t="array" ref="U21">+HLOOKUP($A$1,+[13]İcmal!$B$19:$AG$49,ROW(L19)+1,FALSE)</f>
        <v>0</v>
      </c>
      <c r="V21" s="15" cm="1">
        <f t="array" ref="V21">+HLOOKUP($A$1,+[14]İcmal!$B$19:$AG$49,ROW(M19)+1,FALSE)</f>
        <v>0</v>
      </c>
      <c r="W21" s="15" cm="1">
        <f t="array" ref="W21">+HLOOKUP($A$1,+[15]İcmal!$B$19:$AG$49,ROW(N19)+1,FALSE)</f>
        <v>0</v>
      </c>
      <c r="X21" s="15" cm="1">
        <f t="array" ref="X21">+HLOOKUP($A$1,+[16]İcmal!$B$19:$AG$49,ROW(O19)+1,FALSE)</f>
        <v>0</v>
      </c>
      <c r="Y21" s="15" cm="1">
        <f t="array" ref="Y21">+HLOOKUP($A$1,+[17]İcmal!$B$19:$AG$49,ROW(P19)+1,FALSE)</f>
        <v>0</v>
      </c>
      <c r="Z21" s="15" cm="1">
        <f t="array" ref="Z21">+HLOOKUP($A$1,+[18]İcmal!$B$19:$AG$49,ROW(Q19)+1,FALSE)</f>
        <v>0</v>
      </c>
      <c r="AA21" s="15" cm="1">
        <f t="array" ref="AA21">+HLOOKUP($A$1,+[19]İcmal!$B$19:$AG$49,ROW(R19)+1,FALSE)</f>
        <v>0</v>
      </c>
      <c r="AB21" s="15" cm="1">
        <f t="array" ref="AB21">+HLOOKUP($A$1,+[20]İcmal!$B$19:$AG$49,ROW(S19)+1,FALSE)</f>
        <v>0</v>
      </c>
      <c r="AC21" s="15" cm="1">
        <f t="array" ref="AC21">+HLOOKUP($A$1,+[21]İcmal!$B$19:$AG$49,ROW(T19)+1,FALSE)</f>
        <v>0</v>
      </c>
      <c r="AD21" s="15" cm="1">
        <f t="array" ref="AD21">+HLOOKUP($A$1,+[22]İcmal!$B$19:$AG$49,ROW(U19)+1,FALSE)</f>
        <v>0</v>
      </c>
      <c r="AE21" s="15" cm="1">
        <f t="array" ref="AE21">+HLOOKUP($A$1,+[23]İcmal!$B$19:$AG$49,ROW(V19)+1,FALSE)</f>
        <v>0</v>
      </c>
      <c r="AF21" s="15" cm="1">
        <f t="array" ref="AF21">+HLOOKUP($A$1,+[24]İcmal!$B$19:$AG$49,ROW(W19)+1,FALSE)</f>
        <v>0</v>
      </c>
      <c r="AG21" s="15" cm="1">
        <f t="array" ref="AG21">+HLOOKUP($A$1,+[25]İcmal!$B$19:$AG$49,ROW(X19)+1,FALSE)</f>
        <v>0</v>
      </c>
      <c r="AH21" s="15" cm="1">
        <f t="array" ref="AH21">+HLOOKUP($A$1,+[26]İcmal!$B$19:$AG$49,ROW(Y19)+1,FALSE)</f>
        <v>0</v>
      </c>
      <c r="AI21" s="15" cm="1">
        <f t="array" ref="AI21">+HLOOKUP($A$1,+[27]İcmal!$B$19:$AG$49,ROW(Z19)+1,FALSE)</f>
        <v>0</v>
      </c>
      <c r="AJ21" s="15" cm="1">
        <f t="array" ref="AJ21">+HLOOKUP($A$1,+[28]İcmal!$B$19:$AG$49,ROW(AA19)+1,FALSE)</f>
        <v>0</v>
      </c>
      <c r="AK21" s="15" cm="1">
        <f t="array" ref="AK21">+HLOOKUP($A$1,+[29]İcmal!$B$19:$AG$49,ROW(AB19)+1,FALSE)</f>
        <v>0</v>
      </c>
      <c r="AL21" s="15"/>
      <c r="AM21" s="15"/>
      <c r="AN21" s="15"/>
      <c r="AO21" s="15"/>
      <c r="AP21" s="15"/>
      <c r="AQ21" s="15"/>
      <c r="AR21" s="15"/>
      <c r="AS21" s="15"/>
      <c r="AT21" s="13"/>
    </row>
    <row r="22" spans="1:46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+HLOOKUP($A$1,+[2]İcmal!$B$19:$AG$49,ROW(A20)+1,FALSE)</f>
        <v>0</v>
      </c>
      <c r="K22" s="15" cm="1">
        <f t="array" ref="K22">+HLOOKUP($A$1,+[3]İcmal!$B$19:$AG$49,ROW(B20)+1,FALSE)</f>
        <v>0</v>
      </c>
      <c r="L22" s="15" cm="1">
        <f t="array" ref="L22">+HLOOKUP($A$1,+[4]İcmal!$B$19:$AG$49,ROW(C20)+1,FALSE)</f>
        <v>0</v>
      </c>
      <c r="M22" s="15" cm="1">
        <f t="array" ref="M22">+HLOOKUP($A$1,+[5]İcmal!$B$19:$AG$49,ROW(D20)+1,FALSE)</f>
        <v>0</v>
      </c>
      <c r="N22" s="15" cm="1">
        <f t="array" ref="N22">+HLOOKUP($A$1,+[6]İcmal!$B$19:$AG$49,ROW(E20)+1,FALSE)</f>
        <v>0</v>
      </c>
      <c r="O22" s="15" cm="1">
        <f t="array" ref="O22">+HLOOKUP($A$1,+[7]İcmal!$B$19:$AG$49,ROW(F20)+1,FALSE)</f>
        <v>0</v>
      </c>
      <c r="P22" s="15" cm="1">
        <f t="array" ref="P22">+HLOOKUP($A$1,+[8]İcmal!$B$19:$AG$49,ROW(G20)+1,FALSE)</f>
        <v>0</v>
      </c>
      <c r="Q22" s="15" cm="1">
        <f t="array" ref="Q22">+HLOOKUP($A$1,+[9]İcmal!$B$19:$AG$49,ROW(H20)+1,FALSE)</f>
        <v>0</v>
      </c>
      <c r="R22" s="15" cm="1">
        <f t="array" ref="R22">+HLOOKUP($A$1,+[10]İcmal!$B$19:$AG$49,ROW(I20)+1,FALSE)</f>
        <v>0</v>
      </c>
      <c r="S22" s="15" cm="1">
        <f t="array" ref="S22">+HLOOKUP($A$1,+[11]İcmal!$B$19:$AG$49,ROW(J20)+1,FALSE)</f>
        <v>0</v>
      </c>
      <c r="T22" s="15" cm="1">
        <f t="array" ref="T22">+HLOOKUP($A$1,+[12]İcmal!$B$19:$AG$49,ROW(K20)+1,FALSE)</f>
        <v>0</v>
      </c>
      <c r="U22" s="15" cm="1">
        <f t="array" ref="U22">+HLOOKUP($A$1,+[13]İcmal!$B$19:$AG$49,ROW(L20)+1,FALSE)</f>
        <v>0</v>
      </c>
      <c r="V22" s="15" cm="1">
        <f t="array" ref="V22">+HLOOKUP($A$1,+[14]İcmal!$B$19:$AG$49,ROW(M20)+1,FALSE)</f>
        <v>0</v>
      </c>
      <c r="W22" s="15" cm="1">
        <f t="array" ref="W22">+HLOOKUP($A$1,+[15]İcmal!$B$19:$AG$49,ROW(N20)+1,FALSE)</f>
        <v>0</v>
      </c>
      <c r="X22" s="15" cm="1">
        <f t="array" ref="X22">+HLOOKUP($A$1,+[16]İcmal!$B$19:$AG$49,ROW(O20)+1,FALSE)</f>
        <v>0</v>
      </c>
      <c r="Y22" s="15" cm="1">
        <f t="array" ref="Y22">+HLOOKUP($A$1,+[17]İcmal!$B$19:$AG$49,ROW(P20)+1,FALSE)</f>
        <v>0</v>
      </c>
      <c r="Z22" s="15" cm="1">
        <f t="array" ref="Z22">+HLOOKUP($A$1,+[18]İcmal!$B$19:$AG$49,ROW(Q20)+1,FALSE)</f>
        <v>0</v>
      </c>
      <c r="AA22" s="15" cm="1">
        <f t="array" ref="AA22">+HLOOKUP($A$1,+[19]İcmal!$B$19:$AG$49,ROW(R20)+1,FALSE)</f>
        <v>0</v>
      </c>
      <c r="AB22" s="15" cm="1">
        <f t="array" ref="AB22">+HLOOKUP($A$1,+[20]İcmal!$B$19:$AG$49,ROW(S20)+1,FALSE)</f>
        <v>0</v>
      </c>
      <c r="AC22" s="15" cm="1">
        <f t="array" ref="AC22">+HLOOKUP($A$1,+[21]İcmal!$B$19:$AG$49,ROW(T20)+1,FALSE)</f>
        <v>0</v>
      </c>
      <c r="AD22" s="15" cm="1">
        <f t="array" ref="AD22">+HLOOKUP($A$1,+[22]İcmal!$B$19:$AG$49,ROW(U20)+1,FALSE)</f>
        <v>0</v>
      </c>
      <c r="AE22" s="15" cm="1">
        <f t="array" ref="AE22">+HLOOKUP($A$1,+[23]İcmal!$B$19:$AG$49,ROW(V20)+1,FALSE)</f>
        <v>0</v>
      </c>
      <c r="AF22" s="15" cm="1">
        <f t="array" ref="AF22">+HLOOKUP($A$1,+[24]İcmal!$B$19:$AG$49,ROW(W20)+1,FALSE)</f>
        <v>0</v>
      </c>
      <c r="AG22" s="15" cm="1">
        <f t="array" ref="AG22">+HLOOKUP($A$1,+[25]İcmal!$B$19:$AG$49,ROW(X20)+1,FALSE)</f>
        <v>0</v>
      </c>
      <c r="AH22" s="15" cm="1">
        <f t="array" ref="AH22">+HLOOKUP($A$1,+[26]İcmal!$B$19:$AG$49,ROW(Y20)+1,FALSE)</f>
        <v>0</v>
      </c>
      <c r="AI22" s="15" cm="1">
        <f t="array" ref="AI22">+HLOOKUP($A$1,+[27]İcmal!$B$19:$AG$49,ROW(Z20)+1,FALSE)</f>
        <v>0</v>
      </c>
      <c r="AJ22" s="15" cm="1">
        <f t="array" ref="AJ22">+HLOOKUP($A$1,+[28]İcmal!$B$19:$AG$49,ROW(AA20)+1,FALSE)</f>
        <v>0</v>
      </c>
      <c r="AK22" s="15" cm="1">
        <f t="array" ref="AK22">+HLOOKUP($A$1,+[29]İcmal!$B$19:$AG$49,ROW(AB20)+1,FALSE)</f>
        <v>0</v>
      </c>
      <c r="AL22" s="15"/>
      <c r="AM22" s="15"/>
      <c r="AN22" s="15"/>
      <c r="AO22" s="15"/>
      <c r="AP22" s="15"/>
      <c r="AQ22" s="15"/>
      <c r="AR22" s="15"/>
      <c r="AS22" s="15"/>
      <c r="AT22" s="13"/>
    </row>
    <row r="23" spans="1:46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+HLOOKUP($A$1,+[2]İcmal!$B$19:$AG$49,ROW(A21)+1,FALSE)</f>
        <v>0</v>
      </c>
      <c r="K23" s="15" cm="1">
        <f t="array" ref="K23">+HLOOKUP($A$1,+[3]İcmal!$B$19:$AG$49,ROW(B21)+1,FALSE)</f>
        <v>0</v>
      </c>
      <c r="L23" s="15" cm="1">
        <f t="array" ref="L23">+HLOOKUP($A$1,+[4]İcmal!$B$19:$AG$49,ROW(C21)+1,FALSE)</f>
        <v>0</v>
      </c>
      <c r="M23" s="15" cm="1">
        <f t="array" ref="M23">+HLOOKUP($A$1,+[5]İcmal!$B$19:$AG$49,ROW(D21)+1,FALSE)</f>
        <v>0</v>
      </c>
      <c r="N23" s="15" cm="1">
        <f t="array" ref="N23">+HLOOKUP($A$1,+[6]İcmal!$B$19:$AG$49,ROW(E21)+1,FALSE)</f>
        <v>0</v>
      </c>
      <c r="O23" s="15" cm="1">
        <f t="array" ref="O23">+HLOOKUP($A$1,+[7]İcmal!$B$19:$AG$49,ROW(F21)+1,FALSE)</f>
        <v>0</v>
      </c>
      <c r="P23" s="15" cm="1">
        <f t="array" ref="P23">+HLOOKUP($A$1,+[8]İcmal!$B$19:$AG$49,ROW(G21)+1,FALSE)</f>
        <v>0</v>
      </c>
      <c r="Q23" s="15" cm="1">
        <f t="array" ref="Q23">+HLOOKUP($A$1,+[9]İcmal!$B$19:$AG$49,ROW(H21)+1,FALSE)</f>
        <v>0</v>
      </c>
      <c r="R23" s="15" cm="1">
        <f t="array" ref="R23">+HLOOKUP($A$1,+[10]İcmal!$B$19:$AG$49,ROW(I21)+1,FALSE)</f>
        <v>0</v>
      </c>
      <c r="S23" s="15" cm="1">
        <f t="array" ref="S23">+HLOOKUP($A$1,+[11]İcmal!$B$19:$AG$49,ROW(J21)+1,FALSE)</f>
        <v>0</v>
      </c>
      <c r="T23" s="15" cm="1">
        <f t="array" ref="T23">+HLOOKUP($A$1,+[12]İcmal!$B$19:$AG$49,ROW(K21)+1,FALSE)</f>
        <v>0</v>
      </c>
      <c r="U23" s="15" cm="1">
        <f t="array" ref="U23">+HLOOKUP($A$1,+[13]İcmal!$B$19:$AG$49,ROW(L21)+1,FALSE)</f>
        <v>0</v>
      </c>
      <c r="V23" s="15" cm="1">
        <f t="array" ref="V23">+HLOOKUP($A$1,+[14]İcmal!$B$19:$AG$49,ROW(M21)+1,FALSE)</f>
        <v>0</v>
      </c>
      <c r="W23" s="15" cm="1">
        <f t="array" ref="W23">+HLOOKUP($A$1,+[15]İcmal!$B$19:$AG$49,ROW(N21)+1,FALSE)</f>
        <v>0</v>
      </c>
      <c r="X23" s="15" cm="1">
        <f t="array" ref="X23">+HLOOKUP($A$1,+[16]İcmal!$B$19:$AG$49,ROW(O21)+1,FALSE)</f>
        <v>0</v>
      </c>
      <c r="Y23" s="15" cm="1">
        <f t="array" ref="Y23">+HLOOKUP($A$1,+[17]İcmal!$B$19:$AG$49,ROW(P21)+1,FALSE)</f>
        <v>0</v>
      </c>
      <c r="Z23" s="15" cm="1">
        <f t="array" ref="Z23">+HLOOKUP($A$1,+[18]İcmal!$B$19:$AG$49,ROW(Q21)+1,FALSE)</f>
        <v>0</v>
      </c>
      <c r="AA23" s="15" cm="1">
        <f t="array" ref="AA23">+HLOOKUP($A$1,+[19]İcmal!$B$19:$AG$49,ROW(R21)+1,FALSE)</f>
        <v>0</v>
      </c>
      <c r="AB23" s="15" cm="1">
        <f t="array" ref="AB23">+HLOOKUP($A$1,+[20]İcmal!$B$19:$AG$49,ROW(S21)+1,FALSE)</f>
        <v>0</v>
      </c>
      <c r="AC23" s="15" cm="1">
        <f t="array" ref="AC23">+HLOOKUP($A$1,+[21]İcmal!$B$19:$AG$49,ROW(T21)+1,FALSE)</f>
        <v>0</v>
      </c>
      <c r="AD23" s="15" cm="1">
        <f t="array" ref="AD23">+HLOOKUP($A$1,+[22]İcmal!$B$19:$AG$49,ROW(U21)+1,FALSE)</f>
        <v>0</v>
      </c>
      <c r="AE23" s="15" cm="1">
        <f t="array" ref="AE23">+HLOOKUP($A$1,+[23]İcmal!$B$19:$AG$49,ROW(V21)+1,FALSE)</f>
        <v>0</v>
      </c>
      <c r="AF23" s="15" cm="1">
        <f t="array" ref="AF23">+HLOOKUP($A$1,+[24]İcmal!$B$19:$AG$49,ROW(W21)+1,FALSE)</f>
        <v>0</v>
      </c>
      <c r="AG23" s="15" cm="1">
        <f t="array" ref="AG23">+HLOOKUP($A$1,+[25]İcmal!$B$19:$AG$49,ROW(X21)+1,FALSE)</f>
        <v>0</v>
      </c>
      <c r="AH23" s="15" cm="1">
        <f t="array" ref="AH23">+HLOOKUP($A$1,+[26]İcmal!$B$19:$AG$49,ROW(Y21)+1,FALSE)</f>
        <v>0</v>
      </c>
      <c r="AI23" s="15" cm="1">
        <f t="array" ref="AI23">+HLOOKUP($A$1,+[27]İcmal!$B$19:$AG$49,ROW(Z21)+1,FALSE)</f>
        <v>0</v>
      </c>
      <c r="AJ23" s="15" cm="1">
        <f t="array" ref="AJ23">+HLOOKUP($A$1,+[28]İcmal!$B$19:$AG$49,ROW(AA21)+1,FALSE)</f>
        <v>0</v>
      </c>
      <c r="AK23" s="15" cm="1">
        <f t="array" ref="AK23">+HLOOKUP($A$1,+[29]İcmal!$B$19:$AG$49,ROW(AB21)+1,FALSE)</f>
        <v>0</v>
      </c>
      <c r="AL23" s="15"/>
      <c r="AM23" s="15"/>
      <c r="AN23" s="15"/>
      <c r="AO23" s="15"/>
      <c r="AP23" s="15"/>
      <c r="AQ23" s="15"/>
      <c r="AR23" s="15"/>
      <c r="AS23" s="15"/>
      <c r="AT23" s="13"/>
    </row>
    <row r="24" spans="1:46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+HLOOKUP($A$1,+[2]İcmal!$B$19:$AG$49,ROW(A22)+1,FALSE)</f>
        <v>0</v>
      </c>
      <c r="K24" s="15" cm="1">
        <f t="array" ref="K24">+HLOOKUP($A$1,+[3]İcmal!$B$19:$AG$49,ROW(B22)+1,FALSE)</f>
        <v>0</v>
      </c>
      <c r="L24" s="15" cm="1">
        <f t="array" ref="L24">+HLOOKUP($A$1,+[4]İcmal!$B$19:$AG$49,ROW(C22)+1,FALSE)</f>
        <v>0</v>
      </c>
      <c r="M24" s="15" cm="1">
        <f t="array" ref="M24">+HLOOKUP($A$1,+[5]İcmal!$B$19:$AG$49,ROW(D22)+1,FALSE)</f>
        <v>0</v>
      </c>
      <c r="N24" s="15" cm="1">
        <f t="array" ref="N24">+HLOOKUP($A$1,+[6]İcmal!$B$19:$AG$49,ROW(E22)+1,FALSE)</f>
        <v>0</v>
      </c>
      <c r="O24" s="15" cm="1">
        <f t="array" ref="O24">+HLOOKUP($A$1,+[7]İcmal!$B$19:$AG$49,ROW(F22)+1,FALSE)</f>
        <v>0</v>
      </c>
      <c r="P24" s="15" cm="1">
        <f t="array" ref="P24">+HLOOKUP($A$1,+[8]İcmal!$B$19:$AG$49,ROW(G22)+1,FALSE)</f>
        <v>0</v>
      </c>
      <c r="Q24" s="15" cm="1">
        <f t="array" ref="Q24">+HLOOKUP($A$1,+[9]İcmal!$B$19:$AG$49,ROW(H22)+1,FALSE)</f>
        <v>0</v>
      </c>
      <c r="R24" s="15" cm="1">
        <f t="array" ref="R24">+HLOOKUP($A$1,+[10]İcmal!$B$19:$AG$49,ROW(I22)+1,FALSE)</f>
        <v>0</v>
      </c>
      <c r="S24" s="15" cm="1">
        <f t="array" ref="S24">+HLOOKUP($A$1,+[11]İcmal!$B$19:$AG$49,ROW(J22)+1,FALSE)</f>
        <v>0</v>
      </c>
      <c r="T24" s="15" cm="1">
        <f t="array" ref="T24">+HLOOKUP($A$1,+[12]İcmal!$B$19:$AG$49,ROW(K22)+1,FALSE)</f>
        <v>0</v>
      </c>
      <c r="U24" s="15" cm="1">
        <f t="array" ref="U24">+HLOOKUP($A$1,+[13]İcmal!$B$19:$AG$49,ROW(L22)+1,FALSE)</f>
        <v>0</v>
      </c>
      <c r="V24" s="15" cm="1">
        <f t="array" ref="V24">+HLOOKUP($A$1,+[14]İcmal!$B$19:$AG$49,ROW(M22)+1,FALSE)</f>
        <v>0</v>
      </c>
      <c r="W24" s="15" cm="1">
        <f t="array" ref="W24">+HLOOKUP($A$1,+[15]İcmal!$B$19:$AG$49,ROW(N22)+1,FALSE)</f>
        <v>0</v>
      </c>
      <c r="X24" s="15" cm="1">
        <f t="array" ref="X24">+HLOOKUP($A$1,+[16]İcmal!$B$19:$AG$49,ROW(O22)+1,FALSE)</f>
        <v>0</v>
      </c>
      <c r="Y24" s="15" cm="1">
        <f t="array" ref="Y24">+HLOOKUP($A$1,+[17]İcmal!$B$19:$AG$49,ROW(P22)+1,FALSE)</f>
        <v>0</v>
      </c>
      <c r="Z24" s="15" cm="1">
        <f t="array" ref="Z24">+HLOOKUP($A$1,+[18]İcmal!$B$19:$AG$49,ROW(Q22)+1,FALSE)</f>
        <v>0</v>
      </c>
      <c r="AA24" s="15" cm="1">
        <f t="array" ref="AA24">+HLOOKUP($A$1,+[19]İcmal!$B$19:$AG$49,ROW(R22)+1,FALSE)</f>
        <v>0</v>
      </c>
      <c r="AB24" s="15" cm="1">
        <f t="array" ref="AB24">+HLOOKUP($A$1,+[20]İcmal!$B$19:$AG$49,ROW(S22)+1,FALSE)</f>
        <v>0</v>
      </c>
      <c r="AC24" s="15" cm="1">
        <f t="array" ref="AC24">+HLOOKUP($A$1,+[21]İcmal!$B$19:$AG$49,ROW(T22)+1,FALSE)</f>
        <v>0</v>
      </c>
      <c r="AD24" s="15" cm="1">
        <f t="array" ref="AD24">+HLOOKUP($A$1,+[22]İcmal!$B$19:$AG$49,ROW(U22)+1,FALSE)</f>
        <v>0</v>
      </c>
      <c r="AE24" s="15" cm="1">
        <f t="array" ref="AE24">+HLOOKUP($A$1,+[23]İcmal!$B$19:$AG$49,ROW(V22)+1,FALSE)</f>
        <v>0</v>
      </c>
      <c r="AF24" s="15" cm="1">
        <f t="array" ref="AF24">+HLOOKUP($A$1,+[24]İcmal!$B$19:$AG$49,ROW(W22)+1,FALSE)</f>
        <v>0</v>
      </c>
      <c r="AG24" s="15" cm="1">
        <f t="array" ref="AG24">+HLOOKUP($A$1,+[25]İcmal!$B$19:$AG$49,ROW(X22)+1,FALSE)</f>
        <v>0</v>
      </c>
      <c r="AH24" s="15" cm="1">
        <f t="array" ref="AH24">+HLOOKUP($A$1,+[26]İcmal!$B$19:$AG$49,ROW(Y22)+1,FALSE)</f>
        <v>0</v>
      </c>
      <c r="AI24" s="15" cm="1">
        <f t="array" ref="AI24">+HLOOKUP($A$1,+[27]İcmal!$B$19:$AG$49,ROW(Z22)+1,FALSE)</f>
        <v>0</v>
      </c>
      <c r="AJ24" s="15" cm="1">
        <f t="array" ref="AJ24">+HLOOKUP($A$1,+[28]İcmal!$B$19:$AG$49,ROW(AA22)+1,FALSE)</f>
        <v>0</v>
      </c>
      <c r="AK24" s="15" cm="1">
        <f t="array" ref="AK24">+HLOOKUP($A$1,+[29]İcmal!$B$19:$AG$49,ROW(AB22)+1,FALSE)</f>
        <v>0</v>
      </c>
      <c r="AL24" s="15"/>
      <c r="AM24" s="15"/>
      <c r="AN24" s="15"/>
      <c r="AO24" s="15"/>
      <c r="AP24" s="15"/>
      <c r="AQ24" s="15"/>
      <c r="AR24" s="15"/>
      <c r="AS24" s="15"/>
      <c r="AT24" s="13"/>
    </row>
    <row r="25" spans="1:46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+HLOOKUP($A$1,+[2]İcmal!$B$19:$AG$49,ROW(A23)+1,FALSE)</f>
        <v>0</v>
      </c>
      <c r="K25" s="15" cm="1">
        <f t="array" ref="K25">+HLOOKUP($A$1,+[3]İcmal!$B$19:$AG$49,ROW(B23)+1,FALSE)</f>
        <v>0</v>
      </c>
      <c r="L25" s="15" cm="1">
        <f t="array" ref="L25">+HLOOKUP($A$1,+[4]İcmal!$B$19:$AG$49,ROW(C23)+1,FALSE)</f>
        <v>0</v>
      </c>
      <c r="M25" s="15" cm="1">
        <f t="array" ref="M25">+HLOOKUP($A$1,+[5]İcmal!$B$19:$AG$49,ROW(D23)+1,FALSE)</f>
        <v>0</v>
      </c>
      <c r="N25" s="15" cm="1">
        <f t="array" ref="N25">+HLOOKUP($A$1,+[6]İcmal!$B$19:$AG$49,ROW(E23)+1,FALSE)</f>
        <v>0</v>
      </c>
      <c r="O25" s="15" cm="1">
        <f t="array" ref="O25">+HLOOKUP($A$1,+[7]İcmal!$B$19:$AG$49,ROW(F23)+1,FALSE)</f>
        <v>0</v>
      </c>
      <c r="P25" s="15" cm="1">
        <f t="array" ref="P25">+HLOOKUP($A$1,+[8]İcmal!$B$19:$AG$49,ROW(G23)+1,FALSE)</f>
        <v>0</v>
      </c>
      <c r="Q25" s="15" cm="1">
        <f t="array" ref="Q25">+HLOOKUP($A$1,+[9]İcmal!$B$19:$AG$49,ROW(H23)+1,FALSE)</f>
        <v>0</v>
      </c>
      <c r="R25" s="15" cm="1">
        <f t="array" ref="R25">+HLOOKUP($A$1,+[10]İcmal!$B$19:$AG$49,ROW(I23)+1,FALSE)</f>
        <v>0</v>
      </c>
      <c r="S25" s="15" cm="1">
        <f t="array" ref="S25">+HLOOKUP($A$1,+[11]İcmal!$B$19:$AG$49,ROW(J23)+1,FALSE)</f>
        <v>0</v>
      </c>
      <c r="T25" s="15" cm="1">
        <f t="array" ref="T25">+HLOOKUP($A$1,+[12]İcmal!$B$19:$AG$49,ROW(K23)+1,FALSE)</f>
        <v>0</v>
      </c>
      <c r="U25" s="15" cm="1">
        <f t="array" ref="U25">+HLOOKUP($A$1,+[13]İcmal!$B$19:$AG$49,ROW(L23)+1,FALSE)</f>
        <v>0</v>
      </c>
      <c r="V25" s="15" cm="1">
        <f t="array" ref="V25">+HLOOKUP($A$1,+[14]İcmal!$B$19:$AG$49,ROW(M23)+1,FALSE)</f>
        <v>0</v>
      </c>
      <c r="W25" s="15" cm="1">
        <f t="array" ref="W25">+HLOOKUP($A$1,+[15]İcmal!$B$19:$AG$49,ROW(N23)+1,FALSE)</f>
        <v>0</v>
      </c>
      <c r="X25" s="15" cm="1">
        <f t="array" ref="X25">+HLOOKUP($A$1,+[16]İcmal!$B$19:$AG$49,ROW(O23)+1,FALSE)</f>
        <v>0</v>
      </c>
      <c r="Y25" s="15" cm="1">
        <f t="array" ref="Y25">+HLOOKUP($A$1,+[17]İcmal!$B$19:$AG$49,ROW(P23)+1,FALSE)</f>
        <v>0</v>
      </c>
      <c r="Z25" s="15" cm="1">
        <f t="array" ref="Z25">+HLOOKUP($A$1,+[18]İcmal!$B$19:$AG$49,ROW(Q23)+1,FALSE)</f>
        <v>0</v>
      </c>
      <c r="AA25" s="15" cm="1">
        <f t="array" ref="AA25">+HLOOKUP($A$1,+[19]İcmal!$B$19:$AG$49,ROW(R23)+1,FALSE)</f>
        <v>0</v>
      </c>
      <c r="AB25" s="15" cm="1">
        <f t="array" ref="AB25">+HLOOKUP($A$1,+[20]İcmal!$B$19:$AG$49,ROW(S23)+1,FALSE)</f>
        <v>0</v>
      </c>
      <c r="AC25" s="15" cm="1">
        <f t="array" ref="AC25">+HLOOKUP($A$1,+[21]İcmal!$B$19:$AG$49,ROW(T23)+1,FALSE)</f>
        <v>0</v>
      </c>
      <c r="AD25" s="15" cm="1">
        <f t="array" ref="AD25">+HLOOKUP($A$1,+[22]İcmal!$B$19:$AG$49,ROW(U23)+1,FALSE)</f>
        <v>0</v>
      </c>
      <c r="AE25" s="15" cm="1">
        <f t="array" ref="AE25">+HLOOKUP($A$1,+[23]İcmal!$B$19:$AG$49,ROW(V23)+1,FALSE)</f>
        <v>0</v>
      </c>
      <c r="AF25" s="15" cm="1">
        <f t="array" ref="AF25">+HLOOKUP($A$1,+[24]İcmal!$B$19:$AG$49,ROW(W23)+1,FALSE)</f>
        <v>0</v>
      </c>
      <c r="AG25" s="15" cm="1">
        <f t="array" ref="AG25">+HLOOKUP($A$1,+[25]İcmal!$B$19:$AG$49,ROW(X23)+1,FALSE)</f>
        <v>0</v>
      </c>
      <c r="AH25" s="15" cm="1">
        <f t="array" ref="AH25">+HLOOKUP($A$1,+[26]İcmal!$B$19:$AG$49,ROW(Y23)+1,FALSE)</f>
        <v>0</v>
      </c>
      <c r="AI25" s="15" cm="1">
        <f t="array" ref="AI25">+HLOOKUP($A$1,+[27]İcmal!$B$19:$AG$49,ROW(Z23)+1,FALSE)</f>
        <v>0</v>
      </c>
      <c r="AJ25" s="15" cm="1">
        <f t="array" ref="AJ25">+HLOOKUP($A$1,+[28]İcmal!$B$19:$AG$49,ROW(AA23)+1,FALSE)</f>
        <v>0</v>
      </c>
      <c r="AK25" s="15" cm="1">
        <f t="array" ref="AK25">+HLOOKUP($A$1,+[29]İcmal!$B$19:$AG$49,ROW(AB23)+1,FALSE)</f>
        <v>0</v>
      </c>
      <c r="AL25" s="15"/>
      <c r="AM25" s="15"/>
      <c r="AN25" s="15"/>
      <c r="AO25" s="15"/>
      <c r="AP25" s="15"/>
      <c r="AQ25" s="15"/>
      <c r="AR25" s="15"/>
      <c r="AS25" s="15"/>
      <c r="AT25" s="13"/>
    </row>
    <row r="26" spans="1:46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+HLOOKUP($A$1,+[2]İcmal!$B$19:$AG$49,ROW(A24)+1,FALSE)</f>
        <v>0</v>
      </c>
      <c r="K26" s="15" cm="1">
        <f t="array" ref="K26">+HLOOKUP($A$1,+[3]İcmal!$B$19:$AG$49,ROW(B24)+1,FALSE)</f>
        <v>0</v>
      </c>
      <c r="L26" s="15" cm="1">
        <f t="array" ref="L26">+HLOOKUP($A$1,+[4]İcmal!$B$19:$AG$49,ROW(C24)+1,FALSE)</f>
        <v>0</v>
      </c>
      <c r="M26" s="15" cm="1">
        <f t="array" ref="M26">+HLOOKUP($A$1,+[5]İcmal!$B$19:$AG$49,ROW(D24)+1,FALSE)</f>
        <v>0</v>
      </c>
      <c r="N26" s="15" cm="1">
        <f t="array" ref="N26">+HLOOKUP($A$1,+[6]İcmal!$B$19:$AG$49,ROW(E24)+1,FALSE)</f>
        <v>0</v>
      </c>
      <c r="O26" s="15" cm="1">
        <f t="array" ref="O26">+HLOOKUP($A$1,+[7]İcmal!$B$19:$AG$49,ROW(F24)+1,FALSE)</f>
        <v>0</v>
      </c>
      <c r="P26" s="15" cm="1">
        <f t="array" ref="P26">+HLOOKUP($A$1,+[8]İcmal!$B$19:$AG$49,ROW(G24)+1,FALSE)</f>
        <v>0</v>
      </c>
      <c r="Q26" s="15" cm="1">
        <f t="array" ref="Q26">+HLOOKUP($A$1,+[9]İcmal!$B$19:$AG$49,ROW(H24)+1,FALSE)</f>
        <v>0</v>
      </c>
      <c r="R26" s="15" cm="1">
        <f t="array" ref="R26">+HLOOKUP($A$1,+[10]İcmal!$B$19:$AG$49,ROW(I24)+1,FALSE)</f>
        <v>0</v>
      </c>
      <c r="S26" s="15" cm="1">
        <f t="array" ref="S26">+HLOOKUP($A$1,+[11]İcmal!$B$19:$AG$49,ROW(J24)+1,FALSE)</f>
        <v>0</v>
      </c>
      <c r="T26" s="15" cm="1">
        <f t="array" ref="T26">+HLOOKUP($A$1,+[12]İcmal!$B$19:$AG$49,ROW(K24)+1,FALSE)</f>
        <v>0</v>
      </c>
      <c r="U26" s="15" cm="1">
        <f t="array" ref="U26">+HLOOKUP($A$1,+[13]İcmal!$B$19:$AG$49,ROW(L24)+1,FALSE)</f>
        <v>0</v>
      </c>
      <c r="V26" s="15" cm="1">
        <f t="array" ref="V26">+HLOOKUP($A$1,+[14]İcmal!$B$19:$AG$49,ROW(M24)+1,FALSE)</f>
        <v>0</v>
      </c>
      <c r="W26" s="15" cm="1">
        <f t="array" ref="W26">+HLOOKUP($A$1,+[15]İcmal!$B$19:$AG$49,ROW(N24)+1,FALSE)</f>
        <v>0</v>
      </c>
      <c r="X26" s="15" cm="1">
        <f t="array" ref="X26">+HLOOKUP($A$1,+[16]İcmal!$B$19:$AG$49,ROW(O24)+1,FALSE)</f>
        <v>0</v>
      </c>
      <c r="Y26" s="15" cm="1">
        <f t="array" ref="Y26">+HLOOKUP($A$1,+[17]İcmal!$B$19:$AG$49,ROW(P24)+1,FALSE)</f>
        <v>0</v>
      </c>
      <c r="Z26" s="15" cm="1">
        <f t="array" ref="Z26">+HLOOKUP($A$1,+[18]İcmal!$B$19:$AG$49,ROW(Q24)+1,FALSE)</f>
        <v>0</v>
      </c>
      <c r="AA26" s="15" cm="1">
        <f t="array" ref="AA26">+HLOOKUP($A$1,+[19]İcmal!$B$19:$AG$49,ROW(R24)+1,FALSE)</f>
        <v>0</v>
      </c>
      <c r="AB26" s="15" cm="1">
        <f t="array" ref="AB26">+HLOOKUP($A$1,+[20]İcmal!$B$19:$AG$49,ROW(S24)+1,FALSE)</f>
        <v>0</v>
      </c>
      <c r="AC26" s="15" cm="1">
        <f t="array" ref="AC26">+HLOOKUP($A$1,+[21]İcmal!$B$19:$AG$49,ROW(T24)+1,FALSE)</f>
        <v>0</v>
      </c>
      <c r="AD26" s="15" cm="1">
        <f t="array" ref="AD26">+HLOOKUP($A$1,+[22]İcmal!$B$19:$AG$49,ROW(U24)+1,FALSE)</f>
        <v>0</v>
      </c>
      <c r="AE26" s="15" cm="1">
        <f t="array" ref="AE26">+HLOOKUP($A$1,+[23]İcmal!$B$19:$AG$49,ROW(V24)+1,FALSE)</f>
        <v>0</v>
      </c>
      <c r="AF26" s="15" cm="1">
        <f t="array" ref="AF26">+HLOOKUP($A$1,+[24]İcmal!$B$19:$AG$49,ROW(W24)+1,FALSE)</f>
        <v>0</v>
      </c>
      <c r="AG26" s="15" cm="1">
        <f t="array" ref="AG26">+HLOOKUP($A$1,+[25]İcmal!$B$19:$AG$49,ROW(X24)+1,FALSE)</f>
        <v>0</v>
      </c>
      <c r="AH26" s="15" cm="1">
        <f t="array" ref="AH26">+HLOOKUP($A$1,+[26]İcmal!$B$19:$AG$49,ROW(Y24)+1,FALSE)</f>
        <v>0</v>
      </c>
      <c r="AI26" s="15" cm="1">
        <f t="array" ref="AI26">+HLOOKUP($A$1,+[27]İcmal!$B$19:$AG$49,ROW(Z24)+1,FALSE)</f>
        <v>0</v>
      </c>
      <c r="AJ26" s="15" cm="1">
        <f t="array" ref="AJ26">+HLOOKUP($A$1,+[28]İcmal!$B$19:$AG$49,ROW(AA24)+1,FALSE)</f>
        <v>0</v>
      </c>
      <c r="AK26" s="15" cm="1">
        <f t="array" ref="AK26">+HLOOKUP($A$1,+[29]İcmal!$B$19:$AG$49,ROW(AB24)+1,FALSE)</f>
        <v>0</v>
      </c>
      <c r="AL26" s="15"/>
      <c r="AM26" s="15"/>
      <c r="AN26" s="15"/>
      <c r="AO26" s="15"/>
      <c r="AP26" s="15"/>
      <c r="AQ26" s="15"/>
      <c r="AR26" s="15"/>
      <c r="AS26" s="15"/>
      <c r="AT26" s="13"/>
    </row>
    <row r="27" spans="1:46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+HLOOKUP($A$1,+[2]İcmal!$B$19:$AG$49,ROW(A25)+1,FALSE)</f>
        <v>0</v>
      </c>
      <c r="K27" s="15" cm="1">
        <f t="array" ref="K27">+HLOOKUP($A$1,+[3]İcmal!$B$19:$AG$49,ROW(B25)+1,FALSE)</f>
        <v>0</v>
      </c>
      <c r="L27" s="15" cm="1">
        <f t="array" ref="L27">+HLOOKUP($A$1,+[4]İcmal!$B$19:$AG$49,ROW(C25)+1,FALSE)</f>
        <v>0</v>
      </c>
      <c r="M27" s="15" cm="1">
        <f t="array" ref="M27">+HLOOKUP($A$1,+[5]İcmal!$B$19:$AG$49,ROW(D25)+1,FALSE)</f>
        <v>0</v>
      </c>
      <c r="N27" s="15" cm="1">
        <f t="array" ref="N27">+HLOOKUP($A$1,+[6]İcmal!$B$19:$AG$49,ROW(E25)+1,FALSE)</f>
        <v>0</v>
      </c>
      <c r="O27" s="15" cm="1">
        <f t="array" ref="O27">+HLOOKUP($A$1,+[7]İcmal!$B$19:$AG$49,ROW(F25)+1,FALSE)</f>
        <v>0</v>
      </c>
      <c r="P27" s="15" cm="1">
        <f t="array" ref="P27">+HLOOKUP($A$1,+[8]İcmal!$B$19:$AG$49,ROW(G25)+1,FALSE)</f>
        <v>0</v>
      </c>
      <c r="Q27" s="15" cm="1">
        <f t="array" ref="Q27">+HLOOKUP($A$1,+[9]İcmal!$B$19:$AG$49,ROW(H25)+1,FALSE)</f>
        <v>0</v>
      </c>
      <c r="R27" s="15" cm="1">
        <f t="array" ref="R27">+HLOOKUP($A$1,+[10]İcmal!$B$19:$AG$49,ROW(I25)+1,FALSE)</f>
        <v>0</v>
      </c>
      <c r="S27" s="15" cm="1">
        <f t="array" ref="S27">+HLOOKUP($A$1,+[11]İcmal!$B$19:$AG$49,ROW(J25)+1,FALSE)</f>
        <v>0</v>
      </c>
      <c r="T27" s="15" cm="1">
        <f t="array" ref="T27">+HLOOKUP($A$1,+[12]İcmal!$B$19:$AG$49,ROW(K25)+1,FALSE)</f>
        <v>0</v>
      </c>
      <c r="U27" s="15" cm="1">
        <f t="array" ref="U27">+HLOOKUP($A$1,+[13]İcmal!$B$19:$AG$49,ROW(L25)+1,FALSE)</f>
        <v>0</v>
      </c>
      <c r="V27" s="15" cm="1">
        <f t="array" ref="V27">+HLOOKUP($A$1,+[14]İcmal!$B$19:$AG$49,ROW(M25)+1,FALSE)</f>
        <v>0</v>
      </c>
      <c r="W27" s="15" cm="1">
        <f t="array" ref="W27">+HLOOKUP($A$1,+[15]İcmal!$B$19:$AG$49,ROW(N25)+1,FALSE)</f>
        <v>0</v>
      </c>
      <c r="X27" s="15" cm="1">
        <f t="array" ref="X27">+HLOOKUP($A$1,+[16]İcmal!$B$19:$AG$49,ROW(O25)+1,FALSE)</f>
        <v>0</v>
      </c>
      <c r="Y27" s="15" cm="1">
        <f t="array" ref="Y27">+HLOOKUP($A$1,+[17]İcmal!$B$19:$AG$49,ROW(P25)+1,FALSE)</f>
        <v>0</v>
      </c>
      <c r="Z27" s="15" cm="1">
        <f t="array" ref="Z27">+HLOOKUP($A$1,+[18]İcmal!$B$19:$AG$49,ROW(Q25)+1,FALSE)</f>
        <v>0</v>
      </c>
      <c r="AA27" s="15" cm="1">
        <f t="array" ref="AA27">+HLOOKUP($A$1,+[19]İcmal!$B$19:$AG$49,ROW(R25)+1,FALSE)</f>
        <v>0</v>
      </c>
      <c r="AB27" s="15" cm="1">
        <f t="array" ref="AB27">+HLOOKUP($A$1,+[20]İcmal!$B$19:$AG$49,ROW(S25)+1,FALSE)</f>
        <v>0</v>
      </c>
      <c r="AC27" s="15" cm="1">
        <f t="array" ref="AC27">+HLOOKUP($A$1,+[21]İcmal!$B$19:$AG$49,ROW(T25)+1,FALSE)</f>
        <v>0</v>
      </c>
      <c r="AD27" s="15" cm="1">
        <f t="array" ref="AD27">+HLOOKUP($A$1,+[22]İcmal!$B$19:$AG$49,ROW(U25)+1,FALSE)</f>
        <v>0</v>
      </c>
      <c r="AE27" s="15" cm="1">
        <f t="array" ref="AE27">+HLOOKUP($A$1,+[23]İcmal!$B$19:$AG$49,ROW(V25)+1,FALSE)</f>
        <v>0</v>
      </c>
      <c r="AF27" s="15" cm="1">
        <f t="array" ref="AF27">+HLOOKUP($A$1,+[24]İcmal!$B$19:$AG$49,ROW(W25)+1,FALSE)</f>
        <v>0</v>
      </c>
      <c r="AG27" s="15" cm="1">
        <f t="array" ref="AG27">+HLOOKUP($A$1,+[25]İcmal!$B$19:$AG$49,ROW(X25)+1,FALSE)</f>
        <v>0</v>
      </c>
      <c r="AH27" s="15" cm="1">
        <f t="array" ref="AH27">+HLOOKUP($A$1,+[26]İcmal!$B$19:$AG$49,ROW(Y25)+1,FALSE)</f>
        <v>0</v>
      </c>
      <c r="AI27" s="15" cm="1">
        <f t="array" ref="AI27">+HLOOKUP($A$1,+[27]İcmal!$B$19:$AG$49,ROW(Z25)+1,FALSE)</f>
        <v>0</v>
      </c>
      <c r="AJ27" s="15" cm="1">
        <f t="array" ref="AJ27">+HLOOKUP($A$1,+[28]İcmal!$B$19:$AG$49,ROW(AA25)+1,FALSE)</f>
        <v>0</v>
      </c>
      <c r="AK27" s="15" cm="1">
        <f t="array" ref="AK27">+HLOOKUP($A$1,+[29]İcmal!$B$19:$AG$49,ROW(AB25)+1,FALSE)</f>
        <v>0</v>
      </c>
      <c r="AL27" s="15"/>
      <c r="AM27" s="15"/>
      <c r="AN27" s="15"/>
      <c r="AO27" s="15"/>
      <c r="AP27" s="15"/>
      <c r="AQ27" s="15"/>
      <c r="AR27" s="15"/>
      <c r="AS27" s="15"/>
      <c r="AT27" s="13"/>
    </row>
    <row r="28" spans="1:46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10.774999999999997</v>
      </c>
      <c r="I28" s="9">
        <f t="shared" si="2"/>
        <v>498343.74999999983</v>
      </c>
      <c r="J28" s="15" cm="1">
        <f t="array" ref="J28">+HLOOKUP($A$1,+[2]İcmal!$B$19:$AG$49,ROW(A26)+1,FALSE)</f>
        <v>5.5E-2</v>
      </c>
      <c r="K28" s="15" cm="1">
        <f t="array" ref="K28">+HLOOKUP($A$1,+[3]İcmal!$B$19:$AG$49,ROW(B26)+1,FALSE)</f>
        <v>0.93400000000000005</v>
      </c>
      <c r="L28" s="15" cm="1">
        <f t="array" ref="L28">+HLOOKUP($A$1,+[4]İcmal!$B$19:$AG$49,ROW(C26)+1,FALSE)</f>
        <v>0</v>
      </c>
      <c r="M28" s="15" cm="1">
        <f t="array" ref="M28">+HLOOKUP($A$1,+[5]İcmal!$B$19:$AG$49,ROW(D26)+1,FALSE)</f>
        <v>0</v>
      </c>
      <c r="N28" s="15" cm="1">
        <f t="array" ref="N28">+HLOOKUP($A$1,+[6]İcmal!$B$19:$AG$49,ROW(E26)+1,FALSE)</f>
        <v>3.0389999999999993</v>
      </c>
      <c r="O28" s="15" cm="1">
        <f t="array" ref="O28">+HLOOKUP($A$1,+[7]İcmal!$B$19:$AG$49,ROW(F26)+1,FALSE)</f>
        <v>1.5069999999999997</v>
      </c>
      <c r="P28" s="15" cm="1">
        <f t="array" ref="P28">+HLOOKUP($A$1,+[8]İcmal!$B$19:$AG$49,ROW(G26)+1,FALSE)</f>
        <v>0</v>
      </c>
      <c r="Q28" s="15" cm="1">
        <f t="array" ref="Q28">+HLOOKUP($A$1,+[9]İcmal!$B$19:$AG$49,ROW(H26)+1,FALSE)</f>
        <v>0</v>
      </c>
      <c r="R28" s="15" cm="1">
        <f t="array" ref="R28">+HLOOKUP($A$1,+[10]İcmal!$B$19:$AG$49,ROW(I26)+1,FALSE)</f>
        <v>2.9979999999999993</v>
      </c>
      <c r="S28" s="15" cm="1">
        <f t="array" ref="S28">+HLOOKUP($A$1,+[11]İcmal!$B$19:$AG$49,ROW(J26)+1,FALSE)</f>
        <v>0.87500000000000011</v>
      </c>
      <c r="T28" s="15" cm="1">
        <f t="array" ref="T28">+HLOOKUP($A$1,+[12]İcmal!$B$19:$AG$49,ROW(K26)+1,FALSE)</f>
        <v>0</v>
      </c>
      <c r="U28" s="15" cm="1">
        <f t="array" ref="U28">+HLOOKUP($A$1,+[13]İcmal!$B$19:$AG$49,ROW(L26)+1,FALSE)</f>
        <v>0</v>
      </c>
      <c r="V28" s="15" cm="1">
        <f t="array" ref="V28">+HLOOKUP($A$1,+[14]İcmal!$B$19:$AG$49,ROW(M26)+1,FALSE)</f>
        <v>5.5E-2</v>
      </c>
      <c r="W28" s="15" cm="1">
        <f t="array" ref="W28">+HLOOKUP($A$1,+[15]İcmal!$B$19:$AG$49,ROW(N26)+1,FALSE)</f>
        <v>1.3119999999999998</v>
      </c>
      <c r="X28" s="15" cm="1">
        <f t="array" ref="X28">+HLOOKUP($A$1,+[16]İcmal!$B$19:$AG$49,ROW(O26)+1,FALSE)</f>
        <v>0</v>
      </c>
      <c r="Y28" s="15" cm="1">
        <f t="array" ref="Y28">+HLOOKUP($A$1,+[17]İcmal!$B$19:$AG$49,ROW(P26)+1,FALSE)</f>
        <v>0</v>
      </c>
      <c r="Z28" s="15" cm="1">
        <f t="array" ref="Z28">+HLOOKUP($A$1,+[18]İcmal!$B$19:$AG$49,ROW(Q26)+1,FALSE)</f>
        <v>0</v>
      </c>
      <c r="AA28" s="15" cm="1">
        <f t="array" ref="AA28">+HLOOKUP($A$1,+[19]İcmal!$B$19:$AG$49,ROW(R26)+1,FALSE)</f>
        <v>0</v>
      </c>
      <c r="AB28" s="15" cm="1">
        <f t="array" ref="AB28">+HLOOKUP($A$1,+[20]İcmal!$B$19:$AG$49,ROW(S26)+1,FALSE)</f>
        <v>0</v>
      </c>
      <c r="AC28" s="15" cm="1">
        <f t="array" ref="AC28">+HLOOKUP($A$1,+[21]İcmal!$B$19:$AG$49,ROW(T26)+1,FALSE)</f>
        <v>0</v>
      </c>
      <c r="AD28" s="15" cm="1">
        <f t="array" ref="AD28">+HLOOKUP($A$1,+[22]İcmal!$B$19:$AG$49,ROW(U26)+1,FALSE)</f>
        <v>0</v>
      </c>
      <c r="AE28" s="15" cm="1">
        <f t="array" ref="AE28">+HLOOKUP($A$1,+[23]İcmal!$B$19:$AG$49,ROW(V26)+1,FALSE)</f>
        <v>0</v>
      </c>
      <c r="AF28" s="15" cm="1">
        <f t="array" ref="AF28">+HLOOKUP($A$1,+[24]İcmal!$B$19:$AG$49,ROW(W26)+1,FALSE)</f>
        <v>0</v>
      </c>
      <c r="AG28" s="15" cm="1">
        <f t="array" ref="AG28">+HLOOKUP($A$1,+[25]İcmal!$B$19:$AG$49,ROW(X26)+1,FALSE)</f>
        <v>0</v>
      </c>
      <c r="AH28" s="15" cm="1">
        <f t="array" ref="AH28">+HLOOKUP($A$1,+[26]İcmal!$B$19:$AG$49,ROW(Y26)+1,FALSE)</f>
        <v>0</v>
      </c>
      <c r="AI28" s="15" cm="1">
        <f t="array" ref="AI28">+HLOOKUP($A$1,+[27]İcmal!$B$19:$AG$49,ROW(Z26)+1,FALSE)</f>
        <v>0</v>
      </c>
      <c r="AJ28" s="15" cm="1">
        <f t="array" ref="AJ28">+HLOOKUP($A$1,+[28]İcmal!$B$19:$AG$49,ROW(AA26)+1,FALSE)</f>
        <v>0</v>
      </c>
      <c r="AK28" s="15" cm="1">
        <f t="array" ref="AK28">+HLOOKUP($A$1,+[29]İcmal!$B$19:$AG$49,ROW(AB26)+1,FALSE)</f>
        <v>0</v>
      </c>
      <c r="AL28" s="15"/>
      <c r="AM28" s="15"/>
      <c r="AN28" s="15"/>
      <c r="AO28" s="15"/>
      <c r="AP28" s="15"/>
      <c r="AQ28" s="15"/>
      <c r="AR28" s="15"/>
      <c r="AS28" s="15"/>
      <c r="AT28" s="13"/>
    </row>
    <row r="29" spans="1:46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+HLOOKUP($A$1,+[2]İcmal!$B$19:$AG$49,ROW(A27)+1,FALSE)</f>
        <v>0</v>
      </c>
      <c r="K29" s="15" cm="1">
        <f t="array" ref="K29">+HLOOKUP($A$1,+[3]İcmal!$B$19:$AG$49,ROW(B27)+1,FALSE)</f>
        <v>0</v>
      </c>
      <c r="L29" s="15" cm="1">
        <f t="array" ref="L29">+HLOOKUP($A$1,+[4]İcmal!$B$19:$AG$49,ROW(C27)+1,FALSE)</f>
        <v>0</v>
      </c>
      <c r="M29" s="15" cm="1">
        <f t="array" ref="M29">+HLOOKUP($A$1,+[5]İcmal!$B$19:$AG$49,ROW(D27)+1,FALSE)</f>
        <v>0</v>
      </c>
      <c r="N29" s="15" cm="1">
        <f t="array" ref="N29">+HLOOKUP($A$1,+[6]İcmal!$B$19:$AG$49,ROW(E27)+1,FALSE)</f>
        <v>0</v>
      </c>
      <c r="O29" s="15" cm="1">
        <f t="array" ref="O29">+HLOOKUP($A$1,+[7]İcmal!$B$19:$AG$49,ROW(F27)+1,FALSE)</f>
        <v>0</v>
      </c>
      <c r="P29" s="15" cm="1">
        <f t="array" ref="P29">+HLOOKUP($A$1,+[8]İcmal!$B$19:$AG$49,ROW(G27)+1,FALSE)</f>
        <v>0</v>
      </c>
      <c r="Q29" s="15" cm="1">
        <f t="array" ref="Q29">+HLOOKUP($A$1,+[9]İcmal!$B$19:$AG$49,ROW(H27)+1,FALSE)</f>
        <v>0</v>
      </c>
      <c r="R29" s="15" cm="1">
        <f t="array" ref="R29">+HLOOKUP($A$1,+[10]İcmal!$B$19:$AG$49,ROW(I27)+1,FALSE)</f>
        <v>0</v>
      </c>
      <c r="S29" s="15" cm="1">
        <f t="array" ref="S29">+HLOOKUP($A$1,+[11]İcmal!$B$19:$AG$49,ROW(J27)+1,FALSE)</f>
        <v>0</v>
      </c>
      <c r="T29" s="15" cm="1">
        <f t="array" ref="T29">+HLOOKUP($A$1,+[12]İcmal!$B$19:$AG$49,ROW(K27)+1,FALSE)</f>
        <v>0</v>
      </c>
      <c r="U29" s="15" cm="1">
        <f t="array" ref="U29">+HLOOKUP($A$1,+[13]İcmal!$B$19:$AG$49,ROW(L27)+1,FALSE)</f>
        <v>0</v>
      </c>
      <c r="V29" s="15" cm="1">
        <f t="array" ref="V29">+HLOOKUP($A$1,+[14]İcmal!$B$19:$AG$49,ROW(M27)+1,FALSE)</f>
        <v>0</v>
      </c>
      <c r="W29" s="15" cm="1">
        <f t="array" ref="W29">+HLOOKUP($A$1,+[15]İcmal!$B$19:$AG$49,ROW(N27)+1,FALSE)</f>
        <v>0</v>
      </c>
      <c r="X29" s="15" cm="1">
        <f t="array" ref="X29">+HLOOKUP($A$1,+[16]İcmal!$B$19:$AG$49,ROW(O27)+1,FALSE)</f>
        <v>0</v>
      </c>
      <c r="Y29" s="15" cm="1">
        <f t="array" ref="Y29">+HLOOKUP($A$1,+[17]İcmal!$B$19:$AG$49,ROW(P27)+1,FALSE)</f>
        <v>0</v>
      </c>
      <c r="Z29" s="15" cm="1">
        <f t="array" ref="Z29">+HLOOKUP($A$1,+[18]İcmal!$B$19:$AG$49,ROW(Q27)+1,FALSE)</f>
        <v>0</v>
      </c>
      <c r="AA29" s="15" cm="1">
        <f t="array" ref="AA29">+HLOOKUP($A$1,+[19]İcmal!$B$19:$AG$49,ROW(R27)+1,FALSE)</f>
        <v>0</v>
      </c>
      <c r="AB29" s="15" cm="1">
        <f t="array" ref="AB29">+HLOOKUP($A$1,+[20]İcmal!$B$19:$AG$49,ROW(S27)+1,FALSE)</f>
        <v>0</v>
      </c>
      <c r="AC29" s="15" cm="1">
        <f t="array" ref="AC29">+HLOOKUP($A$1,+[21]İcmal!$B$19:$AG$49,ROW(T27)+1,FALSE)</f>
        <v>0</v>
      </c>
      <c r="AD29" s="15" cm="1">
        <f t="array" ref="AD29">+HLOOKUP($A$1,+[22]İcmal!$B$19:$AG$49,ROW(U27)+1,FALSE)</f>
        <v>0</v>
      </c>
      <c r="AE29" s="15" cm="1">
        <f t="array" ref="AE29">+HLOOKUP($A$1,+[23]İcmal!$B$19:$AG$49,ROW(V27)+1,FALSE)</f>
        <v>0</v>
      </c>
      <c r="AF29" s="15" cm="1">
        <f t="array" ref="AF29">+HLOOKUP($A$1,+[24]İcmal!$B$19:$AG$49,ROW(W27)+1,FALSE)</f>
        <v>0</v>
      </c>
      <c r="AG29" s="15" cm="1">
        <f t="array" ref="AG29">+HLOOKUP($A$1,+[25]İcmal!$B$19:$AG$49,ROW(X27)+1,FALSE)</f>
        <v>0</v>
      </c>
      <c r="AH29" s="15" cm="1">
        <f t="array" ref="AH29">+HLOOKUP($A$1,+[26]İcmal!$B$19:$AG$49,ROW(Y27)+1,FALSE)</f>
        <v>0</v>
      </c>
      <c r="AI29" s="15" cm="1">
        <f t="array" ref="AI29">+HLOOKUP($A$1,+[27]İcmal!$B$19:$AG$49,ROW(Z27)+1,FALSE)</f>
        <v>0</v>
      </c>
      <c r="AJ29" s="15" cm="1">
        <f t="array" ref="AJ29">+HLOOKUP($A$1,+[28]İcmal!$B$19:$AG$49,ROW(AA27)+1,FALSE)</f>
        <v>0</v>
      </c>
      <c r="AK29" s="15" cm="1">
        <f t="array" ref="AK29">+HLOOKUP($A$1,+[29]İcmal!$B$19:$AG$49,ROW(AB27)+1,FALSE)</f>
        <v>0</v>
      </c>
      <c r="AL29" s="15"/>
      <c r="AM29" s="15"/>
      <c r="AN29" s="15"/>
      <c r="AO29" s="15"/>
      <c r="AP29" s="15"/>
      <c r="AQ29" s="15"/>
      <c r="AR29" s="15"/>
      <c r="AS29" s="15"/>
      <c r="AT29" s="13"/>
    </row>
    <row r="30" spans="1:46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57.446000000000005</v>
      </c>
      <c r="I30" s="9">
        <f t="shared" si="2"/>
        <v>5591391.5180000002</v>
      </c>
      <c r="J30" s="15" cm="1">
        <f t="array" ref="J30">+HLOOKUP($A$1,+[2]İcmal!$B$19:$AG$49,ROW(A28)+1,FALSE)</f>
        <v>1.054</v>
      </c>
      <c r="K30" s="15" cm="1">
        <f t="array" ref="K30">+HLOOKUP($A$1,+[3]İcmal!$B$19:$AG$49,ROW(B28)+1,FALSE)</f>
        <v>6.2690000000000001</v>
      </c>
      <c r="L30" s="15" cm="1">
        <f t="array" ref="L30">+HLOOKUP($A$1,+[4]İcmal!$B$19:$AG$49,ROW(C28)+1,FALSE)</f>
        <v>0</v>
      </c>
      <c r="M30" s="15" cm="1">
        <f t="array" ref="M30">+HLOOKUP($A$1,+[5]İcmal!$B$19:$AG$49,ROW(D28)+1,FALSE)</f>
        <v>0</v>
      </c>
      <c r="N30" s="15" cm="1">
        <f t="array" ref="N30">+HLOOKUP($A$1,+[6]İcmal!$B$19:$AG$49,ROW(E28)+1,FALSE)</f>
        <v>12.884</v>
      </c>
      <c r="O30" s="15" cm="1">
        <f t="array" ref="O30">+HLOOKUP($A$1,+[7]İcmal!$B$19:$AG$49,ROW(F28)+1,FALSE)</f>
        <v>9.1260000000000012</v>
      </c>
      <c r="P30" s="15" cm="1">
        <f t="array" ref="P30">+HLOOKUP($A$1,+[8]İcmal!$B$19:$AG$49,ROW(G28)+1,FALSE)</f>
        <v>0</v>
      </c>
      <c r="Q30" s="15" cm="1">
        <f t="array" ref="Q30">+HLOOKUP($A$1,+[9]İcmal!$B$19:$AG$49,ROW(H28)+1,FALSE)</f>
        <v>0</v>
      </c>
      <c r="R30" s="15" cm="1">
        <f t="array" ref="R30">+HLOOKUP($A$1,+[10]İcmal!$B$19:$AG$49,ROW(I28)+1,FALSE)</f>
        <v>13.675000000000001</v>
      </c>
      <c r="S30" s="15" cm="1">
        <f t="array" ref="S30">+HLOOKUP($A$1,+[11]İcmal!$B$19:$AG$49,ROW(J28)+1,FALSE)</f>
        <v>4.9630000000000001</v>
      </c>
      <c r="T30" s="15" cm="1">
        <f t="array" ref="T30">+HLOOKUP($A$1,+[12]İcmal!$B$19:$AG$49,ROW(K28)+1,FALSE)</f>
        <v>0</v>
      </c>
      <c r="U30" s="15" cm="1">
        <f t="array" ref="U30">+HLOOKUP($A$1,+[13]İcmal!$B$19:$AG$49,ROW(L28)+1,FALSE)</f>
        <v>0</v>
      </c>
      <c r="V30" s="15" cm="1">
        <f t="array" ref="V30">+HLOOKUP($A$1,+[14]İcmal!$B$19:$AG$49,ROW(M28)+1,FALSE)</f>
        <v>0.99299999999999999</v>
      </c>
      <c r="W30" s="15" cm="1">
        <f t="array" ref="W30">+HLOOKUP($A$1,+[15]İcmal!$B$19:$AG$49,ROW(N28)+1,FALSE)</f>
        <v>8.4819999999999993</v>
      </c>
      <c r="X30" s="15" cm="1">
        <f t="array" ref="X30">+HLOOKUP($A$1,+[16]İcmal!$B$19:$AG$49,ROW(O28)+1,FALSE)</f>
        <v>0</v>
      </c>
      <c r="Y30" s="15" cm="1">
        <f t="array" ref="Y30">+HLOOKUP($A$1,+[17]İcmal!$B$19:$AG$49,ROW(P28)+1,FALSE)</f>
        <v>0</v>
      </c>
      <c r="Z30" s="15" cm="1">
        <f t="array" ref="Z30">+HLOOKUP($A$1,+[18]İcmal!$B$19:$AG$49,ROW(Q28)+1,FALSE)</f>
        <v>0</v>
      </c>
      <c r="AA30" s="15" cm="1">
        <f t="array" ref="AA30">+HLOOKUP($A$1,+[19]İcmal!$B$19:$AG$49,ROW(R28)+1,FALSE)</f>
        <v>0</v>
      </c>
      <c r="AB30" s="15" cm="1">
        <f t="array" ref="AB30">+HLOOKUP($A$1,+[20]İcmal!$B$19:$AG$49,ROW(S28)+1,FALSE)</f>
        <v>0</v>
      </c>
      <c r="AC30" s="15" cm="1">
        <f t="array" ref="AC30">+HLOOKUP($A$1,+[21]İcmal!$B$19:$AG$49,ROW(T28)+1,FALSE)</f>
        <v>0</v>
      </c>
      <c r="AD30" s="15" cm="1">
        <f t="array" ref="AD30">+HLOOKUP($A$1,+[22]İcmal!$B$19:$AG$49,ROW(U28)+1,FALSE)</f>
        <v>0</v>
      </c>
      <c r="AE30" s="15" cm="1">
        <f t="array" ref="AE30">+HLOOKUP($A$1,+[23]İcmal!$B$19:$AG$49,ROW(V28)+1,FALSE)</f>
        <v>0</v>
      </c>
      <c r="AF30" s="15" cm="1">
        <f t="array" ref="AF30">+HLOOKUP($A$1,+[24]İcmal!$B$19:$AG$49,ROW(W28)+1,FALSE)</f>
        <v>0</v>
      </c>
      <c r="AG30" s="15" cm="1">
        <f t="array" ref="AG30">+HLOOKUP($A$1,+[25]İcmal!$B$19:$AG$49,ROW(X28)+1,FALSE)</f>
        <v>0</v>
      </c>
      <c r="AH30" s="15" cm="1">
        <f t="array" ref="AH30">+HLOOKUP($A$1,+[26]İcmal!$B$19:$AG$49,ROW(Y28)+1,FALSE)</f>
        <v>0</v>
      </c>
      <c r="AI30" s="15" cm="1">
        <f t="array" ref="AI30">+HLOOKUP($A$1,+[27]İcmal!$B$19:$AG$49,ROW(Z28)+1,FALSE)</f>
        <v>0</v>
      </c>
      <c r="AJ30" s="15" cm="1">
        <f t="array" ref="AJ30">+HLOOKUP($A$1,+[28]İcmal!$B$19:$AG$49,ROW(AA28)+1,FALSE)</f>
        <v>0</v>
      </c>
      <c r="AK30" s="15" cm="1">
        <f t="array" ref="AK30">+HLOOKUP($A$1,+[29]İcmal!$B$19:$AG$49,ROW(AB28)+1,FALSE)</f>
        <v>0</v>
      </c>
      <c r="AL30" s="15"/>
      <c r="AM30" s="15"/>
      <c r="AN30" s="15"/>
      <c r="AO30" s="15"/>
      <c r="AP30" s="15"/>
      <c r="AQ30" s="15"/>
      <c r="AR30" s="15"/>
      <c r="AS30" s="15"/>
      <c r="AT30" s="13"/>
    </row>
    <row r="31" spans="1:46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+HLOOKUP($A$1,+[2]İcmal!$B$19:$AG$49,ROW(A29)+1,FALSE)</f>
        <v>0</v>
      </c>
      <c r="K31" s="15" cm="1">
        <f t="array" ref="K31">+HLOOKUP($A$1,+[3]İcmal!$B$19:$AG$49,ROW(B29)+1,FALSE)</f>
        <v>0</v>
      </c>
      <c r="L31" s="15" cm="1">
        <f t="array" ref="L31">+HLOOKUP($A$1,+[4]İcmal!$B$19:$AG$49,ROW(C29)+1,FALSE)</f>
        <v>0</v>
      </c>
      <c r="M31" s="15" cm="1">
        <f t="array" ref="M31">+HLOOKUP($A$1,+[5]İcmal!$B$19:$AG$49,ROW(D29)+1,FALSE)</f>
        <v>0</v>
      </c>
      <c r="N31" s="15" cm="1">
        <f t="array" ref="N31">+HLOOKUP($A$1,+[6]İcmal!$B$19:$AG$49,ROW(E29)+1,FALSE)</f>
        <v>0</v>
      </c>
      <c r="O31" s="15" cm="1">
        <f t="array" ref="O31">+HLOOKUP($A$1,+[7]İcmal!$B$19:$AG$49,ROW(F29)+1,FALSE)</f>
        <v>0</v>
      </c>
      <c r="P31" s="15" cm="1">
        <f t="array" ref="P31">+HLOOKUP($A$1,+[8]İcmal!$B$19:$AG$49,ROW(G29)+1,FALSE)</f>
        <v>0</v>
      </c>
      <c r="Q31" s="15" cm="1">
        <f t="array" ref="Q31">+HLOOKUP($A$1,+[9]İcmal!$B$19:$AG$49,ROW(H29)+1,FALSE)</f>
        <v>0</v>
      </c>
      <c r="R31" s="15" cm="1">
        <f t="array" ref="R31">+HLOOKUP($A$1,+[10]İcmal!$B$19:$AG$49,ROW(I29)+1,FALSE)</f>
        <v>0</v>
      </c>
      <c r="S31" s="15" cm="1">
        <f t="array" ref="S31">+HLOOKUP($A$1,+[11]İcmal!$B$19:$AG$49,ROW(J29)+1,FALSE)</f>
        <v>0</v>
      </c>
      <c r="T31" s="15" cm="1">
        <f t="array" ref="T31">+HLOOKUP($A$1,+[12]İcmal!$B$19:$AG$49,ROW(K29)+1,FALSE)</f>
        <v>0</v>
      </c>
      <c r="U31" s="15" cm="1">
        <f t="array" ref="U31">+HLOOKUP($A$1,+[13]İcmal!$B$19:$AG$49,ROW(L29)+1,FALSE)</f>
        <v>0</v>
      </c>
      <c r="V31" s="15" cm="1">
        <f t="array" ref="V31">+HLOOKUP($A$1,+[14]İcmal!$B$19:$AG$49,ROW(M29)+1,FALSE)</f>
        <v>0</v>
      </c>
      <c r="W31" s="15" cm="1">
        <f t="array" ref="W31">+HLOOKUP($A$1,+[15]İcmal!$B$19:$AG$49,ROW(N29)+1,FALSE)</f>
        <v>0</v>
      </c>
      <c r="X31" s="15" cm="1">
        <f t="array" ref="X31">+HLOOKUP($A$1,+[16]İcmal!$B$19:$AG$49,ROW(O29)+1,FALSE)</f>
        <v>0</v>
      </c>
      <c r="Y31" s="15" cm="1">
        <f t="array" ref="Y31">+HLOOKUP($A$1,+[17]İcmal!$B$19:$AG$49,ROW(P29)+1,FALSE)</f>
        <v>0</v>
      </c>
      <c r="Z31" s="15" cm="1">
        <f t="array" ref="Z31">+HLOOKUP($A$1,+[18]İcmal!$B$19:$AG$49,ROW(Q29)+1,FALSE)</f>
        <v>0</v>
      </c>
      <c r="AA31" s="15" cm="1">
        <f t="array" ref="AA31">+HLOOKUP($A$1,+[19]İcmal!$B$19:$AG$49,ROW(R29)+1,FALSE)</f>
        <v>0</v>
      </c>
      <c r="AB31" s="15" cm="1">
        <f t="array" ref="AB31">+HLOOKUP($A$1,+[20]İcmal!$B$19:$AG$49,ROW(S29)+1,FALSE)</f>
        <v>0</v>
      </c>
      <c r="AC31" s="15" cm="1">
        <f t="array" ref="AC31">+HLOOKUP($A$1,+[21]İcmal!$B$19:$AG$49,ROW(T29)+1,FALSE)</f>
        <v>0</v>
      </c>
      <c r="AD31" s="15" cm="1">
        <f t="array" ref="AD31">+HLOOKUP($A$1,+[22]İcmal!$B$19:$AG$49,ROW(U29)+1,FALSE)</f>
        <v>0</v>
      </c>
      <c r="AE31" s="15" cm="1">
        <f t="array" ref="AE31">+HLOOKUP($A$1,+[23]İcmal!$B$19:$AG$49,ROW(V29)+1,FALSE)</f>
        <v>0</v>
      </c>
      <c r="AF31" s="15" cm="1">
        <f t="array" ref="AF31">+HLOOKUP($A$1,+[24]İcmal!$B$19:$AG$49,ROW(W29)+1,FALSE)</f>
        <v>0</v>
      </c>
      <c r="AG31" s="15" cm="1">
        <f t="array" ref="AG31">+HLOOKUP($A$1,+[25]İcmal!$B$19:$AG$49,ROW(X29)+1,FALSE)</f>
        <v>0</v>
      </c>
      <c r="AH31" s="15" cm="1">
        <f t="array" ref="AH31">+HLOOKUP($A$1,+[26]İcmal!$B$19:$AG$49,ROW(Y29)+1,FALSE)</f>
        <v>0</v>
      </c>
      <c r="AI31" s="15" cm="1">
        <f t="array" ref="AI31">+HLOOKUP($A$1,+[27]İcmal!$B$19:$AG$49,ROW(Z29)+1,FALSE)</f>
        <v>0</v>
      </c>
      <c r="AJ31" s="15" cm="1">
        <f t="array" ref="AJ31">+HLOOKUP($A$1,+[28]İcmal!$B$19:$AG$49,ROW(AA29)+1,FALSE)</f>
        <v>0</v>
      </c>
      <c r="AK31" s="15" cm="1">
        <f t="array" ref="AK31">+HLOOKUP($A$1,+[29]İcmal!$B$19:$AG$49,ROW(AB29)+1,FALSE)</f>
        <v>0</v>
      </c>
      <c r="AL31" s="15"/>
      <c r="AM31" s="15"/>
      <c r="AN31" s="15"/>
      <c r="AO31" s="15"/>
      <c r="AP31" s="15"/>
      <c r="AQ31" s="15"/>
      <c r="AR31" s="15"/>
      <c r="AS31" s="15"/>
      <c r="AT31" s="13"/>
    </row>
    <row r="32" spans="1:46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+HLOOKUP($A$1,+[2]İcmal!$B$19:$AG$49,ROW(A30)+1,FALSE)</f>
        <v>0</v>
      </c>
      <c r="K32" s="15" cm="1">
        <f t="array" ref="K32">+HLOOKUP($A$1,+[3]İcmal!$B$19:$AG$49,ROW(B30)+1,FALSE)</f>
        <v>0</v>
      </c>
      <c r="L32" s="15" cm="1">
        <f t="array" ref="L32">+HLOOKUP($A$1,+[4]İcmal!$B$19:$AG$49,ROW(C30)+1,FALSE)</f>
        <v>0</v>
      </c>
      <c r="M32" s="15" cm="1">
        <f t="array" ref="M32">+HLOOKUP($A$1,+[5]İcmal!$B$19:$AG$49,ROW(D30)+1,FALSE)</f>
        <v>0</v>
      </c>
      <c r="N32" s="15" cm="1">
        <f t="array" ref="N32">+HLOOKUP($A$1,+[6]İcmal!$B$19:$AG$49,ROW(E30)+1,FALSE)</f>
        <v>0</v>
      </c>
      <c r="O32" s="15" cm="1">
        <f t="array" ref="O32">+HLOOKUP($A$1,+[7]İcmal!$B$19:$AG$49,ROW(F30)+1,FALSE)</f>
        <v>0</v>
      </c>
      <c r="P32" s="15" cm="1">
        <f t="array" ref="P32">+HLOOKUP($A$1,+[8]İcmal!$B$19:$AG$49,ROW(G30)+1,FALSE)</f>
        <v>0</v>
      </c>
      <c r="Q32" s="15" cm="1">
        <f t="array" ref="Q32">+HLOOKUP($A$1,+[9]İcmal!$B$19:$AG$49,ROW(H30)+1,FALSE)</f>
        <v>0</v>
      </c>
      <c r="R32" s="15" cm="1">
        <f t="array" ref="R32">+HLOOKUP($A$1,+[10]İcmal!$B$19:$AG$49,ROW(I30)+1,FALSE)</f>
        <v>0</v>
      </c>
      <c r="S32" s="15" cm="1">
        <f t="array" ref="S32">+HLOOKUP($A$1,+[11]İcmal!$B$19:$AG$49,ROW(J30)+1,FALSE)</f>
        <v>0</v>
      </c>
      <c r="T32" s="15" cm="1">
        <f t="array" ref="T32">+HLOOKUP($A$1,+[12]İcmal!$B$19:$AG$49,ROW(K30)+1,FALSE)</f>
        <v>0</v>
      </c>
      <c r="U32" s="15" cm="1">
        <f t="array" ref="U32">+HLOOKUP($A$1,+[13]İcmal!$B$19:$AG$49,ROW(L30)+1,FALSE)</f>
        <v>0</v>
      </c>
      <c r="V32" s="15" cm="1">
        <f t="array" ref="V32">+HLOOKUP($A$1,+[14]İcmal!$B$19:$AG$49,ROW(M30)+1,FALSE)</f>
        <v>0</v>
      </c>
      <c r="W32" s="15" cm="1">
        <f t="array" ref="W32">+HLOOKUP($A$1,+[15]İcmal!$B$19:$AG$49,ROW(N30)+1,FALSE)</f>
        <v>0</v>
      </c>
      <c r="X32" s="15" cm="1">
        <f t="array" ref="X32">+HLOOKUP($A$1,+[16]İcmal!$B$19:$AG$49,ROW(O30)+1,FALSE)</f>
        <v>0</v>
      </c>
      <c r="Y32" s="15" cm="1">
        <f t="array" ref="Y32">+HLOOKUP($A$1,+[17]İcmal!$B$19:$AG$49,ROW(P30)+1,FALSE)</f>
        <v>0</v>
      </c>
      <c r="Z32" s="15" cm="1">
        <f t="array" ref="Z32">+HLOOKUP($A$1,+[18]İcmal!$B$19:$AG$49,ROW(Q30)+1,FALSE)</f>
        <v>0</v>
      </c>
      <c r="AA32" s="15" cm="1">
        <f t="array" ref="AA32">+HLOOKUP($A$1,+[19]İcmal!$B$19:$AG$49,ROW(R30)+1,FALSE)</f>
        <v>0</v>
      </c>
      <c r="AB32" s="15" cm="1">
        <f t="array" ref="AB32">+HLOOKUP($A$1,+[20]İcmal!$B$19:$AG$49,ROW(S30)+1,FALSE)</f>
        <v>0</v>
      </c>
      <c r="AC32" s="15" cm="1">
        <f t="array" ref="AC32">+HLOOKUP($A$1,+[21]İcmal!$B$19:$AG$49,ROW(T30)+1,FALSE)</f>
        <v>0</v>
      </c>
      <c r="AD32" s="15" cm="1">
        <f t="array" ref="AD32">+HLOOKUP($A$1,+[22]İcmal!$B$19:$AG$49,ROW(U30)+1,FALSE)</f>
        <v>0</v>
      </c>
      <c r="AE32" s="15" cm="1">
        <f t="array" ref="AE32">+HLOOKUP($A$1,+[23]İcmal!$B$19:$AG$49,ROW(V30)+1,FALSE)</f>
        <v>0</v>
      </c>
      <c r="AF32" s="15" cm="1">
        <f t="array" ref="AF32">+HLOOKUP($A$1,+[24]İcmal!$B$19:$AG$49,ROW(W30)+1,FALSE)</f>
        <v>0</v>
      </c>
      <c r="AG32" s="15" cm="1">
        <f t="array" ref="AG32">+HLOOKUP($A$1,+[25]İcmal!$B$19:$AG$49,ROW(X30)+1,FALSE)</f>
        <v>0</v>
      </c>
      <c r="AH32" s="15" cm="1">
        <f t="array" ref="AH32">+HLOOKUP($A$1,+[26]İcmal!$B$19:$AG$49,ROW(Y30)+1,FALSE)</f>
        <v>0</v>
      </c>
      <c r="AI32" s="15" cm="1">
        <f t="array" ref="AI32">+HLOOKUP($A$1,+[27]İcmal!$B$19:$AG$49,ROW(Z30)+1,FALSE)</f>
        <v>0</v>
      </c>
      <c r="AJ32" s="15" cm="1">
        <f t="array" ref="AJ32">+HLOOKUP($A$1,+[28]İcmal!$B$19:$AG$49,ROW(AA30)+1,FALSE)</f>
        <v>0</v>
      </c>
      <c r="AK32" s="15" cm="1">
        <f t="array" ref="AK32">+HLOOKUP($A$1,+[29]İcmal!$B$19:$AG$49,ROW(AB30)+1,FALSE)</f>
        <v>0</v>
      </c>
      <c r="AL32" s="15"/>
      <c r="AM32" s="15"/>
      <c r="AN32" s="15"/>
      <c r="AO32" s="15"/>
      <c r="AP32" s="15"/>
      <c r="AQ32" s="15"/>
      <c r="AR32" s="15"/>
      <c r="AS32" s="15"/>
      <c r="AT32" s="14"/>
    </row>
    <row r="33" spans="7:45" x14ac:dyDescent="0.3">
      <c r="I33" s="16">
        <f>SUM(I3:I32)</f>
        <v>116352020.097</v>
      </c>
      <c r="J33" s="16">
        <f t="shared" ref="J33:AS33" si="3">+SUMPRODUCT(J3:J32,$F$3:$F$32)</f>
        <v>3198077.5179999997</v>
      </c>
      <c r="K33" s="16">
        <f t="shared" si="3"/>
        <v>10922989.620999999</v>
      </c>
      <c r="L33" s="16">
        <f t="shared" si="3"/>
        <v>0</v>
      </c>
      <c r="M33" s="16">
        <f t="shared" si="3"/>
        <v>0</v>
      </c>
      <c r="N33" s="16">
        <f t="shared" si="3"/>
        <v>23945128.316</v>
      </c>
      <c r="O33" s="16">
        <f t="shared" si="3"/>
        <v>19896405.409000002</v>
      </c>
      <c r="P33" s="16">
        <f t="shared" si="3"/>
        <v>0</v>
      </c>
      <c r="Q33" s="16">
        <f t="shared" si="3"/>
        <v>0</v>
      </c>
      <c r="R33" s="16">
        <f t="shared" si="3"/>
        <v>23993293.827</v>
      </c>
      <c r="S33" s="16">
        <f t="shared" si="3"/>
        <v>12412909.903999999</v>
      </c>
      <c r="T33" s="16">
        <f t="shared" si="3"/>
        <v>0</v>
      </c>
      <c r="U33" s="16">
        <f t="shared" si="3"/>
        <v>0</v>
      </c>
      <c r="V33" s="16">
        <f t="shared" si="3"/>
        <v>3179486.625</v>
      </c>
      <c r="W33" s="16">
        <f t="shared" si="3"/>
        <v>18803728.877</v>
      </c>
      <c r="X33" s="16">
        <f t="shared" si="3"/>
        <v>0</v>
      </c>
      <c r="Y33" s="16">
        <f t="shared" si="3"/>
        <v>0</v>
      </c>
      <c r="Z33" s="16">
        <f t="shared" si="3"/>
        <v>0</v>
      </c>
      <c r="AA33" s="16">
        <f t="shared" si="3"/>
        <v>0</v>
      </c>
      <c r="AB33" s="16">
        <f t="shared" si="3"/>
        <v>0</v>
      </c>
      <c r="AC33" s="16">
        <f t="shared" si="3"/>
        <v>0</v>
      </c>
      <c r="AD33" s="16">
        <f t="shared" si="3"/>
        <v>0</v>
      </c>
      <c r="AE33" s="16">
        <f t="shared" si="3"/>
        <v>0</v>
      </c>
      <c r="AF33" s="16">
        <f t="shared" si="3"/>
        <v>0</v>
      </c>
      <c r="AG33" s="16">
        <f t="shared" si="3"/>
        <v>0</v>
      </c>
      <c r="AH33" s="16">
        <f t="shared" si="3"/>
        <v>0</v>
      </c>
      <c r="AI33" s="16">
        <f t="shared" si="3"/>
        <v>0</v>
      </c>
      <c r="AJ33" s="16">
        <f t="shared" si="3"/>
        <v>0</v>
      </c>
      <c r="AK33" s="16">
        <f t="shared" si="3"/>
        <v>0</v>
      </c>
      <c r="AL33" s="16"/>
      <c r="AM33" s="16"/>
      <c r="AN33" s="16"/>
      <c r="AO33" s="16"/>
      <c r="AP33" s="16"/>
      <c r="AQ33" s="16"/>
      <c r="AR33" s="16"/>
      <c r="AS33" s="16">
        <f t="shared" si="3"/>
        <v>0</v>
      </c>
    </row>
    <row r="34" spans="7:45" x14ac:dyDescent="0.3">
      <c r="H34" s="52"/>
    </row>
    <row r="35" spans="7:45" x14ac:dyDescent="0.3">
      <c r="G35" s="16"/>
      <c r="H35" s="16"/>
      <c r="I35" s="16"/>
    </row>
    <row r="36" spans="7:45" x14ac:dyDescent="0.3">
      <c r="I36" s="16"/>
      <c r="K36" s="49"/>
      <c r="N36" s="49"/>
      <c r="O36" s="49"/>
      <c r="P36" s="49"/>
      <c r="Q36" s="49"/>
    </row>
    <row r="37" spans="7:45" x14ac:dyDescent="0.3"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7:45" x14ac:dyDescent="0.3">
      <c r="I38" s="16"/>
    </row>
    <row r="39" spans="7:45" x14ac:dyDescent="0.3">
      <c r="I39" s="16"/>
    </row>
    <row r="40" spans="7:45" x14ac:dyDescent="0.3">
      <c r="I40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7B6F-680D-4E34-9319-44AD29DE6BED}">
  <sheetPr>
    <tabColor rgb="FFFF0000"/>
  </sheetPr>
  <dimension ref="A1:AT40"/>
  <sheetViews>
    <sheetView zoomScale="70" zoomScaleNormal="70" workbookViewId="0">
      <selection activeCell="A2" sqref="A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7" width="19.33203125" bestFit="1" customWidth="1"/>
    <col min="18" max="25" width="19.21875" bestFit="1" customWidth="1"/>
    <col min="26" max="26" width="46.77734375" bestFit="1" customWidth="1"/>
    <col min="27" max="27" width="48.88671875" bestFit="1" customWidth="1"/>
    <col min="28" max="28" width="57.109375" bestFit="1" customWidth="1"/>
    <col min="29" max="29" width="56.77734375" bestFit="1" customWidth="1"/>
    <col min="30" max="30" width="57.44140625" bestFit="1" customWidth="1"/>
    <col min="31" max="31" width="57" customWidth="1"/>
    <col min="32" max="32" width="57.109375" bestFit="1" customWidth="1"/>
    <col min="33" max="33" width="46.33203125" bestFit="1" customWidth="1"/>
    <col min="34" max="37" width="46.77734375" bestFit="1" customWidth="1"/>
    <col min="38" max="44" width="19.88671875" customWidth="1"/>
    <col min="45" max="45" width="19.5546875" bestFit="1" customWidth="1"/>
    <col min="46" max="46" width="2.21875" customWidth="1"/>
  </cols>
  <sheetData>
    <row r="1" spans="1:46" ht="15" thickBot="1" x14ac:dyDescent="0.35">
      <c r="A1" s="17" t="s">
        <v>109</v>
      </c>
    </row>
    <row r="2" spans="1:46" ht="27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54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3" t="s">
        <v>126</v>
      </c>
      <c r="AG2" s="3" t="s">
        <v>143</v>
      </c>
      <c r="AH2" s="3" t="s">
        <v>144</v>
      </c>
      <c r="AI2" s="3" t="s">
        <v>138</v>
      </c>
      <c r="AJ2" s="3" t="s">
        <v>125</v>
      </c>
      <c r="AK2" s="3" t="s">
        <v>133</v>
      </c>
      <c r="AL2" s="3"/>
      <c r="AM2" s="3"/>
      <c r="AN2" s="3"/>
      <c r="AO2" s="3"/>
      <c r="AP2" s="3"/>
      <c r="AQ2" s="3"/>
      <c r="AR2" s="3"/>
      <c r="AS2" s="3"/>
      <c r="AT2" s="12"/>
    </row>
    <row r="3" spans="1:46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SUM(J3:AT3)</f>
        <v>4312.2060000000001</v>
      </c>
      <c r="I3" s="9">
        <f>+F3*H3</f>
        <v>21884445.449999999</v>
      </c>
      <c r="J3" s="15" cm="1">
        <f t="array" ref="J3">+HLOOKUP($A$1,+[2]İcmal!$B$19:$AG$49,ROW(A1)+1,FALSE)</f>
        <v>638.07000000000005</v>
      </c>
      <c r="K3" s="15" cm="1">
        <f t="array" ref="K3">+HLOOKUP($A$1,+[3]İcmal!$B$19:$AG$49,ROW(B1)+1,FALSE)</f>
        <v>742.67900000000009</v>
      </c>
      <c r="L3" s="15" cm="1">
        <f t="array" ref="L3">+HLOOKUP($A$1,+[4]İcmal!$B$19:$AG$49,ROW(C1)+1,FALSE)</f>
        <v>0</v>
      </c>
      <c r="M3" s="15" cm="1">
        <f t="array" ref="M3">+HLOOKUP($A$1,+[5]İcmal!$B$19:$AG$49,ROW(D1)+1,FALSE)</f>
        <v>0</v>
      </c>
      <c r="N3" s="15" cm="1">
        <f t="array" ref="N3">+HLOOKUP($A$1,+[6]İcmal!$B$19:$AG$49,ROW(E1)+1,FALSE)</f>
        <v>849.98100000000011</v>
      </c>
      <c r="O3" s="15" cm="1">
        <f t="array" ref="O3">+HLOOKUP($A$1,+[7]İcmal!$B$19:$AG$49,ROW(F1)+1,FALSE)</f>
        <v>281.39</v>
      </c>
      <c r="P3" s="15" cm="1">
        <f t="array" ref="P3">+HLOOKUP($A$1,+[8]İcmal!$B$19:$AG$49,ROW(G1)+1,FALSE)</f>
        <v>0</v>
      </c>
      <c r="Q3" s="15" cm="1">
        <f t="array" ref="Q3">+HLOOKUP($A$1,+[9]İcmal!$B$19:$AG$49,ROW(H1)+1,FALSE)</f>
        <v>0</v>
      </c>
      <c r="R3" s="15" cm="1">
        <f t="array" ref="R3">+HLOOKUP($A$1,+[10]İcmal!$B$19:$AG$49,ROW(I1)+1,FALSE)</f>
        <v>539.101</v>
      </c>
      <c r="S3" s="15" cm="1">
        <f t="array" ref="S3">+HLOOKUP($A$1,+[11]İcmal!$B$19:$AG$49,ROW(J1)+1,FALSE)</f>
        <v>0</v>
      </c>
      <c r="T3" s="15" cm="1">
        <f t="array" ref="T3">+HLOOKUP($A$1,+[12]İcmal!$B$19:$AG$49,ROW(K1)+1,FALSE)</f>
        <v>0</v>
      </c>
      <c r="U3" s="15" cm="1">
        <f t="array" ref="U3">+HLOOKUP($A$1,+[13]İcmal!$B$19:$AG$49,ROW(L1)+1,FALSE)</f>
        <v>0</v>
      </c>
      <c r="V3" s="15" cm="1">
        <f t="array" ref="V3">+HLOOKUP($A$1,+[14]İcmal!$B$19:$AG$49,ROW(M1)+1,FALSE)</f>
        <v>420.83999999999992</v>
      </c>
      <c r="W3" s="15" cm="1">
        <f t="array" ref="W3">+HLOOKUP($A$1,+[15]İcmal!$B$19:$AG$49,ROW(N1)+1,FALSE)</f>
        <v>840.14499999999998</v>
      </c>
      <c r="X3" s="15" cm="1">
        <f t="array" ref="X3">+HLOOKUP($A$1,+[16]İcmal!$B$19:$AG$49,ROW(O1)+1,FALSE)</f>
        <v>0</v>
      </c>
      <c r="Y3" s="15" cm="1">
        <f t="array" ref="Y3">+HLOOKUP($A$1,+[17]İcmal!$B$19:$AG$49,ROW(P1)+1,FALSE)</f>
        <v>0</v>
      </c>
      <c r="Z3" s="15" cm="1">
        <f t="array" ref="Z3">+HLOOKUP($A$1,+[18]İcmal!$B$19:$AG$49,ROW(Q1)+1,FALSE)</f>
        <v>0</v>
      </c>
      <c r="AA3" s="15" cm="1">
        <f t="array" ref="AA3">+HLOOKUP($A$1,+[19]İcmal!$B$19:$AG$49,ROW(R1)+1,FALSE)</f>
        <v>0</v>
      </c>
      <c r="AB3" s="15" cm="1">
        <f t="array" ref="AB3">+HLOOKUP($A$1,+[20]İcmal!$B$19:$AG$49,ROW(S1)+1,FALSE)</f>
        <v>0</v>
      </c>
      <c r="AC3" s="15" cm="1">
        <f t="array" ref="AC3">+HLOOKUP($A$1,+[21]İcmal!$B$19:$AG$49,ROW(T1)+1,FALSE)</f>
        <v>0</v>
      </c>
      <c r="AD3" s="15" cm="1">
        <f t="array" ref="AD3">+HLOOKUP($A$1,+[22]İcmal!$B$19:$AG$49,ROW(U1)+1,FALSE)</f>
        <v>0</v>
      </c>
      <c r="AE3" s="15" cm="1">
        <f t="array" ref="AE3">+HLOOKUP($A$1,+[23]İcmal!$B$19:$AG$49,ROW(V1)+1,FALSE)</f>
        <v>0</v>
      </c>
      <c r="AF3" s="15" cm="1">
        <f t="array" ref="AF3">+HLOOKUP($A$1,+[24]İcmal!$B$19:$AG$49,ROW(W1)+1,FALSE)</f>
        <v>0</v>
      </c>
      <c r="AG3" s="15" cm="1">
        <f t="array" ref="AG3">+HLOOKUP($A$1,+[25]İcmal!$B$19:$AG$49,ROW(X1)+1,FALSE)</f>
        <v>0</v>
      </c>
      <c r="AH3" s="15" cm="1">
        <f t="array" ref="AH3">+HLOOKUP($A$1,+[26]İcmal!$B$19:$AG$49,ROW(Y1)+1,FALSE)</f>
        <v>0</v>
      </c>
      <c r="AI3" s="15" cm="1">
        <f t="array" ref="AI3">+HLOOKUP($A$1,+[27]İcmal!$B$19:$AG$49,ROW(Z1)+1,FALSE)</f>
        <v>0</v>
      </c>
      <c r="AJ3" s="15" cm="1">
        <f t="array" ref="AJ3">+HLOOKUP($A$1,+[28]İcmal!$B$19:$AG$49,ROW(AA1)+1,FALSE)</f>
        <v>0</v>
      </c>
      <c r="AK3" s="15" cm="1">
        <f t="array" ref="AK3">+HLOOKUP($A$1,+[29]İcmal!$B$19:$AG$49,ROW(AB1)+1,FALSE)</f>
        <v>0</v>
      </c>
      <c r="AL3" s="15"/>
      <c r="AM3" s="15"/>
      <c r="AN3" s="15"/>
      <c r="AO3" s="15"/>
      <c r="AP3" s="15"/>
      <c r="AQ3" s="15"/>
      <c r="AR3" s="15"/>
      <c r="AS3" s="15"/>
      <c r="AT3" s="13"/>
    </row>
    <row r="4" spans="1:46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+HLOOKUP($A$1,+[2]İcmal!$B$19:$AG$49,ROW(A2)+1,FALSE)</f>
        <v>0</v>
      </c>
      <c r="K4" s="15" cm="1">
        <f t="array" ref="K4">+HLOOKUP($A$1,+[3]İcmal!$B$19:$AG$49,ROW(B2)+1,FALSE)</f>
        <v>0</v>
      </c>
      <c r="L4" s="15" cm="1">
        <f t="array" ref="L4">+HLOOKUP($A$1,+[4]İcmal!$B$19:$AG$49,ROW(C2)+1,FALSE)</f>
        <v>0</v>
      </c>
      <c r="M4" s="15" cm="1">
        <f t="array" ref="M4">+HLOOKUP($A$1,+[5]İcmal!$B$19:$AG$49,ROW(D2)+1,FALSE)</f>
        <v>0</v>
      </c>
      <c r="N4" s="15" cm="1">
        <f t="array" ref="N4">+HLOOKUP($A$1,+[6]İcmal!$B$19:$AG$49,ROW(E2)+1,FALSE)</f>
        <v>0</v>
      </c>
      <c r="O4" s="15" cm="1">
        <f t="array" ref="O4">+HLOOKUP($A$1,+[7]İcmal!$B$19:$AG$49,ROW(F2)+1,FALSE)</f>
        <v>0</v>
      </c>
      <c r="P4" s="15" cm="1">
        <f t="array" ref="P4">+HLOOKUP($A$1,+[8]İcmal!$B$19:$AG$49,ROW(G2)+1,FALSE)</f>
        <v>0</v>
      </c>
      <c r="Q4" s="15" cm="1">
        <f t="array" ref="Q4">+HLOOKUP($A$1,+[9]İcmal!$B$19:$AG$49,ROW(H2)+1,FALSE)</f>
        <v>0</v>
      </c>
      <c r="R4" s="15" cm="1">
        <f t="array" ref="R4">+HLOOKUP($A$1,+[10]İcmal!$B$19:$AG$49,ROW(I2)+1,FALSE)</f>
        <v>0</v>
      </c>
      <c r="S4" s="15" cm="1">
        <f t="array" ref="S4">+HLOOKUP($A$1,+[11]İcmal!$B$19:$AG$49,ROW(J2)+1,FALSE)</f>
        <v>0</v>
      </c>
      <c r="T4" s="15" cm="1">
        <f t="array" ref="T4">+HLOOKUP($A$1,+[12]İcmal!$B$19:$AG$49,ROW(K2)+1,FALSE)</f>
        <v>0</v>
      </c>
      <c r="U4" s="15" cm="1">
        <f t="array" ref="U4">+HLOOKUP($A$1,+[13]İcmal!$B$19:$AG$49,ROW(L2)+1,FALSE)</f>
        <v>0</v>
      </c>
      <c r="V4" s="15" cm="1">
        <f t="array" ref="V4">+HLOOKUP($A$1,+[14]İcmal!$B$19:$AG$49,ROW(M2)+1,FALSE)</f>
        <v>0</v>
      </c>
      <c r="W4" s="15" cm="1">
        <f t="array" ref="W4">+HLOOKUP($A$1,+[15]İcmal!$B$19:$AG$49,ROW(N2)+1,FALSE)</f>
        <v>0</v>
      </c>
      <c r="X4" s="15" cm="1">
        <f t="array" ref="X4">+HLOOKUP($A$1,+[16]İcmal!$B$19:$AG$49,ROW(O2)+1,FALSE)</f>
        <v>0</v>
      </c>
      <c r="Y4" s="15" cm="1">
        <f t="array" ref="Y4">+HLOOKUP($A$1,+[17]İcmal!$B$19:$AG$49,ROW(P2)+1,FALSE)</f>
        <v>0</v>
      </c>
      <c r="Z4" s="15" cm="1">
        <f t="array" ref="Z4">+HLOOKUP($A$1,+[18]İcmal!$B$19:$AG$49,ROW(Q2)+1,FALSE)</f>
        <v>0</v>
      </c>
      <c r="AA4" s="15" cm="1">
        <f t="array" ref="AA4">+HLOOKUP($A$1,+[19]İcmal!$B$19:$AG$49,ROW(R2)+1,FALSE)</f>
        <v>0</v>
      </c>
      <c r="AB4" s="15" cm="1">
        <f t="array" ref="AB4">+HLOOKUP($A$1,+[20]İcmal!$B$19:$AG$49,ROW(S2)+1,FALSE)</f>
        <v>0</v>
      </c>
      <c r="AC4" s="15" cm="1">
        <f t="array" ref="AC4">+HLOOKUP($A$1,+[21]İcmal!$B$19:$AG$49,ROW(T2)+1,FALSE)</f>
        <v>0</v>
      </c>
      <c r="AD4" s="15" cm="1">
        <f t="array" ref="AD4">+HLOOKUP($A$1,+[22]İcmal!$B$19:$AG$49,ROW(U2)+1,FALSE)</f>
        <v>0</v>
      </c>
      <c r="AE4" s="15" cm="1">
        <f t="array" ref="AE4">+HLOOKUP($A$1,+[23]İcmal!$B$19:$AG$49,ROW(V2)+1,FALSE)</f>
        <v>0</v>
      </c>
      <c r="AF4" s="15" cm="1">
        <f t="array" ref="AF4">+HLOOKUP($A$1,+[24]İcmal!$B$19:$AG$49,ROW(W2)+1,FALSE)</f>
        <v>0</v>
      </c>
      <c r="AG4" s="15" cm="1">
        <f t="array" ref="AG4">+HLOOKUP($A$1,+[25]İcmal!$B$19:$AG$49,ROW(X2)+1,FALSE)</f>
        <v>0</v>
      </c>
      <c r="AH4" s="15" cm="1">
        <f t="array" ref="AH4">+HLOOKUP($A$1,+[26]İcmal!$B$19:$AG$49,ROW(Y2)+1,FALSE)</f>
        <v>0</v>
      </c>
      <c r="AI4" s="15" cm="1">
        <f t="array" ref="AI4">+HLOOKUP($A$1,+[27]İcmal!$B$19:$AG$49,ROW(Z2)+1,FALSE)</f>
        <v>0</v>
      </c>
      <c r="AJ4" s="15" cm="1">
        <f t="array" ref="AJ4">+HLOOKUP($A$1,+[28]İcmal!$B$19:$AG$49,ROW(AA2)+1,FALSE)</f>
        <v>0</v>
      </c>
      <c r="AK4" s="15" cm="1">
        <f t="array" ref="AK4">+HLOOKUP($A$1,+[29]İcmal!$B$19:$AG$49,ROW(AB2)+1,FALSE)</f>
        <v>0</v>
      </c>
      <c r="AL4" s="15"/>
      <c r="AM4" s="15"/>
      <c r="AN4" s="15"/>
      <c r="AO4" s="15"/>
      <c r="AP4" s="15"/>
      <c r="AQ4" s="15"/>
      <c r="AR4" s="15"/>
      <c r="AS4" s="15"/>
      <c r="AT4" s="13"/>
    </row>
    <row r="5" spans="1:46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+HLOOKUP($A$1,+[2]İcmal!$B$19:$AG$49,ROW(A3)+1,FALSE)</f>
        <v>0</v>
      </c>
      <c r="K5" s="15" cm="1">
        <f t="array" ref="K5">+HLOOKUP($A$1,+[3]İcmal!$B$19:$AG$49,ROW(B3)+1,FALSE)</f>
        <v>0</v>
      </c>
      <c r="L5" s="15" cm="1">
        <f t="array" ref="L5">+HLOOKUP($A$1,+[4]İcmal!$B$19:$AG$49,ROW(C3)+1,FALSE)</f>
        <v>0</v>
      </c>
      <c r="M5" s="15" cm="1">
        <f t="array" ref="M5">+HLOOKUP($A$1,+[5]İcmal!$B$19:$AG$49,ROW(D3)+1,FALSE)</f>
        <v>0</v>
      </c>
      <c r="N5" s="15" cm="1">
        <f t="array" ref="N5">+HLOOKUP($A$1,+[6]İcmal!$B$19:$AG$49,ROW(E3)+1,FALSE)</f>
        <v>0</v>
      </c>
      <c r="O5" s="15" cm="1">
        <f t="array" ref="O5">+HLOOKUP($A$1,+[7]İcmal!$B$19:$AG$49,ROW(F3)+1,FALSE)</f>
        <v>0</v>
      </c>
      <c r="P5" s="15" cm="1">
        <f t="array" ref="P5">+HLOOKUP($A$1,+[8]İcmal!$B$19:$AG$49,ROW(G3)+1,FALSE)</f>
        <v>0</v>
      </c>
      <c r="Q5" s="15" cm="1">
        <f t="array" ref="Q5">+HLOOKUP($A$1,+[9]İcmal!$B$19:$AG$49,ROW(H3)+1,FALSE)</f>
        <v>0</v>
      </c>
      <c r="R5" s="15" cm="1">
        <f t="array" ref="R5">+HLOOKUP($A$1,+[10]İcmal!$B$19:$AG$49,ROW(I3)+1,FALSE)</f>
        <v>0</v>
      </c>
      <c r="S5" s="15" cm="1">
        <f t="array" ref="S5">+HLOOKUP($A$1,+[11]İcmal!$B$19:$AG$49,ROW(J3)+1,FALSE)</f>
        <v>0</v>
      </c>
      <c r="T5" s="15" cm="1">
        <f t="array" ref="T5">+HLOOKUP($A$1,+[12]İcmal!$B$19:$AG$49,ROW(K3)+1,FALSE)</f>
        <v>0</v>
      </c>
      <c r="U5" s="15" cm="1">
        <f t="array" ref="U5">+HLOOKUP($A$1,+[13]İcmal!$B$19:$AG$49,ROW(L3)+1,FALSE)</f>
        <v>0</v>
      </c>
      <c r="V5" s="15" cm="1">
        <f t="array" ref="V5">+HLOOKUP($A$1,+[14]İcmal!$B$19:$AG$49,ROW(M3)+1,FALSE)</f>
        <v>0</v>
      </c>
      <c r="W5" s="15" cm="1">
        <f t="array" ref="W5">+HLOOKUP($A$1,+[15]İcmal!$B$19:$AG$49,ROW(N3)+1,FALSE)</f>
        <v>0</v>
      </c>
      <c r="X5" s="15" cm="1">
        <f t="array" ref="X5">+HLOOKUP($A$1,+[16]İcmal!$B$19:$AG$49,ROW(O3)+1,FALSE)</f>
        <v>0</v>
      </c>
      <c r="Y5" s="15" cm="1">
        <f t="array" ref="Y5">+HLOOKUP($A$1,+[17]İcmal!$B$19:$AG$49,ROW(P3)+1,FALSE)</f>
        <v>0</v>
      </c>
      <c r="Z5" s="15" cm="1">
        <f t="array" ref="Z5">+HLOOKUP($A$1,+[18]İcmal!$B$19:$AG$49,ROW(Q3)+1,FALSE)</f>
        <v>0</v>
      </c>
      <c r="AA5" s="15" cm="1">
        <f t="array" ref="AA5">+HLOOKUP($A$1,+[19]İcmal!$B$19:$AG$49,ROW(R3)+1,FALSE)</f>
        <v>0</v>
      </c>
      <c r="AB5" s="15" cm="1">
        <f t="array" ref="AB5">+HLOOKUP($A$1,+[20]İcmal!$B$19:$AG$49,ROW(S3)+1,FALSE)</f>
        <v>0</v>
      </c>
      <c r="AC5" s="15" cm="1">
        <f t="array" ref="AC5">+HLOOKUP($A$1,+[21]İcmal!$B$19:$AG$49,ROW(T3)+1,FALSE)</f>
        <v>0</v>
      </c>
      <c r="AD5" s="15" cm="1">
        <f t="array" ref="AD5">+HLOOKUP($A$1,+[22]İcmal!$B$19:$AG$49,ROW(U3)+1,FALSE)</f>
        <v>0</v>
      </c>
      <c r="AE5" s="15" cm="1">
        <f t="array" ref="AE5">+HLOOKUP($A$1,+[23]İcmal!$B$19:$AG$49,ROW(V3)+1,FALSE)</f>
        <v>0</v>
      </c>
      <c r="AF5" s="15" cm="1">
        <f t="array" ref="AF5">+HLOOKUP($A$1,+[24]İcmal!$B$19:$AG$49,ROW(W3)+1,FALSE)</f>
        <v>0</v>
      </c>
      <c r="AG5" s="15" cm="1">
        <f t="array" ref="AG5">+HLOOKUP($A$1,+[25]İcmal!$B$19:$AG$49,ROW(X3)+1,FALSE)</f>
        <v>0</v>
      </c>
      <c r="AH5" s="15" cm="1">
        <f t="array" ref="AH5">+HLOOKUP($A$1,+[26]İcmal!$B$19:$AG$49,ROW(Y3)+1,FALSE)</f>
        <v>0</v>
      </c>
      <c r="AI5" s="15" cm="1">
        <f t="array" ref="AI5">+HLOOKUP($A$1,+[27]İcmal!$B$19:$AG$49,ROW(Z3)+1,FALSE)</f>
        <v>0</v>
      </c>
      <c r="AJ5" s="15" cm="1">
        <f t="array" ref="AJ5">+HLOOKUP($A$1,+[28]İcmal!$B$19:$AG$49,ROW(AA3)+1,FALSE)</f>
        <v>0</v>
      </c>
      <c r="AK5" s="15" cm="1">
        <f t="array" ref="AK5">+HLOOKUP($A$1,+[29]İcmal!$B$19:$AG$49,ROW(AB3)+1,FALSE)</f>
        <v>0</v>
      </c>
      <c r="AL5" s="15"/>
      <c r="AM5" s="15"/>
      <c r="AN5" s="15"/>
      <c r="AO5" s="15"/>
      <c r="AP5" s="15"/>
      <c r="AQ5" s="15"/>
      <c r="AR5" s="15"/>
      <c r="AS5" s="15"/>
      <c r="AT5" s="13"/>
    </row>
    <row r="6" spans="1:46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940.15100000000018</v>
      </c>
      <c r="I6" s="9">
        <f t="shared" si="2"/>
        <v>14416275.434000002</v>
      </c>
      <c r="J6" s="15" cm="1">
        <f t="array" ref="J6">+HLOOKUP($A$1,+[2]İcmal!$B$19:$AG$49,ROW(A4)+1,FALSE)</f>
        <v>149.73800000000003</v>
      </c>
      <c r="K6" s="15" cm="1">
        <f t="array" ref="K6">+HLOOKUP($A$1,+[3]İcmal!$B$19:$AG$49,ROW(B4)+1,FALSE)</f>
        <v>147.95499999999998</v>
      </c>
      <c r="L6" s="15" cm="1">
        <f t="array" ref="L6">+HLOOKUP($A$1,+[4]İcmal!$B$19:$AG$49,ROW(C4)+1,FALSE)</f>
        <v>0</v>
      </c>
      <c r="M6" s="15" cm="1">
        <f t="array" ref="M6">+HLOOKUP($A$1,+[5]İcmal!$B$19:$AG$49,ROW(D4)+1,FALSE)</f>
        <v>0</v>
      </c>
      <c r="N6" s="15" cm="1">
        <f t="array" ref="N6">+HLOOKUP($A$1,+[6]İcmal!$B$19:$AG$49,ROW(E4)+1,FALSE)</f>
        <v>200.43900000000002</v>
      </c>
      <c r="O6" s="15" cm="1">
        <f t="array" ref="O6">+HLOOKUP($A$1,+[7]İcmal!$B$19:$AG$49,ROW(F4)+1,FALSE)</f>
        <v>52.653999999999996</v>
      </c>
      <c r="P6" s="15" cm="1">
        <f t="array" ref="P6">+HLOOKUP($A$1,+[8]İcmal!$B$19:$AG$49,ROW(G4)+1,FALSE)</f>
        <v>0</v>
      </c>
      <c r="Q6" s="15" cm="1">
        <f t="array" ref="Q6">+HLOOKUP($A$1,+[9]İcmal!$B$19:$AG$49,ROW(H4)+1,FALSE)</f>
        <v>0</v>
      </c>
      <c r="R6" s="15" cm="1">
        <f t="array" ref="R6">+HLOOKUP($A$1,+[10]İcmal!$B$19:$AG$49,ROW(I4)+1,FALSE)</f>
        <v>119.56900000000003</v>
      </c>
      <c r="S6" s="15" cm="1">
        <f t="array" ref="S6">+HLOOKUP($A$1,+[11]İcmal!$B$19:$AG$49,ROW(J4)+1,FALSE)</f>
        <v>0</v>
      </c>
      <c r="T6" s="15" cm="1">
        <f t="array" ref="T6">+HLOOKUP($A$1,+[12]İcmal!$B$19:$AG$49,ROW(K4)+1,FALSE)</f>
        <v>0</v>
      </c>
      <c r="U6" s="15" cm="1">
        <f t="array" ref="U6">+HLOOKUP($A$1,+[13]İcmal!$B$19:$AG$49,ROW(L4)+1,FALSE)</f>
        <v>0</v>
      </c>
      <c r="V6" s="15" cm="1">
        <f t="array" ref="V6">+HLOOKUP($A$1,+[14]İcmal!$B$19:$AG$49,ROW(M4)+1,FALSE)</f>
        <v>101.77100000000002</v>
      </c>
      <c r="W6" s="15" cm="1">
        <f t="array" ref="W6">+HLOOKUP($A$1,+[15]İcmal!$B$19:$AG$49,ROW(N4)+1,FALSE)</f>
        <v>168.02500000000001</v>
      </c>
      <c r="X6" s="15" cm="1">
        <f t="array" ref="X6">+HLOOKUP($A$1,+[16]İcmal!$B$19:$AG$49,ROW(O4)+1,FALSE)</f>
        <v>0</v>
      </c>
      <c r="Y6" s="15" cm="1">
        <f t="array" ref="Y6">+HLOOKUP($A$1,+[17]İcmal!$B$19:$AG$49,ROW(P4)+1,FALSE)</f>
        <v>0</v>
      </c>
      <c r="Z6" s="15" cm="1">
        <f t="array" ref="Z6">+HLOOKUP($A$1,+[18]İcmal!$B$19:$AG$49,ROW(Q4)+1,FALSE)</f>
        <v>0</v>
      </c>
      <c r="AA6" s="15" cm="1">
        <f t="array" ref="AA6">+HLOOKUP($A$1,+[19]İcmal!$B$19:$AG$49,ROW(R4)+1,FALSE)</f>
        <v>0</v>
      </c>
      <c r="AB6" s="15" cm="1">
        <f t="array" ref="AB6">+HLOOKUP($A$1,+[20]İcmal!$B$19:$AG$49,ROW(S4)+1,FALSE)</f>
        <v>0</v>
      </c>
      <c r="AC6" s="15" cm="1">
        <f t="array" ref="AC6">+HLOOKUP($A$1,+[21]İcmal!$B$19:$AG$49,ROW(T4)+1,FALSE)</f>
        <v>0</v>
      </c>
      <c r="AD6" s="15" cm="1">
        <f t="array" ref="AD6">+HLOOKUP($A$1,+[22]İcmal!$B$19:$AG$49,ROW(U4)+1,FALSE)</f>
        <v>0</v>
      </c>
      <c r="AE6" s="15" cm="1">
        <f t="array" ref="AE6">+HLOOKUP($A$1,+[23]İcmal!$B$19:$AG$49,ROW(V4)+1,FALSE)</f>
        <v>0</v>
      </c>
      <c r="AF6" s="15" cm="1">
        <f t="array" ref="AF6">+HLOOKUP($A$1,+[24]İcmal!$B$19:$AG$49,ROW(W4)+1,FALSE)</f>
        <v>0</v>
      </c>
      <c r="AG6" s="15" cm="1">
        <f t="array" ref="AG6">+HLOOKUP($A$1,+[25]İcmal!$B$19:$AG$49,ROW(X4)+1,FALSE)</f>
        <v>0</v>
      </c>
      <c r="AH6" s="15" cm="1">
        <f t="array" ref="AH6">+HLOOKUP($A$1,+[26]İcmal!$B$19:$AG$49,ROW(Y4)+1,FALSE)</f>
        <v>0</v>
      </c>
      <c r="AI6" s="15" cm="1">
        <f t="array" ref="AI6">+HLOOKUP($A$1,+[27]İcmal!$B$19:$AG$49,ROW(Z4)+1,FALSE)</f>
        <v>0</v>
      </c>
      <c r="AJ6" s="15" cm="1">
        <f t="array" ref="AJ6">+HLOOKUP($A$1,+[28]İcmal!$B$19:$AG$49,ROW(AA4)+1,FALSE)</f>
        <v>0</v>
      </c>
      <c r="AK6" s="15" cm="1">
        <f t="array" ref="AK6">+HLOOKUP($A$1,+[29]İcmal!$B$19:$AG$49,ROW(AB4)+1,FALSE)</f>
        <v>0</v>
      </c>
      <c r="AL6" s="15"/>
      <c r="AM6" s="15"/>
      <c r="AN6" s="15"/>
      <c r="AO6" s="15"/>
      <c r="AP6" s="15"/>
      <c r="AQ6" s="15"/>
      <c r="AR6" s="15"/>
      <c r="AS6" s="15"/>
      <c r="AT6" s="13"/>
    </row>
    <row r="7" spans="1:46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+HLOOKUP($A$1,+[2]İcmal!$B$19:$AG$49,ROW(A5)+1,FALSE)</f>
        <v>0</v>
      </c>
      <c r="K7" s="15" cm="1">
        <f t="array" ref="K7">+HLOOKUP($A$1,+[3]İcmal!$B$19:$AG$49,ROW(B5)+1,FALSE)</f>
        <v>0</v>
      </c>
      <c r="L7" s="15" cm="1">
        <f t="array" ref="L7">+HLOOKUP($A$1,+[4]İcmal!$B$19:$AG$49,ROW(C5)+1,FALSE)</f>
        <v>0</v>
      </c>
      <c r="M7" s="15" cm="1">
        <f t="array" ref="M7">+HLOOKUP($A$1,+[5]İcmal!$B$19:$AG$49,ROW(D5)+1,FALSE)</f>
        <v>0</v>
      </c>
      <c r="N7" s="15" cm="1">
        <f t="array" ref="N7">+HLOOKUP($A$1,+[6]İcmal!$B$19:$AG$49,ROW(E5)+1,FALSE)</f>
        <v>0</v>
      </c>
      <c r="O7" s="15" cm="1">
        <f t="array" ref="O7">+HLOOKUP($A$1,+[7]İcmal!$B$19:$AG$49,ROW(F5)+1,FALSE)</f>
        <v>0</v>
      </c>
      <c r="P7" s="15" cm="1">
        <f t="array" ref="P7">+HLOOKUP($A$1,+[8]İcmal!$B$19:$AG$49,ROW(G5)+1,FALSE)</f>
        <v>0</v>
      </c>
      <c r="Q7" s="15" cm="1">
        <f t="array" ref="Q7">+HLOOKUP($A$1,+[9]İcmal!$B$19:$AG$49,ROW(H5)+1,FALSE)</f>
        <v>0</v>
      </c>
      <c r="R7" s="15" cm="1">
        <f t="array" ref="R7">+HLOOKUP($A$1,+[10]İcmal!$B$19:$AG$49,ROW(I5)+1,FALSE)</f>
        <v>0</v>
      </c>
      <c r="S7" s="15" cm="1">
        <f t="array" ref="S7">+HLOOKUP($A$1,+[11]İcmal!$B$19:$AG$49,ROW(J5)+1,FALSE)</f>
        <v>0</v>
      </c>
      <c r="T7" s="15" cm="1">
        <f t="array" ref="T7">+HLOOKUP($A$1,+[12]İcmal!$B$19:$AG$49,ROW(K5)+1,FALSE)</f>
        <v>0</v>
      </c>
      <c r="U7" s="15" cm="1">
        <f t="array" ref="U7">+HLOOKUP($A$1,+[13]İcmal!$B$19:$AG$49,ROW(L5)+1,FALSE)</f>
        <v>0</v>
      </c>
      <c r="V7" s="15" cm="1">
        <f t="array" ref="V7">+HLOOKUP($A$1,+[14]İcmal!$B$19:$AG$49,ROW(M5)+1,FALSE)</f>
        <v>0</v>
      </c>
      <c r="W7" s="15" cm="1">
        <f t="array" ref="W7">+HLOOKUP($A$1,+[15]İcmal!$B$19:$AG$49,ROW(N5)+1,FALSE)</f>
        <v>0</v>
      </c>
      <c r="X7" s="15" cm="1">
        <f t="array" ref="X7">+HLOOKUP($A$1,+[16]İcmal!$B$19:$AG$49,ROW(O5)+1,FALSE)</f>
        <v>0</v>
      </c>
      <c r="Y7" s="15" cm="1">
        <f t="array" ref="Y7">+HLOOKUP($A$1,+[17]İcmal!$B$19:$AG$49,ROW(P5)+1,FALSE)</f>
        <v>0</v>
      </c>
      <c r="Z7" s="15" cm="1">
        <f t="array" ref="Z7">+HLOOKUP($A$1,+[18]İcmal!$B$19:$AG$49,ROW(Q5)+1,FALSE)</f>
        <v>0</v>
      </c>
      <c r="AA7" s="15" cm="1">
        <f t="array" ref="AA7">+HLOOKUP($A$1,+[19]İcmal!$B$19:$AG$49,ROW(R5)+1,FALSE)</f>
        <v>0</v>
      </c>
      <c r="AB7" s="15" cm="1">
        <f t="array" ref="AB7">+HLOOKUP($A$1,+[20]İcmal!$B$19:$AG$49,ROW(S5)+1,FALSE)</f>
        <v>0</v>
      </c>
      <c r="AC7" s="15" cm="1">
        <f t="array" ref="AC7">+HLOOKUP($A$1,+[21]İcmal!$B$19:$AG$49,ROW(T5)+1,FALSE)</f>
        <v>0</v>
      </c>
      <c r="AD7" s="15" cm="1">
        <f t="array" ref="AD7">+HLOOKUP($A$1,+[22]İcmal!$B$19:$AG$49,ROW(U5)+1,FALSE)</f>
        <v>0</v>
      </c>
      <c r="AE7" s="15" cm="1">
        <f t="array" ref="AE7">+HLOOKUP($A$1,+[23]İcmal!$B$19:$AG$49,ROW(V5)+1,FALSE)</f>
        <v>0</v>
      </c>
      <c r="AF7" s="15" cm="1">
        <f t="array" ref="AF7">+HLOOKUP($A$1,+[24]İcmal!$B$19:$AG$49,ROW(W5)+1,FALSE)</f>
        <v>0</v>
      </c>
      <c r="AG7" s="15" cm="1">
        <f t="array" ref="AG7">+HLOOKUP($A$1,+[25]İcmal!$B$19:$AG$49,ROW(X5)+1,FALSE)</f>
        <v>0</v>
      </c>
      <c r="AH7" s="15" cm="1">
        <f t="array" ref="AH7">+HLOOKUP($A$1,+[26]İcmal!$B$19:$AG$49,ROW(Y5)+1,FALSE)</f>
        <v>0</v>
      </c>
      <c r="AI7" s="15" cm="1">
        <f t="array" ref="AI7">+HLOOKUP($A$1,+[27]İcmal!$B$19:$AG$49,ROW(Z5)+1,FALSE)</f>
        <v>0</v>
      </c>
      <c r="AJ7" s="15" cm="1">
        <f t="array" ref="AJ7">+HLOOKUP($A$1,+[28]İcmal!$B$19:$AG$49,ROW(AA5)+1,FALSE)</f>
        <v>0</v>
      </c>
      <c r="AK7" s="15" cm="1">
        <f t="array" ref="AK7">+HLOOKUP($A$1,+[29]İcmal!$B$19:$AG$49,ROW(AB5)+1,FALSE)</f>
        <v>0</v>
      </c>
      <c r="AL7" s="15"/>
      <c r="AM7" s="15"/>
      <c r="AN7" s="15"/>
      <c r="AO7" s="15"/>
      <c r="AP7" s="15"/>
      <c r="AQ7" s="15"/>
      <c r="AR7" s="15"/>
      <c r="AS7" s="15"/>
      <c r="AT7" s="13"/>
    </row>
    <row r="8" spans="1:46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+HLOOKUP($A$1,+[2]İcmal!$B$19:$AG$49,ROW(A6)+1,FALSE)</f>
        <v>0</v>
      </c>
      <c r="K8" s="15" cm="1">
        <f t="array" ref="K8">+HLOOKUP($A$1,+[3]İcmal!$B$19:$AG$49,ROW(B6)+1,FALSE)</f>
        <v>0</v>
      </c>
      <c r="L8" s="15" cm="1">
        <f t="array" ref="L8">+HLOOKUP($A$1,+[4]İcmal!$B$19:$AG$49,ROW(C6)+1,FALSE)</f>
        <v>0</v>
      </c>
      <c r="M8" s="15" cm="1">
        <f t="array" ref="M8">+HLOOKUP($A$1,+[5]İcmal!$B$19:$AG$49,ROW(D6)+1,FALSE)</f>
        <v>0</v>
      </c>
      <c r="N8" s="15" cm="1">
        <f t="array" ref="N8">+HLOOKUP($A$1,+[6]İcmal!$B$19:$AG$49,ROW(E6)+1,FALSE)</f>
        <v>0</v>
      </c>
      <c r="O8" s="15" cm="1">
        <f t="array" ref="O8">+HLOOKUP($A$1,+[7]İcmal!$B$19:$AG$49,ROW(F6)+1,FALSE)</f>
        <v>0</v>
      </c>
      <c r="P8" s="15" cm="1">
        <f t="array" ref="P8">+HLOOKUP($A$1,+[8]İcmal!$B$19:$AG$49,ROW(G6)+1,FALSE)</f>
        <v>0</v>
      </c>
      <c r="Q8" s="15" cm="1">
        <f t="array" ref="Q8">+HLOOKUP($A$1,+[9]İcmal!$B$19:$AG$49,ROW(H6)+1,FALSE)</f>
        <v>0</v>
      </c>
      <c r="R8" s="15" cm="1">
        <f t="array" ref="R8">+HLOOKUP($A$1,+[10]İcmal!$B$19:$AG$49,ROW(I6)+1,FALSE)</f>
        <v>0</v>
      </c>
      <c r="S8" s="15" cm="1">
        <f t="array" ref="S8">+HLOOKUP($A$1,+[11]İcmal!$B$19:$AG$49,ROW(J6)+1,FALSE)</f>
        <v>0</v>
      </c>
      <c r="T8" s="15" cm="1">
        <f t="array" ref="T8">+HLOOKUP($A$1,+[12]İcmal!$B$19:$AG$49,ROW(K6)+1,FALSE)</f>
        <v>0</v>
      </c>
      <c r="U8" s="15" cm="1">
        <f t="array" ref="U8">+HLOOKUP($A$1,+[13]İcmal!$B$19:$AG$49,ROW(L6)+1,FALSE)</f>
        <v>0</v>
      </c>
      <c r="V8" s="15" cm="1">
        <f t="array" ref="V8">+HLOOKUP($A$1,+[14]İcmal!$B$19:$AG$49,ROW(M6)+1,FALSE)</f>
        <v>0</v>
      </c>
      <c r="W8" s="15" cm="1">
        <f t="array" ref="W8">+HLOOKUP($A$1,+[15]İcmal!$B$19:$AG$49,ROW(N6)+1,FALSE)</f>
        <v>0</v>
      </c>
      <c r="X8" s="15" cm="1">
        <f t="array" ref="X8">+HLOOKUP($A$1,+[16]İcmal!$B$19:$AG$49,ROW(O6)+1,FALSE)</f>
        <v>0</v>
      </c>
      <c r="Y8" s="15" cm="1">
        <f t="array" ref="Y8">+HLOOKUP($A$1,+[17]İcmal!$B$19:$AG$49,ROW(P6)+1,FALSE)</f>
        <v>0</v>
      </c>
      <c r="Z8" s="15" cm="1">
        <f t="array" ref="Z8">+HLOOKUP($A$1,+[18]İcmal!$B$19:$AG$49,ROW(Q6)+1,FALSE)</f>
        <v>0</v>
      </c>
      <c r="AA8" s="15" cm="1">
        <f t="array" ref="AA8">+HLOOKUP($A$1,+[19]İcmal!$B$19:$AG$49,ROW(R6)+1,FALSE)</f>
        <v>0</v>
      </c>
      <c r="AB8" s="15" cm="1">
        <f t="array" ref="AB8">+HLOOKUP($A$1,+[20]İcmal!$B$19:$AG$49,ROW(S6)+1,FALSE)</f>
        <v>0</v>
      </c>
      <c r="AC8" s="15" cm="1">
        <f t="array" ref="AC8">+HLOOKUP($A$1,+[21]İcmal!$B$19:$AG$49,ROW(T6)+1,FALSE)</f>
        <v>0</v>
      </c>
      <c r="AD8" s="15" cm="1">
        <f t="array" ref="AD8">+HLOOKUP($A$1,+[22]İcmal!$B$19:$AG$49,ROW(U6)+1,FALSE)</f>
        <v>0</v>
      </c>
      <c r="AE8" s="15" cm="1">
        <f t="array" ref="AE8">+HLOOKUP($A$1,+[23]İcmal!$B$19:$AG$49,ROW(V6)+1,FALSE)</f>
        <v>0</v>
      </c>
      <c r="AF8" s="15" cm="1">
        <f t="array" ref="AF8">+HLOOKUP($A$1,+[24]İcmal!$B$19:$AG$49,ROW(W6)+1,FALSE)</f>
        <v>0</v>
      </c>
      <c r="AG8" s="15" cm="1">
        <f t="array" ref="AG8">+HLOOKUP($A$1,+[25]İcmal!$B$19:$AG$49,ROW(X6)+1,FALSE)</f>
        <v>0</v>
      </c>
      <c r="AH8" s="15" cm="1">
        <f t="array" ref="AH8">+HLOOKUP($A$1,+[26]İcmal!$B$19:$AG$49,ROW(Y6)+1,FALSE)</f>
        <v>0</v>
      </c>
      <c r="AI8" s="15" cm="1">
        <f t="array" ref="AI8">+HLOOKUP($A$1,+[27]İcmal!$B$19:$AG$49,ROW(Z6)+1,FALSE)</f>
        <v>0</v>
      </c>
      <c r="AJ8" s="15" cm="1">
        <f t="array" ref="AJ8">+HLOOKUP($A$1,+[28]İcmal!$B$19:$AG$49,ROW(AA6)+1,FALSE)</f>
        <v>0</v>
      </c>
      <c r="AK8" s="15" cm="1">
        <f t="array" ref="AK8">+HLOOKUP($A$1,+[29]İcmal!$B$19:$AG$49,ROW(AB6)+1,FALSE)</f>
        <v>0</v>
      </c>
      <c r="AL8" s="15"/>
      <c r="AM8" s="15"/>
      <c r="AN8" s="15"/>
      <c r="AO8" s="15"/>
      <c r="AP8" s="15"/>
      <c r="AQ8" s="15"/>
      <c r="AR8" s="15"/>
      <c r="AS8" s="15"/>
      <c r="AT8" s="13"/>
    </row>
    <row r="9" spans="1:46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+HLOOKUP($A$1,+[2]İcmal!$B$19:$AG$49,ROW(A7)+1,FALSE)</f>
        <v>0</v>
      </c>
      <c r="K9" s="15" cm="1">
        <f t="array" ref="K9">+HLOOKUP($A$1,+[3]İcmal!$B$19:$AG$49,ROW(B7)+1,FALSE)</f>
        <v>0</v>
      </c>
      <c r="L9" s="15" cm="1">
        <f t="array" ref="L9">+HLOOKUP($A$1,+[4]İcmal!$B$19:$AG$49,ROW(C7)+1,FALSE)</f>
        <v>0</v>
      </c>
      <c r="M9" s="15" cm="1">
        <f t="array" ref="M9">+HLOOKUP($A$1,+[5]İcmal!$B$19:$AG$49,ROW(D7)+1,FALSE)</f>
        <v>0</v>
      </c>
      <c r="N9" s="15" cm="1">
        <f t="array" ref="N9">+HLOOKUP($A$1,+[6]İcmal!$B$19:$AG$49,ROW(E7)+1,FALSE)</f>
        <v>0</v>
      </c>
      <c r="O9" s="15" cm="1">
        <f t="array" ref="O9">+HLOOKUP($A$1,+[7]İcmal!$B$19:$AG$49,ROW(F7)+1,FALSE)</f>
        <v>0</v>
      </c>
      <c r="P9" s="15" cm="1">
        <f t="array" ref="P9">+HLOOKUP($A$1,+[8]İcmal!$B$19:$AG$49,ROW(G7)+1,FALSE)</f>
        <v>0</v>
      </c>
      <c r="Q9" s="15" cm="1">
        <f t="array" ref="Q9">+HLOOKUP($A$1,+[9]İcmal!$B$19:$AG$49,ROW(H7)+1,FALSE)</f>
        <v>0</v>
      </c>
      <c r="R9" s="15" cm="1">
        <f t="array" ref="R9">+HLOOKUP($A$1,+[10]İcmal!$B$19:$AG$49,ROW(I7)+1,FALSE)</f>
        <v>0</v>
      </c>
      <c r="S9" s="15" cm="1">
        <f t="array" ref="S9">+HLOOKUP($A$1,+[11]İcmal!$B$19:$AG$49,ROW(J7)+1,FALSE)</f>
        <v>0</v>
      </c>
      <c r="T9" s="15" cm="1">
        <f t="array" ref="T9">+HLOOKUP($A$1,+[12]İcmal!$B$19:$AG$49,ROW(K7)+1,FALSE)</f>
        <v>0</v>
      </c>
      <c r="U9" s="15" cm="1">
        <f t="array" ref="U9">+HLOOKUP($A$1,+[13]İcmal!$B$19:$AG$49,ROW(L7)+1,FALSE)</f>
        <v>0</v>
      </c>
      <c r="V9" s="15" cm="1">
        <f t="array" ref="V9">+HLOOKUP($A$1,+[14]İcmal!$B$19:$AG$49,ROW(M7)+1,FALSE)</f>
        <v>0</v>
      </c>
      <c r="W9" s="15" cm="1">
        <f t="array" ref="W9">+HLOOKUP($A$1,+[15]İcmal!$B$19:$AG$49,ROW(N7)+1,FALSE)</f>
        <v>0</v>
      </c>
      <c r="X9" s="15" cm="1">
        <f t="array" ref="X9">+HLOOKUP($A$1,+[16]İcmal!$B$19:$AG$49,ROW(O7)+1,FALSE)</f>
        <v>0</v>
      </c>
      <c r="Y9" s="15" cm="1">
        <f t="array" ref="Y9">+HLOOKUP($A$1,+[17]İcmal!$B$19:$AG$49,ROW(P7)+1,FALSE)</f>
        <v>0</v>
      </c>
      <c r="Z9" s="15" cm="1">
        <f t="array" ref="Z9">+HLOOKUP($A$1,+[18]İcmal!$B$19:$AG$49,ROW(Q7)+1,FALSE)</f>
        <v>0</v>
      </c>
      <c r="AA9" s="15" cm="1">
        <f t="array" ref="AA9">+HLOOKUP($A$1,+[19]İcmal!$B$19:$AG$49,ROW(R7)+1,FALSE)</f>
        <v>0</v>
      </c>
      <c r="AB9" s="15" cm="1">
        <f t="array" ref="AB9">+HLOOKUP($A$1,+[20]İcmal!$B$19:$AG$49,ROW(S7)+1,FALSE)</f>
        <v>0</v>
      </c>
      <c r="AC9" s="15" cm="1">
        <f t="array" ref="AC9">+HLOOKUP($A$1,+[21]İcmal!$B$19:$AG$49,ROW(T7)+1,FALSE)</f>
        <v>0</v>
      </c>
      <c r="AD9" s="15" cm="1">
        <f t="array" ref="AD9">+HLOOKUP($A$1,+[22]İcmal!$B$19:$AG$49,ROW(U7)+1,FALSE)</f>
        <v>0</v>
      </c>
      <c r="AE9" s="15" cm="1">
        <f t="array" ref="AE9">+HLOOKUP($A$1,+[23]İcmal!$B$19:$AG$49,ROW(V7)+1,FALSE)</f>
        <v>0</v>
      </c>
      <c r="AF9" s="15" cm="1">
        <f t="array" ref="AF9">+HLOOKUP($A$1,+[24]İcmal!$B$19:$AG$49,ROW(W7)+1,FALSE)</f>
        <v>0</v>
      </c>
      <c r="AG9" s="15" cm="1">
        <f t="array" ref="AG9">+HLOOKUP($A$1,+[25]İcmal!$B$19:$AG$49,ROW(X7)+1,FALSE)</f>
        <v>0</v>
      </c>
      <c r="AH9" s="15" cm="1">
        <f t="array" ref="AH9">+HLOOKUP($A$1,+[26]İcmal!$B$19:$AG$49,ROW(Y7)+1,FALSE)</f>
        <v>0</v>
      </c>
      <c r="AI9" s="15" cm="1">
        <f t="array" ref="AI9">+HLOOKUP($A$1,+[27]İcmal!$B$19:$AG$49,ROW(Z7)+1,FALSE)</f>
        <v>0</v>
      </c>
      <c r="AJ9" s="15" cm="1">
        <f t="array" ref="AJ9">+HLOOKUP($A$1,+[28]İcmal!$B$19:$AG$49,ROW(AA7)+1,FALSE)</f>
        <v>0</v>
      </c>
      <c r="AK9" s="15" cm="1">
        <f t="array" ref="AK9">+HLOOKUP($A$1,+[29]İcmal!$B$19:$AG$49,ROW(AB7)+1,FALSE)</f>
        <v>0</v>
      </c>
      <c r="AL9" s="15"/>
      <c r="AM9" s="15"/>
      <c r="AN9" s="15"/>
      <c r="AO9" s="15"/>
      <c r="AP9" s="15"/>
      <c r="AQ9" s="15"/>
      <c r="AR9" s="15"/>
      <c r="AS9" s="15"/>
      <c r="AT9" s="13"/>
    </row>
    <row r="10" spans="1:46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461</v>
      </c>
      <c r="I10" s="9">
        <f t="shared" si="2"/>
        <v>3688000</v>
      </c>
      <c r="J10" s="15" cm="1">
        <f t="array" ref="J10">+HLOOKUP($A$1,+[2]İcmal!$B$19:$AG$49,ROW(A8)+1,FALSE)</f>
        <v>149</v>
      </c>
      <c r="K10" s="15" cm="1">
        <f t="array" ref="K10">+HLOOKUP($A$1,+[3]İcmal!$B$19:$AG$49,ROW(B8)+1,FALSE)</f>
        <v>0</v>
      </c>
      <c r="L10" s="15" cm="1">
        <f t="array" ref="L10">+HLOOKUP($A$1,+[4]İcmal!$B$19:$AG$49,ROW(C8)+1,FALSE)</f>
        <v>0</v>
      </c>
      <c r="M10" s="15" cm="1">
        <f t="array" ref="M10">+HLOOKUP($A$1,+[5]İcmal!$B$19:$AG$49,ROW(D8)+1,FALSE)</f>
        <v>0</v>
      </c>
      <c r="N10" s="15" cm="1">
        <f t="array" ref="N10">+HLOOKUP($A$1,+[6]İcmal!$B$19:$AG$49,ROW(E8)+1,FALSE)</f>
        <v>122</v>
      </c>
      <c r="O10" s="15" cm="1">
        <f t="array" ref="O10">+HLOOKUP($A$1,+[7]İcmal!$B$19:$AG$49,ROW(F8)+1,FALSE)</f>
        <v>0</v>
      </c>
      <c r="P10" s="15" cm="1">
        <f t="array" ref="P10">+HLOOKUP($A$1,+[8]İcmal!$B$19:$AG$49,ROW(G8)+1,FALSE)</f>
        <v>0</v>
      </c>
      <c r="Q10" s="15" cm="1">
        <f t="array" ref="Q10">+HLOOKUP($A$1,+[9]İcmal!$B$19:$AG$49,ROW(H8)+1,FALSE)</f>
        <v>0</v>
      </c>
      <c r="R10" s="15" cm="1">
        <f t="array" ref="R10">+HLOOKUP($A$1,+[10]İcmal!$B$19:$AG$49,ROW(I8)+1,FALSE)</f>
        <v>68</v>
      </c>
      <c r="S10" s="15" cm="1">
        <f t="array" ref="S10">+HLOOKUP($A$1,+[11]İcmal!$B$19:$AG$49,ROW(J8)+1,FALSE)</f>
        <v>0</v>
      </c>
      <c r="T10" s="15" cm="1">
        <f t="array" ref="T10">+HLOOKUP($A$1,+[12]İcmal!$B$19:$AG$49,ROW(K8)+1,FALSE)</f>
        <v>0</v>
      </c>
      <c r="U10" s="15" cm="1">
        <f t="array" ref="U10">+HLOOKUP($A$1,+[13]İcmal!$B$19:$AG$49,ROW(L8)+1,FALSE)</f>
        <v>0</v>
      </c>
      <c r="V10" s="15" cm="1">
        <f t="array" ref="V10">+HLOOKUP($A$1,+[14]İcmal!$B$19:$AG$49,ROW(M8)+1,FALSE)</f>
        <v>122</v>
      </c>
      <c r="W10" s="15" cm="1">
        <f t="array" ref="W10">+HLOOKUP($A$1,+[15]İcmal!$B$19:$AG$49,ROW(N8)+1,FALSE)</f>
        <v>0</v>
      </c>
      <c r="X10" s="15" cm="1">
        <f t="array" ref="X10">+HLOOKUP($A$1,+[16]İcmal!$B$19:$AG$49,ROW(O8)+1,FALSE)</f>
        <v>0</v>
      </c>
      <c r="Y10" s="15" cm="1">
        <f t="array" ref="Y10">+HLOOKUP($A$1,+[17]İcmal!$B$19:$AG$49,ROW(P8)+1,FALSE)</f>
        <v>0</v>
      </c>
      <c r="Z10" s="15" cm="1">
        <f t="array" ref="Z10">+HLOOKUP($A$1,+[18]İcmal!$B$19:$AG$49,ROW(Q8)+1,FALSE)</f>
        <v>0</v>
      </c>
      <c r="AA10" s="15" cm="1">
        <f t="array" ref="AA10">+HLOOKUP($A$1,+[19]İcmal!$B$19:$AG$49,ROW(R8)+1,FALSE)</f>
        <v>0</v>
      </c>
      <c r="AB10" s="15" cm="1">
        <f t="array" ref="AB10">+HLOOKUP($A$1,+[20]İcmal!$B$19:$AG$49,ROW(S8)+1,FALSE)</f>
        <v>0</v>
      </c>
      <c r="AC10" s="15" cm="1">
        <f t="array" ref="AC10">+HLOOKUP($A$1,+[21]İcmal!$B$19:$AG$49,ROW(T8)+1,FALSE)</f>
        <v>0</v>
      </c>
      <c r="AD10" s="15" cm="1">
        <f t="array" ref="AD10">+HLOOKUP($A$1,+[22]İcmal!$B$19:$AG$49,ROW(U8)+1,FALSE)</f>
        <v>0</v>
      </c>
      <c r="AE10" s="15" cm="1">
        <f t="array" ref="AE10">+HLOOKUP($A$1,+[23]İcmal!$B$19:$AG$49,ROW(V8)+1,FALSE)</f>
        <v>0</v>
      </c>
      <c r="AF10" s="15" cm="1">
        <f t="array" ref="AF10">+HLOOKUP($A$1,+[24]İcmal!$B$19:$AG$49,ROW(W8)+1,FALSE)</f>
        <v>0</v>
      </c>
      <c r="AG10" s="15" cm="1">
        <f t="array" ref="AG10">+HLOOKUP($A$1,+[25]İcmal!$B$19:$AG$49,ROW(X8)+1,FALSE)</f>
        <v>0</v>
      </c>
      <c r="AH10" s="15" cm="1">
        <f t="array" ref="AH10">+HLOOKUP($A$1,+[26]İcmal!$B$19:$AG$49,ROW(Y8)+1,FALSE)</f>
        <v>0</v>
      </c>
      <c r="AI10" s="15" cm="1">
        <f t="array" ref="AI10">+HLOOKUP($A$1,+[27]İcmal!$B$19:$AG$49,ROW(Z8)+1,FALSE)</f>
        <v>0</v>
      </c>
      <c r="AJ10" s="15" cm="1">
        <f t="array" ref="AJ10">+HLOOKUP($A$1,+[28]İcmal!$B$19:$AG$49,ROW(AA8)+1,FALSE)</f>
        <v>0</v>
      </c>
      <c r="AK10" s="15" cm="1">
        <f t="array" ref="AK10">+HLOOKUP($A$1,+[29]İcmal!$B$19:$AG$49,ROW(AB8)+1,FALSE)</f>
        <v>0</v>
      </c>
      <c r="AL10" s="15"/>
      <c r="AM10" s="15"/>
      <c r="AN10" s="15"/>
      <c r="AO10" s="15"/>
      <c r="AP10" s="15"/>
      <c r="AQ10" s="15"/>
      <c r="AR10" s="15"/>
      <c r="AS10" s="15"/>
      <c r="AT10" s="13"/>
    </row>
    <row r="11" spans="1:46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+HLOOKUP($A$1,+[2]İcmal!$B$19:$AG$49,ROW(A9)+1,FALSE)</f>
        <v>0</v>
      </c>
      <c r="K11" s="15" cm="1">
        <f t="array" ref="K11">+HLOOKUP($A$1,+[3]İcmal!$B$19:$AG$49,ROW(B9)+1,FALSE)</f>
        <v>0</v>
      </c>
      <c r="L11" s="15" cm="1">
        <f t="array" ref="L11">+HLOOKUP($A$1,+[4]İcmal!$B$19:$AG$49,ROW(C9)+1,FALSE)</f>
        <v>0</v>
      </c>
      <c r="M11" s="15" cm="1">
        <f t="array" ref="M11">+HLOOKUP($A$1,+[5]İcmal!$B$19:$AG$49,ROW(D9)+1,FALSE)</f>
        <v>0</v>
      </c>
      <c r="N11" s="15" cm="1">
        <f t="array" ref="N11">+HLOOKUP($A$1,+[6]İcmal!$B$19:$AG$49,ROW(E9)+1,FALSE)</f>
        <v>0</v>
      </c>
      <c r="O11" s="15" cm="1">
        <f t="array" ref="O11">+HLOOKUP($A$1,+[7]İcmal!$B$19:$AG$49,ROW(F9)+1,FALSE)</f>
        <v>0</v>
      </c>
      <c r="P11" s="15" cm="1">
        <f t="array" ref="P11">+HLOOKUP($A$1,+[8]İcmal!$B$19:$AG$49,ROW(G9)+1,FALSE)</f>
        <v>0</v>
      </c>
      <c r="Q11" s="15" cm="1">
        <f t="array" ref="Q11">+HLOOKUP($A$1,+[9]İcmal!$B$19:$AG$49,ROW(H9)+1,FALSE)</f>
        <v>0</v>
      </c>
      <c r="R11" s="15" cm="1">
        <f t="array" ref="R11">+HLOOKUP($A$1,+[10]İcmal!$B$19:$AG$49,ROW(I9)+1,FALSE)</f>
        <v>0</v>
      </c>
      <c r="S11" s="15" cm="1">
        <f t="array" ref="S11">+HLOOKUP($A$1,+[11]İcmal!$B$19:$AG$49,ROW(J9)+1,FALSE)</f>
        <v>0</v>
      </c>
      <c r="T11" s="15" cm="1">
        <f t="array" ref="T11">+HLOOKUP($A$1,+[12]İcmal!$B$19:$AG$49,ROW(K9)+1,FALSE)</f>
        <v>0</v>
      </c>
      <c r="U11" s="15" cm="1">
        <f t="array" ref="U11">+HLOOKUP($A$1,+[13]İcmal!$B$19:$AG$49,ROW(L9)+1,FALSE)</f>
        <v>0</v>
      </c>
      <c r="V11" s="15" cm="1">
        <f t="array" ref="V11">+HLOOKUP($A$1,+[14]İcmal!$B$19:$AG$49,ROW(M9)+1,FALSE)</f>
        <v>0</v>
      </c>
      <c r="W11" s="15" cm="1">
        <f t="array" ref="W11">+HLOOKUP($A$1,+[15]İcmal!$B$19:$AG$49,ROW(N9)+1,FALSE)</f>
        <v>0</v>
      </c>
      <c r="X11" s="15" cm="1">
        <f t="array" ref="X11">+HLOOKUP($A$1,+[16]İcmal!$B$19:$AG$49,ROW(O9)+1,FALSE)</f>
        <v>0</v>
      </c>
      <c r="Y11" s="15" cm="1">
        <f t="array" ref="Y11">+HLOOKUP($A$1,+[17]İcmal!$B$19:$AG$49,ROW(P9)+1,FALSE)</f>
        <v>0</v>
      </c>
      <c r="Z11" s="15" cm="1">
        <f t="array" ref="Z11">+HLOOKUP($A$1,+[18]İcmal!$B$19:$AG$49,ROW(Q9)+1,FALSE)</f>
        <v>0</v>
      </c>
      <c r="AA11" s="15" cm="1">
        <f t="array" ref="AA11">+HLOOKUP($A$1,+[19]İcmal!$B$19:$AG$49,ROW(R9)+1,FALSE)</f>
        <v>0</v>
      </c>
      <c r="AB11" s="15" cm="1">
        <f t="array" ref="AB11">+HLOOKUP($A$1,+[20]İcmal!$B$19:$AG$49,ROW(S9)+1,FALSE)</f>
        <v>0</v>
      </c>
      <c r="AC11" s="15" cm="1">
        <f t="array" ref="AC11">+HLOOKUP($A$1,+[21]İcmal!$B$19:$AG$49,ROW(T9)+1,FALSE)</f>
        <v>0</v>
      </c>
      <c r="AD11" s="15" cm="1">
        <f t="array" ref="AD11">+HLOOKUP($A$1,+[22]İcmal!$B$19:$AG$49,ROW(U9)+1,FALSE)</f>
        <v>0</v>
      </c>
      <c r="AE11" s="15" cm="1">
        <f t="array" ref="AE11">+HLOOKUP($A$1,+[23]İcmal!$B$19:$AG$49,ROW(V9)+1,FALSE)</f>
        <v>0</v>
      </c>
      <c r="AF11" s="15" cm="1">
        <f t="array" ref="AF11">+HLOOKUP($A$1,+[24]İcmal!$B$19:$AG$49,ROW(W9)+1,FALSE)</f>
        <v>0</v>
      </c>
      <c r="AG11" s="15" cm="1">
        <f t="array" ref="AG11">+HLOOKUP($A$1,+[25]İcmal!$B$19:$AG$49,ROW(X9)+1,FALSE)</f>
        <v>0</v>
      </c>
      <c r="AH11" s="15" cm="1">
        <f t="array" ref="AH11">+HLOOKUP($A$1,+[26]İcmal!$B$19:$AG$49,ROW(Y9)+1,FALSE)</f>
        <v>0</v>
      </c>
      <c r="AI11" s="15" cm="1">
        <f t="array" ref="AI11">+HLOOKUP($A$1,+[27]İcmal!$B$19:$AG$49,ROW(Z9)+1,FALSE)</f>
        <v>0</v>
      </c>
      <c r="AJ11" s="15" cm="1">
        <f t="array" ref="AJ11">+HLOOKUP($A$1,+[28]İcmal!$B$19:$AG$49,ROW(AA9)+1,FALSE)</f>
        <v>0</v>
      </c>
      <c r="AK11" s="15" cm="1">
        <f t="array" ref="AK11">+HLOOKUP($A$1,+[29]İcmal!$B$19:$AG$49,ROW(AB9)+1,FALSE)</f>
        <v>0</v>
      </c>
      <c r="AL11" s="15"/>
      <c r="AM11" s="15"/>
      <c r="AN11" s="15"/>
      <c r="AO11" s="15"/>
      <c r="AP11" s="15"/>
      <c r="AQ11" s="15"/>
      <c r="AR11" s="15"/>
      <c r="AS11" s="15"/>
      <c r="AT11" s="13"/>
    </row>
    <row r="12" spans="1:46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+HLOOKUP($A$1,+[2]İcmal!$B$19:$AG$49,ROW(A10)+1,FALSE)</f>
        <v>0</v>
      </c>
      <c r="K12" s="15" cm="1">
        <f t="array" ref="K12">+HLOOKUP($A$1,+[3]İcmal!$B$19:$AG$49,ROW(B10)+1,FALSE)</f>
        <v>0</v>
      </c>
      <c r="L12" s="15" cm="1">
        <f t="array" ref="L12">+HLOOKUP($A$1,+[4]İcmal!$B$19:$AG$49,ROW(C10)+1,FALSE)</f>
        <v>0</v>
      </c>
      <c r="M12" s="15" cm="1">
        <f t="array" ref="M12">+HLOOKUP($A$1,+[5]İcmal!$B$19:$AG$49,ROW(D10)+1,FALSE)</f>
        <v>0</v>
      </c>
      <c r="N12" s="15" cm="1">
        <f t="array" ref="N12">+HLOOKUP($A$1,+[6]İcmal!$B$19:$AG$49,ROW(E10)+1,FALSE)</f>
        <v>0</v>
      </c>
      <c r="O12" s="15" cm="1">
        <f t="array" ref="O12">+HLOOKUP($A$1,+[7]İcmal!$B$19:$AG$49,ROW(F10)+1,FALSE)</f>
        <v>0</v>
      </c>
      <c r="P12" s="15" cm="1">
        <f t="array" ref="P12">+HLOOKUP($A$1,+[8]İcmal!$B$19:$AG$49,ROW(G10)+1,FALSE)</f>
        <v>0</v>
      </c>
      <c r="Q12" s="15" cm="1">
        <f t="array" ref="Q12">+HLOOKUP($A$1,+[9]İcmal!$B$19:$AG$49,ROW(H10)+1,FALSE)</f>
        <v>0</v>
      </c>
      <c r="R12" s="15" cm="1">
        <f t="array" ref="R12">+HLOOKUP($A$1,+[10]İcmal!$B$19:$AG$49,ROW(I10)+1,FALSE)</f>
        <v>0</v>
      </c>
      <c r="S12" s="15" cm="1">
        <f t="array" ref="S12">+HLOOKUP($A$1,+[11]İcmal!$B$19:$AG$49,ROW(J10)+1,FALSE)</f>
        <v>0</v>
      </c>
      <c r="T12" s="15" cm="1">
        <f t="array" ref="T12">+HLOOKUP($A$1,+[12]İcmal!$B$19:$AG$49,ROW(K10)+1,FALSE)</f>
        <v>0</v>
      </c>
      <c r="U12" s="15" cm="1">
        <f t="array" ref="U12">+HLOOKUP($A$1,+[13]İcmal!$B$19:$AG$49,ROW(L10)+1,FALSE)</f>
        <v>0</v>
      </c>
      <c r="V12" s="15" cm="1">
        <f t="array" ref="V12">+HLOOKUP($A$1,+[14]İcmal!$B$19:$AG$49,ROW(M10)+1,FALSE)</f>
        <v>0</v>
      </c>
      <c r="W12" s="15" cm="1">
        <f t="array" ref="W12">+HLOOKUP($A$1,+[15]İcmal!$B$19:$AG$49,ROW(N10)+1,FALSE)</f>
        <v>0</v>
      </c>
      <c r="X12" s="15" cm="1">
        <f t="array" ref="X12">+HLOOKUP($A$1,+[16]İcmal!$B$19:$AG$49,ROW(O10)+1,FALSE)</f>
        <v>0</v>
      </c>
      <c r="Y12" s="15" cm="1">
        <f t="array" ref="Y12">+HLOOKUP($A$1,+[17]İcmal!$B$19:$AG$49,ROW(P10)+1,FALSE)</f>
        <v>0</v>
      </c>
      <c r="Z12" s="15" cm="1">
        <f t="array" ref="Z12">+HLOOKUP($A$1,+[18]İcmal!$B$19:$AG$49,ROW(Q10)+1,FALSE)</f>
        <v>0</v>
      </c>
      <c r="AA12" s="15" cm="1">
        <f t="array" ref="AA12">+HLOOKUP($A$1,+[19]İcmal!$B$19:$AG$49,ROW(R10)+1,FALSE)</f>
        <v>0</v>
      </c>
      <c r="AB12" s="15" cm="1">
        <f t="array" ref="AB12">+HLOOKUP($A$1,+[20]İcmal!$B$19:$AG$49,ROW(S10)+1,FALSE)</f>
        <v>0</v>
      </c>
      <c r="AC12" s="15" cm="1">
        <f t="array" ref="AC12">+HLOOKUP($A$1,+[21]İcmal!$B$19:$AG$49,ROW(T10)+1,FALSE)</f>
        <v>0</v>
      </c>
      <c r="AD12" s="15" cm="1">
        <f t="array" ref="AD12">+HLOOKUP($A$1,+[22]İcmal!$B$19:$AG$49,ROW(U10)+1,FALSE)</f>
        <v>0</v>
      </c>
      <c r="AE12" s="15" cm="1">
        <f t="array" ref="AE12">+HLOOKUP($A$1,+[23]İcmal!$B$19:$AG$49,ROW(V10)+1,FALSE)</f>
        <v>0</v>
      </c>
      <c r="AF12" s="15" cm="1">
        <f t="array" ref="AF12">+HLOOKUP($A$1,+[24]İcmal!$B$19:$AG$49,ROW(W10)+1,FALSE)</f>
        <v>0</v>
      </c>
      <c r="AG12" s="15" cm="1">
        <f t="array" ref="AG12">+HLOOKUP($A$1,+[25]İcmal!$B$19:$AG$49,ROW(X10)+1,FALSE)</f>
        <v>0</v>
      </c>
      <c r="AH12" s="15" cm="1">
        <f t="array" ref="AH12">+HLOOKUP($A$1,+[26]İcmal!$B$19:$AG$49,ROW(Y10)+1,FALSE)</f>
        <v>0</v>
      </c>
      <c r="AI12" s="15" cm="1">
        <f t="array" ref="AI12">+HLOOKUP($A$1,+[27]İcmal!$B$19:$AG$49,ROW(Z10)+1,FALSE)</f>
        <v>0</v>
      </c>
      <c r="AJ12" s="15" cm="1">
        <f t="array" ref="AJ12">+HLOOKUP($A$1,+[28]İcmal!$B$19:$AG$49,ROW(AA10)+1,FALSE)</f>
        <v>0</v>
      </c>
      <c r="AK12" s="15" cm="1">
        <f t="array" ref="AK12">+HLOOKUP($A$1,+[29]İcmal!$B$19:$AG$49,ROW(AB10)+1,FALSE)</f>
        <v>0</v>
      </c>
      <c r="AL12" s="15"/>
      <c r="AM12" s="15"/>
      <c r="AN12" s="15"/>
      <c r="AO12" s="15"/>
      <c r="AP12" s="15"/>
      <c r="AQ12" s="15"/>
      <c r="AR12" s="15"/>
      <c r="AS12" s="15"/>
      <c r="AT12" s="13"/>
    </row>
    <row r="13" spans="1:46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571</v>
      </c>
      <c r="I13" s="9">
        <f t="shared" si="2"/>
        <v>15988000</v>
      </c>
      <c r="J13" s="15" cm="1">
        <f t="array" ref="J13">+HLOOKUP($A$1,+[2]İcmal!$B$19:$AG$49,ROW(A11)+1,FALSE)</f>
        <v>99</v>
      </c>
      <c r="K13" s="15" cm="1">
        <f t="array" ref="K13">+HLOOKUP($A$1,+[3]İcmal!$B$19:$AG$49,ROW(B11)+1,FALSE)</f>
        <v>120</v>
      </c>
      <c r="L13" s="15" cm="1">
        <f t="array" ref="L13">+HLOOKUP($A$1,+[4]İcmal!$B$19:$AG$49,ROW(C11)+1,FALSE)</f>
        <v>0</v>
      </c>
      <c r="M13" s="15" cm="1">
        <f t="array" ref="M13">+HLOOKUP($A$1,+[5]İcmal!$B$19:$AG$49,ROW(D11)+1,FALSE)</f>
        <v>0</v>
      </c>
      <c r="N13" s="15" cm="1">
        <f t="array" ref="N13">+HLOOKUP($A$1,+[6]İcmal!$B$19:$AG$49,ROW(E11)+1,FALSE)</f>
        <v>86</v>
      </c>
      <c r="O13" s="15" cm="1">
        <f t="array" ref="O13">+HLOOKUP($A$1,+[7]İcmal!$B$19:$AG$49,ROW(F11)+1,FALSE)</f>
        <v>9</v>
      </c>
      <c r="P13" s="15" cm="1">
        <f t="array" ref="P13">+HLOOKUP($A$1,+[8]İcmal!$B$19:$AG$49,ROW(G11)+1,FALSE)</f>
        <v>0</v>
      </c>
      <c r="Q13" s="15" cm="1">
        <f t="array" ref="Q13">+HLOOKUP($A$1,+[9]İcmal!$B$19:$AG$49,ROW(H11)+1,FALSE)</f>
        <v>0</v>
      </c>
      <c r="R13" s="15" cm="1">
        <f t="array" ref="R13">+HLOOKUP($A$1,+[10]İcmal!$B$19:$AG$49,ROW(I11)+1,FALSE)</f>
        <v>50</v>
      </c>
      <c r="S13" s="15" cm="1">
        <f t="array" ref="S13">+HLOOKUP($A$1,+[11]İcmal!$B$19:$AG$49,ROW(J11)+1,FALSE)</f>
        <v>0</v>
      </c>
      <c r="T13" s="15" cm="1">
        <f t="array" ref="T13">+HLOOKUP($A$1,+[12]İcmal!$B$19:$AG$49,ROW(K11)+1,FALSE)</f>
        <v>0</v>
      </c>
      <c r="U13" s="15" cm="1">
        <f t="array" ref="U13">+HLOOKUP($A$1,+[13]İcmal!$B$19:$AG$49,ROW(L11)+1,FALSE)</f>
        <v>0</v>
      </c>
      <c r="V13" s="15" cm="1">
        <f t="array" ref="V13">+HLOOKUP($A$1,+[14]İcmal!$B$19:$AG$49,ROW(M11)+1,FALSE)</f>
        <v>81</v>
      </c>
      <c r="W13" s="15" cm="1">
        <f t="array" ref="W13">+HLOOKUP($A$1,+[15]İcmal!$B$19:$AG$49,ROW(N11)+1,FALSE)</f>
        <v>126</v>
      </c>
      <c r="X13" s="15" cm="1">
        <f t="array" ref="X13">+HLOOKUP($A$1,+[16]İcmal!$B$19:$AG$49,ROW(O11)+1,FALSE)</f>
        <v>0</v>
      </c>
      <c r="Y13" s="15" cm="1">
        <f t="array" ref="Y13">+HLOOKUP($A$1,+[17]İcmal!$B$19:$AG$49,ROW(P11)+1,FALSE)</f>
        <v>0</v>
      </c>
      <c r="Z13" s="15" cm="1">
        <f t="array" ref="Z13">+HLOOKUP($A$1,+[18]İcmal!$B$19:$AG$49,ROW(Q11)+1,FALSE)</f>
        <v>0</v>
      </c>
      <c r="AA13" s="15" cm="1">
        <f t="array" ref="AA13">+HLOOKUP($A$1,+[19]İcmal!$B$19:$AG$49,ROW(R11)+1,FALSE)</f>
        <v>0</v>
      </c>
      <c r="AB13" s="15" cm="1">
        <f t="array" ref="AB13">+HLOOKUP($A$1,+[20]İcmal!$B$19:$AG$49,ROW(S11)+1,FALSE)</f>
        <v>0</v>
      </c>
      <c r="AC13" s="15" cm="1">
        <f t="array" ref="AC13">+HLOOKUP($A$1,+[21]İcmal!$B$19:$AG$49,ROW(T11)+1,FALSE)</f>
        <v>0</v>
      </c>
      <c r="AD13" s="15" cm="1">
        <f t="array" ref="AD13">+HLOOKUP($A$1,+[22]İcmal!$B$19:$AG$49,ROW(U11)+1,FALSE)</f>
        <v>0</v>
      </c>
      <c r="AE13" s="15" cm="1">
        <f t="array" ref="AE13">+HLOOKUP($A$1,+[23]İcmal!$B$19:$AG$49,ROW(V11)+1,FALSE)</f>
        <v>0</v>
      </c>
      <c r="AF13" s="15" cm="1">
        <f t="array" ref="AF13">+HLOOKUP($A$1,+[24]İcmal!$B$19:$AG$49,ROW(W11)+1,FALSE)</f>
        <v>0</v>
      </c>
      <c r="AG13" s="15" cm="1">
        <f t="array" ref="AG13">+HLOOKUP($A$1,+[25]İcmal!$B$19:$AG$49,ROW(X11)+1,FALSE)</f>
        <v>0</v>
      </c>
      <c r="AH13" s="15" cm="1">
        <f t="array" ref="AH13">+HLOOKUP($A$1,+[26]İcmal!$B$19:$AG$49,ROW(Y11)+1,FALSE)</f>
        <v>0</v>
      </c>
      <c r="AI13" s="15" cm="1">
        <f t="array" ref="AI13">+HLOOKUP($A$1,+[27]İcmal!$B$19:$AG$49,ROW(Z11)+1,FALSE)</f>
        <v>0</v>
      </c>
      <c r="AJ13" s="15" cm="1">
        <f t="array" ref="AJ13">+HLOOKUP($A$1,+[28]İcmal!$B$19:$AG$49,ROW(AA11)+1,FALSE)</f>
        <v>0</v>
      </c>
      <c r="AK13" s="15" cm="1">
        <f t="array" ref="AK13">+HLOOKUP($A$1,+[29]İcmal!$B$19:$AG$49,ROW(AB11)+1,FALSE)</f>
        <v>0</v>
      </c>
      <c r="AL13" s="15"/>
      <c r="AM13" s="15"/>
      <c r="AN13" s="15"/>
      <c r="AO13" s="15"/>
      <c r="AP13" s="15"/>
      <c r="AQ13" s="15"/>
      <c r="AR13" s="15"/>
      <c r="AS13" s="15"/>
      <c r="AT13" s="13"/>
    </row>
    <row r="14" spans="1:46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3987</v>
      </c>
      <c r="I14" s="9">
        <f t="shared" si="2"/>
        <v>1495125</v>
      </c>
      <c r="J14" s="15" cm="1">
        <f t="array" ref="J14">+HLOOKUP($A$1,+[2]İcmal!$B$19:$AG$49,ROW(A12)+1,FALSE)</f>
        <v>423</v>
      </c>
      <c r="K14" s="15" cm="1">
        <f t="array" ref="K14">+HLOOKUP($A$1,+[3]İcmal!$B$19:$AG$49,ROW(B12)+1,FALSE)</f>
        <v>810</v>
      </c>
      <c r="L14" s="15" cm="1">
        <f t="array" ref="L14">+HLOOKUP($A$1,+[4]İcmal!$B$19:$AG$49,ROW(C12)+1,FALSE)</f>
        <v>0</v>
      </c>
      <c r="M14" s="15" cm="1">
        <f t="array" ref="M14">+HLOOKUP($A$1,+[5]İcmal!$B$19:$AG$49,ROW(D12)+1,FALSE)</f>
        <v>0</v>
      </c>
      <c r="N14" s="15" cm="1">
        <f t="array" ref="N14">+HLOOKUP($A$1,+[6]İcmal!$B$19:$AG$49,ROW(E12)+1,FALSE)</f>
        <v>990</v>
      </c>
      <c r="O14" s="15" cm="1">
        <f t="array" ref="O14">+HLOOKUP($A$1,+[7]İcmal!$B$19:$AG$49,ROW(F12)+1,FALSE)</f>
        <v>162</v>
      </c>
      <c r="P14" s="15" cm="1">
        <f t="array" ref="P14">+HLOOKUP($A$1,+[8]İcmal!$B$19:$AG$49,ROW(G12)+1,FALSE)</f>
        <v>0</v>
      </c>
      <c r="Q14" s="15" cm="1">
        <f t="array" ref="Q14">+HLOOKUP($A$1,+[9]İcmal!$B$19:$AG$49,ROW(H12)+1,FALSE)</f>
        <v>0</v>
      </c>
      <c r="R14" s="15" cm="1">
        <f t="array" ref="R14">+HLOOKUP($A$1,+[10]İcmal!$B$19:$AG$49,ROW(I12)+1,FALSE)</f>
        <v>594</v>
      </c>
      <c r="S14" s="15" cm="1">
        <f t="array" ref="S14">+HLOOKUP($A$1,+[11]İcmal!$B$19:$AG$49,ROW(J12)+1,FALSE)</f>
        <v>0</v>
      </c>
      <c r="T14" s="15" cm="1">
        <f t="array" ref="T14">+HLOOKUP($A$1,+[12]İcmal!$B$19:$AG$49,ROW(K12)+1,FALSE)</f>
        <v>0</v>
      </c>
      <c r="U14" s="15" cm="1">
        <f t="array" ref="U14">+HLOOKUP($A$1,+[13]İcmal!$B$19:$AG$49,ROW(L12)+1,FALSE)</f>
        <v>0</v>
      </c>
      <c r="V14" s="15" cm="1">
        <f t="array" ref="V14">+HLOOKUP($A$1,+[14]İcmal!$B$19:$AG$49,ROW(M12)+1,FALSE)</f>
        <v>198</v>
      </c>
      <c r="W14" s="15" cm="1">
        <f t="array" ref="W14">+HLOOKUP($A$1,+[15]İcmal!$B$19:$AG$49,ROW(N12)+1,FALSE)</f>
        <v>810</v>
      </c>
      <c r="X14" s="15" cm="1">
        <f t="array" ref="X14">+HLOOKUP($A$1,+[16]İcmal!$B$19:$AG$49,ROW(O12)+1,FALSE)</f>
        <v>0</v>
      </c>
      <c r="Y14" s="15" cm="1">
        <f t="array" ref="Y14">+HLOOKUP($A$1,+[17]İcmal!$B$19:$AG$49,ROW(P12)+1,FALSE)</f>
        <v>0</v>
      </c>
      <c r="Z14" s="15" cm="1">
        <f t="array" ref="Z14">+HLOOKUP($A$1,+[18]İcmal!$B$19:$AG$49,ROW(Q12)+1,FALSE)</f>
        <v>0</v>
      </c>
      <c r="AA14" s="15" cm="1">
        <f t="array" ref="AA14">+HLOOKUP($A$1,+[19]İcmal!$B$19:$AG$49,ROW(R12)+1,FALSE)</f>
        <v>0</v>
      </c>
      <c r="AB14" s="15" cm="1">
        <f t="array" ref="AB14">+HLOOKUP($A$1,+[20]İcmal!$B$19:$AG$49,ROW(S12)+1,FALSE)</f>
        <v>0</v>
      </c>
      <c r="AC14" s="15" cm="1">
        <f t="array" ref="AC14">+HLOOKUP($A$1,+[21]İcmal!$B$19:$AG$49,ROW(T12)+1,FALSE)</f>
        <v>0</v>
      </c>
      <c r="AD14" s="15" cm="1">
        <f t="array" ref="AD14">+HLOOKUP($A$1,+[22]İcmal!$B$19:$AG$49,ROW(U12)+1,FALSE)</f>
        <v>0</v>
      </c>
      <c r="AE14" s="15" cm="1">
        <f t="array" ref="AE14">+HLOOKUP($A$1,+[23]İcmal!$B$19:$AG$49,ROW(V12)+1,FALSE)</f>
        <v>0</v>
      </c>
      <c r="AF14" s="15" cm="1">
        <f t="array" ref="AF14">+HLOOKUP($A$1,+[24]İcmal!$B$19:$AG$49,ROW(W12)+1,FALSE)</f>
        <v>0</v>
      </c>
      <c r="AG14" s="15" cm="1">
        <f t="array" ref="AG14">+HLOOKUP($A$1,+[25]İcmal!$B$19:$AG$49,ROW(X12)+1,FALSE)</f>
        <v>0</v>
      </c>
      <c r="AH14" s="15" cm="1">
        <f t="array" ref="AH14">+HLOOKUP($A$1,+[26]İcmal!$B$19:$AG$49,ROW(Y12)+1,FALSE)</f>
        <v>0</v>
      </c>
      <c r="AI14" s="15" cm="1">
        <f t="array" ref="AI14">+HLOOKUP($A$1,+[27]İcmal!$B$19:$AG$49,ROW(Z12)+1,FALSE)</f>
        <v>0</v>
      </c>
      <c r="AJ14" s="15" cm="1">
        <f t="array" ref="AJ14">+HLOOKUP($A$1,+[28]İcmal!$B$19:$AG$49,ROW(AA12)+1,FALSE)</f>
        <v>0</v>
      </c>
      <c r="AK14" s="15" cm="1">
        <f t="array" ref="AK14">+HLOOKUP($A$1,+[29]İcmal!$B$19:$AG$49,ROW(AB12)+1,FALSE)</f>
        <v>0</v>
      </c>
      <c r="AL14" s="15"/>
      <c r="AM14" s="15"/>
      <c r="AN14" s="15"/>
      <c r="AO14" s="15"/>
      <c r="AP14" s="15"/>
      <c r="AQ14" s="15"/>
      <c r="AR14" s="15"/>
      <c r="AS14" s="15"/>
      <c r="AT14" s="13"/>
    </row>
    <row r="15" spans="1:46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+HLOOKUP($A$1,+[2]İcmal!$B$19:$AG$49,ROW(A13)+1,FALSE)</f>
        <v>0</v>
      </c>
      <c r="K15" s="15" cm="1">
        <f t="array" ref="K15">+HLOOKUP($A$1,+[3]İcmal!$B$19:$AG$49,ROW(B13)+1,FALSE)</f>
        <v>0</v>
      </c>
      <c r="L15" s="15" cm="1">
        <f t="array" ref="L15">+HLOOKUP($A$1,+[4]İcmal!$B$19:$AG$49,ROW(C13)+1,FALSE)</f>
        <v>0</v>
      </c>
      <c r="M15" s="15" cm="1">
        <f t="array" ref="M15">+HLOOKUP($A$1,+[5]İcmal!$B$19:$AG$49,ROW(D13)+1,FALSE)</f>
        <v>0</v>
      </c>
      <c r="N15" s="15" cm="1">
        <f t="array" ref="N15">+HLOOKUP($A$1,+[6]İcmal!$B$19:$AG$49,ROW(E13)+1,FALSE)</f>
        <v>0</v>
      </c>
      <c r="O15" s="15" cm="1">
        <f t="array" ref="O15">+HLOOKUP($A$1,+[7]İcmal!$B$19:$AG$49,ROW(F13)+1,FALSE)</f>
        <v>0</v>
      </c>
      <c r="P15" s="15" cm="1">
        <f t="array" ref="P15">+HLOOKUP($A$1,+[8]İcmal!$B$19:$AG$49,ROW(G13)+1,FALSE)</f>
        <v>0</v>
      </c>
      <c r="Q15" s="15" cm="1">
        <f t="array" ref="Q15">+HLOOKUP($A$1,+[9]İcmal!$B$19:$AG$49,ROW(H13)+1,FALSE)</f>
        <v>0</v>
      </c>
      <c r="R15" s="15" cm="1">
        <f t="array" ref="R15">+HLOOKUP($A$1,+[10]İcmal!$B$19:$AG$49,ROW(I13)+1,FALSE)</f>
        <v>0</v>
      </c>
      <c r="S15" s="15" cm="1">
        <f t="array" ref="S15">+HLOOKUP($A$1,+[11]İcmal!$B$19:$AG$49,ROW(J13)+1,FALSE)</f>
        <v>0</v>
      </c>
      <c r="T15" s="15" cm="1">
        <f t="array" ref="T15">+HLOOKUP($A$1,+[12]İcmal!$B$19:$AG$49,ROW(K13)+1,FALSE)</f>
        <v>0</v>
      </c>
      <c r="U15" s="15" cm="1">
        <f t="array" ref="U15">+HLOOKUP($A$1,+[13]İcmal!$B$19:$AG$49,ROW(L13)+1,FALSE)</f>
        <v>0</v>
      </c>
      <c r="V15" s="15" cm="1">
        <f t="array" ref="V15">+HLOOKUP($A$1,+[14]İcmal!$B$19:$AG$49,ROW(M13)+1,FALSE)</f>
        <v>0</v>
      </c>
      <c r="W15" s="15" cm="1">
        <f t="array" ref="W15">+HLOOKUP($A$1,+[15]İcmal!$B$19:$AG$49,ROW(N13)+1,FALSE)</f>
        <v>0</v>
      </c>
      <c r="X15" s="15" cm="1">
        <f t="array" ref="X15">+HLOOKUP($A$1,+[16]İcmal!$B$19:$AG$49,ROW(O13)+1,FALSE)</f>
        <v>0</v>
      </c>
      <c r="Y15" s="15" cm="1">
        <f t="array" ref="Y15">+HLOOKUP($A$1,+[17]İcmal!$B$19:$AG$49,ROW(P13)+1,FALSE)</f>
        <v>0</v>
      </c>
      <c r="Z15" s="15" cm="1">
        <f t="array" ref="Z15">+HLOOKUP($A$1,+[18]İcmal!$B$19:$AG$49,ROW(Q13)+1,FALSE)</f>
        <v>0</v>
      </c>
      <c r="AA15" s="15" cm="1">
        <f t="array" ref="AA15">+HLOOKUP($A$1,+[19]İcmal!$B$19:$AG$49,ROW(R13)+1,FALSE)</f>
        <v>0</v>
      </c>
      <c r="AB15" s="15" cm="1">
        <f t="array" ref="AB15">+HLOOKUP($A$1,+[20]İcmal!$B$19:$AG$49,ROW(S13)+1,FALSE)</f>
        <v>0</v>
      </c>
      <c r="AC15" s="15" cm="1">
        <f t="array" ref="AC15">+HLOOKUP($A$1,+[21]İcmal!$B$19:$AG$49,ROW(T13)+1,FALSE)</f>
        <v>0</v>
      </c>
      <c r="AD15" s="15" cm="1">
        <f t="array" ref="AD15">+HLOOKUP($A$1,+[22]İcmal!$B$19:$AG$49,ROW(U13)+1,FALSE)</f>
        <v>0</v>
      </c>
      <c r="AE15" s="15" cm="1">
        <f t="array" ref="AE15">+HLOOKUP($A$1,+[23]İcmal!$B$19:$AG$49,ROW(V13)+1,FALSE)</f>
        <v>0</v>
      </c>
      <c r="AF15" s="15" cm="1">
        <f t="array" ref="AF15">+HLOOKUP($A$1,+[24]İcmal!$B$19:$AG$49,ROW(W13)+1,FALSE)</f>
        <v>0</v>
      </c>
      <c r="AG15" s="15" cm="1">
        <f t="array" ref="AG15">+HLOOKUP($A$1,+[25]İcmal!$B$19:$AG$49,ROW(X13)+1,FALSE)</f>
        <v>0</v>
      </c>
      <c r="AH15" s="15" cm="1">
        <f t="array" ref="AH15">+HLOOKUP($A$1,+[26]İcmal!$B$19:$AG$49,ROW(Y13)+1,FALSE)</f>
        <v>0</v>
      </c>
      <c r="AI15" s="15" cm="1">
        <f t="array" ref="AI15">+HLOOKUP($A$1,+[27]İcmal!$B$19:$AG$49,ROW(Z13)+1,FALSE)</f>
        <v>0</v>
      </c>
      <c r="AJ15" s="15" cm="1">
        <f t="array" ref="AJ15">+HLOOKUP($A$1,+[28]İcmal!$B$19:$AG$49,ROW(AA13)+1,FALSE)</f>
        <v>0</v>
      </c>
      <c r="AK15" s="15" cm="1">
        <f t="array" ref="AK15">+HLOOKUP($A$1,+[29]İcmal!$B$19:$AG$49,ROW(AB13)+1,FALSE)</f>
        <v>0</v>
      </c>
      <c r="AL15" s="15"/>
      <c r="AM15" s="15"/>
      <c r="AN15" s="15"/>
      <c r="AO15" s="15"/>
      <c r="AP15" s="15"/>
      <c r="AQ15" s="15"/>
      <c r="AR15" s="15"/>
      <c r="AS15" s="15"/>
      <c r="AT15" s="13"/>
    </row>
    <row r="16" spans="1:46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182.03500000000003</v>
      </c>
      <c r="I16" s="9">
        <f t="shared" si="2"/>
        <v>18567570.000000004</v>
      </c>
      <c r="J16" s="15" cm="1">
        <f t="array" ref="J16">+HLOOKUP($A$1,+[2]İcmal!$B$19:$AG$49,ROW(A14)+1,FALSE)</f>
        <v>28.446000000000005</v>
      </c>
      <c r="K16" s="15" cm="1">
        <f t="array" ref="K16">+HLOOKUP($A$1,+[3]İcmal!$B$19:$AG$49,ROW(B14)+1,FALSE)</f>
        <v>28.685000000000002</v>
      </c>
      <c r="L16" s="15" cm="1">
        <f t="array" ref="L16">+HLOOKUP($A$1,+[4]İcmal!$B$19:$AG$49,ROW(C14)+1,FALSE)</f>
        <v>0</v>
      </c>
      <c r="M16" s="15" cm="1">
        <f t="array" ref="M16">+HLOOKUP($A$1,+[5]İcmal!$B$19:$AG$49,ROW(D14)+1,FALSE)</f>
        <v>0</v>
      </c>
      <c r="N16" s="15" cm="1">
        <f t="array" ref="N16">+HLOOKUP($A$1,+[6]İcmal!$B$19:$AG$49,ROW(E14)+1,FALSE)</f>
        <v>39.582000000000008</v>
      </c>
      <c r="O16" s="15" cm="1">
        <f t="array" ref="O16">+HLOOKUP($A$1,+[7]İcmal!$B$19:$AG$49,ROW(F14)+1,FALSE)</f>
        <v>9.9469999999999974</v>
      </c>
      <c r="P16" s="15" cm="1">
        <f t="array" ref="P16">+HLOOKUP($A$1,+[8]İcmal!$B$19:$AG$49,ROW(G14)+1,FALSE)</f>
        <v>0</v>
      </c>
      <c r="Q16" s="15" cm="1">
        <f t="array" ref="Q16">+HLOOKUP($A$1,+[9]İcmal!$B$19:$AG$49,ROW(H14)+1,FALSE)</f>
        <v>0</v>
      </c>
      <c r="R16" s="15" cm="1">
        <f t="array" ref="R16">+HLOOKUP($A$1,+[10]İcmal!$B$19:$AG$49,ROW(I14)+1,FALSE)</f>
        <v>23.082000000000001</v>
      </c>
      <c r="S16" s="15" cm="1">
        <f t="array" ref="S16">+HLOOKUP($A$1,+[11]İcmal!$B$19:$AG$49,ROW(J14)+1,FALSE)</f>
        <v>0</v>
      </c>
      <c r="T16" s="15" cm="1">
        <f t="array" ref="T16">+HLOOKUP($A$1,+[12]İcmal!$B$19:$AG$49,ROW(K14)+1,FALSE)</f>
        <v>0</v>
      </c>
      <c r="U16" s="15" cm="1">
        <f t="array" ref="U16">+HLOOKUP($A$1,+[13]İcmal!$B$19:$AG$49,ROW(L14)+1,FALSE)</f>
        <v>0</v>
      </c>
      <c r="V16" s="15" cm="1">
        <f t="array" ref="V16">+HLOOKUP($A$1,+[14]İcmal!$B$19:$AG$49,ROW(M14)+1,FALSE)</f>
        <v>19.397000000000002</v>
      </c>
      <c r="W16" s="15" cm="1">
        <f t="array" ref="W16">+HLOOKUP($A$1,+[15]İcmal!$B$19:$AG$49,ROW(N14)+1,FALSE)</f>
        <v>32.896000000000001</v>
      </c>
      <c r="X16" s="15" cm="1">
        <f t="array" ref="X16">+HLOOKUP($A$1,+[16]İcmal!$B$19:$AG$49,ROW(O14)+1,FALSE)</f>
        <v>0</v>
      </c>
      <c r="Y16" s="15" cm="1">
        <f t="array" ref="Y16">+HLOOKUP($A$1,+[17]İcmal!$B$19:$AG$49,ROW(P14)+1,FALSE)</f>
        <v>0</v>
      </c>
      <c r="Z16" s="15" cm="1">
        <f t="array" ref="Z16">+HLOOKUP($A$1,+[18]İcmal!$B$19:$AG$49,ROW(Q14)+1,FALSE)</f>
        <v>0</v>
      </c>
      <c r="AA16" s="15" cm="1">
        <f t="array" ref="AA16">+HLOOKUP($A$1,+[19]İcmal!$B$19:$AG$49,ROW(R14)+1,FALSE)</f>
        <v>0</v>
      </c>
      <c r="AB16" s="15" cm="1">
        <f t="array" ref="AB16">+HLOOKUP($A$1,+[20]İcmal!$B$19:$AG$49,ROW(S14)+1,FALSE)</f>
        <v>0</v>
      </c>
      <c r="AC16" s="15" cm="1">
        <f t="array" ref="AC16">+HLOOKUP($A$1,+[21]İcmal!$B$19:$AG$49,ROW(T14)+1,FALSE)</f>
        <v>0</v>
      </c>
      <c r="AD16" s="15" cm="1">
        <f t="array" ref="AD16">+HLOOKUP($A$1,+[22]İcmal!$B$19:$AG$49,ROW(U14)+1,FALSE)</f>
        <v>0</v>
      </c>
      <c r="AE16" s="15" cm="1">
        <f t="array" ref="AE16">+HLOOKUP($A$1,+[23]İcmal!$B$19:$AG$49,ROW(V14)+1,FALSE)</f>
        <v>0</v>
      </c>
      <c r="AF16" s="15" cm="1">
        <f t="array" ref="AF16">+HLOOKUP($A$1,+[24]İcmal!$B$19:$AG$49,ROW(W14)+1,FALSE)</f>
        <v>0</v>
      </c>
      <c r="AG16" s="15" cm="1">
        <f t="array" ref="AG16">+HLOOKUP($A$1,+[25]İcmal!$B$19:$AG$49,ROW(X14)+1,FALSE)</f>
        <v>0</v>
      </c>
      <c r="AH16" s="15" cm="1">
        <f t="array" ref="AH16">+HLOOKUP($A$1,+[26]İcmal!$B$19:$AG$49,ROW(Y14)+1,FALSE)</f>
        <v>0</v>
      </c>
      <c r="AI16" s="15" cm="1">
        <f t="array" ref="AI16">+HLOOKUP($A$1,+[27]İcmal!$B$19:$AG$49,ROW(Z14)+1,FALSE)</f>
        <v>0</v>
      </c>
      <c r="AJ16" s="15" cm="1">
        <f t="array" ref="AJ16">+HLOOKUP($A$1,+[28]İcmal!$B$19:$AG$49,ROW(AA14)+1,FALSE)</f>
        <v>0</v>
      </c>
      <c r="AK16" s="15" cm="1">
        <f t="array" ref="AK16">+HLOOKUP($A$1,+[29]İcmal!$B$19:$AG$49,ROW(AB14)+1,FALSE)</f>
        <v>0</v>
      </c>
      <c r="AL16" s="15"/>
      <c r="AM16" s="15"/>
      <c r="AN16" s="15"/>
      <c r="AO16" s="15"/>
      <c r="AP16" s="15"/>
      <c r="AQ16" s="15"/>
      <c r="AR16" s="15"/>
      <c r="AS16" s="15"/>
      <c r="AT16" s="13"/>
    </row>
    <row r="17" spans="1:46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10728</v>
      </c>
      <c r="I17" s="9">
        <f t="shared" si="2"/>
        <v>36475200</v>
      </c>
      <c r="J17" s="15" cm="1">
        <f t="array" ref="J17">+HLOOKUP($A$1,+[2]İcmal!$B$19:$AG$49,ROW(A15)+1,FALSE)</f>
        <v>999</v>
      </c>
      <c r="K17" s="15" cm="1">
        <f t="array" ref="K17">+HLOOKUP($A$1,+[3]İcmal!$B$19:$AG$49,ROW(B15)+1,FALSE)</f>
        <v>2115</v>
      </c>
      <c r="L17" s="15" cm="1">
        <f t="array" ref="L17">+HLOOKUP($A$1,+[4]İcmal!$B$19:$AG$49,ROW(C15)+1,FALSE)</f>
        <v>0</v>
      </c>
      <c r="M17" s="15" cm="1">
        <f t="array" ref="M17">+HLOOKUP($A$1,+[5]İcmal!$B$19:$AG$49,ROW(D15)+1,FALSE)</f>
        <v>0</v>
      </c>
      <c r="N17" s="15" cm="1">
        <f t="array" ref="N17">+HLOOKUP($A$1,+[6]İcmal!$B$19:$AG$49,ROW(E15)+1,FALSE)</f>
        <v>2610</v>
      </c>
      <c r="O17" s="15" cm="1">
        <f t="array" ref="O17">+HLOOKUP($A$1,+[7]İcmal!$B$19:$AG$49,ROW(F15)+1,FALSE)</f>
        <v>846</v>
      </c>
      <c r="P17" s="15" cm="1">
        <f t="array" ref="P17">+HLOOKUP($A$1,+[8]İcmal!$B$19:$AG$49,ROW(G15)+1,FALSE)</f>
        <v>0</v>
      </c>
      <c r="Q17" s="15" cm="1">
        <f t="array" ref="Q17">+HLOOKUP($A$1,+[9]İcmal!$B$19:$AG$49,ROW(H15)+1,FALSE)</f>
        <v>0</v>
      </c>
      <c r="R17" s="15" cm="1">
        <f t="array" ref="R17">+HLOOKUP($A$1,+[10]İcmal!$B$19:$AG$49,ROW(I15)+1,FALSE)</f>
        <v>1566</v>
      </c>
      <c r="S17" s="15" cm="1">
        <f t="array" ref="S17">+HLOOKUP($A$1,+[11]İcmal!$B$19:$AG$49,ROW(J15)+1,FALSE)</f>
        <v>0</v>
      </c>
      <c r="T17" s="15" cm="1">
        <f t="array" ref="T17">+HLOOKUP($A$1,+[12]İcmal!$B$19:$AG$49,ROW(K15)+1,FALSE)</f>
        <v>0</v>
      </c>
      <c r="U17" s="15" cm="1">
        <f t="array" ref="U17">+HLOOKUP($A$1,+[13]İcmal!$B$19:$AG$49,ROW(L15)+1,FALSE)</f>
        <v>0</v>
      </c>
      <c r="V17" s="15" cm="1">
        <f t="array" ref="V17">+HLOOKUP($A$1,+[14]İcmal!$B$19:$AG$49,ROW(M15)+1,FALSE)</f>
        <v>477</v>
      </c>
      <c r="W17" s="15" cm="1">
        <f t="array" ref="W17">+HLOOKUP($A$1,+[15]İcmal!$B$19:$AG$49,ROW(N15)+1,FALSE)</f>
        <v>2115</v>
      </c>
      <c r="X17" s="15" cm="1">
        <f t="array" ref="X17">+HLOOKUP($A$1,+[16]İcmal!$B$19:$AG$49,ROW(O15)+1,FALSE)</f>
        <v>0</v>
      </c>
      <c r="Y17" s="15" cm="1">
        <f t="array" ref="Y17">+HLOOKUP($A$1,+[17]İcmal!$B$19:$AG$49,ROW(P15)+1,FALSE)</f>
        <v>0</v>
      </c>
      <c r="Z17" s="15" cm="1">
        <f t="array" ref="Z17">+HLOOKUP($A$1,+[18]İcmal!$B$19:$AG$49,ROW(Q15)+1,FALSE)</f>
        <v>0</v>
      </c>
      <c r="AA17" s="15" cm="1">
        <f t="array" ref="AA17">+HLOOKUP($A$1,+[19]İcmal!$B$19:$AG$49,ROW(R15)+1,FALSE)</f>
        <v>0</v>
      </c>
      <c r="AB17" s="15" cm="1">
        <f t="array" ref="AB17">+HLOOKUP($A$1,+[20]İcmal!$B$19:$AG$49,ROW(S15)+1,FALSE)</f>
        <v>0</v>
      </c>
      <c r="AC17" s="15" cm="1">
        <f t="array" ref="AC17">+HLOOKUP($A$1,+[21]İcmal!$B$19:$AG$49,ROW(T15)+1,FALSE)</f>
        <v>0</v>
      </c>
      <c r="AD17" s="15" cm="1">
        <f t="array" ref="AD17">+HLOOKUP($A$1,+[22]İcmal!$B$19:$AG$49,ROW(U15)+1,FALSE)</f>
        <v>0</v>
      </c>
      <c r="AE17" s="15" cm="1">
        <f t="array" ref="AE17">+HLOOKUP($A$1,+[23]İcmal!$B$19:$AG$49,ROW(V15)+1,FALSE)</f>
        <v>0</v>
      </c>
      <c r="AF17" s="15" cm="1">
        <f t="array" ref="AF17">+HLOOKUP($A$1,+[24]İcmal!$B$19:$AG$49,ROW(W15)+1,FALSE)</f>
        <v>0</v>
      </c>
      <c r="AG17" s="15" cm="1">
        <f t="array" ref="AG17">+HLOOKUP($A$1,+[25]İcmal!$B$19:$AG$49,ROW(X15)+1,FALSE)</f>
        <v>0</v>
      </c>
      <c r="AH17" s="15" cm="1">
        <f t="array" ref="AH17">+HLOOKUP($A$1,+[26]İcmal!$B$19:$AG$49,ROW(Y15)+1,FALSE)</f>
        <v>0</v>
      </c>
      <c r="AI17" s="15" cm="1">
        <f t="array" ref="AI17">+HLOOKUP($A$1,+[27]İcmal!$B$19:$AG$49,ROW(Z15)+1,FALSE)</f>
        <v>0</v>
      </c>
      <c r="AJ17" s="15" cm="1">
        <f t="array" ref="AJ17">+HLOOKUP($A$1,+[28]İcmal!$B$19:$AG$49,ROW(AA15)+1,FALSE)</f>
        <v>0</v>
      </c>
      <c r="AK17" s="15" cm="1">
        <f t="array" ref="AK17">+HLOOKUP($A$1,+[29]İcmal!$B$19:$AG$49,ROW(AB15)+1,FALSE)</f>
        <v>0</v>
      </c>
      <c r="AL17" s="15"/>
      <c r="AM17" s="15"/>
      <c r="AN17" s="15"/>
      <c r="AO17" s="15"/>
      <c r="AP17" s="15"/>
      <c r="AQ17" s="15"/>
      <c r="AR17" s="15"/>
      <c r="AS17" s="15"/>
      <c r="AT17" s="13"/>
    </row>
    <row r="18" spans="1:46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+HLOOKUP($A$1,+[2]İcmal!$B$19:$AG$49,ROW(A16)+1,FALSE)</f>
        <v>0</v>
      </c>
      <c r="K18" s="15" cm="1">
        <f t="array" ref="K18">+HLOOKUP($A$1,+[3]İcmal!$B$19:$AG$49,ROW(B16)+1,FALSE)</f>
        <v>0</v>
      </c>
      <c r="L18" s="15" cm="1">
        <f t="array" ref="L18">+HLOOKUP($A$1,+[4]İcmal!$B$19:$AG$49,ROW(C16)+1,FALSE)</f>
        <v>0</v>
      </c>
      <c r="M18" s="15" cm="1">
        <f t="array" ref="M18">+HLOOKUP($A$1,+[5]İcmal!$B$19:$AG$49,ROW(D16)+1,FALSE)</f>
        <v>0</v>
      </c>
      <c r="N18" s="15" cm="1">
        <f t="array" ref="N18">+HLOOKUP($A$1,+[6]İcmal!$B$19:$AG$49,ROW(E16)+1,FALSE)</f>
        <v>0</v>
      </c>
      <c r="O18" s="15" cm="1">
        <f t="array" ref="O18">+HLOOKUP($A$1,+[7]İcmal!$B$19:$AG$49,ROW(F16)+1,FALSE)</f>
        <v>0</v>
      </c>
      <c r="P18" s="15" cm="1">
        <f t="array" ref="P18">+HLOOKUP($A$1,+[8]İcmal!$B$19:$AG$49,ROW(G16)+1,FALSE)</f>
        <v>0</v>
      </c>
      <c r="Q18" s="15" cm="1">
        <f t="array" ref="Q18">+HLOOKUP($A$1,+[9]İcmal!$B$19:$AG$49,ROW(H16)+1,FALSE)</f>
        <v>0</v>
      </c>
      <c r="R18" s="15" cm="1">
        <f t="array" ref="R18">+HLOOKUP($A$1,+[10]İcmal!$B$19:$AG$49,ROW(I16)+1,FALSE)</f>
        <v>0</v>
      </c>
      <c r="S18" s="15" cm="1">
        <f t="array" ref="S18">+HLOOKUP($A$1,+[11]İcmal!$B$19:$AG$49,ROW(J16)+1,FALSE)</f>
        <v>0</v>
      </c>
      <c r="T18" s="15" cm="1">
        <f t="array" ref="T18">+HLOOKUP($A$1,+[12]İcmal!$B$19:$AG$49,ROW(K16)+1,FALSE)</f>
        <v>0</v>
      </c>
      <c r="U18" s="15" cm="1">
        <f t="array" ref="U18">+HLOOKUP($A$1,+[13]İcmal!$B$19:$AG$49,ROW(L16)+1,FALSE)</f>
        <v>0</v>
      </c>
      <c r="V18" s="15" cm="1">
        <f t="array" ref="V18">+HLOOKUP($A$1,+[14]İcmal!$B$19:$AG$49,ROW(M16)+1,FALSE)</f>
        <v>0</v>
      </c>
      <c r="W18" s="15" cm="1">
        <f t="array" ref="W18">+HLOOKUP($A$1,+[15]İcmal!$B$19:$AG$49,ROW(N16)+1,FALSE)</f>
        <v>0</v>
      </c>
      <c r="X18" s="15" cm="1">
        <f t="array" ref="X18">+HLOOKUP($A$1,+[16]İcmal!$B$19:$AG$49,ROW(O16)+1,FALSE)</f>
        <v>0</v>
      </c>
      <c r="Y18" s="15" cm="1">
        <f t="array" ref="Y18">+HLOOKUP($A$1,+[17]İcmal!$B$19:$AG$49,ROW(P16)+1,FALSE)</f>
        <v>0</v>
      </c>
      <c r="Z18" s="15" cm="1">
        <f t="array" ref="Z18">+HLOOKUP($A$1,+[18]İcmal!$B$19:$AG$49,ROW(Q16)+1,FALSE)</f>
        <v>0</v>
      </c>
      <c r="AA18" s="15" cm="1">
        <f t="array" ref="AA18">+HLOOKUP($A$1,+[19]İcmal!$B$19:$AG$49,ROW(R16)+1,FALSE)</f>
        <v>0</v>
      </c>
      <c r="AB18" s="15" cm="1">
        <f t="array" ref="AB18">+HLOOKUP($A$1,+[20]İcmal!$B$19:$AG$49,ROW(S16)+1,FALSE)</f>
        <v>0</v>
      </c>
      <c r="AC18" s="15" cm="1">
        <f t="array" ref="AC18">+HLOOKUP($A$1,+[21]İcmal!$B$19:$AG$49,ROW(T16)+1,FALSE)</f>
        <v>0</v>
      </c>
      <c r="AD18" s="15" cm="1">
        <f t="array" ref="AD18">+HLOOKUP($A$1,+[22]İcmal!$B$19:$AG$49,ROW(U16)+1,FALSE)</f>
        <v>0</v>
      </c>
      <c r="AE18" s="15" cm="1">
        <f t="array" ref="AE18">+HLOOKUP($A$1,+[23]İcmal!$B$19:$AG$49,ROW(V16)+1,FALSE)</f>
        <v>0</v>
      </c>
      <c r="AF18" s="15" cm="1">
        <f t="array" ref="AF18">+HLOOKUP($A$1,+[24]İcmal!$B$19:$AG$49,ROW(W16)+1,FALSE)</f>
        <v>0</v>
      </c>
      <c r="AG18" s="15" cm="1">
        <f t="array" ref="AG18">+HLOOKUP($A$1,+[25]İcmal!$B$19:$AG$49,ROW(X16)+1,FALSE)</f>
        <v>0</v>
      </c>
      <c r="AH18" s="15" cm="1">
        <f t="array" ref="AH18">+HLOOKUP($A$1,+[26]İcmal!$B$19:$AG$49,ROW(Y16)+1,FALSE)</f>
        <v>0</v>
      </c>
      <c r="AI18" s="15" cm="1">
        <f t="array" ref="AI18">+HLOOKUP($A$1,+[27]İcmal!$B$19:$AG$49,ROW(Z16)+1,FALSE)</f>
        <v>0</v>
      </c>
      <c r="AJ18" s="15" cm="1">
        <f t="array" ref="AJ18">+HLOOKUP($A$1,+[28]İcmal!$B$19:$AG$49,ROW(AA16)+1,FALSE)</f>
        <v>0</v>
      </c>
      <c r="AK18" s="15" cm="1">
        <f t="array" ref="AK18">+HLOOKUP($A$1,+[29]İcmal!$B$19:$AG$49,ROW(AB16)+1,FALSE)</f>
        <v>0</v>
      </c>
      <c r="AL18" s="15"/>
      <c r="AM18" s="15"/>
      <c r="AN18" s="15"/>
      <c r="AO18" s="15"/>
      <c r="AP18" s="15"/>
      <c r="AQ18" s="15"/>
      <c r="AR18" s="15"/>
      <c r="AS18" s="15"/>
      <c r="AT18" s="13"/>
    </row>
    <row r="19" spans="1:46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+HLOOKUP($A$1,+[2]İcmal!$B$19:$AG$49,ROW(A17)+1,FALSE)</f>
        <v>0</v>
      </c>
      <c r="K19" s="15" cm="1">
        <f t="array" ref="K19">+HLOOKUP($A$1,+[3]İcmal!$B$19:$AG$49,ROW(B17)+1,FALSE)</f>
        <v>0</v>
      </c>
      <c r="L19" s="15" cm="1">
        <f t="array" ref="L19">+HLOOKUP($A$1,+[4]İcmal!$B$19:$AG$49,ROW(C17)+1,FALSE)</f>
        <v>0</v>
      </c>
      <c r="M19" s="15" cm="1">
        <f t="array" ref="M19">+HLOOKUP($A$1,+[5]İcmal!$B$19:$AG$49,ROW(D17)+1,FALSE)</f>
        <v>0</v>
      </c>
      <c r="N19" s="15" cm="1">
        <f t="array" ref="N19">+HLOOKUP($A$1,+[6]İcmal!$B$19:$AG$49,ROW(E17)+1,FALSE)</f>
        <v>0</v>
      </c>
      <c r="O19" s="15" cm="1">
        <f t="array" ref="O19">+HLOOKUP($A$1,+[7]İcmal!$B$19:$AG$49,ROW(F17)+1,FALSE)</f>
        <v>0</v>
      </c>
      <c r="P19" s="15" cm="1">
        <f t="array" ref="P19">+HLOOKUP($A$1,+[8]İcmal!$B$19:$AG$49,ROW(G17)+1,FALSE)</f>
        <v>0</v>
      </c>
      <c r="Q19" s="15" cm="1">
        <f t="array" ref="Q19">+HLOOKUP($A$1,+[9]İcmal!$B$19:$AG$49,ROW(H17)+1,FALSE)</f>
        <v>0</v>
      </c>
      <c r="R19" s="15" cm="1">
        <f t="array" ref="R19">+HLOOKUP($A$1,+[10]İcmal!$B$19:$AG$49,ROW(I17)+1,FALSE)</f>
        <v>0</v>
      </c>
      <c r="S19" s="15" cm="1">
        <f t="array" ref="S19">+HLOOKUP($A$1,+[11]İcmal!$B$19:$AG$49,ROW(J17)+1,FALSE)</f>
        <v>0</v>
      </c>
      <c r="T19" s="15" cm="1">
        <f t="array" ref="T19">+HLOOKUP($A$1,+[12]İcmal!$B$19:$AG$49,ROW(K17)+1,FALSE)</f>
        <v>0</v>
      </c>
      <c r="U19" s="15" cm="1">
        <f t="array" ref="U19">+HLOOKUP($A$1,+[13]İcmal!$B$19:$AG$49,ROW(L17)+1,FALSE)</f>
        <v>0</v>
      </c>
      <c r="V19" s="15" cm="1">
        <f t="array" ref="V19">+HLOOKUP($A$1,+[14]İcmal!$B$19:$AG$49,ROW(M17)+1,FALSE)</f>
        <v>0</v>
      </c>
      <c r="W19" s="15" cm="1">
        <f t="array" ref="W19">+HLOOKUP($A$1,+[15]İcmal!$B$19:$AG$49,ROW(N17)+1,FALSE)</f>
        <v>0</v>
      </c>
      <c r="X19" s="15" cm="1">
        <f t="array" ref="X19">+HLOOKUP($A$1,+[16]İcmal!$B$19:$AG$49,ROW(O17)+1,FALSE)</f>
        <v>0</v>
      </c>
      <c r="Y19" s="15" cm="1">
        <f t="array" ref="Y19">+HLOOKUP($A$1,+[17]İcmal!$B$19:$AG$49,ROW(P17)+1,FALSE)</f>
        <v>0</v>
      </c>
      <c r="Z19" s="15" cm="1">
        <f t="array" ref="Z19">+HLOOKUP($A$1,+[18]İcmal!$B$19:$AG$49,ROW(Q17)+1,FALSE)</f>
        <v>0</v>
      </c>
      <c r="AA19" s="15" cm="1">
        <f t="array" ref="AA19">+HLOOKUP($A$1,+[19]İcmal!$B$19:$AG$49,ROW(R17)+1,FALSE)</f>
        <v>0</v>
      </c>
      <c r="AB19" s="15" cm="1">
        <f t="array" ref="AB19">+HLOOKUP($A$1,+[20]İcmal!$B$19:$AG$49,ROW(S17)+1,FALSE)</f>
        <v>0</v>
      </c>
      <c r="AC19" s="15" cm="1">
        <f t="array" ref="AC19">+HLOOKUP($A$1,+[21]İcmal!$B$19:$AG$49,ROW(T17)+1,FALSE)</f>
        <v>0</v>
      </c>
      <c r="AD19" s="15" cm="1">
        <f t="array" ref="AD19">+HLOOKUP($A$1,+[22]İcmal!$B$19:$AG$49,ROW(U17)+1,FALSE)</f>
        <v>0</v>
      </c>
      <c r="AE19" s="15" cm="1">
        <f t="array" ref="AE19">+HLOOKUP($A$1,+[23]İcmal!$B$19:$AG$49,ROW(V17)+1,FALSE)</f>
        <v>0</v>
      </c>
      <c r="AF19" s="15" cm="1">
        <f t="array" ref="AF19">+HLOOKUP($A$1,+[24]İcmal!$B$19:$AG$49,ROW(W17)+1,FALSE)</f>
        <v>0</v>
      </c>
      <c r="AG19" s="15" cm="1">
        <f t="array" ref="AG19">+HLOOKUP($A$1,+[25]İcmal!$B$19:$AG$49,ROW(X17)+1,FALSE)</f>
        <v>0</v>
      </c>
      <c r="AH19" s="15" cm="1">
        <f t="array" ref="AH19">+HLOOKUP($A$1,+[26]İcmal!$B$19:$AG$49,ROW(Y17)+1,FALSE)</f>
        <v>0</v>
      </c>
      <c r="AI19" s="15" cm="1">
        <f t="array" ref="AI19">+HLOOKUP($A$1,+[27]İcmal!$B$19:$AG$49,ROW(Z17)+1,FALSE)</f>
        <v>0</v>
      </c>
      <c r="AJ19" s="15" cm="1">
        <f t="array" ref="AJ19">+HLOOKUP($A$1,+[28]İcmal!$B$19:$AG$49,ROW(AA17)+1,FALSE)</f>
        <v>0</v>
      </c>
      <c r="AK19" s="15" cm="1">
        <f t="array" ref="AK19">+HLOOKUP($A$1,+[29]İcmal!$B$19:$AG$49,ROW(AB17)+1,FALSE)</f>
        <v>0</v>
      </c>
      <c r="AL19" s="15"/>
      <c r="AM19" s="15"/>
      <c r="AN19" s="15"/>
      <c r="AO19" s="15"/>
      <c r="AP19" s="15"/>
      <c r="AQ19" s="15"/>
      <c r="AR19" s="15"/>
      <c r="AS19" s="15"/>
      <c r="AT19" s="13"/>
    </row>
    <row r="20" spans="1:46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+HLOOKUP($A$1,+[2]İcmal!$B$19:$AG$49,ROW(A18)+1,FALSE)</f>
        <v>0</v>
      </c>
      <c r="K20" s="15" cm="1">
        <f t="array" ref="K20">+HLOOKUP($A$1,+[3]İcmal!$B$19:$AG$49,ROW(B18)+1,FALSE)</f>
        <v>0</v>
      </c>
      <c r="L20" s="15" cm="1">
        <f t="array" ref="L20">+HLOOKUP($A$1,+[4]İcmal!$B$19:$AG$49,ROW(C18)+1,FALSE)</f>
        <v>0</v>
      </c>
      <c r="M20" s="15" cm="1">
        <f t="array" ref="M20">+HLOOKUP($A$1,+[5]İcmal!$B$19:$AG$49,ROW(D18)+1,FALSE)</f>
        <v>0</v>
      </c>
      <c r="N20" s="15" cm="1">
        <f t="array" ref="N20">+HLOOKUP($A$1,+[6]İcmal!$B$19:$AG$49,ROW(E18)+1,FALSE)</f>
        <v>0</v>
      </c>
      <c r="O20" s="15" cm="1">
        <f t="array" ref="O20">+HLOOKUP($A$1,+[7]İcmal!$B$19:$AG$49,ROW(F18)+1,FALSE)</f>
        <v>0</v>
      </c>
      <c r="P20" s="15" cm="1">
        <f t="array" ref="P20">+HLOOKUP($A$1,+[8]İcmal!$B$19:$AG$49,ROW(G18)+1,FALSE)</f>
        <v>0</v>
      </c>
      <c r="Q20" s="15" cm="1">
        <f t="array" ref="Q20">+HLOOKUP($A$1,+[9]İcmal!$B$19:$AG$49,ROW(H18)+1,FALSE)</f>
        <v>0</v>
      </c>
      <c r="R20" s="15" cm="1">
        <f t="array" ref="R20">+HLOOKUP($A$1,+[10]İcmal!$B$19:$AG$49,ROW(I18)+1,FALSE)</f>
        <v>0</v>
      </c>
      <c r="S20" s="15" cm="1">
        <f t="array" ref="S20">+HLOOKUP($A$1,+[11]İcmal!$B$19:$AG$49,ROW(J18)+1,FALSE)</f>
        <v>0</v>
      </c>
      <c r="T20" s="15" cm="1">
        <f t="array" ref="T20">+HLOOKUP($A$1,+[12]İcmal!$B$19:$AG$49,ROW(K18)+1,FALSE)</f>
        <v>0</v>
      </c>
      <c r="U20" s="15" cm="1">
        <f t="array" ref="U20">+HLOOKUP($A$1,+[13]İcmal!$B$19:$AG$49,ROW(L18)+1,FALSE)</f>
        <v>0</v>
      </c>
      <c r="V20" s="15" cm="1">
        <f t="array" ref="V20">+HLOOKUP($A$1,+[14]İcmal!$B$19:$AG$49,ROW(M18)+1,FALSE)</f>
        <v>0</v>
      </c>
      <c r="W20" s="15" cm="1">
        <f t="array" ref="W20">+HLOOKUP($A$1,+[15]İcmal!$B$19:$AG$49,ROW(N18)+1,FALSE)</f>
        <v>0</v>
      </c>
      <c r="X20" s="15" cm="1">
        <f t="array" ref="X20">+HLOOKUP($A$1,+[16]İcmal!$B$19:$AG$49,ROW(O18)+1,FALSE)</f>
        <v>0</v>
      </c>
      <c r="Y20" s="15" cm="1">
        <f t="array" ref="Y20">+HLOOKUP($A$1,+[17]İcmal!$B$19:$AG$49,ROW(P18)+1,FALSE)</f>
        <v>0</v>
      </c>
      <c r="Z20" s="15" cm="1">
        <f t="array" ref="Z20">+HLOOKUP($A$1,+[18]İcmal!$B$19:$AG$49,ROW(Q18)+1,FALSE)</f>
        <v>0</v>
      </c>
      <c r="AA20" s="15" cm="1">
        <f t="array" ref="AA20">+HLOOKUP($A$1,+[19]İcmal!$B$19:$AG$49,ROW(R18)+1,FALSE)</f>
        <v>0</v>
      </c>
      <c r="AB20" s="15" cm="1">
        <f t="array" ref="AB20">+HLOOKUP($A$1,+[20]İcmal!$B$19:$AG$49,ROW(S18)+1,FALSE)</f>
        <v>0</v>
      </c>
      <c r="AC20" s="15" cm="1">
        <f t="array" ref="AC20">+HLOOKUP($A$1,+[21]İcmal!$B$19:$AG$49,ROW(T18)+1,FALSE)</f>
        <v>0</v>
      </c>
      <c r="AD20" s="15" cm="1">
        <f t="array" ref="AD20">+HLOOKUP($A$1,+[22]İcmal!$B$19:$AG$49,ROW(U18)+1,FALSE)</f>
        <v>0</v>
      </c>
      <c r="AE20" s="15" cm="1">
        <f t="array" ref="AE20">+HLOOKUP($A$1,+[23]İcmal!$B$19:$AG$49,ROW(V18)+1,FALSE)</f>
        <v>0</v>
      </c>
      <c r="AF20" s="15" cm="1">
        <f t="array" ref="AF20">+HLOOKUP($A$1,+[24]İcmal!$B$19:$AG$49,ROW(W18)+1,FALSE)</f>
        <v>0</v>
      </c>
      <c r="AG20" s="15" cm="1">
        <f t="array" ref="AG20">+HLOOKUP($A$1,+[25]İcmal!$B$19:$AG$49,ROW(X18)+1,FALSE)</f>
        <v>0</v>
      </c>
      <c r="AH20" s="15" cm="1">
        <f t="array" ref="AH20">+HLOOKUP($A$1,+[26]İcmal!$B$19:$AG$49,ROW(Y18)+1,FALSE)</f>
        <v>0</v>
      </c>
      <c r="AI20" s="15" cm="1">
        <f t="array" ref="AI20">+HLOOKUP($A$1,+[27]İcmal!$B$19:$AG$49,ROW(Z18)+1,FALSE)</f>
        <v>0</v>
      </c>
      <c r="AJ20" s="15" cm="1">
        <f t="array" ref="AJ20">+HLOOKUP($A$1,+[28]İcmal!$B$19:$AG$49,ROW(AA18)+1,FALSE)</f>
        <v>0</v>
      </c>
      <c r="AK20" s="15" cm="1">
        <f t="array" ref="AK20">+HLOOKUP($A$1,+[29]İcmal!$B$19:$AG$49,ROW(AB18)+1,FALSE)</f>
        <v>0</v>
      </c>
      <c r="AL20" s="15"/>
      <c r="AM20" s="15"/>
      <c r="AN20" s="15"/>
      <c r="AO20" s="15"/>
      <c r="AP20" s="15"/>
      <c r="AQ20" s="15"/>
      <c r="AR20" s="15"/>
      <c r="AS20" s="15"/>
      <c r="AT20" s="13"/>
    </row>
    <row r="21" spans="1:46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+HLOOKUP($A$1,+[2]İcmal!$B$19:$AG$49,ROW(A19)+1,FALSE)</f>
        <v>0</v>
      </c>
      <c r="K21" s="15" cm="1">
        <f t="array" ref="K21">+HLOOKUP($A$1,+[3]İcmal!$B$19:$AG$49,ROW(B19)+1,FALSE)</f>
        <v>0</v>
      </c>
      <c r="L21" s="15" cm="1">
        <f t="array" ref="L21">+HLOOKUP($A$1,+[4]İcmal!$B$19:$AG$49,ROW(C19)+1,FALSE)</f>
        <v>0</v>
      </c>
      <c r="M21" s="15" cm="1">
        <f t="array" ref="M21">+HLOOKUP($A$1,+[5]İcmal!$B$19:$AG$49,ROW(D19)+1,FALSE)</f>
        <v>0</v>
      </c>
      <c r="N21" s="15" cm="1">
        <f t="array" ref="N21">+HLOOKUP($A$1,+[6]İcmal!$B$19:$AG$49,ROW(E19)+1,FALSE)</f>
        <v>0</v>
      </c>
      <c r="O21" s="15" cm="1">
        <f t="array" ref="O21">+HLOOKUP($A$1,+[7]İcmal!$B$19:$AG$49,ROW(F19)+1,FALSE)</f>
        <v>0</v>
      </c>
      <c r="P21" s="15" cm="1">
        <f t="array" ref="P21">+HLOOKUP($A$1,+[8]İcmal!$B$19:$AG$49,ROW(G19)+1,FALSE)</f>
        <v>0</v>
      </c>
      <c r="Q21" s="15" cm="1">
        <f t="array" ref="Q21">+HLOOKUP($A$1,+[9]İcmal!$B$19:$AG$49,ROW(H19)+1,FALSE)</f>
        <v>0</v>
      </c>
      <c r="R21" s="15" cm="1">
        <f t="array" ref="R21">+HLOOKUP($A$1,+[10]İcmal!$B$19:$AG$49,ROW(I19)+1,FALSE)</f>
        <v>0</v>
      </c>
      <c r="S21" s="15" cm="1">
        <f t="array" ref="S21">+HLOOKUP($A$1,+[11]İcmal!$B$19:$AG$49,ROW(J19)+1,FALSE)</f>
        <v>0</v>
      </c>
      <c r="T21" s="15" cm="1">
        <f t="array" ref="T21">+HLOOKUP($A$1,+[12]İcmal!$B$19:$AG$49,ROW(K19)+1,FALSE)</f>
        <v>0</v>
      </c>
      <c r="U21" s="15" cm="1">
        <f t="array" ref="U21">+HLOOKUP($A$1,+[13]İcmal!$B$19:$AG$49,ROW(L19)+1,FALSE)</f>
        <v>0</v>
      </c>
      <c r="V21" s="15" cm="1">
        <f t="array" ref="V21">+HLOOKUP($A$1,+[14]İcmal!$B$19:$AG$49,ROW(M19)+1,FALSE)</f>
        <v>0</v>
      </c>
      <c r="W21" s="15" cm="1">
        <f t="array" ref="W21">+HLOOKUP($A$1,+[15]İcmal!$B$19:$AG$49,ROW(N19)+1,FALSE)</f>
        <v>0</v>
      </c>
      <c r="X21" s="15" cm="1">
        <f t="array" ref="X21">+HLOOKUP($A$1,+[16]İcmal!$B$19:$AG$49,ROW(O19)+1,FALSE)</f>
        <v>0</v>
      </c>
      <c r="Y21" s="15" cm="1">
        <f t="array" ref="Y21">+HLOOKUP($A$1,+[17]İcmal!$B$19:$AG$49,ROW(P19)+1,FALSE)</f>
        <v>0</v>
      </c>
      <c r="Z21" s="15" cm="1">
        <f t="array" ref="Z21">+HLOOKUP($A$1,+[18]İcmal!$B$19:$AG$49,ROW(Q19)+1,FALSE)</f>
        <v>0</v>
      </c>
      <c r="AA21" s="15" cm="1">
        <f t="array" ref="AA21">+HLOOKUP($A$1,+[19]İcmal!$B$19:$AG$49,ROW(R19)+1,FALSE)</f>
        <v>0</v>
      </c>
      <c r="AB21" s="15" cm="1">
        <f t="array" ref="AB21">+HLOOKUP($A$1,+[20]İcmal!$B$19:$AG$49,ROW(S19)+1,FALSE)</f>
        <v>0</v>
      </c>
      <c r="AC21" s="15" cm="1">
        <f t="array" ref="AC21">+HLOOKUP($A$1,+[21]İcmal!$B$19:$AG$49,ROW(T19)+1,FALSE)</f>
        <v>0</v>
      </c>
      <c r="AD21" s="15" cm="1">
        <f t="array" ref="AD21">+HLOOKUP($A$1,+[22]İcmal!$B$19:$AG$49,ROW(U19)+1,FALSE)</f>
        <v>0</v>
      </c>
      <c r="AE21" s="15" cm="1">
        <f t="array" ref="AE21">+HLOOKUP($A$1,+[23]İcmal!$B$19:$AG$49,ROW(V19)+1,FALSE)</f>
        <v>0</v>
      </c>
      <c r="AF21" s="15" cm="1">
        <f t="array" ref="AF21">+HLOOKUP($A$1,+[24]İcmal!$B$19:$AG$49,ROW(W19)+1,FALSE)</f>
        <v>0</v>
      </c>
      <c r="AG21" s="15" cm="1">
        <f t="array" ref="AG21">+HLOOKUP($A$1,+[25]İcmal!$B$19:$AG$49,ROW(X19)+1,FALSE)</f>
        <v>0</v>
      </c>
      <c r="AH21" s="15" cm="1">
        <f t="array" ref="AH21">+HLOOKUP($A$1,+[26]İcmal!$B$19:$AG$49,ROW(Y19)+1,FALSE)</f>
        <v>0</v>
      </c>
      <c r="AI21" s="15" cm="1">
        <f t="array" ref="AI21">+HLOOKUP($A$1,+[27]İcmal!$B$19:$AG$49,ROW(Z19)+1,FALSE)</f>
        <v>0</v>
      </c>
      <c r="AJ21" s="15" cm="1">
        <f t="array" ref="AJ21">+HLOOKUP($A$1,+[28]İcmal!$B$19:$AG$49,ROW(AA19)+1,FALSE)</f>
        <v>0</v>
      </c>
      <c r="AK21" s="15" cm="1">
        <f t="array" ref="AK21">+HLOOKUP($A$1,+[29]İcmal!$B$19:$AG$49,ROW(AB19)+1,FALSE)</f>
        <v>0</v>
      </c>
      <c r="AL21" s="15"/>
      <c r="AM21" s="15"/>
      <c r="AN21" s="15"/>
      <c r="AO21" s="15"/>
      <c r="AP21" s="15"/>
      <c r="AQ21" s="15"/>
      <c r="AR21" s="15"/>
      <c r="AS21" s="15"/>
      <c r="AT21" s="13"/>
    </row>
    <row r="22" spans="1:46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+HLOOKUP($A$1,+[2]İcmal!$B$19:$AG$49,ROW(A20)+1,FALSE)</f>
        <v>0</v>
      </c>
      <c r="K22" s="15" cm="1">
        <f t="array" ref="K22">+HLOOKUP($A$1,+[3]İcmal!$B$19:$AG$49,ROW(B20)+1,FALSE)</f>
        <v>0</v>
      </c>
      <c r="L22" s="15" cm="1">
        <f t="array" ref="L22">+HLOOKUP($A$1,+[4]İcmal!$B$19:$AG$49,ROW(C20)+1,FALSE)</f>
        <v>0</v>
      </c>
      <c r="M22" s="15" cm="1">
        <f t="array" ref="M22">+HLOOKUP($A$1,+[5]İcmal!$B$19:$AG$49,ROW(D20)+1,FALSE)</f>
        <v>0</v>
      </c>
      <c r="N22" s="15" cm="1">
        <f t="array" ref="N22">+HLOOKUP($A$1,+[6]İcmal!$B$19:$AG$49,ROW(E20)+1,FALSE)</f>
        <v>0</v>
      </c>
      <c r="O22" s="15" cm="1">
        <f t="array" ref="O22">+HLOOKUP($A$1,+[7]İcmal!$B$19:$AG$49,ROW(F20)+1,FALSE)</f>
        <v>0</v>
      </c>
      <c r="P22" s="15" cm="1">
        <f t="array" ref="P22">+HLOOKUP($A$1,+[8]İcmal!$B$19:$AG$49,ROW(G20)+1,FALSE)</f>
        <v>0</v>
      </c>
      <c r="Q22" s="15" cm="1">
        <f t="array" ref="Q22">+HLOOKUP($A$1,+[9]İcmal!$B$19:$AG$49,ROW(H20)+1,FALSE)</f>
        <v>0</v>
      </c>
      <c r="R22" s="15" cm="1">
        <f t="array" ref="R22">+HLOOKUP($A$1,+[10]İcmal!$B$19:$AG$49,ROW(I20)+1,FALSE)</f>
        <v>0</v>
      </c>
      <c r="S22" s="15" cm="1">
        <f t="array" ref="S22">+HLOOKUP($A$1,+[11]İcmal!$B$19:$AG$49,ROW(J20)+1,FALSE)</f>
        <v>0</v>
      </c>
      <c r="T22" s="15" cm="1">
        <f t="array" ref="T22">+HLOOKUP($A$1,+[12]İcmal!$B$19:$AG$49,ROW(K20)+1,FALSE)</f>
        <v>0</v>
      </c>
      <c r="U22" s="15" cm="1">
        <f t="array" ref="U22">+HLOOKUP($A$1,+[13]İcmal!$B$19:$AG$49,ROW(L20)+1,FALSE)</f>
        <v>0</v>
      </c>
      <c r="V22" s="15" cm="1">
        <f t="array" ref="V22">+HLOOKUP($A$1,+[14]İcmal!$B$19:$AG$49,ROW(M20)+1,FALSE)</f>
        <v>0</v>
      </c>
      <c r="W22" s="15" cm="1">
        <f t="array" ref="W22">+HLOOKUP($A$1,+[15]İcmal!$B$19:$AG$49,ROW(N20)+1,FALSE)</f>
        <v>0</v>
      </c>
      <c r="X22" s="15" cm="1">
        <f t="array" ref="X22">+HLOOKUP($A$1,+[16]İcmal!$B$19:$AG$49,ROW(O20)+1,FALSE)</f>
        <v>0</v>
      </c>
      <c r="Y22" s="15" cm="1">
        <f t="array" ref="Y22">+HLOOKUP($A$1,+[17]İcmal!$B$19:$AG$49,ROW(P20)+1,FALSE)</f>
        <v>0</v>
      </c>
      <c r="Z22" s="15" cm="1">
        <f t="array" ref="Z22">+HLOOKUP($A$1,+[18]İcmal!$B$19:$AG$49,ROW(Q20)+1,FALSE)</f>
        <v>0</v>
      </c>
      <c r="AA22" s="15" cm="1">
        <f t="array" ref="AA22">+HLOOKUP($A$1,+[19]İcmal!$B$19:$AG$49,ROW(R20)+1,FALSE)</f>
        <v>0</v>
      </c>
      <c r="AB22" s="15" cm="1">
        <f t="array" ref="AB22">+HLOOKUP($A$1,+[20]İcmal!$B$19:$AG$49,ROW(S20)+1,FALSE)</f>
        <v>0</v>
      </c>
      <c r="AC22" s="15" cm="1">
        <f t="array" ref="AC22">+HLOOKUP($A$1,+[21]İcmal!$B$19:$AG$49,ROW(T20)+1,FALSE)</f>
        <v>0</v>
      </c>
      <c r="AD22" s="15" cm="1">
        <f t="array" ref="AD22">+HLOOKUP($A$1,+[22]İcmal!$B$19:$AG$49,ROW(U20)+1,FALSE)</f>
        <v>0</v>
      </c>
      <c r="AE22" s="15" cm="1">
        <f t="array" ref="AE22">+HLOOKUP($A$1,+[23]İcmal!$B$19:$AG$49,ROW(V20)+1,FALSE)</f>
        <v>0</v>
      </c>
      <c r="AF22" s="15" cm="1">
        <f t="array" ref="AF22">+HLOOKUP($A$1,+[24]İcmal!$B$19:$AG$49,ROW(W20)+1,FALSE)</f>
        <v>0</v>
      </c>
      <c r="AG22" s="15" cm="1">
        <f t="array" ref="AG22">+HLOOKUP($A$1,+[25]İcmal!$B$19:$AG$49,ROW(X20)+1,FALSE)</f>
        <v>0</v>
      </c>
      <c r="AH22" s="15" cm="1">
        <f t="array" ref="AH22">+HLOOKUP($A$1,+[26]İcmal!$B$19:$AG$49,ROW(Y20)+1,FALSE)</f>
        <v>0</v>
      </c>
      <c r="AI22" s="15" cm="1">
        <f t="array" ref="AI22">+HLOOKUP($A$1,+[27]İcmal!$B$19:$AG$49,ROW(Z20)+1,FALSE)</f>
        <v>0</v>
      </c>
      <c r="AJ22" s="15" cm="1">
        <f t="array" ref="AJ22">+HLOOKUP($A$1,+[28]İcmal!$B$19:$AG$49,ROW(AA20)+1,FALSE)</f>
        <v>0</v>
      </c>
      <c r="AK22" s="15" cm="1">
        <f t="array" ref="AK22">+HLOOKUP($A$1,+[29]İcmal!$B$19:$AG$49,ROW(AB20)+1,FALSE)</f>
        <v>0</v>
      </c>
      <c r="AL22" s="15"/>
      <c r="AM22" s="15"/>
      <c r="AN22" s="15"/>
      <c r="AO22" s="15"/>
      <c r="AP22" s="15"/>
      <c r="AQ22" s="15"/>
      <c r="AR22" s="15"/>
      <c r="AS22" s="15"/>
      <c r="AT22" s="13"/>
    </row>
    <row r="23" spans="1:46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+HLOOKUP($A$1,+[2]İcmal!$B$19:$AG$49,ROW(A21)+1,FALSE)</f>
        <v>0</v>
      </c>
      <c r="K23" s="15" cm="1">
        <f t="array" ref="K23">+HLOOKUP($A$1,+[3]İcmal!$B$19:$AG$49,ROW(B21)+1,FALSE)</f>
        <v>0</v>
      </c>
      <c r="L23" s="15" cm="1">
        <f t="array" ref="L23">+HLOOKUP($A$1,+[4]İcmal!$B$19:$AG$49,ROW(C21)+1,FALSE)</f>
        <v>0</v>
      </c>
      <c r="M23" s="15" cm="1">
        <f t="array" ref="M23">+HLOOKUP($A$1,+[5]İcmal!$B$19:$AG$49,ROW(D21)+1,FALSE)</f>
        <v>0</v>
      </c>
      <c r="N23" s="15" cm="1">
        <f t="array" ref="N23">+HLOOKUP($A$1,+[6]İcmal!$B$19:$AG$49,ROW(E21)+1,FALSE)</f>
        <v>0</v>
      </c>
      <c r="O23" s="15" cm="1">
        <f t="array" ref="O23">+HLOOKUP($A$1,+[7]İcmal!$B$19:$AG$49,ROW(F21)+1,FALSE)</f>
        <v>0</v>
      </c>
      <c r="P23" s="15" cm="1">
        <f t="array" ref="P23">+HLOOKUP($A$1,+[8]İcmal!$B$19:$AG$49,ROW(G21)+1,FALSE)</f>
        <v>0</v>
      </c>
      <c r="Q23" s="15" cm="1">
        <f t="array" ref="Q23">+HLOOKUP($A$1,+[9]İcmal!$B$19:$AG$49,ROW(H21)+1,FALSE)</f>
        <v>0</v>
      </c>
      <c r="R23" s="15" cm="1">
        <f t="array" ref="R23">+HLOOKUP($A$1,+[10]İcmal!$B$19:$AG$49,ROW(I21)+1,FALSE)</f>
        <v>0</v>
      </c>
      <c r="S23" s="15" cm="1">
        <f t="array" ref="S23">+HLOOKUP($A$1,+[11]İcmal!$B$19:$AG$49,ROW(J21)+1,FALSE)</f>
        <v>0</v>
      </c>
      <c r="T23" s="15" cm="1">
        <f t="array" ref="T23">+HLOOKUP($A$1,+[12]İcmal!$B$19:$AG$49,ROW(K21)+1,FALSE)</f>
        <v>0</v>
      </c>
      <c r="U23" s="15" cm="1">
        <f t="array" ref="U23">+HLOOKUP($A$1,+[13]İcmal!$B$19:$AG$49,ROW(L21)+1,FALSE)</f>
        <v>0</v>
      </c>
      <c r="V23" s="15" cm="1">
        <f t="array" ref="V23">+HLOOKUP($A$1,+[14]İcmal!$B$19:$AG$49,ROW(M21)+1,FALSE)</f>
        <v>0</v>
      </c>
      <c r="W23" s="15" cm="1">
        <f t="array" ref="W23">+HLOOKUP($A$1,+[15]İcmal!$B$19:$AG$49,ROW(N21)+1,FALSE)</f>
        <v>0</v>
      </c>
      <c r="X23" s="15" cm="1">
        <f t="array" ref="X23">+HLOOKUP($A$1,+[16]İcmal!$B$19:$AG$49,ROW(O21)+1,FALSE)</f>
        <v>0</v>
      </c>
      <c r="Y23" s="15" cm="1">
        <f t="array" ref="Y23">+HLOOKUP($A$1,+[17]İcmal!$B$19:$AG$49,ROW(P21)+1,FALSE)</f>
        <v>0</v>
      </c>
      <c r="Z23" s="15" cm="1">
        <f t="array" ref="Z23">+HLOOKUP($A$1,+[18]İcmal!$B$19:$AG$49,ROW(Q21)+1,FALSE)</f>
        <v>0</v>
      </c>
      <c r="AA23" s="15" cm="1">
        <f t="array" ref="AA23">+HLOOKUP($A$1,+[19]İcmal!$B$19:$AG$49,ROW(R21)+1,FALSE)</f>
        <v>0</v>
      </c>
      <c r="AB23" s="15" cm="1">
        <f t="array" ref="AB23">+HLOOKUP($A$1,+[20]İcmal!$B$19:$AG$49,ROW(S21)+1,FALSE)</f>
        <v>0</v>
      </c>
      <c r="AC23" s="15" cm="1">
        <f t="array" ref="AC23">+HLOOKUP($A$1,+[21]İcmal!$B$19:$AG$49,ROW(T21)+1,FALSE)</f>
        <v>0</v>
      </c>
      <c r="AD23" s="15" cm="1">
        <f t="array" ref="AD23">+HLOOKUP($A$1,+[22]İcmal!$B$19:$AG$49,ROW(U21)+1,FALSE)</f>
        <v>0</v>
      </c>
      <c r="AE23" s="15" cm="1">
        <f t="array" ref="AE23">+HLOOKUP($A$1,+[23]İcmal!$B$19:$AG$49,ROW(V21)+1,FALSE)</f>
        <v>0</v>
      </c>
      <c r="AF23" s="15" cm="1">
        <f t="array" ref="AF23">+HLOOKUP($A$1,+[24]İcmal!$B$19:$AG$49,ROW(W21)+1,FALSE)</f>
        <v>0</v>
      </c>
      <c r="AG23" s="15" cm="1">
        <f t="array" ref="AG23">+HLOOKUP($A$1,+[25]İcmal!$B$19:$AG$49,ROW(X21)+1,FALSE)</f>
        <v>0</v>
      </c>
      <c r="AH23" s="15" cm="1">
        <f t="array" ref="AH23">+HLOOKUP($A$1,+[26]İcmal!$B$19:$AG$49,ROW(Y21)+1,FALSE)</f>
        <v>0</v>
      </c>
      <c r="AI23" s="15" cm="1">
        <f t="array" ref="AI23">+HLOOKUP($A$1,+[27]İcmal!$B$19:$AG$49,ROW(Z21)+1,FALSE)</f>
        <v>0</v>
      </c>
      <c r="AJ23" s="15" cm="1">
        <f t="array" ref="AJ23">+HLOOKUP($A$1,+[28]İcmal!$B$19:$AG$49,ROW(AA21)+1,FALSE)</f>
        <v>0</v>
      </c>
      <c r="AK23" s="15" cm="1">
        <f t="array" ref="AK23">+HLOOKUP($A$1,+[29]İcmal!$B$19:$AG$49,ROW(AB21)+1,FALSE)</f>
        <v>0</v>
      </c>
      <c r="AL23" s="15"/>
      <c r="AM23" s="15"/>
      <c r="AN23" s="15"/>
      <c r="AO23" s="15"/>
      <c r="AP23" s="15"/>
      <c r="AQ23" s="15"/>
      <c r="AR23" s="15"/>
      <c r="AS23" s="15"/>
      <c r="AT23" s="13"/>
    </row>
    <row r="24" spans="1:46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+HLOOKUP($A$1,+[2]İcmal!$B$19:$AG$49,ROW(A22)+1,FALSE)</f>
        <v>0</v>
      </c>
      <c r="K24" s="15" cm="1">
        <f t="array" ref="K24">+HLOOKUP($A$1,+[3]İcmal!$B$19:$AG$49,ROW(B22)+1,FALSE)</f>
        <v>0</v>
      </c>
      <c r="L24" s="15" cm="1">
        <f t="array" ref="L24">+HLOOKUP($A$1,+[4]İcmal!$B$19:$AG$49,ROW(C22)+1,FALSE)</f>
        <v>0</v>
      </c>
      <c r="M24" s="15" cm="1">
        <f t="array" ref="M24">+HLOOKUP($A$1,+[5]İcmal!$B$19:$AG$49,ROW(D22)+1,FALSE)</f>
        <v>0</v>
      </c>
      <c r="N24" s="15" cm="1">
        <f t="array" ref="N24">+HLOOKUP($A$1,+[6]İcmal!$B$19:$AG$49,ROW(E22)+1,FALSE)</f>
        <v>0</v>
      </c>
      <c r="O24" s="15" cm="1">
        <f t="array" ref="O24">+HLOOKUP($A$1,+[7]İcmal!$B$19:$AG$49,ROW(F22)+1,FALSE)</f>
        <v>0</v>
      </c>
      <c r="P24" s="15" cm="1">
        <f t="array" ref="P24">+HLOOKUP($A$1,+[8]İcmal!$B$19:$AG$49,ROW(G22)+1,FALSE)</f>
        <v>0</v>
      </c>
      <c r="Q24" s="15" cm="1">
        <f t="array" ref="Q24">+HLOOKUP($A$1,+[9]İcmal!$B$19:$AG$49,ROW(H22)+1,FALSE)</f>
        <v>0</v>
      </c>
      <c r="R24" s="15" cm="1">
        <f t="array" ref="R24">+HLOOKUP($A$1,+[10]İcmal!$B$19:$AG$49,ROW(I22)+1,FALSE)</f>
        <v>0</v>
      </c>
      <c r="S24" s="15" cm="1">
        <f t="array" ref="S24">+HLOOKUP($A$1,+[11]İcmal!$B$19:$AG$49,ROW(J22)+1,FALSE)</f>
        <v>0</v>
      </c>
      <c r="T24" s="15" cm="1">
        <f t="array" ref="T24">+HLOOKUP($A$1,+[12]İcmal!$B$19:$AG$49,ROW(K22)+1,FALSE)</f>
        <v>0</v>
      </c>
      <c r="U24" s="15" cm="1">
        <f t="array" ref="U24">+HLOOKUP($A$1,+[13]İcmal!$B$19:$AG$49,ROW(L22)+1,FALSE)</f>
        <v>0</v>
      </c>
      <c r="V24" s="15" cm="1">
        <f t="array" ref="V24">+HLOOKUP($A$1,+[14]İcmal!$B$19:$AG$49,ROW(M22)+1,FALSE)</f>
        <v>0</v>
      </c>
      <c r="W24" s="15" cm="1">
        <f t="array" ref="W24">+HLOOKUP($A$1,+[15]İcmal!$B$19:$AG$49,ROW(N22)+1,FALSE)</f>
        <v>0</v>
      </c>
      <c r="X24" s="15" cm="1">
        <f t="array" ref="X24">+HLOOKUP($A$1,+[16]İcmal!$B$19:$AG$49,ROW(O22)+1,FALSE)</f>
        <v>0</v>
      </c>
      <c r="Y24" s="15" cm="1">
        <f t="array" ref="Y24">+HLOOKUP($A$1,+[17]İcmal!$B$19:$AG$49,ROW(P22)+1,FALSE)</f>
        <v>0</v>
      </c>
      <c r="Z24" s="15" cm="1">
        <f t="array" ref="Z24">+HLOOKUP($A$1,+[18]İcmal!$B$19:$AG$49,ROW(Q22)+1,FALSE)</f>
        <v>0</v>
      </c>
      <c r="AA24" s="15" cm="1">
        <f t="array" ref="AA24">+HLOOKUP($A$1,+[19]İcmal!$B$19:$AG$49,ROW(R22)+1,FALSE)</f>
        <v>0</v>
      </c>
      <c r="AB24" s="15" cm="1">
        <f t="array" ref="AB24">+HLOOKUP($A$1,+[20]İcmal!$B$19:$AG$49,ROW(S22)+1,FALSE)</f>
        <v>0</v>
      </c>
      <c r="AC24" s="15" cm="1">
        <f t="array" ref="AC24">+HLOOKUP($A$1,+[21]İcmal!$B$19:$AG$49,ROW(T22)+1,FALSE)</f>
        <v>0</v>
      </c>
      <c r="AD24" s="15" cm="1">
        <f t="array" ref="AD24">+HLOOKUP($A$1,+[22]İcmal!$B$19:$AG$49,ROW(U22)+1,FALSE)</f>
        <v>0</v>
      </c>
      <c r="AE24" s="15" cm="1">
        <f t="array" ref="AE24">+HLOOKUP($A$1,+[23]İcmal!$B$19:$AG$49,ROW(V22)+1,FALSE)</f>
        <v>0</v>
      </c>
      <c r="AF24" s="15" cm="1">
        <f t="array" ref="AF24">+HLOOKUP($A$1,+[24]İcmal!$B$19:$AG$49,ROW(W22)+1,FALSE)</f>
        <v>0</v>
      </c>
      <c r="AG24" s="15" cm="1">
        <f t="array" ref="AG24">+HLOOKUP($A$1,+[25]İcmal!$B$19:$AG$49,ROW(X22)+1,FALSE)</f>
        <v>0</v>
      </c>
      <c r="AH24" s="15" cm="1">
        <f t="array" ref="AH24">+HLOOKUP($A$1,+[26]İcmal!$B$19:$AG$49,ROW(Y22)+1,FALSE)</f>
        <v>0</v>
      </c>
      <c r="AI24" s="15" cm="1">
        <f t="array" ref="AI24">+HLOOKUP($A$1,+[27]İcmal!$B$19:$AG$49,ROW(Z22)+1,FALSE)</f>
        <v>0</v>
      </c>
      <c r="AJ24" s="15" cm="1">
        <f t="array" ref="AJ24">+HLOOKUP($A$1,+[28]İcmal!$B$19:$AG$49,ROW(AA22)+1,FALSE)</f>
        <v>0</v>
      </c>
      <c r="AK24" s="15" cm="1">
        <f t="array" ref="AK24">+HLOOKUP($A$1,+[29]İcmal!$B$19:$AG$49,ROW(AB22)+1,FALSE)</f>
        <v>0</v>
      </c>
      <c r="AL24" s="15"/>
      <c r="AM24" s="15"/>
      <c r="AN24" s="15"/>
      <c r="AO24" s="15"/>
      <c r="AP24" s="15"/>
      <c r="AQ24" s="15"/>
      <c r="AR24" s="15"/>
      <c r="AS24" s="15"/>
      <c r="AT24" s="13"/>
    </row>
    <row r="25" spans="1:46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+HLOOKUP($A$1,+[2]İcmal!$B$19:$AG$49,ROW(A23)+1,FALSE)</f>
        <v>0</v>
      </c>
      <c r="K25" s="15" cm="1">
        <f t="array" ref="K25">+HLOOKUP($A$1,+[3]İcmal!$B$19:$AG$49,ROW(B23)+1,FALSE)</f>
        <v>0</v>
      </c>
      <c r="L25" s="15" cm="1">
        <f t="array" ref="L25">+HLOOKUP($A$1,+[4]İcmal!$B$19:$AG$49,ROW(C23)+1,FALSE)</f>
        <v>0</v>
      </c>
      <c r="M25" s="15" cm="1">
        <f t="array" ref="M25">+HLOOKUP($A$1,+[5]İcmal!$B$19:$AG$49,ROW(D23)+1,FALSE)</f>
        <v>0</v>
      </c>
      <c r="N25" s="15" cm="1">
        <f t="array" ref="N25">+HLOOKUP($A$1,+[6]İcmal!$B$19:$AG$49,ROW(E23)+1,FALSE)</f>
        <v>0</v>
      </c>
      <c r="O25" s="15" cm="1">
        <f t="array" ref="O25">+HLOOKUP($A$1,+[7]İcmal!$B$19:$AG$49,ROW(F23)+1,FALSE)</f>
        <v>0</v>
      </c>
      <c r="P25" s="15" cm="1">
        <f t="array" ref="P25">+HLOOKUP($A$1,+[8]İcmal!$B$19:$AG$49,ROW(G23)+1,FALSE)</f>
        <v>0</v>
      </c>
      <c r="Q25" s="15" cm="1">
        <f t="array" ref="Q25">+HLOOKUP($A$1,+[9]İcmal!$B$19:$AG$49,ROW(H23)+1,FALSE)</f>
        <v>0</v>
      </c>
      <c r="R25" s="15" cm="1">
        <f t="array" ref="R25">+HLOOKUP($A$1,+[10]İcmal!$B$19:$AG$49,ROW(I23)+1,FALSE)</f>
        <v>0</v>
      </c>
      <c r="S25" s="15" cm="1">
        <f t="array" ref="S25">+HLOOKUP($A$1,+[11]İcmal!$B$19:$AG$49,ROW(J23)+1,FALSE)</f>
        <v>0</v>
      </c>
      <c r="T25" s="15" cm="1">
        <f t="array" ref="T25">+HLOOKUP($A$1,+[12]İcmal!$B$19:$AG$49,ROW(K23)+1,FALSE)</f>
        <v>0</v>
      </c>
      <c r="U25" s="15" cm="1">
        <f t="array" ref="U25">+HLOOKUP($A$1,+[13]İcmal!$B$19:$AG$49,ROW(L23)+1,FALSE)</f>
        <v>0</v>
      </c>
      <c r="V25" s="15" cm="1">
        <f t="array" ref="V25">+HLOOKUP($A$1,+[14]İcmal!$B$19:$AG$49,ROW(M23)+1,FALSE)</f>
        <v>0</v>
      </c>
      <c r="W25" s="15" cm="1">
        <f t="array" ref="W25">+HLOOKUP($A$1,+[15]İcmal!$B$19:$AG$49,ROW(N23)+1,FALSE)</f>
        <v>0</v>
      </c>
      <c r="X25" s="15" cm="1">
        <f t="array" ref="X25">+HLOOKUP($A$1,+[16]İcmal!$B$19:$AG$49,ROW(O23)+1,FALSE)</f>
        <v>0</v>
      </c>
      <c r="Y25" s="15" cm="1">
        <f t="array" ref="Y25">+HLOOKUP($A$1,+[17]İcmal!$B$19:$AG$49,ROW(P23)+1,FALSE)</f>
        <v>0</v>
      </c>
      <c r="Z25" s="15" cm="1">
        <f t="array" ref="Z25">+HLOOKUP($A$1,+[18]İcmal!$B$19:$AG$49,ROW(Q23)+1,FALSE)</f>
        <v>0</v>
      </c>
      <c r="AA25" s="15" cm="1">
        <f t="array" ref="AA25">+HLOOKUP($A$1,+[19]İcmal!$B$19:$AG$49,ROW(R23)+1,FALSE)</f>
        <v>0</v>
      </c>
      <c r="AB25" s="15" cm="1">
        <f t="array" ref="AB25">+HLOOKUP($A$1,+[20]İcmal!$B$19:$AG$49,ROW(S23)+1,FALSE)</f>
        <v>0</v>
      </c>
      <c r="AC25" s="15" cm="1">
        <f t="array" ref="AC25">+HLOOKUP($A$1,+[21]İcmal!$B$19:$AG$49,ROW(T23)+1,FALSE)</f>
        <v>0</v>
      </c>
      <c r="AD25" s="15" cm="1">
        <f t="array" ref="AD25">+HLOOKUP($A$1,+[22]İcmal!$B$19:$AG$49,ROW(U23)+1,FALSE)</f>
        <v>0</v>
      </c>
      <c r="AE25" s="15" cm="1">
        <f t="array" ref="AE25">+HLOOKUP($A$1,+[23]İcmal!$B$19:$AG$49,ROW(V23)+1,FALSE)</f>
        <v>0</v>
      </c>
      <c r="AF25" s="15" cm="1">
        <f t="array" ref="AF25">+HLOOKUP($A$1,+[24]İcmal!$B$19:$AG$49,ROW(W23)+1,FALSE)</f>
        <v>0</v>
      </c>
      <c r="AG25" s="15" cm="1">
        <f t="array" ref="AG25">+HLOOKUP($A$1,+[25]İcmal!$B$19:$AG$49,ROW(X23)+1,FALSE)</f>
        <v>0</v>
      </c>
      <c r="AH25" s="15" cm="1">
        <f t="array" ref="AH25">+HLOOKUP($A$1,+[26]İcmal!$B$19:$AG$49,ROW(Y23)+1,FALSE)</f>
        <v>0</v>
      </c>
      <c r="AI25" s="15" cm="1">
        <f t="array" ref="AI25">+HLOOKUP($A$1,+[27]İcmal!$B$19:$AG$49,ROW(Z23)+1,FALSE)</f>
        <v>0</v>
      </c>
      <c r="AJ25" s="15" cm="1">
        <f t="array" ref="AJ25">+HLOOKUP($A$1,+[28]İcmal!$B$19:$AG$49,ROW(AA23)+1,FALSE)</f>
        <v>0</v>
      </c>
      <c r="AK25" s="15" cm="1">
        <f t="array" ref="AK25">+HLOOKUP($A$1,+[29]İcmal!$B$19:$AG$49,ROW(AB23)+1,FALSE)</f>
        <v>0</v>
      </c>
      <c r="AL25" s="15"/>
      <c r="AM25" s="15"/>
      <c r="AN25" s="15"/>
      <c r="AO25" s="15"/>
      <c r="AP25" s="15"/>
      <c r="AQ25" s="15"/>
      <c r="AR25" s="15"/>
      <c r="AS25" s="15"/>
      <c r="AT25" s="13"/>
    </row>
    <row r="26" spans="1:46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+HLOOKUP($A$1,+[2]İcmal!$B$19:$AG$49,ROW(A24)+1,FALSE)</f>
        <v>0</v>
      </c>
      <c r="K26" s="15" cm="1">
        <f t="array" ref="K26">+HLOOKUP($A$1,+[3]İcmal!$B$19:$AG$49,ROW(B24)+1,FALSE)</f>
        <v>0</v>
      </c>
      <c r="L26" s="15" cm="1">
        <f t="array" ref="L26">+HLOOKUP($A$1,+[4]İcmal!$B$19:$AG$49,ROW(C24)+1,FALSE)</f>
        <v>0</v>
      </c>
      <c r="M26" s="15" cm="1">
        <f t="array" ref="M26">+HLOOKUP($A$1,+[5]İcmal!$B$19:$AG$49,ROW(D24)+1,FALSE)</f>
        <v>0</v>
      </c>
      <c r="N26" s="15" cm="1">
        <f t="array" ref="N26">+HLOOKUP($A$1,+[6]İcmal!$B$19:$AG$49,ROW(E24)+1,FALSE)</f>
        <v>0</v>
      </c>
      <c r="O26" s="15" cm="1">
        <f t="array" ref="O26">+HLOOKUP($A$1,+[7]İcmal!$B$19:$AG$49,ROW(F24)+1,FALSE)</f>
        <v>0</v>
      </c>
      <c r="P26" s="15" cm="1">
        <f t="array" ref="P26">+HLOOKUP($A$1,+[8]İcmal!$B$19:$AG$49,ROW(G24)+1,FALSE)</f>
        <v>0</v>
      </c>
      <c r="Q26" s="15" cm="1">
        <f t="array" ref="Q26">+HLOOKUP($A$1,+[9]İcmal!$B$19:$AG$49,ROW(H24)+1,FALSE)</f>
        <v>0</v>
      </c>
      <c r="R26" s="15" cm="1">
        <f t="array" ref="R26">+HLOOKUP($A$1,+[10]İcmal!$B$19:$AG$49,ROW(I24)+1,FALSE)</f>
        <v>0</v>
      </c>
      <c r="S26" s="15" cm="1">
        <f t="array" ref="S26">+HLOOKUP($A$1,+[11]İcmal!$B$19:$AG$49,ROW(J24)+1,FALSE)</f>
        <v>0</v>
      </c>
      <c r="T26" s="15" cm="1">
        <f t="array" ref="T26">+HLOOKUP($A$1,+[12]İcmal!$B$19:$AG$49,ROW(K24)+1,FALSE)</f>
        <v>0</v>
      </c>
      <c r="U26" s="15" cm="1">
        <f t="array" ref="U26">+HLOOKUP($A$1,+[13]İcmal!$B$19:$AG$49,ROW(L24)+1,FALSE)</f>
        <v>0</v>
      </c>
      <c r="V26" s="15" cm="1">
        <f t="array" ref="V26">+HLOOKUP($A$1,+[14]İcmal!$B$19:$AG$49,ROW(M24)+1,FALSE)</f>
        <v>0</v>
      </c>
      <c r="W26" s="15" cm="1">
        <f t="array" ref="W26">+HLOOKUP($A$1,+[15]İcmal!$B$19:$AG$49,ROW(N24)+1,FALSE)</f>
        <v>0</v>
      </c>
      <c r="X26" s="15" cm="1">
        <f t="array" ref="X26">+HLOOKUP($A$1,+[16]İcmal!$B$19:$AG$49,ROW(O24)+1,FALSE)</f>
        <v>0</v>
      </c>
      <c r="Y26" s="15" cm="1">
        <f t="array" ref="Y26">+HLOOKUP($A$1,+[17]İcmal!$B$19:$AG$49,ROW(P24)+1,FALSE)</f>
        <v>0</v>
      </c>
      <c r="Z26" s="15" cm="1">
        <f t="array" ref="Z26">+HLOOKUP($A$1,+[18]İcmal!$B$19:$AG$49,ROW(Q24)+1,FALSE)</f>
        <v>0</v>
      </c>
      <c r="AA26" s="15" cm="1">
        <f t="array" ref="AA26">+HLOOKUP($A$1,+[19]İcmal!$B$19:$AG$49,ROW(R24)+1,FALSE)</f>
        <v>0</v>
      </c>
      <c r="AB26" s="15" cm="1">
        <f t="array" ref="AB26">+HLOOKUP($A$1,+[20]İcmal!$B$19:$AG$49,ROW(S24)+1,FALSE)</f>
        <v>0</v>
      </c>
      <c r="AC26" s="15" cm="1">
        <f t="array" ref="AC26">+HLOOKUP($A$1,+[21]İcmal!$B$19:$AG$49,ROW(T24)+1,FALSE)</f>
        <v>0</v>
      </c>
      <c r="AD26" s="15" cm="1">
        <f t="array" ref="AD26">+HLOOKUP($A$1,+[22]İcmal!$B$19:$AG$49,ROW(U24)+1,FALSE)</f>
        <v>0</v>
      </c>
      <c r="AE26" s="15" cm="1">
        <f t="array" ref="AE26">+HLOOKUP($A$1,+[23]İcmal!$B$19:$AG$49,ROW(V24)+1,FALSE)</f>
        <v>0</v>
      </c>
      <c r="AF26" s="15" cm="1">
        <f t="array" ref="AF26">+HLOOKUP($A$1,+[24]İcmal!$B$19:$AG$49,ROW(W24)+1,FALSE)</f>
        <v>0</v>
      </c>
      <c r="AG26" s="15" cm="1">
        <f t="array" ref="AG26">+HLOOKUP($A$1,+[25]İcmal!$B$19:$AG$49,ROW(X24)+1,FALSE)</f>
        <v>0</v>
      </c>
      <c r="AH26" s="15" cm="1">
        <f t="array" ref="AH26">+HLOOKUP($A$1,+[26]İcmal!$B$19:$AG$49,ROW(Y24)+1,FALSE)</f>
        <v>0</v>
      </c>
      <c r="AI26" s="15" cm="1">
        <f t="array" ref="AI26">+HLOOKUP($A$1,+[27]İcmal!$B$19:$AG$49,ROW(Z24)+1,FALSE)</f>
        <v>0</v>
      </c>
      <c r="AJ26" s="15" cm="1">
        <f t="array" ref="AJ26">+HLOOKUP($A$1,+[28]İcmal!$B$19:$AG$49,ROW(AA24)+1,FALSE)</f>
        <v>0</v>
      </c>
      <c r="AK26" s="15" cm="1">
        <f t="array" ref="AK26">+HLOOKUP($A$1,+[29]İcmal!$B$19:$AG$49,ROW(AB24)+1,FALSE)</f>
        <v>0</v>
      </c>
      <c r="AL26" s="15"/>
      <c r="AM26" s="15"/>
      <c r="AN26" s="15"/>
      <c r="AO26" s="15"/>
      <c r="AP26" s="15"/>
      <c r="AQ26" s="15"/>
      <c r="AR26" s="15"/>
      <c r="AS26" s="15"/>
      <c r="AT26" s="13"/>
    </row>
    <row r="27" spans="1:46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+HLOOKUP($A$1,+[2]İcmal!$B$19:$AG$49,ROW(A25)+1,FALSE)</f>
        <v>0</v>
      </c>
      <c r="K27" s="15" cm="1">
        <f t="array" ref="K27">+HLOOKUP($A$1,+[3]İcmal!$B$19:$AG$49,ROW(B25)+1,FALSE)</f>
        <v>0</v>
      </c>
      <c r="L27" s="15" cm="1">
        <f t="array" ref="L27">+HLOOKUP($A$1,+[4]İcmal!$B$19:$AG$49,ROW(C25)+1,FALSE)</f>
        <v>0</v>
      </c>
      <c r="M27" s="15" cm="1">
        <f t="array" ref="M27">+HLOOKUP($A$1,+[5]İcmal!$B$19:$AG$49,ROW(D25)+1,FALSE)</f>
        <v>0</v>
      </c>
      <c r="N27" s="15" cm="1">
        <f t="array" ref="N27">+HLOOKUP($A$1,+[6]İcmal!$B$19:$AG$49,ROW(E25)+1,FALSE)</f>
        <v>0</v>
      </c>
      <c r="O27" s="15" cm="1">
        <f t="array" ref="O27">+HLOOKUP($A$1,+[7]İcmal!$B$19:$AG$49,ROW(F25)+1,FALSE)</f>
        <v>0</v>
      </c>
      <c r="P27" s="15" cm="1">
        <f t="array" ref="P27">+HLOOKUP($A$1,+[8]İcmal!$B$19:$AG$49,ROW(G25)+1,FALSE)</f>
        <v>0</v>
      </c>
      <c r="Q27" s="15" cm="1">
        <f t="array" ref="Q27">+HLOOKUP($A$1,+[9]İcmal!$B$19:$AG$49,ROW(H25)+1,FALSE)</f>
        <v>0</v>
      </c>
      <c r="R27" s="15" cm="1">
        <f t="array" ref="R27">+HLOOKUP($A$1,+[10]İcmal!$B$19:$AG$49,ROW(I25)+1,FALSE)</f>
        <v>0</v>
      </c>
      <c r="S27" s="15" cm="1">
        <f t="array" ref="S27">+HLOOKUP($A$1,+[11]İcmal!$B$19:$AG$49,ROW(J25)+1,FALSE)</f>
        <v>0</v>
      </c>
      <c r="T27" s="15" cm="1">
        <f t="array" ref="T27">+HLOOKUP($A$1,+[12]İcmal!$B$19:$AG$49,ROW(K25)+1,FALSE)</f>
        <v>0</v>
      </c>
      <c r="U27" s="15" cm="1">
        <f t="array" ref="U27">+HLOOKUP($A$1,+[13]İcmal!$B$19:$AG$49,ROW(L25)+1,FALSE)</f>
        <v>0</v>
      </c>
      <c r="V27" s="15" cm="1">
        <f t="array" ref="V27">+HLOOKUP($A$1,+[14]İcmal!$B$19:$AG$49,ROW(M25)+1,FALSE)</f>
        <v>0</v>
      </c>
      <c r="W27" s="15" cm="1">
        <f t="array" ref="W27">+HLOOKUP($A$1,+[15]İcmal!$B$19:$AG$49,ROW(N25)+1,FALSE)</f>
        <v>0</v>
      </c>
      <c r="X27" s="15" cm="1">
        <f t="array" ref="X27">+HLOOKUP($A$1,+[16]İcmal!$B$19:$AG$49,ROW(O25)+1,FALSE)</f>
        <v>0</v>
      </c>
      <c r="Y27" s="15" cm="1">
        <f t="array" ref="Y27">+HLOOKUP($A$1,+[17]İcmal!$B$19:$AG$49,ROW(P25)+1,FALSE)</f>
        <v>0</v>
      </c>
      <c r="Z27" s="15" cm="1">
        <f t="array" ref="Z27">+HLOOKUP($A$1,+[18]İcmal!$B$19:$AG$49,ROW(Q25)+1,FALSE)</f>
        <v>0</v>
      </c>
      <c r="AA27" s="15" cm="1">
        <f t="array" ref="AA27">+HLOOKUP($A$1,+[19]İcmal!$B$19:$AG$49,ROW(R25)+1,FALSE)</f>
        <v>0</v>
      </c>
      <c r="AB27" s="15" cm="1">
        <f t="array" ref="AB27">+HLOOKUP($A$1,+[20]İcmal!$B$19:$AG$49,ROW(S25)+1,FALSE)</f>
        <v>0</v>
      </c>
      <c r="AC27" s="15" cm="1">
        <f t="array" ref="AC27">+HLOOKUP($A$1,+[21]İcmal!$B$19:$AG$49,ROW(T25)+1,FALSE)</f>
        <v>0</v>
      </c>
      <c r="AD27" s="15" cm="1">
        <f t="array" ref="AD27">+HLOOKUP($A$1,+[22]İcmal!$B$19:$AG$49,ROW(U25)+1,FALSE)</f>
        <v>0</v>
      </c>
      <c r="AE27" s="15" cm="1">
        <f t="array" ref="AE27">+HLOOKUP($A$1,+[23]İcmal!$B$19:$AG$49,ROW(V25)+1,FALSE)</f>
        <v>0</v>
      </c>
      <c r="AF27" s="15" cm="1">
        <f t="array" ref="AF27">+HLOOKUP($A$1,+[24]İcmal!$B$19:$AG$49,ROW(W25)+1,FALSE)</f>
        <v>0</v>
      </c>
      <c r="AG27" s="15" cm="1">
        <f t="array" ref="AG27">+HLOOKUP($A$1,+[25]İcmal!$B$19:$AG$49,ROW(X25)+1,FALSE)</f>
        <v>0</v>
      </c>
      <c r="AH27" s="15" cm="1">
        <f t="array" ref="AH27">+HLOOKUP($A$1,+[26]İcmal!$B$19:$AG$49,ROW(Y25)+1,FALSE)</f>
        <v>0</v>
      </c>
      <c r="AI27" s="15" cm="1">
        <f t="array" ref="AI27">+HLOOKUP($A$1,+[27]İcmal!$B$19:$AG$49,ROW(Z25)+1,FALSE)</f>
        <v>0</v>
      </c>
      <c r="AJ27" s="15" cm="1">
        <f t="array" ref="AJ27">+HLOOKUP($A$1,+[28]İcmal!$B$19:$AG$49,ROW(AA25)+1,FALSE)</f>
        <v>0</v>
      </c>
      <c r="AK27" s="15" cm="1">
        <f t="array" ref="AK27">+HLOOKUP($A$1,+[29]İcmal!$B$19:$AG$49,ROW(AB25)+1,FALSE)</f>
        <v>0</v>
      </c>
      <c r="AL27" s="15"/>
      <c r="AM27" s="15"/>
      <c r="AN27" s="15"/>
      <c r="AO27" s="15"/>
      <c r="AP27" s="15"/>
      <c r="AQ27" s="15"/>
      <c r="AR27" s="15"/>
      <c r="AS27" s="15"/>
      <c r="AT27" s="13"/>
    </row>
    <row r="28" spans="1:46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12.000999999999999</v>
      </c>
      <c r="I28" s="9">
        <f t="shared" si="2"/>
        <v>555046.25</v>
      </c>
      <c r="J28" s="15" cm="1">
        <f t="array" ref="J28">+HLOOKUP($A$1,+[2]İcmal!$B$19:$AG$49,ROW(A26)+1,FALSE)</f>
        <v>2.1279999999999997</v>
      </c>
      <c r="K28" s="15" cm="1">
        <f t="array" ref="K28">+HLOOKUP($A$1,+[3]İcmal!$B$19:$AG$49,ROW(B26)+1,FALSE)</f>
        <v>1.5119999999999996</v>
      </c>
      <c r="L28" s="15" cm="1">
        <f t="array" ref="L28">+HLOOKUP($A$1,+[4]İcmal!$B$19:$AG$49,ROW(C26)+1,FALSE)</f>
        <v>0</v>
      </c>
      <c r="M28" s="15" cm="1">
        <f t="array" ref="M28">+HLOOKUP($A$1,+[5]İcmal!$B$19:$AG$49,ROW(D26)+1,FALSE)</f>
        <v>0</v>
      </c>
      <c r="N28" s="15" cm="1">
        <f t="array" ref="N28">+HLOOKUP($A$1,+[6]İcmal!$B$19:$AG$49,ROW(E26)+1,FALSE)</f>
        <v>2.8530000000000002</v>
      </c>
      <c r="O28" s="15" cm="1">
        <f t="array" ref="O28">+HLOOKUP($A$1,+[7]İcmal!$B$19:$AG$49,ROW(F26)+1,FALSE)</f>
        <v>0.57300000000000006</v>
      </c>
      <c r="P28" s="15" cm="1">
        <f t="array" ref="P28">+HLOOKUP($A$1,+[8]İcmal!$B$19:$AG$49,ROW(G26)+1,FALSE)</f>
        <v>0</v>
      </c>
      <c r="Q28" s="15" cm="1">
        <f t="array" ref="Q28">+HLOOKUP($A$1,+[9]İcmal!$B$19:$AG$49,ROW(H26)+1,FALSE)</f>
        <v>0</v>
      </c>
      <c r="R28" s="15" cm="1">
        <f t="array" ref="R28">+HLOOKUP($A$1,+[10]İcmal!$B$19:$AG$49,ROW(I26)+1,FALSE)</f>
        <v>1.7429999999999999</v>
      </c>
      <c r="S28" s="15" cm="1">
        <f t="array" ref="S28">+HLOOKUP($A$1,+[11]İcmal!$B$19:$AG$49,ROW(J26)+1,FALSE)</f>
        <v>0</v>
      </c>
      <c r="T28" s="15" cm="1">
        <f t="array" ref="T28">+HLOOKUP($A$1,+[12]İcmal!$B$19:$AG$49,ROW(K26)+1,FALSE)</f>
        <v>0</v>
      </c>
      <c r="U28" s="15" cm="1">
        <f t="array" ref="U28">+HLOOKUP($A$1,+[13]İcmal!$B$19:$AG$49,ROW(L26)+1,FALSE)</f>
        <v>0</v>
      </c>
      <c r="V28" s="15" cm="1">
        <f t="array" ref="V28">+HLOOKUP($A$1,+[14]İcmal!$B$19:$AG$49,ROW(M26)+1,FALSE)</f>
        <v>1.452</v>
      </c>
      <c r="W28" s="15" cm="1">
        <f t="array" ref="W28">+HLOOKUP($A$1,+[15]İcmal!$B$19:$AG$49,ROW(N26)+1,FALSE)</f>
        <v>1.7399999999999998</v>
      </c>
      <c r="X28" s="15" cm="1">
        <f t="array" ref="X28">+HLOOKUP($A$1,+[16]İcmal!$B$19:$AG$49,ROW(O26)+1,FALSE)</f>
        <v>0</v>
      </c>
      <c r="Y28" s="15" cm="1">
        <f t="array" ref="Y28">+HLOOKUP($A$1,+[17]İcmal!$B$19:$AG$49,ROW(P26)+1,FALSE)</f>
        <v>0</v>
      </c>
      <c r="Z28" s="15" cm="1">
        <f t="array" ref="Z28">+HLOOKUP($A$1,+[18]İcmal!$B$19:$AG$49,ROW(Q26)+1,FALSE)</f>
        <v>0</v>
      </c>
      <c r="AA28" s="15" cm="1">
        <f t="array" ref="AA28">+HLOOKUP($A$1,+[19]İcmal!$B$19:$AG$49,ROW(R26)+1,FALSE)</f>
        <v>0</v>
      </c>
      <c r="AB28" s="15" cm="1">
        <f t="array" ref="AB28">+HLOOKUP($A$1,+[20]İcmal!$B$19:$AG$49,ROW(S26)+1,FALSE)</f>
        <v>0</v>
      </c>
      <c r="AC28" s="15" cm="1">
        <f t="array" ref="AC28">+HLOOKUP($A$1,+[21]İcmal!$B$19:$AG$49,ROW(T26)+1,FALSE)</f>
        <v>0</v>
      </c>
      <c r="AD28" s="15" cm="1">
        <f t="array" ref="AD28">+HLOOKUP($A$1,+[22]İcmal!$B$19:$AG$49,ROW(U26)+1,FALSE)</f>
        <v>0</v>
      </c>
      <c r="AE28" s="15" cm="1">
        <f t="array" ref="AE28">+HLOOKUP($A$1,+[23]İcmal!$B$19:$AG$49,ROW(V26)+1,FALSE)</f>
        <v>0</v>
      </c>
      <c r="AF28" s="15" cm="1">
        <f t="array" ref="AF28">+HLOOKUP($A$1,+[24]İcmal!$B$19:$AG$49,ROW(W26)+1,FALSE)</f>
        <v>0</v>
      </c>
      <c r="AG28" s="15" cm="1">
        <f t="array" ref="AG28">+HLOOKUP($A$1,+[25]İcmal!$B$19:$AG$49,ROW(X26)+1,FALSE)</f>
        <v>0</v>
      </c>
      <c r="AH28" s="15" cm="1">
        <f t="array" ref="AH28">+HLOOKUP($A$1,+[26]İcmal!$B$19:$AG$49,ROW(Y26)+1,FALSE)</f>
        <v>0</v>
      </c>
      <c r="AI28" s="15" cm="1">
        <f t="array" ref="AI28">+HLOOKUP($A$1,+[27]İcmal!$B$19:$AG$49,ROW(Z26)+1,FALSE)</f>
        <v>0</v>
      </c>
      <c r="AJ28" s="15" cm="1">
        <f t="array" ref="AJ28">+HLOOKUP($A$1,+[28]İcmal!$B$19:$AG$49,ROW(AA26)+1,FALSE)</f>
        <v>0</v>
      </c>
      <c r="AK28" s="15" cm="1">
        <f t="array" ref="AK28">+HLOOKUP($A$1,+[29]İcmal!$B$19:$AG$49,ROW(AB26)+1,FALSE)</f>
        <v>0</v>
      </c>
      <c r="AL28" s="15"/>
      <c r="AM28" s="15"/>
      <c r="AN28" s="15"/>
      <c r="AO28" s="15"/>
      <c r="AP28" s="15"/>
      <c r="AQ28" s="15"/>
      <c r="AR28" s="15"/>
      <c r="AS28" s="15"/>
      <c r="AT28" s="13"/>
    </row>
    <row r="29" spans="1:46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+HLOOKUP($A$1,+[2]İcmal!$B$19:$AG$49,ROW(A27)+1,FALSE)</f>
        <v>0</v>
      </c>
      <c r="K29" s="15" cm="1">
        <f t="array" ref="K29">+HLOOKUP($A$1,+[3]İcmal!$B$19:$AG$49,ROW(B27)+1,FALSE)</f>
        <v>0</v>
      </c>
      <c r="L29" s="15" cm="1">
        <f t="array" ref="L29">+HLOOKUP($A$1,+[4]İcmal!$B$19:$AG$49,ROW(C27)+1,FALSE)</f>
        <v>0</v>
      </c>
      <c r="M29" s="15" cm="1">
        <f t="array" ref="M29">+HLOOKUP($A$1,+[5]İcmal!$B$19:$AG$49,ROW(D27)+1,FALSE)</f>
        <v>0</v>
      </c>
      <c r="N29" s="15" cm="1">
        <f t="array" ref="N29">+HLOOKUP($A$1,+[6]İcmal!$B$19:$AG$49,ROW(E27)+1,FALSE)</f>
        <v>0</v>
      </c>
      <c r="O29" s="15" cm="1">
        <f t="array" ref="O29">+HLOOKUP($A$1,+[7]İcmal!$B$19:$AG$49,ROW(F27)+1,FALSE)</f>
        <v>0</v>
      </c>
      <c r="P29" s="15" cm="1">
        <f t="array" ref="P29">+HLOOKUP($A$1,+[8]İcmal!$B$19:$AG$49,ROW(G27)+1,FALSE)</f>
        <v>0</v>
      </c>
      <c r="Q29" s="15" cm="1">
        <f t="array" ref="Q29">+HLOOKUP($A$1,+[9]İcmal!$B$19:$AG$49,ROW(H27)+1,FALSE)</f>
        <v>0</v>
      </c>
      <c r="R29" s="15" cm="1">
        <f t="array" ref="R29">+HLOOKUP($A$1,+[10]İcmal!$B$19:$AG$49,ROW(I27)+1,FALSE)</f>
        <v>0</v>
      </c>
      <c r="S29" s="15" cm="1">
        <f t="array" ref="S29">+HLOOKUP($A$1,+[11]İcmal!$B$19:$AG$49,ROW(J27)+1,FALSE)</f>
        <v>0</v>
      </c>
      <c r="T29" s="15" cm="1">
        <f t="array" ref="T29">+HLOOKUP($A$1,+[12]İcmal!$B$19:$AG$49,ROW(K27)+1,FALSE)</f>
        <v>0</v>
      </c>
      <c r="U29" s="15" cm="1">
        <f t="array" ref="U29">+HLOOKUP($A$1,+[13]İcmal!$B$19:$AG$49,ROW(L27)+1,FALSE)</f>
        <v>0</v>
      </c>
      <c r="V29" s="15" cm="1">
        <f t="array" ref="V29">+HLOOKUP($A$1,+[14]İcmal!$B$19:$AG$49,ROW(M27)+1,FALSE)</f>
        <v>0</v>
      </c>
      <c r="W29" s="15" cm="1">
        <f t="array" ref="W29">+HLOOKUP($A$1,+[15]İcmal!$B$19:$AG$49,ROW(N27)+1,FALSE)</f>
        <v>0</v>
      </c>
      <c r="X29" s="15" cm="1">
        <f t="array" ref="X29">+HLOOKUP($A$1,+[16]İcmal!$B$19:$AG$49,ROW(O27)+1,FALSE)</f>
        <v>0</v>
      </c>
      <c r="Y29" s="15" cm="1">
        <f t="array" ref="Y29">+HLOOKUP($A$1,+[17]İcmal!$B$19:$AG$49,ROW(P27)+1,FALSE)</f>
        <v>0</v>
      </c>
      <c r="Z29" s="15" cm="1">
        <f t="array" ref="Z29">+HLOOKUP($A$1,+[18]İcmal!$B$19:$AG$49,ROW(Q27)+1,FALSE)</f>
        <v>0</v>
      </c>
      <c r="AA29" s="15" cm="1">
        <f t="array" ref="AA29">+HLOOKUP($A$1,+[19]İcmal!$B$19:$AG$49,ROW(R27)+1,FALSE)</f>
        <v>0</v>
      </c>
      <c r="AB29" s="15" cm="1">
        <f t="array" ref="AB29">+HLOOKUP($A$1,+[20]İcmal!$B$19:$AG$49,ROW(S27)+1,FALSE)</f>
        <v>0</v>
      </c>
      <c r="AC29" s="15" cm="1">
        <f t="array" ref="AC29">+HLOOKUP($A$1,+[21]İcmal!$B$19:$AG$49,ROW(T27)+1,FALSE)</f>
        <v>0</v>
      </c>
      <c r="AD29" s="15" cm="1">
        <f t="array" ref="AD29">+HLOOKUP($A$1,+[22]İcmal!$B$19:$AG$49,ROW(U27)+1,FALSE)</f>
        <v>0</v>
      </c>
      <c r="AE29" s="15" cm="1">
        <f t="array" ref="AE29">+HLOOKUP($A$1,+[23]İcmal!$B$19:$AG$49,ROW(V27)+1,FALSE)</f>
        <v>0</v>
      </c>
      <c r="AF29" s="15" cm="1">
        <f t="array" ref="AF29">+HLOOKUP($A$1,+[24]İcmal!$B$19:$AG$49,ROW(W27)+1,FALSE)</f>
        <v>0</v>
      </c>
      <c r="AG29" s="15" cm="1">
        <f t="array" ref="AG29">+HLOOKUP($A$1,+[25]İcmal!$B$19:$AG$49,ROW(X27)+1,FALSE)</f>
        <v>0</v>
      </c>
      <c r="AH29" s="15" cm="1">
        <f t="array" ref="AH29">+HLOOKUP($A$1,+[26]İcmal!$B$19:$AG$49,ROW(Y27)+1,FALSE)</f>
        <v>0</v>
      </c>
      <c r="AI29" s="15" cm="1">
        <f t="array" ref="AI29">+HLOOKUP($A$1,+[27]İcmal!$B$19:$AG$49,ROW(Z27)+1,FALSE)</f>
        <v>0</v>
      </c>
      <c r="AJ29" s="15" cm="1">
        <f t="array" ref="AJ29">+HLOOKUP($A$1,+[28]İcmal!$B$19:$AG$49,ROW(AA27)+1,FALSE)</f>
        <v>0</v>
      </c>
      <c r="AK29" s="15" cm="1">
        <f t="array" ref="AK29">+HLOOKUP($A$1,+[29]İcmal!$B$19:$AG$49,ROW(AB27)+1,FALSE)</f>
        <v>0</v>
      </c>
      <c r="AL29" s="15"/>
      <c r="AM29" s="15"/>
      <c r="AN29" s="15"/>
      <c r="AO29" s="15"/>
      <c r="AP29" s="15"/>
      <c r="AQ29" s="15"/>
      <c r="AR29" s="15"/>
      <c r="AS29" s="15"/>
      <c r="AT29" s="13"/>
    </row>
    <row r="30" spans="1:46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61.304999999999993</v>
      </c>
      <c r="I30" s="9">
        <f t="shared" si="2"/>
        <v>5966999.5649999995</v>
      </c>
      <c r="J30" s="15" cm="1">
        <f t="array" ref="J30">+HLOOKUP($A$1,+[2]İcmal!$B$19:$AG$49,ROW(A28)+1,FALSE)</f>
        <v>10.246</v>
      </c>
      <c r="K30" s="15" cm="1">
        <f t="array" ref="K30">+HLOOKUP($A$1,+[3]İcmal!$B$19:$AG$49,ROW(B28)+1,FALSE)</f>
        <v>9.2160000000000011</v>
      </c>
      <c r="L30" s="15" cm="1">
        <f t="array" ref="L30">+HLOOKUP($A$1,+[4]İcmal!$B$19:$AG$49,ROW(C28)+1,FALSE)</f>
        <v>0</v>
      </c>
      <c r="M30" s="15" cm="1">
        <f t="array" ref="M30">+HLOOKUP($A$1,+[5]İcmal!$B$19:$AG$49,ROW(D28)+1,FALSE)</f>
        <v>0</v>
      </c>
      <c r="N30" s="15" cm="1">
        <f t="array" ref="N30">+HLOOKUP($A$1,+[6]İcmal!$B$19:$AG$49,ROW(E28)+1,FALSE)</f>
        <v>13.586999999999998</v>
      </c>
      <c r="O30" s="15" cm="1">
        <f t="array" ref="O30">+HLOOKUP($A$1,+[7]İcmal!$B$19:$AG$49,ROW(F28)+1,FALSE)</f>
        <v>2.9739999999999998</v>
      </c>
      <c r="P30" s="15" cm="1">
        <f t="array" ref="P30">+HLOOKUP($A$1,+[8]İcmal!$B$19:$AG$49,ROW(G28)+1,FALSE)</f>
        <v>0</v>
      </c>
      <c r="Q30" s="15" cm="1">
        <f t="array" ref="Q30">+HLOOKUP($A$1,+[9]İcmal!$B$19:$AG$49,ROW(H28)+1,FALSE)</f>
        <v>0</v>
      </c>
      <c r="R30" s="15" cm="1">
        <f t="array" ref="R30">+HLOOKUP($A$1,+[10]İcmal!$B$19:$AG$49,ROW(I28)+1,FALSE)</f>
        <v>7.6959999999999997</v>
      </c>
      <c r="S30" s="15" cm="1">
        <f t="array" ref="S30">+HLOOKUP($A$1,+[11]İcmal!$B$19:$AG$49,ROW(J28)+1,FALSE)</f>
        <v>0</v>
      </c>
      <c r="T30" s="15" cm="1">
        <f t="array" ref="T30">+HLOOKUP($A$1,+[12]İcmal!$B$19:$AG$49,ROW(K28)+1,FALSE)</f>
        <v>0</v>
      </c>
      <c r="U30" s="15" cm="1">
        <f t="array" ref="U30">+HLOOKUP($A$1,+[13]İcmal!$B$19:$AG$49,ROW(L28)+1,FALSE)</f>
        <v>0</v>
      </c>
      <c r="V30" s="15" cm="1">
        <f t="array" ref="V30">+HLOOKUP($A$1,+[14]İcmal!$B$19:$AG$49,ROW(M28)+1,FALSE)</f>
        <v>7.0109999999999992</v>
      </c>
      <c r="W30" s="15" cm="1">
        <f t="array" ref="W30">+HLOOKUP($A$1,+[15]İcmal!$B$19:$AG$49,ROW(N28)+1,FALSE)</f>
        <v>10.575000000000001</v>
      </c>
      <c r="X30" s="15" cm="1">
        <f t="array" ref="X30">+HLOOKUP($A$1,+[16]İcmal!$B$19:$AG$49,ROW(O28)+1,FALSE)</f>
        <v>0</v>
      </c>
      <c r="Y30" s="15" cm="1">
        <f t="array" ref="Y30">+HLOOKUP($A$1,+[17]İcmal!$B$19:$AG$49,ROW(P28)+1,FALSE)</f>
        <v>0</v>
      </c>
      <c r="Z30" s="15" cm="1">
        <f t="array" ref="Z30">+HLOOKUP($A$1,+[18]İcmal!$B$19:$AG$49,ROW(Q28)+1,FALSE)</f>
        <v>0</v>
      </c>
      <c r="AA30" s="15" cm="1">
        <f t="array" ref="AA30">+HLOOKUP($A$1,+[19]İcmal!$B$19:$AG$49,ROW(R28)+1,FALSE)</f>
        <v>0</v>
      </c>
      <c r="AB30" s="15" cm="1">
        <f t="array" ref="AB30">+HLOOKUP($A$1,+[20]İcmal!$B$19:$AG$49,ROW(S28)+1,FALSE)</f>
        <v>0</v>
      </c>
      <c r="AC30" s="15" cm="1">
        <f t="array" ref="AC30">+HLOOKUP($A$1,+[21]İcmal!$B$19:$AG$49,ROW(T28)+1,FALSE)</f>
        <v>0</v>
      </c>
      <c r="AD30" s="15" cm="1">
        <f t="array" ref="AD30">+HLOOKUP($A$1,+[22]İcmal!$B$19:$AG$49,ROW(U28)+1,FALSE)</f>
        <v>0</v>
      </c>
      <c r="AE30" s="15" cm="1">
        <f t="array" ref="AE30">+HLOOKUP($A$1,+[23]İcmal!$B$19:$AG$49,ROW(V28)+1,FALSE)</f>
        <v>0</v>
      </c>
      <c r="AF30" s="15" cm="1">
        <f t="array" ref="AF30">+HLOOKUP($A$1,+[24]İcmal!$B$19:$AG$49,ROW(W28)+1,FALSE)</f>
        <v>0</v>
      </c>
      <c r="AG30" s="15" cm="1">
        <f t="array" ref="AG30">+HLOOKUP($A$1,+[25]İcmal!$B$19:$AG$49,ROW(X28)+1,FALSE)</f>
        <v>0</v>
      </c>
      <c r="AH30" s="15" cm="1">
        <f t="array" ref="AH30">+HLOOKUP($A$1,+[26]İcmal!$B$19:$AG$49,ROW(Y28)+1,FALSE)</f>
        <v>0</v>
      </c>
      <c r="AI30" s="15" cm="1">
        <f t="array" ref="AI30">+HLOOKUP($A$1,+[27]İcmal!$B$19:$AG$49,ROW(Z28)+1,FALSE)</f>
        <v>0</v>
      </c>
      <c r="AJ30" s="15" cm="1">
        <f t="array" ref="AJ30">+HLOOKUP($A$1,+[28]İcmal!$B$19:$AG$49,ROW(AA28)+1,FALSE)</f>
        <v>0</v>
      </c>
      <c r="AK30" s="15" cm="1">
        <f t="array" ref="AK30">+HLOOKUP($A$1,+[29]İcmal!$B$19:$AG$49,ROW(AB28)+1,FALSE)</f>
        <v>0</v>
      </c>
      <c r="AL30" s="15"/>
      <c r="AM30" s="15"/>
      <c r="AN30" s="15"/>
      <c r="AO30" s="15"/>
      <c r="AP30" s="15"/>
      <c r="AQ30" s="15"/>
      <c r="AR30" s="15"/>
      <c r="AS30" s="15"/>
      <c r="AT30" s="13"/>
    </row>
    <row r="31" spans="1:46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+HLOOKUP($A$1,+[2]İcmal!$B$19:$AG$49,ROW(A29)+1,FALSE)</f>
        <v>0</v>
      </c>
      <c r="K31" s="15" cm="1">
        <f t="array" ref="K31">+HLOOKUP($A$1,+[3]İcmal!$B$19:$AG$49,ROW(B29)+1,FALSE)</f>
        <v>0</v>
      </c>
      <c r="L31" s="15" cm="1">
        <f t="array" ref="L31">+HLOOKUP($A$1,+[4]İcmal!$B$19:$AG$49,ROW(C29)+1,FALSE)</f>
        <v>0</v>
      </c>
      <c r="M31" s="15" cm="1">
        <f t="array" ref="M31">+HLOOKUP($A$1,+[5]İcmal!$B$19:$AG$49,ROW(D29)+1,FALSE)</f>
        <v>0</v>
      </c>
      <c r="N31" s="15" cm="1">
        <f t="array" ref="N31">+HLOOKUP($A$1,+[6]İcmal!$B$19:$AG$49,ROW(E29)+1,FALSE)</f>
        <v>0</v>
      </c>
      <c r="O31" s="15" cm="1">
        <f t="array" ref="O31">+HLOOKUP($A$1,+[7]İcmal!$B$19:$AG$49,ROW(F29)+1,FALSE)</f>
        <v>0</v>
      </c>
      <c r="P31" s="15" cm="1">
        <f t="array" ref="P31">+HLOOKUP($A$1,+[8]İcmal!$B$19:$AG$49,ROW(G29)+1,FALSE)</f>
        <v>0</v>
      </c>
      <c r="Q31" s="15" cm="1">
        <f t="array" ref="Q31">+HLOOKUP($A$1,+[9]İcmal!$B$19:$AG$49,ROW(H29)+1,FALSE)</f>
        <v>0</v>
      </c>
      <c r="R31" s="15" cm="1">
        <f t="array" ref="R31">+HLOOKUP($A$1,+[10]İcmal!$B$19:$AG$49,ROW(I29)+1,FALSE)</f>
        <v>0</v>
      </c>
      <c r="S31" s="15" cm="1">
        <f t="array" ref="S31">+HLOOKUP($A$1,+[11]İcmal!$B$19:$AG$49,ROW(J29)+1,FALSE)</f>
        <v>0</v>
      </c>
      <c r="T31" s="15" cm="1">
        <f t="array" ref="T31">+HLOOKUP($A$1,+[12]İcmal!$B$19:$AG$49,ROW(K29)+1,FALSE)</f>
        <v>0</v>
      </c>
      <c r="U31" s="15" cm="1">
        <f t="array" ref="U31">+HLOOKUP($A$1,+[13]İcmal!$B$19:$AG$49,ROW(L29)+1,FALSE)</f>
        <v>0</v>
      </c>
      <c r="V31" s="15" cm="1">
        <f t="array" ref="V31">+HLOOKUP($A$1,+[14]İcmal!$B$19:$AG$49,ROW(M29)+1,FALSE)</f>
        <v>0</v>
      </c>
      <c r="W31" s="15" cm="1">
        <f t="array" ref="W31">+HLOOKUP($A$1,+[15]İcmal!$B$19:$AG$49,ROW(N29)+1,FALSE)</f>
        <v>0</v>
      </c>
      <c r="X31" s="15" cm="1">
        <f t="array" ref="X31">+HLOOKUP($A$1,+[16]İcmal!$B$19:$AG$49,ROW(O29)+1,FALSE)</f>
        <v>0</v>
      </c>
      <c r="Y31" s="15" cm="1">
        <f t="array" ref="Y31">+HLOOKUP($A$1,+[17]İcmal!$B$19:$AG$49,ROW(P29)+1,FALSE)</f>
        <v>0</v>
      </c>
      <c r="Z31" s="15" cm="1">
        <f t="array" ref="Z31">+HLOOKUP($A$1,+[18]İcmal!$B$19:$AG$49,ROW(Q29)+1,FALSE)</f>
        <v>0</v>
      </c>
      <c r="AA31" s="15" cm="1">
        <f t="array" ref="AA31">+HLOOKUP($A$1,+[19]İcmal!$B$19:$AG$49,ROW(R29)+1,FALSE)</f>
        <v>0</v>
      </c>
      <c r="AB31" s="15" cm="1">
        <f t="array" ref="AB31">+HLOOKUP($A$1,+[20]İcmal!$B$19:$AG$49,ROW(S29)+1,FALSE)</f>
        <v>0</v>
      </c>
      <c r="AC31" s="15" cm="1">
        <f t="array" ref="AC31">+HLOOKUP($A$1,+[21]İcmal!$B$19:$AG$49,ROW(T29)+1,FALSE)</f>
        <v>0</v>
      </c>
      <c r="AD31" s="15" cm="1">
        <f t="array" ref="AD31">+HLOOKUP($A$1,+[22]İcmal!$B$19:$AG$49,ROW(U29)+1,FALSE)</f>
        <v>0</v>
      </c>
      <c r="AE31" s="15" cm="1">
        <f t="array" ref="AE31">+HLOOKUP($A$1,+[23]İcmal!$B$19:$AG$49,ROW(V29)+1,FALSE)</f>
        <v>0</v>
      </c>
      <c r="AF31" s="15" cm="1">
        <f t="array" ref="AF31">+HLOOKUP($A$1,+[24]İcmal!$B$19:$AG$49,ROW(W29)+1,FALSE)</f>
        <v>0</v>
      </c>
      <c r="AG31" s="15" cm="1">
        <f t="array" ref="AG31">+HLOOKUP($A$1,+[25]İcmal!$B$19:$AG$49,ROW(X29)+1,FALSE)</f>
        <v>0</v>
      </c>
      <c r="AH31" s="15" cm="1">
        <f t="array" ref="AH31">+HLOOKUP($A$1,+[26]İcmal!$B$19:$AG$49,ROW(Y29)+1,FALSE)</f>
        <v>0</v>
      </c>
      <c r="AI31" s="15" cm="1">
        <f t="array" ref="AI31">+HLOOKUP($A$1,+[27]İcmal!$B$19:$AG$49,ROW(Z29)+1,FALSE)</f>
        <v>0</v>
      </c>
      <c r="AJ31" s="15" cm="1">
        <f t="array" ref="AJ31">+HLOOKUP($A$1,+[28]İcmal!$B$19:$AG$49,ROW(AA29)+1,FALSE)</f>
        <v>0</v>
      </c>
      <c r="AK31" s="15" cm="1">
        <f t="array" ref="AK31">+HLOOKUP($A$1,+[29]İcmal!$B$19:$AG$49,ROW(AB29)+1,FALSE)</f>
        <v>0</v>
      </c>
      <c r="AL31" s="15"/>
      <c r="AM31" s="15"/>
      <c r="AN31" s="15"/>
      <c r="AO31" s="15"/>
      <c r="AP31" s="15"/>
      <c r="AQ31" s="15"/>
      <c r="AR31" s="15"/>
      <c r="AS31" s="15"/>
      <c r="AT31" s="13"/>
    </row>
    <row r="32" spans="1:46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+HLOOKUP($A$1,+[2]İcmal!$B$19:$AG$49,ROW(A30)+1,FALSE)</f>
        <v>0</v>
      </c>
      <c r="K32" s="15" cm="1">
        <f t="array" ref="K32">+HLOOKUP($A$1,+[3]İcmal!$B$19:$AG$49,ROW(B30)+1,FALSE)</f>
        <v>0</v>
      </c>
      <c r="L32" s="15" cm="1">
        <f t="array" ref="L32">+HLOOKUP($A$1,+[4]İcmal!$B$19:$AG$49,ROW(C30)+1,FALSE)</f>
        <v>0</v>
      </c>
      <c r="M32" s="15" cm="1">
        <f t="array" ref="M32">+HLOOKUP($A$1,+[5]İcmal!$B$19:$AG$49,ROW(D30)+1,FALSE)</f>
        <v>0</v>
      </c>
      <c r="N32" s="15" cm="1">
        <f t="array" ref="N32">+HLOOKUP($A$1,+[6]İcmal!$B$19:$AG$49,ROW(E30)+1,FALSE)</f>
        <v>0</v>
      </c>
      <c r="O32" s="15" cm="1">
        <f t="array" ref="O32">+HLOOKUP($A$1,+[7]İcmal!$B$19:$AG$49,ROW(F30)+1,FALSE)</f>
        <v>0</v>
      </c>
      <c r="P32" s="15" cm="1">
        <f t="array" ref="P32">+HLOOKUP($A$1,+[8]İcmal!$B$19:$AG$49,ROW(G30)+1,FALSE)</f>
        <v>0</v>
      </c>
      <c r="Q32" s="15" cm="1">
        <f t="array" ref="Q32">+HLOOKUP($A$1,+[9]İcmal!$B$19:$AG$49,ROW(H30)+1,FALSE)</f>
        <v>0</v>
      </c>
      <c r="R32" s="15" cm="1">
        <f t="array" ref="R32">+HLOOKUP($A$1,+[10]İcmal!$B$19:$AG$49,ROW(I30)+1,FALSE)</f>
        <v>0</v>
      </c>
      <c r="S32" s="15" cm="1">
        <f t="array" ref="S32">+HLOOKUP($A$1,+[11]İcmal!$B$19:$AG$49,ROW(J30)+1,FALSE)</f>
        <v>0</v>
      </c>
      <c r="T32" s="15" cm="1">
        <f t="array" ref="T32">+HLOOKUP($A$1,+[12]İcmal!$B$19:$AG$49,ROW(K30)+1,FALSE)</f>
        <v>0</v>
      </c>
      <c r="U32" s="15" cm="1">
        <f t="array" ref="U32">+HLOOKUP($A$1,+[13]İcmal!$B$19:$AG$49,ROW(L30)+1,FALSE)</f>
        <v>0</v>
      </c>
      <c r="V32" s="15" cm="1">
        <f t="array" ref="V32">+HLOOKUP($A$1,+[14]İcmal!$B$19:$AG$49,ROW(M30)+1,FALSE)</f>
        <v>0</v>
      </c>
      <c r="W32" s="15" cm="1">
        <f t="array" ref="W32">+HLOOKUP($A$1,+[15]İcmal!$B$19:$AG$49,ROW(N30)+1,FALSE)</f>
        <v>0</v>
      </c>
      <c r="X32" s="15" cm="1">
        <f t="array" ref="X32">+HLOOKUP($A$1,+[16]İcmal!$B$19:$AG$49,ROW(O30)+1,FALSE)</f>
        <v>0</v>
      </c>
      <c r="Y32" s="15" cm="1">
        <f t="array" ref="Y32">+HLOOKUP($A$1,+[17]İcmal!$B$19:$AG$49,ROW(P30)+1,FALSE)</f>
        <v>0</v>
      </c>
      <c r="Z32" s="15" cm="1">
        <f t="array" ref="Z32">+HLOOKUP($A$1,+[18]İcmal!$B$19:$AG$49,ROW(Q30)+1,FALSE)</f>
        <v>0</v>
      </c>
      <c r="AA32" s="15" cm="1">
        <f t="array" ref="AA32">+HLOOKUP($A$1,+[19]İcmal!$B$19:$AG$49,ROW(R30)+1,FALSE)</f>
        <v>0</v>
      </c>
      <c r="AB32" s="15" cm="1">
        <f t="array" ref="AB32">+HLOOKUP($A$1,+[20]İcmal!$B$19:$AG$49,ROW(S30)+1,FALSE)</f>
        <v>0</v>
      </c>
      <c r="AC32" s="15" cm="1">
        <f t="array" ref="AC32">+HLOOKUP($A$1,+[21]İcmal!$B$19:$AG$49,ROW(T30)+1,FALSE)</f>
        <v>0</v>
      </c>
      <c r="AD32" s="15" cm="1">
        <f t="array" ref="AD32">+HLOOKUP($A$1,+[22]İcmal!$B$19:$AG$49,ROW(U30)+1,FALSE)</f>
        <v>0</v>
      </c>
      <c r="AE32" s="15" cm="1">
        <f t="array" ref="AE32">+HLOOKUP($A$1,+[23]İcmal!$B$19:$AG$49,ROW(V30)+1,FALSE)</f>
        <v>0</v>
      </c>
      <c r="AF32" s="15" cm="1">
        <f t="array" ref="AF32">+HLOOKUP($A$1,+[24]İcmal!$B$19:$AG$49,ROW(W30)+1,FALSE)</f>
        <v>0</v>
      </c>
      <c r="AG32" s="15" cm="1">
        <f t="array" ref="AG32">+HLOOKUP($A$1,+[25]İcmal!$B$19:$AG$49,ROW(X30)+1,FALSE)</f>
        <v>0</v>
      </c>
      <c r="AH32" s="15" cm="1">
        <f t="array" ref="AH32">+HLOOKUP($A$1,+[26]İcmal!$B$19:$AG$49,ROW(Y30)+1,FALSE)</f>
        <v>0</v>
      </c>
      <c r="AI32" s="15" cm="1">
        <f t="array" ref="AI32">+HLOOKUP($A$1,+[27]İcmal!$B$19:$AG$49,ROW(Z30)+1,FALSE)</f>
        <v>0</v>
      </c>
      <c r="AJ32" s="15" cm="1">
        <f t="array" ref="AJ32">+HLOOKUP($A$1,+[28]İcmal!$B$19:$AG$49,ROW(AA30)+1,FALSE)</f>
        <v>0</v>
      </c>
      <c r="AK32" s="15" cm="1">
        <f t="array" ref="AK32">+HLOOKUP($A$1,+[29]İcmal!$B$19:$AG$49,ROW(AB30)+1,FALSE)</f>
        <v>0</v>
      </c>
      <c r="AL32" s="15"/>
      <c r="AM32" s="15"/>
      <c r="AN32" s="15"/>
      <c r="AO32" s="15"/>
      <c r="AP32" s="15"/>
      <c r="AQ32" s="15"/>
      <c r="AR32" s="15"/>
      <c r="AS32" s="15"/>
      <c r="AT32" s="14"/>
    </row>
    <row r="33" spans="7:45" x14ac:dyDescent="0.3">
      <c r="I33" s="16">
        <f>SUM(I3:I32)</f>
        <v>119036661.699</v>
      </c>
      <c r="J33" s="16">
        <f t="shared" ref="J33:AS33" si="3">+SUMPRODUCT(J3:J32,$F$3:$F$32)</f>
        <v>17050698.66</v>
      </c>
      <c r="K33" s="16">
        <f t="shared" si="3"/>
        <v>20785408.822999999</v>
      </c>
      <c r="L33" s="16">
        <f t="shared" si="3"/>
        <v>0</v>
      </c>
      <c r="M33" s="16">
        <f t="shared" si="3"/>
        <v>0</v>
      </c>
      <c r="N33" s="16">
        <f t="shared" si="3"/>
        <v>25508213.922000002</v>
      </c>
      <c r="O33" s="16">
        <f t="shared" si="3"/>
        <v>6755164.2779999999</v>
      </c>
      <c r="P33" s="16">
        <f t="shared" si="3"/>
        <v>0</v>
      </c>
      <c r="Q33" s="16">
        <f t="shared" si="3"/>
        <v>0</v>
      </c>
      <c r="R33" s="16">
        <f t="shared" si="3"/>
        <v>15244611.139</v>
      </c>
      <c r="S33" s="16">
        <f t="shared" si="3"/>
        <v>0</v>
      </c>
      <c r="T33" s="16">
        <f t="shared" si="3"/>
        <v>0</v>
      </c>
      <c r="U33" s="16">
        <f t="shared" si="3"/>
        <v>0</v>
      </c>
      <c r="V33" s="16">
        <f t="shared" si="3"/>
        <v>11364420.177000001</v>
      </c>
      <c r="W33" s="16">
        <f t="shared" si="3"/>
        <v>22328144.700000003</v>
      </c>
      <c r="X33" s="16">
        <f t="shared" si="3"/>
        <v>0</v>
      </c>
      <c r="Y33" s="16">
        <f t="shared" si="3"/>
        <v>0</v>
      </c>
      <c r="Z33" s="16">
        <f t="shared" si="3"/>
        <v>0</v>
      </c>
      <c r="AA33" s="16">
        <f t="shared" si="3"/>
        <v>0</v>
      </c>
      <c r="AB33" s="16">
        <f t="shared" si="3"/>
        <v>0</v>
      </c>
      <c r="AC33" s="16">
        <f t="shared" si="3"/>
        <v>0</v>
      </c>
      <c r="AD33" s="16">
        <f t="shared" si="3"/>
        <v>0</v>
      </c>
      <c r="AE33" s="16">
        <f t="shared" si="3"/>
        <v>0</v>
      </c>
      <c r="AF33" s="16">
        <f t="shared" si="3"/>
        <v>0</v>
      </c>
      <c r="AG33" s="16">
        <f t="shared" si="3"/>
        <v>0</v>
      </c>
      <c r="AH33" s="16">
        <f t="shared" si="3"/>
        <v>0</v>
      </c>
      <c r="AI33" s="16">
        <f t="shared" si="3"/>
        <v>0</v>
      </c>
      <c r="AJ33" s="16">
        <f t="shared" si="3"/>
        <v>0</v>
      </c>
      <c r="AK33" s="16">
        <f t="shared" si="3"/>
        <v>0</v>
      </c>
      <c r="AL33" s="16"/>
      <c r="AM33" s="16"/>
      <c r="AN33" s="16"/>
      <c r="AO33" s="16"/>
      <c r="AP33" s="16"/>
      <c r="AQ33" s="16"/>
      <c r="AR33" s="16"/>
      <c r="AS33" s="16">
        <f t="shared" si="3"/>
        <v>0</v>
      </c>
    </row>
    <row r="34" spans="7:45" x14ac:dyDescent="0.3">
      <c r="H34" s="52"/>
    </row>
    <row r="35" spans="7:45" x14ac:dyDescent="0.3">
      <c r="G35" s="16"/>
      <c r="H35" s="16"/>
      <c r="I35" s="16"/>
    </row>
    <row r="36" spans="7:45" x14ac:dyDescent="0.3">
      <c r="I36" s="16"/>
      <c r="K36" s="49"/>
      <c r="N36" s="49"/>
      <c r="O36" s="49"/>
      <c r="P36" s="49"/>
      <c r="Q36" s="49"/>
    </row>
    <row r="37" spans="7:45" x14ac:dyDescent="0.3"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7:45" x14ac:dyDescent="0.3">
      <c r="I38" s="16"/>
    </row>
    <row r="39" spans="7:45" x14ac:dyDescent="0.3">
      <c r="I39" s="16"/>
    </row>
    <row r="40" spans="7:45" x14ac:dyDescent="0.3">
      <c r="I40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55FC-42B8-480C-ADB4-34A5C4160603}">
  <sheetPr>
    <tabColor rgb="FFFF0000"/>
  </sheetPr>
  <dimension ref="A1:AT40"/>
  <sheetViews>
    <sheetView zoomScale="70" zoomScaleNormal="70" workbookViewId="0">
      <selection activeCell="A2" sqref="A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7" width="19.33203125" bestFit="1" customWidth="1"/>
    <col min="18" max="25" width="19.21875" bestFit="1" customWidth="1"/>
    <col min="26" max="26" width="46.77734375" bestFit="1" customWidth="1"/>
    <col min="27" max="27" width="48.88671875" bestFit="1" customWidth="1"/>
    <col min="28" max="28" width="57.109375" bestFit="1" customWidth="1"/>
    <col min="29" max="29" width="56.77734375" bestFit="1" customWidth="1"/>
    <col min="30" max="30" width="57.44140625" bestFit="1" customWidth="1"/>
    <col min="31" max="31" width="57" customWidth="1"/>
    <col min="32" max="32" width="57.109375" bestFit="1" customWidth="1"/>
    <col min="33" max="33" width="46.33203125" bestFit="1" customWidth="1"/>
    <col min="34" max="37" width="46.77734375" bestFit="1" customWidth="1"/>
    <col min="38" max="44" width="19.88671875" customWidth="1"/>
    <col min="45" max="45" width="19.5546875" bestFit="1" customWidth="1"/>
    <col min="46" max="46" width="2.21875" customWidth="1"/>
  </cols>
  <sheetData>
    <row r="1" spans="1:46" ht="15" thickBot="1" x14ac:dyDescent="0.35">
      <c r="A1" s="17" t="s">
        <v>77</v>
      </c>
    </row>
    <row r="2" spans="1:46" ht="27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54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3" t="s">
        <v>126</v>
      </c>
      <c r="AG2" s="3" t="s">
        <v>143</v>
      </c>
      <c r="AH2" s="3" t="s">
        <v>144</v>
      </c>
      <c r="AI2" s="3" t="s">
        <v>138</v>
      </c>
      <c r="AJ2" s="3" t="s">
        <v>125</v>
      </c>
      <c r="AK2" s="3" t="s">
        <v>133</v>
      </c>
      <c r="AL2" s="3"/>
      <c r="AM2" s="3"/>
      <c r="AN2" s="3"/>
      <c r="AO2" s="3"/>
      <c r="AP2" s="3"/>
      <c r="AQ2" s="3"/>
      <c r="AR2" s="3"/>
      <c r="AS2" s="3"/>
      <c r="AT2" s="12"/>
    </row>
    <row r="3" spans="1:46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SUM(J3:AT3)</f>
        <v>3418.4089999999997</v>
      </c>
      <c r="I3" s="9">
        <f>+F3*H3</f>
        <v>17348425.674999997</v>
      </c>
      <c r="J3" s="15" cm="1">
        <f t="array" ref="J3">+HLOOKUP($A$1,+[2]İcmal!$B$19:$AG$49,ROW(A1)+1,FALSE)</f>
        <v>804.50199999999984</v>
      </c>
      <c r="K3" s="15" cm="1">
        <f t="array" ref="K3">+HLOOKUP($A$1,+[3]İcmal!$B$19:$AG$49,ROW(B1)+1,FALSE)</f>
        <v>745.279</v>
      </c>
      <c r="L3" s="15" cm="1">
        <f t="array" ref="L3">+HLOOKUP($A$1,+[4]İcmal!$B$19:$AG$49,ROW(C1)+1,FALSE)</f>
        <v>0</v>
      </c>
      <c r="M3" s="15" cm="1">
        <f t="array" ref="M3">+HLOOKUP($A$1,+[5]İcmal!$B$19:$AG$49,ROW(D1)+1,FALSE)</f>
        <v>0</v>
      </c>
      <c r="N3" s="15" cm="1">
        <f t="array" ref="N3">+HLOOKUP($A$1,+[6]İcmal!$B$19:$AG$49,ROW(E1)+1,FALSE)</f>
        <v>336.59400000000005</v>
      </c>
      <c r="O3" s="15" cm="1">
        <f t="array" ref="O3">+HLOOKUP($A$1,+[7]İcmal!$B$19:$AG$49,ROW(F1)+1,FALSE)</f>
        <v>0</v>
      </c>
      <c r="P3" s="15" cm="1">
        <f t="array" ref="P3">+HLOOKUP($A$1,+[8]İcmal!$B$19:$AG$49,ROW(G1)+1,FALSE)</f>
        <v>0</v>
      </c>
      <c r="Q3" s="15" cm="1">
        <f t="array" ref="Q3">+HLOOKUP($A$1,+[9]İcmal!$B$19:$AG$49,ROW(H1)+1,FALSE)</f>
        <v>0</v>
      </c>
      <c r="R3" s="15" cm="1">
        <f t="array" ref="R3">+HLOOKUP($A$1,+[10]İcmal!$B$19:$AG$49,ROW(I1)+1,FALSE)</f>
        <v>0</v>
      </c>
      <c r="S3" s="15" cm="1">
        <f t="array" ref="S3">+HLOOKUP($A$1,+[11]İcmal!$B$19:$AG$49,ROW(J1)+1,FALSE)</f>
        <v>0</v>
      </c>
      <c r="T3" s="15" cm="1">
        <f t="array" ref="T3">+HLOOKUP($A$1,+[12]İcmal!$B$19:$AG$49,ROW(K1)+1,FALSE)</f>
        <v>0</v>
      </c>
      <c r="U3" s="15" cm="1">
        <f t="array" ref="U3">+HLOOKUP($A$1,+[13]İcmal!$B$19:$AG$49,ROW(L1)+1,FALSE)</f>
        <v>0</v>
      </c>
      <c r="V3" s="15" cm="1">
        <f t="array" ref="V3">+HLOOKUP($A$1,+[14]İcmal!$B$19:$AG$49,ROW(M1)+1,FALSE)</f>
        <v>793.19999999999993</v>
      </c>
      <c r="W3" s="15" cm="1">
        <f t="array" ref="W3">+HLOOKUP($A$1,+[15]İcmal!$B$19:$AG$49,ROW(N1)+1,FALSE)</f>
        <v>738.83399999999995</v>
      </c>
      <c r="X3" s="15" cm="1">
        <f t="array" ref="X3">+HLOOKUP($A$1,+[16]İcmal!$B$19:$AG$49,ROW(O1)+1,FALSE)</f>
        <v>0</v>
      </c>
      <c r="Y3" s="15" cm="1">
        <f t="array" ref="Y3">+HLOOKUP($A$1,+[17]İcmal!$B$19:$AG$49,ROW(P1)+1,FALSE)</f>
        <v>0</v>
      </c>
      <c r="Z3" s="15" cm="1">
        <f t="array" ref="Z3">+HLOOKUP($A$1,+[18]İcmal!$B$19:$AG$49,ROW(Q1)+1,FALSE)</f>
        <v>0</v>
      </c>
      <c r="AA3" s="15" cm="1">
        <f t="array" ref="AA3">+HLOOKUP($A$1,+[19]İcmal!$B$19:$AG$49,ROW(R1)+1,FALSE)</f>
        <v>0</v>
      </c>
      <c r="AB3" s="15" cm="1">
        <f t="array" ref="AB3">+HLOOKUP($A$1,+[20]İcmal!$B$19:$AG$49,ROW(S1)+1,FALSE)</f>
        <v>0</v>
      </c>
      <c r="AC3" s="15" cm="1">
        <f t="array" ref="AC3">+HLOOKUP($A$1,+[21]İcmal!$B$19:$AG$49,ROW(T1)+1,FALSE)</f>
        <v>0</v>
      </c>
      <c r="AD3" s="15" cm="1">
        <f t="array" ref="AD3">+HLOOKUP($A$1,+[22]İcmal!$B$19:$AG$49,ROW(U1)+1,FALSE)</f>
        <v>0</v>
      </c>
      <c r="AE3" s="15" cm="1">
        <f t="array" ref="AE3">+HLOOKUP($A$1,+[23]İcmal!$B$19:$AG$49,ROW(V1)+1,FALSE)</f>
        <v>0</v>
      </c>
      <c r="AF3" s="15" cm="1">
        <f t="array" ref="AF3">+HLOOKUP($A$1,+[24]İcmal!$B$19:$AG$49,ROW(W1)+1,FALSE)</f>
        <v>0</v>
      </c>
      <c r="AG3" s="15" cm="1">
        <f t="array" ref="AG3">+HLOOKUP($A$1,+[25]İcmal!$B$19:$AG$49,ROW(X1)+1,FALSE)</f>
        <v>0</v>
      </c>
      <c r="AH3" s="15" cm="1">
        <f t="array" ref="AH3">+HLOOKUP($A$1,+[26]İcmal!$B$19:$AG$49,ROW(Y1)+1,FALSE)</f>
        <v>0</v>
      </c>
      <c r="AI3" s="15" cm="1">
        <f t="array" ref="AI3">+HLOOKUP($A$1,+[27]İcmal!$B$19:$AG$49,ROW(Z1)+1,FALSE)</f>
        <v>0</v>
      </c>
      <c r="AJ3" s="15" cm="1">
        <f t="array" ref="AJ3">+HLOOKUP($A$1,+[28]İcmal!$B$19:$AG$49,ROW(AA1)+1,FALSE)</f>
        <v>0</v>
      </c>
      <c r="AK3" s="15" cm="1">
        <f t="array" ref="AK3">+HLOOKUP($A$1,+[29]İcmal!$B$19:$AG$49,ROW(AB1)+1,FALSE)</f>
        <v>0</v>
      </c>
      <c r="AL3" s="15"/>
      <c r="AM3" s="15"/>
      <c r="AN3" s="15"/>
      <c r="AO3" s="15"/>
      <c r="AP3" s="15"/>
      <c r="AQ3" s="15"/>
      <c r="AR3" s="15"/>
      <c r="AS3" s="15"/>
      <c r="AT3" s="13"/>
    </row>
    <row r="4" spans="1:46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+HLOOKUP($A$1,+[2]İcmal!$B$19:$AG$49,ROW(A2)+1,FALSE)</f>
        <v>0</v>
      </c>
      <c r="K4" s="15" cm="1">
        <f t="array" ref="K4">+HLOOKUP($A$1,+[3]İcmal!$B$19:$AG$49,ROW(B2)+1,FALSE)</f>
        <v>0</v>
      </c>
      <c r="L4" s="15" cm="1">
        <f t="array" ref="L4">+HLOOKUP($A$1,+[4]İcmal!$B$19:$AG$49,ROW(C2)+1,FALSE)</f>
        <v>0</v>
      </c>
      <c r="M4" s="15" cm="1">
        <f t="array" ref="M4">+HLOOKUP($A$1,+[5]İcmal!$B$19:$AG$49,ROW(D2)+1,FALSE)</f>
        <v>0</v>
      </c>
      <c r="N4" s="15" cm="1">
        <f t="array" ref="N4">+HLOOKUP($A$1,+[6]İcmal!$B$19:$AG$49,ROW(E2)+1,FALSE)</f>
        <v>0</v>
      </c>
      <c r="O4" s="15" cm="1">
        <f t="array" ref="O4">+HLOOKUP($A$1,+[7]İcmal!$B$19:$AG$49,ROW(F2)+1,FALSE)</f>
        <v>0</v>
      </c>
      <c r="P4" s="15" cm="1">
        <f t="array" ref="P4">+HLOOKUP($A$1,+[8]İcmal!$B$19:$AG$49,ROW(G2)+1,FALSE)</f>
        <v>0</v>
      </c>
      <c r="Q4" s="15" cm="1">
        <f t="array" ref="Q4">+HLOOKUP($A$1,+[9]İcmal!$B$19:$AG$49,ROW(H2)+1,FALSE)</f>
        <v>0</v>
      </c>
      <c r="R4" s="15" cm="1">
        <f t="array" ref="R4">+HLOOKUP($A$1,+[10]İcmal!$B$19:$AG$49,ROW(I2)+1,FALSE)</f>
        <v>0</v>
      </c>
      <c r="S4" s="15" cm="1">
        <f t="array" ref="S4">+HLOOKUP($A$1,+[11]İcmal!$B$19:$AG$49,ROW(J2)+1,FALSE)</f>
        <v>0</v>
      </c>
      <c r="T4" s="15" cm="1">
        <f t="array" ref="T4">+HLOOKUP($A$1,+[12]İcmal!$B$19:$AG$49,ROW(K2)+1,FALSE)</f>
        <v>0</v>
      </c>
      <c r="U4" s="15" cm="1">
        <f t="array" ref="U4">+HLOOKUP($A$1,+[13]İcmal!$B$19:$AG$49,ROW(L2)+1,FALSE)</f>
        <v>0</v>
      </c>
      <c r="V4" s="15" cm="1">
        <f t="array" ref="V4">+HLOOKUP($A$1,+[14]İcmal!$B$19:$AG$49,ROW(M2)+1,FALSE)</f>
        <v>0</v>
      </c>
      <c r="W4" s="15" cm="1">
        <f t="array" ref="W4">+HLOOKUP($A$1,+[15]İcmal!$B$19:$AG$49,ROW(N2)+1,FALSE)</f>
        <v>0</v>
      </c>
      <c r="X4" s="15" cm="1">
        <f t="array" ref="X4">+HLOOKUP($A$1,+[16]İcmal!$B$19:$AG$49,ROW(O2)+1,FALSE)</f>
        <v>0</v>
      </c>
      <c r="Y4" s="15" cm="1">
        <f t="array" ref="Y4">+HLOOKUP($A$1,+[17]İcmal!$B$19:$AG$49,ROW(P2)+1,FALSE)</f>
        <v>0</v>
      </c>
      <c r="Z4" s="15" cm="1">
        <f t="array" ref="Z4">+HLOOKUP($A$1,+[18]İcmal!$B$19:$AG$49,ROW(Q2)+1,FALSE)</f>
        <v>0</v>
      </c>
      <c r="AA4" s="15" cm="1">
        <f t="array" ref="AA4">+HLOOKUP($A$1,+[19]İcmal!$B$19:$AG$49,ROW(R2)+1,FALSE)</f>
        <v>0</v>
      </c>
      <c r="AB4" s="15" cm="1">
        <f t="array" ref="AB4">+HLOOKUP($A$1,+[20]İcmal!$B$19:$AG$49,ROW(S2)+1,FALSE)</f>
        <v>0</v>
      </c>
      <c r="AC4" s="15" cm="1">
        <f t="array" ref="AC4">+HLOOKUP($A$1,+[21]İcmal!$B$19:$AG$49,ROW(T2)+1,FALSE)</f>
        <v>0</v>
      </c>
      <c r="AD4" s="15" cm="1">
        <f t="array" ref="AD4">+HLOOKUP($A$1,+[22]İcmal!$B$19:$AG$49,ROW(U2)+1,FALSE)</f>
        <v>0</v>
      </c>
      <c r="AE4" s="15" cm="1">
        <f t="array" ref="AE4">+HLOOKUP($A$1,+[23]İcmal!$B$19:$AG$49,ROW(V2)+1,FALSE)</f>
        <v>0</v>
      </c>
      <c r="AF4" s="15" cm="1">
        <f t="array" ref="AF4">+HLOOKUP($A$1,+[24]İcmal!$B$19:$AG$49,ROW(W2)+1,FALSE)</f>
        <v>0</v>
      </c>
      <c r="AG4" s="15" cm="1">
        <f t="array" ref="AG4">+HLOOKUP($A$1,+[25]İcmal!$B$19:$AG$49,ROW(X2)+1,FALSE)</f>
        <v>0</v>
      </c>
      <c r="AH4" s="15" cm="1">
        <f t="array" ref="AH4">+HLOOKUP($A$1,+[26]İcmal!$B$19:$AG$49,ROW(Y2)+1,FALSE)</f>
        <v>0</v>
      </c>
      <c r="AI4" s="15" cm="1">
        <f t="array" ref="AI4">+HLOOKUP($A$1,+[27]İcmal!$B$19:$AG$49,ROW(Z2)+1,FALSE)</f>
        <v>0</v>
      </c>
      <c r="AJ4" s="15" cm="1">
        <f t="array" ref="AJ4">+HLOOKUP($A$1,+[28]İcmal!$B$19:$AG$49,ROW(AA2)+1,FALSE)</f>
        <v>0</v>
      </c>
      <c r="AK4" s="15" cm="1">
        <f t="array" ref="AK4">+HLOOKUP($A$1,+[29]İcmal!$B$19:$AG$49,ROW(AB2)+1,FALSE)</f>
        <v>0</v>
      </c>
      <c r="AL4" s="15"/>
      <c r="AM4" s="15"/>
      <c r="AN4" s="15"/>
      <c r="AO4" s="15"/>
      <c r="AP4" s="15"/>
      <c r="AQ4" s="15"/>
      <c r="AR4" s="15"/>
      <c r="AS4" s="15"/>
      <c r="AT4" s="13"/>
    </row>
    <row r="5" spans="1:46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+HLOOKUP($A$1,+[2]İcmal!$B$19:$AG$49,ROW(A3)+1,FALSE)</f>
        <v>0</v>
      </c>
      <c r="K5" s="15" cm="1">
        <f t="array" ref="K5">+HLOOKUP($A$1,+[3]İcmal!$B$19:$AG$49,ROW(B3)+1,FALSE)</f>
        <v>0</v>
      </c>
      <c r="L5" s="15" cm="1">
        <f t="array" ref="L5">+HLOOKUP($A$1,+[4]İcmal!$B$19:$AG$49,ROW(C3)+1,FALSE)</f>
        <v>0</v>
      </c>
      <c r="M5" s="15" cm="1">
        <f t="array" ref="M5">+HLOOKUP($A$1,+[5]İcmal!$B$19:$AG$49,ROW(D3)+1,FALSE)</f>
        <v>0</v>
      </c>
      <c r="N5" s="15" cm="1">
        <f t="array" ref="N5">+HLOOKUP($A$1,+[6]İcmal!$B$19:$AG$49,ROW(E3)+1,FALSE)</f>
        <v>0</v>
      </c>
      <c r="O5" s="15" cm="1">
        <f t="array" ref="O5">+HLOOKUP($A$1,+[7]İcmal!$B$19:$AG$49,ROW(F3)+1,FALSE)</f>
        <v>0</v>
      </c>
      <c r="P5" s="15" cm="1">
        <f t="array" ref="P5">+HLOOKUP($A$1,+[8]İcmal!$B$19:$AG$49,ROW(G3)+1,FALSE)</f>
        <v>0</v>
      </c>
      <c r="Q5" s="15" cm="1">
        <f t="array" ref="Q5">+HLOOKUP($A$1,+[9]İcmal!$B$19:$AG$49,ROW(H3)+1,FALSE)</f>
        <v>0</v>
      </c>
      <c r="R5" s="15" cm="1">
        <f t="array" ref="R5">+HLOOKUP($A$1,+[10]İcmal!$B$19:$AG$49,ROW(I3)+1,FALSE)</f>
        <v>0</v>
      </c>
      <c r="S5" s="15" cm="1">
        <f t="array" ref="S5">+HLOOKUP($A$1,+[11]İcmal!$B$19:$AG$49,ROW(J3)+1,FALSE)</f>
        <v>0</v>
      </c>
      <c r="T5" s="15" cm="1">
        <f t="array" ref="T5">+HLOOKUP($A$1,+[12]İcmal!$B$19:$AG$49,ROW(K3)+1,FALSE)</f>
        <v>0</v>
      </c>
      <c r="U5" s="15" cm="1">
        <f t="array" ref="U5">+HLOOKUP($A$1,+[13]İcmal!$B$19:$AG$49,ROW(L3)+1,FALSE)</f>
        <v>0</v>
      </c>
      <c r="V5" s="15" cm="1">
        <f t="array" ref="V5">+HLOOKUP($A$1,+[14]İcmal!$B$19:$AG$49,ROW(M3)+1,FALSE)</f>
        <v>0</v>
      </c>
      <c r="W5" s="15" cm="1">
        <f t="array" ref="W5">+HLOOKUP($A$1,+[15]İcmal!$B$19:$AG$49,ROW(N3)+1,FALSE)</f>
        <v>0</v>
      </c>
      <c r="X5" s="15" cm="1">
        <f t="array" ref="X5">+HLOOKUP($A$1,+[16]İcmal!$B$19:$AG$49,ROW(O3)+1,FALSE)</f>
        <v>0</v>
      </c>
      <c r="Y5" s="15" cm="1">
        <f t="array" ref="Y5">+HLOOKUP($A$1,+[17]İcmal!$B$19:$AG$49,ROW(P3)+1,FALSE)</f>
        <v>0</v>
      </c>
      <c r="Z5" s="15" cm="1">
        <f t="array" ref="Z5">+HLOOKUP($A$1,+[18]İcmal!$B$19:$AG$49,ROW(Q3)+1,FALSE)</f>
        <v>0</v>
      </c>
      <c r="AA5" s="15" cm="1">
        <f t="array" ref="AA5">+HLOOKUP($A$1,+[19]İcmal!$B$19:$AG$49,ROW(R3)+1,FALSE)</f>
        <v>0</v>
      </c>
      <c r="AB5" s="15" cm="1">
        <f t="array" ref="AB5">+HLOOKUP($A$1,+[20]İcmal!$B$19:$AG$49,ROW(S3)+1,FALSE)</f>
        <v>0</v>
      </c>
      <c r="AC5" s="15" cm="1">
        <f t="array" ref="AC5">+HLOOKUP($A$1,+[21]İcmal!$B$19:$AG$49,ROW(T3)+1,FALSE)</f>
        <v>0</v>
      </c>
      <c r="AD5" s="15" cm="1">
        <f t="array" ref="AD5">+HLOOKUP($A$1,+[22]İcmal!$B$19:$AG$49,ROW(U3)+1,FALSE)</f>
        <v>0</v>
      </c>
      <c r="AE5" s="15" cm="1">
        <f t="array" ref="AE5">+HLOOKUP($A$1,+[23]İcmal!$B$19:$AG$49,ROW(V3)+1,FALSE)</f>
        <v>0</v>
      </c>
      <c r="AF5" s="15" cm="1">
        <f t="array" ref="AF5">+HLOOKUP($A$1,+[24]İcmal!$B$19:$AG$49,ROW(W3)+1,FALSE)</f>
        <v>0</v>
      </c>
      <c r="AG5" s="15" cm="1">
        <f t="array" ref="AG5">+HLOOKUP($A$1,+[25]İcmal!$B$19:$AG$49,ROW(X3)+1,FALSE)</f>
        <v>0</v>
      </c>
      <c r="AH5" s="15" cm="1">
        <f t="array" ref="AH5">+HLOOKUP($A$1,+[26]İcmal!$B$19:$AG$49,ROW(Y3)+1,FALSE)</f>
        <v>0</v>
      </c>
      <c r="AI5" s="15" cm="1">
        <f t="array" ref="AI5">+HLOOKUP($A$1,+[27]İcmal!$B$19:$AG$49,ROW(Z3)+1,FALSE)</f>
        <v>0</v>
      </c>
      <c r="AJ5" s="15" cm="1">
        <f t="array" ref="AJ5">+HLOOKUP($A$1,+[28]İcmal!$B$19:$AG$49,ROW(AA3)+1,FALSE)</f>
        <v>0</v>
      </c>
      <c r="AK5" s="15" cm="1">
        <f t="array" ref="AK5">+HLOOKUP($A$1,+[29]İcmal!$B$19:$AG$49,ROW(AB3)+1,FALSE)</f>
        <v>0</v>
      </c>
      <c r="AL5" s="15"/>
      <c r="AM5" s="15"/>
      <c r="AN5" s="15"/>
      <c r="AO5" s="15"/>
      <c r="AP5" s="15"/>
      <c r="AQ5" s="15"/>
      <c r="AR5" s="15"/>
      <c r="AS5" s="15"/>
      <c r="AT5" s="13"/>
    </row>
    <row r="6" spans="1:46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720.52200000000005</v>
      </c>
      <c r="I6" s="9">
        <f t="shared" si="2"/>
        <v>11048484.348000001</v>
      </c>
      <c r="J6" s="15" cm="1">
        <f t="array" ref="J6">+HLOOKUP($A$1,+[2]İcmal!$B$19:$AG$49,ROW(A4)+1,FALSE)</f>
        <v>184.86300000000003</v>
      </c>
      <c r="K6" s="15" cm="1">
        <f t="array" ref="K6">+HLOOKUP($A$1,+[3]İcmal!$B$19:$AG$49,ROW(B4)+1,FALSE)</f>
        <v>150.55499999999998</v>
      </c>
      <c r="L6" s="15" cm="1">
        <f t="array" ref="L6">+HLOOKUP($A$1,+[4]İcmal!$B$19:$AG$49,ROW(C4)+1,FALSE)</f>
        <v>0</v>
      </c>
      <c r="M6" s="15" cm="1">
        <f t="array" ref="M6">+HLOOKUP($A$1,+[5]İcmal!$B$19:$AG$49,ROW(D4)+1,FALSE)</f>
        <v>0</v>
      </c>
      <c r="N6" s="15" cm="1">
        <f t="array" ref="N6">+HLOOKUP($A$1,+[6]İcmal!$B$19:$AG$49,ROW(E4)+1,FALSE)</f>
        <v>67.432999999999993</v>
      </c>
      <c r="O6" s="15" cm="1">
        <f t="array" ref="O6">+HLOOKUP($A$1,+[7]İcmal!$B$19:$AG$49,ROW(F4)+1,FALSE)</f>
        <v>0</v>
      </c>
      <c r="P6" s="15" cm="1">
        <f t="array" ref="P6">+HLOOKUP($A$1,+[8]İcmal!$B$19:$AG$49,ROW(G4)+1,FALSE)</f>
        <v>0</v>
      </c>
      <c r="Q6" s="15" cm="1">
        <f t="array" ref="Q6">+HLOOKUP($A$1,+[9]İcmal!$B$19:$AG$49,ROW(H4)+1,FALSE)</f>
        <v>0</v>
      </c>
      <c r="R6" s="15" cm="1">
        <f t="array" ref="R6">+HLOOKUP($A$1,+[10]İcmal!$B$19:$AG$49,ROW(I4)+1,FALSE)</f>
        <v>0</v>
      </c>
      <c r="S6" s="15" cm="1">
        <f t="array" ref="S6">+HLOOKUP($A$1,+[11]İcmal!$B$19:$AG$49,ROW(J4)+1,FALSE)</f>
        <v>0</v>
      </c>
      <c r="T6" s="15" cm="1">
        <f t="array" ref="T6">+HLOOKUP($A$1,+[12]İcmal!$B$19:$AG$49,ROW(K4)+1,FALSE)</f>
        <v>0</v>
      </c>
      <c r="U6" s="15" cm="1">
        <f t="array" ref="U6">+HLOOKUP($A$1,+[13]İcmal!$B$19:$AG$49,ROW(L4)+1,FALSE)</f>
        <v>0</v>
      </c>
      <c r="V6" s="15" cm="1">
        <f t="array" ref="V6">+HLOOKUP($A$1,+[14]İcmal!$B$19:$AG$49,ROW(M4)+1,FALSE)</f>
        <v>173.56100000000004</v>
      </c>
      <c r="W6" s="15" cm="1">
        <f t="array" ref="W6">+HLOOKUP($A$1,+[15]İcmal!$B$19:$AG$49,ROW(N4)+1,FALSE)</f>
        <v>144.11000000000001</v>
      </c>
      <c r="X6" s="15" cm="1">
        <f t="array" ref="X6">+HLOOKUP($A$1,+[16]İcmal!$B$19:$AG$49,ROW(O4)+1,FALSE)</f>
        <v>0</v>
      </c>
      <c r="Y6" s="15" cm="1">
        <f t="array" ref="Y6">+HLOOKUP($A$1,+[17]İcmal!$B$19:$AG$49,ROW(P4)+1,FALSE)</f>
        <v>0</v>
      </c>
      <c r="Z6" s="15" cm="1">
        <f t="array" ref="Z6">+HLOOKUP($A$1,+[18]İcmal!$B$19:$AG$49,ROW(Q4)+1,FALSE)</f>
        <v>0</v>
      </c>
      <c r="AA6" s="15" cm="1">
        <f t="array" ref="AA6">+HLOOKUP($A$1,+[19]İcmal!$B$19:$AG$49,ROW(R4)+1,FALSE)</f>
        <v>0</v>
      </c>
      <c r="AB6" s="15" cm="1">
        <f t="array" ref="AB6">+HLOOKUP($A$1,+[20]İcmal!$B$19:$AG$49,ROW(S4)+1,FALSE)</f>
        <v>0</v>
      </c>
      <c r="AC6" s="15" cm="1">
        <f t="array" ref="AC6">+HLOOKUP($A$1,+[21]İcmal!$B$19:$AG$49,ROW(T4)+1,FALSE)</f>
        <v>0</v>
      </c>
      <c r="AD6" s="15" cm="1">
        <f t="array" ref="AD6">+HLOOKUP($A$1,+[22]İcmal!$B$19:$AG$49,ROW(U4)+1,FALSE)</f>
        <v>0</v>
      </c>
      <c r="AE6" s="15" cm="1">
        <f t="array" ref="AE6">+HLOOKUP($A$1,+[23]İcmal!$B$19:$AG$49,ROW(V4)+1,FALSE)</f>
        <v>0</v>
      </c>
      <c r="AF6" s="15" cm="1">
        <f t="array" ref="AF6">+HLOOKUP($A$1,+[24]İcmal!$B$19:$AG$49,ROW(W4)+1,FALSE)</f>
        <v>0</v>
      </c>
      <c r="AG6" s="15" cm="1">
        <f t="array" ref="AG6">+HLOOKUP($A$1,+[25]İcmal!$B$19:$AG$49,ROW(X4)+1,FALSE)</f>
        <v>0</v>
      </c>
      <c r="AH6" s="15" cm="1">
        <f t="array" ref="AH6">+HLOOKUP($A$1,+[26]İcmal!$B$19:$AG$49,ROW(Y4)+1,FALSE)</f>
        <v>0</v>
      </c>
      <c r="AI6" s="15" cm="1">
        <f t="array" ref="AI6">+HLOOKUP($A$1,+[27]İcmal!$B$19:$AG$49,ROW(Z4)+1,FALSE)</f>
        <v>0</v>
      </c>
      <c r="AJ6" s="15" cm="1">
        <f t="array" ref="AJ6">+HLOOKUP($A$1,+[28]İcmal!$B$19:$AG$49,ROW(AA4)+1,FALSE)</f>
        <v>0</v>
      </c>
      <c r="AK6" s="15" cm="1">
        <f t="array" ref="AK6">+HLOOKUP($A$1,+[29]İcmal!$B$19:$AG$49,ROW(AB4)+1,FALSE)</f>
        <v>0</v>
      </c>
      <c r="AL6" s="15"/>
      <c r="AM6" s="15"/>
      <c r="AN6" s="15"/>
      <c r="AO6" s="15"/>
      <c r="AP6" s="15"/>
      <c r="AQ6" s="15"/>
      <c r="AR6" s="15"/>
      <c r="AS6" s="15"/>
      <c r="AT6" s="13"/>
    </row>
    <row r="7" spans="1:46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+HLOOKUP($A$1,+[2]İcmal!$B$19:$AG$49,ROW(A5)+1,FALSE)</f>
        <v>0</v>
      </c>
      <c r="K7" s="15" cm="1">
        <f t="array" ref="K7">+HLOOKUP($A$1,+[3]İcmal!$B$19:$AG$49,ROW(B5)+1,FALSE)</f>
        <v>0</v>
      </c>
      <c r="L7" s="15" cm="1">
        <f t="array" ref="L7">+HLOOKUP($A$1,+[4]İcmal!$B$19:$AG$49,ROW(C5)+1,FALSE)</f>
        <v>0</v>
      </c>
      <c r="M7" s="15" cm="1">
        <f t="array" ref="M7">+HLOOKUP($A$1,+[5]İcmal!$B$19:$AG$49,ROW(D5)+1,FALSE)</f>
        <v>0</v>
      </c>
      <c r="N7" s="15" cm="1">
        <f t="array" ref="N7">+HLOOKUP($A$1,+[6]İcmal!$B$19:$AG$49,ROW(E5)+1,FALSE)</f>
        <v>0</v>
      </c>
      <c r="O7" s="15" cm="1">
        <f t="array" ref="O7">+HLOOKUP($A$1,+[7]İcmal!$B$19:$AG$49,ROW(F5)+1,FALSE)</f>
        <v>0</v>
      </c>
      <c r="P7" s="15" cm="1">
        <f t="array" ref="P7">+HLOOKUP($A$1,+[8]İcmal!$B$19:$AG$49,ROW(G5)+1,FALSE)</f>
        <v>0</v>
      </c>
      <c r="Q7" s="15" cm="1">
        <f t="array" ref="Q7">+HLOOKUP($A$1,+[9]İcmal!$B$19:$AG$49,ROW(H5)+1,FALSE)</f>
        <v>0</v>
      </c>
      <c r="R7" s="15" cm="1">
        <f t="array" ref="R7">+HLOOKUP($A$1,+[10]İcmal!$B$19:$AG$49,ROW(I5)+1,FALSE)</f>
        <v>0</v>
      </c>
      <c r="S7" s="15" cm="1">
        <f t="array" ref="S7">+HLOOKUP($A$1,+[11]İcmal!$B$19:$AG$49,ROW(J5)+1,FALSE)</f>
        <v>0</v>
      </c>
      <c r="T7" s="15" cm="1">
        <f t="array" ref="T7">+HLOOKUP($A$1,+[12]İcmal!$B$19:$AG$49,ROW(K5)+1,FALSE)</f>
        <v>0</v>
      </c>
      <c r="U7" s="15" cm="1">
        <f t="array" ref="U7">+HLOOKUP($A$1,+[13]İcmal!$B$19:$AG$49,ROW(L5)+1,FALSE)</f>
        <v>0</v>
      </c>
      <c r="V7" s="15" cm="1">
        <f t="array" ref="V7">+HLOOKUP($A$1,+[14]İcmal!$B$19:$AG$49,ROW(M5)+1,FALSE)</f>
        <v>0</v>
      </c>
      <c r="W7" s="15" cm="1">
        <f t="array" ref="W7">+HLOOKUP($A$1,+[15]İcmal!$B$19:$AG$49,ROW(N5)+1,FALSE)</f>
        <v>0</v>
      </c>
      <c r="X7" s="15" cm="1">
        <f t="array" ref="X7">+HLOOKUP($A$1,+[16]İcmal!$B$19:$AG$49,ROW(O5)+1,FALSE)</f>
        <v>0</v>
      </c>
      <c r="Y7" s="15" cm="1">
        <f t="array" ref="Y7">+HLOOKUP($A$1,+[17]İcmal!$B$19:$AG$49,ROW(P5)+1,FALSE)</f>
        <v>0</v>
      </c>
      <c r="Z7" s="15" cm="1">
        <f t="array" ref="Z7">+HLOOKUP($A$1,+[18]İcmal!$B$19:$AG$49,ROW(Q5)+1,FALSE)</f>
        <v>0</v>
      </c>
      <c r="AA7" s="15" cm="1">
        <f t="array" ref="AA7">+HLOOKUP($A$1,+[19]İcmal!$B$19:$AG$49,ROW(R5)+1,FALSE)</f>
        <v>0</v>
      </c>
      <c r="AB7" s="15" cm="1">
        <f t="array" ref="AB7">+HLOOKUP($A$1,+[20]İcmal!$B$19:$AG$49,ROW(S5)+1,FALSE)</f>
        <v>0</v>
      </c>
      <c r="AC7" s="15" cm="1">
        <f t="array" ref="AC7">+HLOOKUP($A$1,+[21]İcmal!$B$19:$AG$49,ROW(T5)+1,FALSE)</f>
        <v>0</v>
      </c>
      <c r="AD7" s="15" cm="1">
        <f t="array" ref="AD7">+HLOOKUP($A$1,+[22]İcmal!$B$19:$AG$49,ROW(U5)+1,FALSE)</f>
        <v>0</v>
      </c>
      <c r="AE7" s="15" cm="1">
        <f t="array" ref="AE7">+HLOOKUP($A$1,+[23]İcmal!$B$19:$AG$49,ROW(V5)+1,FALSE)</f>
        <v>0</v>
      </c>
      <c r="AF7" s="15" cm="1">
        <f t="array" ref="AF7">+HLOOKUP($A$1,+[24]İcmal!$B$19:$AG$49,ROW(W5)+1,FALSE)</f>
        <v>0</v>
      </c>
      <c r="AG7" s="15" cm="1">
        <f t="array" ref="AG7">+HLOOKUP($A$1,+[25]İcmal!$B$19:$AG$49,ROW(X5)+1,FALSE)</f>
        <v>0</v>
      </c>
      <c r="AH7" s="15" cm="1">
        <f t="array" ref="AH7">+HLOOKUP($A$1,+[26]İcmal!$B$19:$AG$49,ROW(Y5)+1,FALSE)</f>
        <v>0</v>
      </c>
      <c r="AI7" s="15" cm="1">
        <f t="array" ref="AI7">+HLOOKUP($A$1,+[27]İcmal!$B$19:$AG$49,ROW(Z5)+1,FALSE)</f>
        <v>0</v>
      </c>
      <c r="AJ7" s="15" cm="1">
        <f t="array" ref="AJ7">+HLOOKUP($A$1,+[28]İcmal!$B$19:$AG$49,ROW(AA5)+1,FALSE)</f>
        <v>0</v>
      </c>
      <c r="AK7" s="15" cm="1">
        <f t="array" ref="AK7">+HLOOKUP($A$1,+[29]İcmal!$B$19:$AG$49,ROW(AB5)+1,FALSE)</f>
        <v>0</v>
      </c>
      <c r="AL7" s="15"/>
      <c r="AM7" s="15"/>
      <c r="AN7" s="15"/>
      <c r="AO7" s="15"/>
      <c r="AP7" s="15"/>
      <c r="AQ7" s="15"/>
      <c r="AR7" s="15"/>
      <c r="AS7" s="15"/>
      <c r="AT7" s="13"/>
    </row>
    <row r="8" spans="1:46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+HLOOKUP($A$1,+[2]İcmal!$B$19:$AG$49,ROW(A6)+1,FALSE)</f>
        <v>0</v>
      </c>
      <c r="K8" s="15" cm="1">
        <f t="array" ref="K8">+HLOOKUP($A$1,+[3]İcmal!$B$19:$AG$49,ROW(B6)+1,FALSE)</f>
        <v>0</v>
      </c>
      <c r="L8" s="15" cm="1">
        <f t="array" ref="L8">+HLOOKUP($A$1,+[4]İcmal!$B$19:$AG$49,ROW(C6)+1,FALSE)</f>
        <v>0</v>
      </c>
      <c r="M8" s="15" cm="1">
        <f t="array" ref="M8">+HLOOKUP($A$1,+[5]İcmal!$B$19:$AG$49,ROW(D6)+1,FALSE)</f>
        <v>0</v>
      </c>
      <c r="N8" s="15" cm="1">
        <f t="array" ref="N8">+HLOOKUP($A$1,+[6]İcmal!$B$19:$AG$49,ROW(E6)+1,FALSE)</f>
        <v>0</v>
      </c>
      <c r="O8" s="15" cm="1">
        <f t="array" ref="O8">+HLOOKUP($A$1,+[7]İcmal!$B$19:$AG$49,ROW(F6)+1,FALSE)</f>
        <v>0</v>
      </c>
      <c r="P8" s="15" cm="1">
        <f t="array" ref="P8">+HLOOKUP($A$1,+[8]İcmal!$B$19:$AG$49,ROW(G6)+1,FALSE)</f>
        <v>0</v>
      </c>
      <c r="Q8" s="15" cm="1">
        <f t="array" ref="Q8">+HLOOKUP($A$1,+[9]İcmal!$B$19:$AG$49,ROW(H6)+1,FALSE)</f>
        <v>0</v>
      </c>
      <c r="R8" s="15" cm="1">
        <f t="array" ref="R8">+HLOOKUP($A$1,+[10]İcmal!$B$19:$AG$49,ROW(I6)+1,FALSE)</f>
        <v>0</v>
      </c>
      <c r="S8" s="15" cm="1">
        <f t="array" ref="S8">+HLOOKUP($A$1,+[11]İcmal!$B$19:$AG$49,ROW(J6)+1,FALSE)</f>
        <v>0</v>
      </c>
      <c r="T8" s="15" cm="1">
        <f t="array" ref="T8">+HLOOKUP($A$1,+[12]İcmal!$B$19:$AG$49,ROW(K6)+1,FALSE)</f>
        <v>0</v>
      </c>
      <c r="U8" s="15" cm="1">
        <f t="array" ref="U8">+HLOOKUP($A$1,+[13]İcmal!$B$19:$AG$49,ROW(L6)+1,FALSE)</f>
        <v>0</v>
      </c>
      <c r="V8" s="15" cm="1">
        <f t="array" ref="V8">+HLOOKUP($A$1,+[14]İcmal!$B$19:$AG$49,ROW(M6)+1,FALSE)</f>
        <v>0</v>
      </c>
      <c r="W8" s="15" cm="1">
        <f t="array" ref="W8">+HLOOKUP($A$1,+[15]İcmal!$B$19:$AG$49,ROW(N6)+1,FALSE)</f>
        <v>0</v>
      </c>
      <c r="X8" s="15" cm="1">
        <f t="array" ref="X8">+HLOOKUP($A$1,+[16]İcmal!$B$19:$AG$49,ROW(O6)+1,FALSE)</f>
        <v>0</v>
      </c>
      <c r="Y8" s="15" cm="1">
        <f t="array" ref="Y8">+HLOOKUP($A$1,+[17]İcmal!$B$19:$AG$49,ROW(P6)+1,FALSE)</f>
        <v>0</v>
      </c>
      <c r="Z8" s="15" cm="1">
        <f t="array" ref="Z8">+HLOOKUP($A$1,+[18]İcmal!$B$19:$AG$49,ROW(Q6)+1,FALSE)</f>
        <v>0</v>
      </c>
      <c r="AA8" s="15" cm="1">
        <f t="array" ref="AA8">+HLOOKUP($A$1,+[19]İcmal!$B$19:$AG$49,ROW(R6)+1,FALSE)</f>
        <v>0</v>
      </c>
      <c r="AB8" s="15" cm="1">
        <f t="array" ref="AB8">+HLOOKUP($A$1,+[20]İcmal!$B$19:$AG$49,ROW(S6)+1,FALSE)</f>
        <v>0</v>
      </c>
      <c r="AC8" s="15" cm="1">
        <f t="array" ref="AC8">+HLOOKUP($A$1,+[21]İcmal!$B$19:$AG$49,ROW(T6)+1,FALSE)</f>
        <v>0</v>
      </c>
      <c r="AD8" s="15" cm="1">
        <f t="array" ref="AD8">+HLOOKUP($A$1,+[22]İcmal!$B$19:$AG$49,ROW(U6)+1,FALSE)</f>
        <v>0</v>
      </c>
      <c r="AE8" s="15" cm="1">
        <f t="array" ref="AE8">+HLOOKUP($A$1,+[23]İcmal!$B$19:$AG$49,ROW(V6)+1,FALSE)</f>
        <v>0</v>
      </c>
      <c r="AF8" s="15" cm="1">
        <f t="array" ref="AF8">+HLOOKUP($A$1,+[24]İcmal!$B$19:$AG$49,ROW(W6)+1,FALSE)</f>
        <v>0</v>
      </c>
      <c r="AG8" s="15" cm="1">
        <f t="array" ref="AG8">+HLOOKUP($A$1,+[25]İcmal!$B$19:$AG$49,ROW(X6)+1,FALSE)</f>
        <v>0</v>
      </c>
      <c r="AH8" s="15" cm="1">
        <f t="array" ref="AH8">+HLOOKUP($A$1,+[26]İcmal!$B$19:$AG$49,ROW(Y6)+1,FALSE)</f>
        <v>0</v>
      </c>
      <c r="AI8" s="15" cm="1">
        <f t="array" ref="AI8">+HLOOKUP($A$1,+[27]İcmal!$B$19:$AG$49,ROW(Z6)+1,FALSE)</f>
        <v>0</v>
      </c>
      <c r="AJ8" s="15" cm="1">
        <f t="array" ref="AJ8">+HLOOKUP($A$1,+[28]İcmal!$B$19:$AG$49,ROW(AA6)+1,FALSE)</f>
        <v>0</v>
      </c>
      <c r="AK8" s="15" cm="1">
        <f t="array" ref="AK8">+HLOOKUP($A$1,+[29]İcmal!$B$19:$AG$49,ROW(AB6)+1,FALSE)</f>
        <v>0</v>
      </c>
      <c r="AL8" s="15"/>
      <c r="AM8" s="15"/>
      <c r="AN8" s="15"/>
      <c r="AO8" s="15"/>
      <c r="AP8" s="15"/>
      <c r="AQ8" s="15"/>
      <c r="AR8" s="15"/>
      <c r="AS8" s="15"/>
      <c r="AT8" s="13"/>
    </row>
    <row r="9" spans="1:46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+HLOOKUP($A$1,+[2]İcmal!$B$19:$AG$49,ROW(A7)+1,FALSE)</f>
        <v>0</v>
      </c>
      <c r="K9" s="15" cm="1">
        <f t="array" ref="K9">+HLOOKUP($A$1,+[3]İcmal!$B$19:$AG$49,ROW(B7)+1,FALSE)</f>
        <v>0</v>
      </c>
      <c r="L9" s="15" cm="1">
        <f t="array" ref="L9">+HLOOKUP($A$1,+[4]İcmal!$B$19:$AG$49,ROW(C7)+1,FALSE)</f>
        <v>0</v>
      </c>
      <c r="M9" s="15" cm="1">
        <f t="array" ref="M9">+HLOOKUP($A$1,+[5]İcmal!$B$19:$AG$49,ROW(D7)+1,FALSE)</f>
        <v>0</v>
      </c>
      <c r="N9" s="15" cm="1">
        <f t="array" ref="N9">+HLOOKUP($A$1,+[6]İcmal!$B$19:$AG$49,ROW(E7)+1,FALSE)</f>
        <v>0</v>
      </c>
      <c r="O9" s="15" cm="1">
        <f t="array" ref="O9">+HLOOKUP($A$1,+[7]İcmal!$B$19:$AG$49,ROW(F7)+1,FALSE)</f>
        <v>0</v>
      </c>
      <c r="P9" s="15" cm="1">
        <f t="array" ref="P9">+HLOOKUP($A$1,+[8]İcmal!$B$19:$AG$49,ROW(G7)+1,FALSE)</f>
        <v>0</v>
      </c>
      <c r="Q9" s="15" cm="1">
        <f t="array" ref="Q9">+HLOOKUP($A$1,+[9]İcmal!$B$19:$AG$49,ROW(H7)+1,FALSE)</f>
        <v>0</v>
      </c>
      <c r="R9" s="15" cm="1">
        <f t="array" ref="R9">+HLOOKUP($A$1,+[10]İcmal!$B$19:$AG$49,ROW(I7)+1,FALSE)</f>
        <v>0</v>
      </c>
      <c r="S9" s="15" cm="1">
        <f t="array" ref="S9">+HLOOKUP($A$1,+[11]İcmal!$B$19:$AG$49,ROW(J7)+1,FALSE)</f>
        <v>0</v>
      </c>
      <c r="T9" s="15" cm="1">
        <f t="array" ref="T9">+HLOOKUP($A$1,+[12]İcmal!$B$19:$AG$49,ROW(K7)+1,FALSE)</f>
        <v>0</v>
      </c>
      <c r="U9" s="15" cm="1">
        <f t="array" ref="U9">+HLOOKUP($A$1,+[13]İcmal!$B$19:$AG$49,ROW(L7)+1,FALSE)</f>
        <v>0</v>
      </c>
      <c r="V9" s="15" cm="1">
        <f t="array" ref="V9">+HLOOKUP($A$1,+[14]İcmal!$B$19:$AG$49,ROW(M7)+1,FALSE)</f>
        <v>0</v>
      </c>
      <c r="W9" s="15" cm="1">
        <f t="array" ref="W9">+HLOOKUP($A$1,+[15]İcmal!$B$19:$AG$49,ROW(N7)+1,FALSE)</f>
        <v>0</v>
      </c>
      <c r="X9" s="15" cm="1">
        <f t="array" ref="X9">+HLOOKUP($A$1,+[16]İcmal!$B$19:$AG$49,ROW(O7)+1,FALSE)</f>
        <v>0</v>
      </c>
      <c r="Y9" s="15" cm="1">
        <f t="array" ref="Y9">+HLOOKUP($A$1,+[17]İcmal!$B$19:$AG$49,ROW(P7)+1,FALSE)</f>
        <v>0</v>
      </c>
      <c r="Z9" s="15" cm="1">
        <f t="array" ref="Z9">+HLOOKUP($A$1,+[18]İcmal!$B$19:$AG$49,ROW(Q7)+1,FALSE)</f>
        <v>0</v>
      </c>
      <c r="AA9" s="15" cm="1">
        <f t="array" ref="AA9">+HLOOKUP($A$1,+[19]İcmal!$B$19:$AG$49,ROW(R7)+1,FALSE)</f>
        <v>0</v>
      </c>
      <c r="AB9" s="15" cm="1">
        <f t="array" ref="AB9">+HLOOKUP($A$1,+[20]İcmal!$B$19:$AG$49,ROW(S7)+1,FALSE)</f>
        <v>0</v>
      </c>
      <c r="AC9" s="15" cm="1">
        <f t="array" ref="AC9">+HLOOKUP($A$1,+[21]İcmal!$B$19:$AG$49,ROW(T7)+1,FALSE)</f>
        <v>0</v>
      </c>
      <c r="AD9" s="15" cm="1">
        <f t="array" ref="AD9">+HLOOKUP($A$1,+[22]İcmal!$B$19:$AG$49,ROW(U7)+1,FALSE)</f>
        <v>0</v>
      </c>
      <c r="AE9" s="15" cm="1">
        <f t="array" ref="AE9">+HLOOKUP($A$1,+[23]İcmal!$B$19:$AG$49,ROW(V7)+1,FALSE)</f>
        <v>0</v>
      </c>
      <c r="AF9" s="15" cm="1">
        <f t="array" ref="AF9">+HLOOKUP($A$1,+[24]İcmal!$B$19:$AG$49,ROW(W7)+1,FALSE)</f>
        <v>0</v>
      </c>
      <c r="AG9" s="15" cm="1">
        <f t="array" ref="AG9">+HLOOKUP($A$1,+[25]İcmal!$B$19:$AG$49,ROW(X7)+1,FALSE)</f>
        <v>0</v>
      </c>
      <c r="AH9" s="15" cm="1">
        <f t="array" ref="AH9">+HLOOKUP($A$1,+[26]İcmal!$B$19:$AG$49,ROW(Y7)+1,FALSE)</f>
        <v>0</v>
      </c>
      <c r="AI9" s="15" cm="1">
        <f t="array" ref="AI9">+HLOOKUP($A$1,+[27]İcmal!$B$19:$AG$49,ROW(Z7)+1,FALSE)</f>
        <v>0</v>
      </c>
      <c r="AJ9" s="15" cm="1">
        <f t="array" ref="AJ9">+HLOOKUP($A$1,+[28]İcmal!$B$19:$AG$49,ROW(AA7)+1,FALSE)</f>
        <v>0</v>
      </c>
      <c r="AK9" s="15" cm="1">
        <f t="array" ref="AK9">+HLOOKUP($A$1,+[29]İcmal!$B$19:$AG$49,ROW(AB7)+1,FALSE)</f>
        <v>0</v>
      </c>
      <c r="AL9" s="15"/>
      <c r="AM9" s="15"/>
      <c r="AN9" s="15"/>
      <c r="AO9" s="15"/>
      <c r="AP9" s="15"/>
      <c r="AQ9" s="15"/>
      <c r="AR9" s="15"/>
      <c r="AS9" s="15"/>
      <c r="AT9" s="13"/>
    </row>
    <row r="10" spans="1:46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166</v>
      </c>
      <c r="I10" s="9">
        <f t="shared" si="2"/>
        <v>1328000</v>
      </c>
      <c r="J10" s="15" cm="1">
        <f t="array" ref="J10">+HLOOKUP($A$1,+[2]İcmal!$B$19:$AG$49,ROW(A8)+1,FALSE)</f>
        <v>85</v>
      </c>
      <c r="K10" s="15" cm="1">
        <f t="array" ref="K10">+HLOOKUP($A$1,+[3]İcmal!$B$19:$AG$49,ROW(B8)+1,FALSE)</f>
        <v>0</v>
      </c>
      <c r="L10" s="15" cm="1">
        <f t="array" ref="L10">+HLOOKUP($A$1,+[4]İcmal!$B$19:$AG$49,ROW(C8)+1,FALSE)</f>
        <v>0</v>
      </c>
      <c r="M10" s="15" cm="1">
        <f t="array" ref="M10">+HLOOKUP($A$1,+[5]İcmal!$B$19:$AG$49,ROW(D8)+1,FALSE)</f>
        <v>0</v>
      </c>
      <c r="N10" s="15" cm="1">
        <f t="array" ref="N10">+HLOOKUP($A$1,+[6]İcmal!$B$19:$AG$49,ROW(E8)+1,FALSE)</f>
        <v>0</v>
      </c>
      <c r="O10" s="15" cm="1">
        <f t="array" ref="O10">+HLOOKUP($A$1,+[7]İcmal!$B$19:$AG$49,ROW(F8)+1,FALSE)</f>
        <v>0</v>
      </c>
      <c r="P10" s="15" cm="1">
        <f t="array" ref="P10">+HLOOKUP($A$1,+[8]İcmal!$B$19:$AG$49,ROW(G8)+1,FALSE)</f>
        <v>0</v>
      </c>
      <c r="Q10" s="15" cm="1">
        <f t="array" ref="Q10">+HLOOKUP($A$1,+[9]İcmal!$B$19:$AG$49,ROW(H8)+1,FALSE)</f>
        <v>0</v>
      </c>
      <c r="R10" s="15" cm="1">
        <f t="array" ref="R10">+HLOOKUP($A$1,+[10]İcmal!$B$19:$AG$49,ROW(I8)+1,FALSE)</f>
        <v>0</v>
      </c>
      <c r="S10" s="15" cm="1">
        <f t="array" ref="S10">+HLOOKUP($A$1,+[11]İcmal!$B$19:$AG$49,ROW(J8)+1,FALSE)</f>
        <v>0</v>
      </c>
      <c r="T10" s="15" cm="1">
        <f t="array" ref="T10">+HLOOKUP($A$1,+[12]İcmal!$B$19:$AG$49,ROW(K8)+1,FALSE)</f>
        <v>0</v>
      </c>
      <c r="U10" s="15" cm="1">
        <f t="array" ref="U10">+HLOOKUP($A$1,+[13]İcmal!$B$19:$AG$49,ROW(L8)+1,FALSE)</f>
        <v>0</v>
      </c>
      <c r="V10" s="15" cm="1">
        <f t="array" ref="V10">+HLOOKUP($A$1,+[14]İcmal!$B$19:$AG$49,ROW(M8)+1,FALSE)</f>
        <v>81</v>
      </c>
      <c r="W10" s="15" cm="1">
        <f t="array" ref="W10">+HLOOKUP($A$1,+[15]İcmal!$B$19:$AG$49,ROW(N8)+1,FALSE)</f>
        <v>0</v>
      </c>
      <c r="X10" s="15" cm="1">
        <f t="array" ref="X10">+HLOOKUP($A$1,+[16]İcmal!$B$19:$AG$49,ROW(O8)+1,FALSE)</f>
        <v>0</v>
      </c>
      <c r="Y10" s="15" cm="1">
        <f t="array" ref="Y10">+HLOOKUP($A$1,+[17]İcmal!$B$19:$AG$49,ROW(P8)+1,FALSE)</f>
        <v>0</v>
      </c>
      <c r="Z10" s="15" cm="1">
        <f t="array" ref="Z10">+HLOOKUP($A$1,+[18]İcmal!$B$19:$AG$49,ROW(Q8)+1,FALSE)</f>
        <v>0</v>
      </c>
      <c r="AA10" s="15" cm="1">
        <f t="array" ref="AA10">+HLOOKUP($A$1,+[19]İcmal!$B$19:$AG$49,ROW(R8)+1,FALSE)</f>
        <v>0</v>
      </c>
      <c r="AB10" s="15" cm="1">
        <f t="array" ref="AB10">+HLOOKUP($A$1,+[20]İcmal!$B$19:$AG$49,ROW(S8)+1,FALSE)</f>
        <v>0</v>
      </c>
      <c r="AC10" s="15" cm="1">
        <f t="array" ref="AC10">+HLOOKUP($A$1,+[21]İcmal!$B$19:$AG$49,ROW(T8)+1,FALSE)</f>
        <v>0</v>
      </c>
      <c r="AD10" s="15" cm="1">
        <f t="array" ref="AD10">+HLOOKUP($A$1,+[22]İcmal!$B$19:$AG$49,ROW(U8)+1,FALSE)</f>
        <v>0</v>
      </c>
      <c r="AE10" s="15" cm="1">
        <f t="array" ref="AE10">+HLOOKUP($A$1,+[23]İcmal!$B$19:$AG$49,ROW(V8)+1,FALSE)</f>
        <v>0</v>
      </c>
      <c r="AF10" s="15" cm="1">
        <f t="array" ref="AF10">+HLOOKUP($A$1,+[24]İcmal!$B$19:$AG$49,ROW(W8)+1,FALSE)</f>
        <v>0</v>
      </c>
      <c r="AG10" s="15" cm="1">
        <f t="array" ref="AG10">+HLOOKUP($A$1,+[25]İcmal!$B$19:$AG$49,ROW(X8)+1,FALSE)</f>
        <v>0</v>
      </c>
      <c r="AH10" s="15" cm="1">
        <f t="array" ref="AH10">+HLOOKUP($A$1,+[26]İcmal!$B$19:$AG$49,ROW(Y8)+1,FALSE)</f>
        <v>0</v>
      </c>
      <c r="AI10" s="15" cm="1">
        <f t="array" ref="AI10">+HLOOKUP($A$1,+[27]İcmal!$B$19:$AG$49,ROW(Z8)+1,FALSE)</f>
        <v>0</v>
      </c>
      <c r="AJ10" s="15" cm="1">
        <f t="array" ref="AJ10">+HLOOKUP($A$1,+[28]İcmal!$B$19:$AG$49,ROW(AA8)+1,FALSE)</f>
        <v>0</v>
      </c>
      <c r="AK10" s="15" cm="1">
        <f t="array" ref="AK10">+HLOOKUP($A$1,+[29]İcmal!$B$19:$AG$49,ROW(AB8)+1,FALSE)</f>
        <v>0</v>
      </c>
      <c r="AL10" s="15"/>
      <c r="AM10" s="15"/>
      <c r="AN10" s="15"/>
      <c r="AO10" s="15"/>
      <c r="AP10" s="15"/>
      <c r="AQ10" s="15"/>
      <c r="AR10" s="15"/>
      <c r="AS10" s="15"/>
      <c r="AT10" s="13"/>
    </row>
    <row r="11" spans="1:46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+HLOOKUP($A$1,+[2]İcmal!$B$19:$AG$49,ROW(A9)+1,FALSE)</f>
        <v>0</v>
      </c>
      <c r="K11" s="15" cm="1">
        <f t="array" ref="K11">+HLOOKUP($A$1,+[3]İcmal!$B$19:$AG$49,ROW(B9)+1,FALSE)</f>
        <v>0</v>
      </c>
      <c r="L11" s="15" cm="1">
        <f t="array" ref="L11">+HLOOKUP($A$1,+[4]İcmal!$B$19:$AG$49,ROW(C9)+1,FALSE)</f>
        <v>0</v>
      </c>
      <c r="M11" s="15" cm="1">
        <f t="array" ref="M11">+HLOOKUP($A$1,+[5]İcmal!$B$19:$AG$49,ROW(D9)+1,FALSE)</f>
        <v>0</v>
      </c>
      <c r="N11" s="15" cm="1">
        <f t="array" ref="N11">+HLOOKUP($A$1,+[6]İcmal!$B$19:$AG$49,ROW(E9)+1,FALSE)</f>
        <v>0</v>
      </c>
      <c r="O11" s="15" cm="1">
        <f t="array" ref="O11">+HLOOKUP($A$1,+[7]İcmal!$B$19:$AG$49,ROW(F9)+1,FALSE)</f>
        <v>0</v>
      </c>
      <c r="P11" s="15" cm="1">
        <f t="array" ref="P11">+HLOOKUP($A$1,+[8]İcmal!$B$19:$AG$49,ROW(G9)+1,FALSE)</f>
        <v>0</v>
      </c>
      <c r="Q11" s="15" cm="1">
        <f t="array" ref="Q11">+HLOOKUP($A$1,+[9]İcmal!$B$19:$AG$49,ROW(H9)+1,FALSE)</f>
        <v>0</v>
      </c>
      <c r="R11" s="15" cm="1">
        <f t="array" ref="R11">+HLOOKUP($A$1,+[10]İcmal!$B$19:$AG$49,ROW(I9)+1,FALSE)</f>
        <v>0</v>
      </c>
      <c r="S11" s="15" cm="1">
        <f t="array" ref="S11">+HLOOKUP($A$1,+[11]İcmal!$B$19:$AG$49,ROW(J9)+1,FALSE)</f>
        <v>0</v>
      </c>
      <c r="T11" s="15" cm="1">
        <f t="array" ref="T11">+HLOOKUP($A$1,+[12]İcmal!$B$19:$AG$49,ROW(K9)+1,FALSE)</f>
        <v>0</v>
      </c>
      <c r="U11" s="15" cm="1">
        <f t="array" ref="U11">+HLOOKUP($A$1,+[13]İcmal!$B$19:$AG$49,ROW(L9)+1,FALSE)</f>
        <v>0</v>
      </c>
      <c r="V11" s="15" cm="1">
        <f t="array" ref="V11">+HLOOKUP($A$1,+[14]İcmal!$B$19:$AG$49,ROW(M9)+1,FALSE)</f>
        <v>0</v>
      </c>
      <c r="W11" s="15" cm="1">
        <f t="array" ref="W11">+HLOOKUP($A$1,+[15]İcmal!$B$19:$AG$49,ROW(N9)+1,FALSE)</f>
        <v>0</v>
      </c>
      <c r="X11" s="15" cm="1">
        <f t="array" ref="X11">+HLOOKUP($A$1,+[16]İcmal!$B$19:$AG$49,ROW(O9)+1,FALSE)</f>
        <v>0</v>
      </c>
      <c r="Y11" s="15" cm="1">
        <f t="array" ref="Y11">+HLOOKUP($A$1,+[17]İcmal!$B$19:$AG$49,ROW(P9)+1,FALSE)</f>
        <v>0</v>
      </c>
      <c r="Z11" s="15" cm="1">
        <f t="array" ref="Z11">+HLOOKUP($A$1,+[18]İcmal!$B$19:$AG$49,ROW(Q9)+1,FALSE)</f>
        <v>0</v>
      </c>
      <c r="AA11" s="15" cm="1">
        <f t="array" ref="AA11">+HLOOKUP($A$1,+[19]İcmal!$B$19:$AG$49,ROW(R9)+1,FALSE)</f>
        <v>0</v>
      </c>
      <c r="AB11" s="15" cm="1">
        <f t="array" ref="AB11">+HLOOKUP($A$1,+[20]İcmal!$B$19:$AG$49,ROW(S9)+1,FALSE)</f>
        <v>0</v>
      </c>
      <c r="AC11" s="15" cm="1">
        <f t="array" ref="AC11">+HLOOKUP($A$1,+[21]İcmal!$B$19:$AG$49,ROW(T9)+1,FALSE)</f>
        <v>0</v>
      </c>
      <c r="AD11" s="15" cm="1">
        <f t="array" ref="AD11">+HLOOKUP($A$1,+[22]İcmal!$B$19:$AG$49,ROW(U9)+1,FALSE)</f>
        <v>0</v>
      </c>
      <c r="AE11" s="15" cm="1">
        <f t="array" ref="AE11">+HLOOKUP($A$1,+[23]İcmal!$B$19:$AG$49,ROW(V9)+1,FALSE)</f>
        <v>0</v>
      </c>
      <c r="AF11" s="15" cm="1">
        <f t="array" ref="AF11">+HLOOKUP($A$1,+[24]İcmal!$B$19:$AG$49,ROW(W9)+1,FALSE)</f>
        <v>0</v>
      </c>
      <c r="AG11" s="15" cm="1">
        <f t="array" ref="AG11">+HLOOKUP($A$1,+[25]İcmal!$B$19:$AG$49,ROW(X9)+1,FALSE)</f>
        <v>0</v>
      </c>
      <c r="AH11" s="15" cm="1">
        <f t="array" ref="AH11">+HLOOKUP($A$1,+[26]İcmal!$B$19:$AG$49,ROW(Y9)+1,FALSE)</f>
        <v>0</v>
      </c>
      <c r="AI11" s="15" cm="1">
        <f t="array" ref="AI11">+HLOOKUP($A$1,+[27]İcmal!$B$19:$AG$49,ROW(Z9)+1,FALSE)</f>
        <v>0</v>
      </c>
      <c r="AJ11" s="15" cm="1">
        <f t="array" ref="AJ11">+HLOOKUP($A$1,+[28]İcmal!$B$19:$AG$49,ROW(AA9)+1,FALSE)</f>
        <v>0</v>
      </c>
      <c r="AK11" s="15" cm="1">
        <f t="array" ref="AK11">+HLOOKUP($A$1,+[29]İcmal!$B$19:$AG$49,ROW(AB9)+1,FALSE)</f>
        <v>0</v>
      </c>
      <c r="AL11" s="15"/>
      <c r="AM11" s="15"/>
      <c r="AN11" s="15"/>
      <c r="AO11" s="15"/>
      <c r="AP11" s="15"/>
      <c r="AQ11" s="15"/>
      <c r="AR11" s="15"/>
      <c r="AS11" s="15"/>
      <c r="AT11" s="13"/>
    </row>
    <row r="12" spans="1:46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+HLOOKUP($A$1,+[2]İcmal!$B$19:$AG$49,ROW(A10)+1,FALSE)</f>
        <v>0</v>
      </c>
      <c r="K12" s="15" cm="1">
        <f t="array" ref="K12">+HLOOKUP($A$1,+[3]İcmal!$B$19:$AG$49,ROW(B10)+1,FALSE)</f>
        <v>0</v>
      </c>
      <c r="L12" s="15" cm="1">
        <f t="array" ref="L12">+HLOOKUP($A$1,+[4]İcmal!$B$19:$AG$49,ROW(C10)+1,FALSE)</f>
        <v>0</v>
      </c>
      <c r="M12" s="15" cm="1">
        <f t="array" ref="M12">+HLOOKUP($A$1,+[5]İcmal!$B$19:$AG$49,ROW(D10)+1,FALSE)</f>
        <v>0</v>
      </c>
      <c r="N12" s="15" cm="1">
        <f t="array" ref="N12">+HLOOKUP($A$1,+[6]İcmal!$B$19:$AG$49,ROW(E10)+1,FALSE)</f>
        <v>0</v>
      </c>
      <c r="O12" s="15" cm="1">
        <f t="array" ref="O12">+HLOOKUP($A$1,+[7]İcmal!$B$19:$AG$49,ROW(F10)+1,FALSE)</f>
        <v>0</v>
      </c>
      <c r="P12" s="15" cm="1">
        <f t="array" ref="P12">+HLOOKUP($A$1,+[8]İcmal!$B$19:$AG$49,ROW(G10)+1,FALSE)</f>
        <v>0</v>
      </c>
      <c r="Q12" s="15" cm="1">
        <f t="array" ref="Q12">+HLOOKUP($A$1,+[9]İcmal!$B$19:$AG$49,ROW(H10)+1,FALSE)</f>
        <v>0</v>
      </c>
      <c r="R12" s="15" cm="1">
        <f t="array" ref="R12">+HLOOKUP($A$1,+[10]İcmal!$B$19:$AG$49,ROW(I10)+1,FALSE)</f>
        <v>0</v>
      </c>
      <c r="S12" s="15" cm="1">
        <f t="array" ref="S12">+HLOOKUP($A$1,+[11]İcmal!$B$19:$AG$49,ROW(J10)+1,FALSE)</f>
        <v>0</v>
      </c>
      <c r="T12" s="15" cm="1">
        <f t="array" ref="T12">+HLOOKUP($A$1,+[12]İcmal!$B$19:$AG$49,ROW(K10)+1,FALSE)</f>
        <v>0</v>
      </c>
      <c r="U12" s="15" cm="1">
        <f t="array" ref="U12">+HLOOKUP($A$1,+[13]İcmal!$B$19:$AG$49,ROW(L10)+1,FALSE)</f>
        <v>0</v>
      </c>
      <c r="V12" s="15" cm="1">
        <f t="array" ref="V12">+HLOOKUP($A$1,+[14]İcmal!$B$19:$AG$49,ROW(M10)+1,FALSE)</f>
        <v>0</v>
      </c>
      <c r="W12" s="15" cm="1">
        <f t="array" ref="W12">+HLOOKUP($A$1,+[15]İcmal!$B$19:$AG$49,ROW(N10)+1,FALSE)</f>
        <v>0</v>
      </c>
      <c r="X12" s="15" cm="1">
        <f t="array" ref="X12">+HLOOKUP($A$1,+[16]İcmal!$B$19:$AG$49,ROW(O10)+1,FALSE)</f>
        <v>0</v>
      </c>
      <c r="Y12" s="15" cm="1">
        <f t="array" ref="Y12">+HLOOKUP($A$1,+[17]İcmal!$B$19:$AG$49,ROW(P10)+1,FALSE)</f>
        <v>0</v>
      </c>
      <c r="Z12" s="15" cm="1">
        <f t="array" ref="Z12">+HLOOKUP($A$1,+[18]İcmal!$B$19:$AG$49,ROW(Q10)+1,FALSE)</f>
        <v>0</v>
      </c>
      <c r="AA12" s="15" cm="1">
        <f t="array" ref="AA12">+HLOOKUP($A$1,+[19]İcmal!$B$19:$AG$49,ROW(R10)+1,FALSE)</f>
        <v>0</v>
      </c>
      <c r="AB12" s="15" cm="1">
        <f t="array" ref="AB12">+HLOOKUP($A$1,+[20]İcmal!$B$19:$AG$49,ROW(S10)+1,FALSE)</f>
        <v>0</v>
      </c>
      <c r="AC12" s="15" cm="1">
        <f t="array" ref="AC12">+HLOOKUP($A$1,+[21]İcmal!$B$19:$AG$49,ROW(T10)+1,FALSE)</f>
        <v>0</v>
      </c>
      <c r="AD12" s="15" cm="1">
        <f t="array" ref="AD12">+HLOOKUP($A$1,+[22]İcmal!$B$19:$AG$49,ROW(U10)+1,FALSE)</f>
        <v>0</v>
      </c>
      <c r="AE12" s="15" cm="1">
        <f t="array" ref="AE12">+HLOOKUP($A$1,+[23]İcmal!$B$19:$AG$49,ROW(V10)+1,FALSE)</f>
        <v>0</v>
      </c>
      <c r="AF12" s="15" cm="1">
        <f t="array" ref="AF12">+HLOOKUP($A$1,+[24]İcmal!$B$19:$AG$49,ROW(W10)+1,FALSE)</f>
        <v>0</v>
      </c>
      <c r="AG12" s="15" cm="1">
        <f t="array" ref="AG12">+HLOOKUP($A$1,+[25]İcmal!$B$19:$AG$49,ROW(X10)+1,FALSE)</f>
        <v>0</v>
      </c>
      <c r="AH12" s="15" cm="1">
        <f t="array" ref="AH12">+HLOOKUP($A$1,+[26]İcmal!$B$19:$AG$49,ROW(Y10)+1,FALSE)</f>
        <v>0</v>
      </c>
      <c r="AI12" s="15" cm="1">
        <f t="array" ref="AI12">+HLOOKUP($A$1,+[27]İcmal!$B$19:$AG$49,ROW(Z10)+1,FALSE)</f>
        <v>0</v>
      </c>
      <c r="AJ12" s="15" cm="1">
        <f t="array" ref="AJ12">+HLOOKUP($A$1,+[28]İcmal!$B$19:$AG$49,ROW(AA10)+1,FALSE)</f>
        <v>0</v>
      </c>
      <c r="AK12" s="15" cm="1">
        <f t="array" ref="AK12">+HLOOKUP($A$1,+[29]İcmal!$B$19:$AG$49,ROW(AB10)+1,FALSE)</f>
        <v>0</v>
      </c>
      <c r="AL12" s="15"/>
      <c r="AM12" s="15"/>
      <c r="AN12" s="15"/>
      <c r="AO12" s="15"/>
      <c r="AP12" s="15"/>
      <c r="AQ12" s="15"/>
      <c r="AR12" s="15"/>
      <c r="AS12" s="15"/>
      <c r="AT12" s="13"/>
    </row>
    <row r="13" spans="1:46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210</v>
      </c>
      <c r="I13" s="9">
        <f t="shared" si="2"/>
        <v>5880000</v>
      </c>
      <c r="J13" s="15" cm="1">
        <f t="array" ref="J13">+HLOOKUP($A$1,+[2]İcmal!$B$19:$AG$49,ROW(A11)+1,FALSE)</f>
        <v>57</v>
      </c>
      <c r="K13" s="15" cm="1">
        <f t="array" ref="K13">+HLOOKUP($A$1,+[3]İcmal!$B$19:$AG$49,ROW(B11)+1,FALSE)</f>
        <v>54</v>
      </c>
      <c r="L13" s="15" cm="1">
        <f t="array" ref="L13">+HLOOKUP($A$1,+[4]İcmal!$B$19:$AG$49,ROW(C11)+1,FALSE)</f>
        <v>0</v>
      </c>
      <c r="M13" s="15" cm="1">
        <f t="array" ref="M13">+HLOOKUP($A$1,+[5]İcmal!$B$19:$AG$49,ROW(D11)+1,FALSE)</f>
        <v>0</v>
      </c>
      <c r="N13" s="15" cm="1">
        <f t="array" ref="N13">+HLOOKUP($A$1,+[6]İcmal!$B$19:$AG$49,ROW(E11)+1,FALSE)</f>
        <v>0</v>
      </c>
      <c r="O13" s="15" cm="1">
        <f t="array" ref="O13">+HLOOKUP($A$1,+[7]İcmal!$B$19:$AG$49,ROW(F11)+1,FALSE)</f>
        <v>0</v>
      </c>
      <c r="P13" s="15" cm="1">
        <f t="array" ref="P13">+HLOOKUP($A$1,+[8]İcmal!$B$19:$AG$49,ROW(G11)+1,FALSE)</f>
        <v>0</v>
      </c>
      <c r="Q13" s="15" cm="1">
        <f t="array" ref="Q13">+HLOOKUP($A$1,+[9]İcmal!$B$19:$AG$49,ROW(H11)+1,FALSE)</f>
        <v>0</v>
      </c>
      <c r="R13" s="15" cm="1">
        <f t="array" ref="R13">+HLOOKUP($A$1,+[10]İcmal!$B$19:$AG$49,ROW(I11)+1,FALSE)</f>
        <v>0</v>
      </c>
      <c r="S13" s="15" cm="1">
        <f t="array" ref="S13">+HLOOKUP($A$1,+[11]İcmal!$B$19:$AG$49,ROW(J11)+1,FALSE)</f>
        <v>0</v>
      </c>
      <c r="T13" s="15" cm="1">
        <f t="array" ref="T13">+HLOOKUP($A$1,+[12]İcmal!$B$19:$AG$49,ROW(K11)+1,FALSE)</f>
        <v>0</v>
      </c>
      <c r="U13" s="15" cm="1">
        <f t="array" ref="U13">+HLOOKUP($A$1,+[13]İcmal!$B$19:$AG$49,ROW(L11)+1,FALSE)</f>
        <v>0</v>
      </c>
      <c r="V13" s="15" cm="1">
        <f t="array" ref="V13">+HLOOKUP($A$1,+[14]İcmal!$B$19:$AG$49,ROW(M11)+1,FALSE)</f>
        <v>54</v>
      </c>
      <c r="W13" s="15" cm="1">
        <f t="array" ref="W13">+HLOOKUP($A$1,+[15]İcmal!$B$19:$AG$49,ROW(N11)+1,FALSE)</f>
        <v>45</v>
      </c>
      <c r="X13" s="15" cm="1">
        <f t="array" ref="X13">+HLOOKUP($A$1,+[16]İcmal!$B$19:$AG$49,ROW(O11)+1,FALSE)</f>
        <v>0</v>
      </c>
      <c r="Y13" s="15" cm="1">
        <f t="array" ref="Y13">+HLOOKUP($A$1,+[17]İcmal!$B$19:$AG$49,ROW(P11)+1,FALSE)</f>
        <v>0</v>
      </c>
      <c r="Z13" s="15" cm="1">
        <f t="array" ref="Z13">+HLOOKUP($A$1,+[18]İcmal!$B$19:$AG$49,ROW(Q11)+1,FALSE)</f>
        <v>0</v>
      </c>
      <c r="AA13" s="15" cm="1">
        <f t="array" ref="AA13">+HLOOKUP($A$1,+[19]İcmal!$B$19:$AG$49,ROW(R11)+1,FALSE)</f>
        <v>0</v>
      </c>
      <c r="AB13" s="15" cm="1">
        <f t="array" ref="AB13">+HLOOKUP($A$1,+[20]İcmal!$B$19:$AG$49,ROW(S11)+1,FALSE)</f>
        <v>0</v>
      </c>
      <c r="AC13" s="15" cm="1">
        <f t="array" ref="AC13">+HLOOKUP($A$1,+[21]İcmal!$B$19:$AG$49,ROW(T11)+1,FALSE)</f>
        <v>0</v>
      </c>
      <c r="AD13" s="15" cm="1">
        <f t="array" ref="AD13">+HLOOKUP($A$1,+[22]İcmal!$B$19:$AG$49,ROW(U11)+1,FALSE)</f>
        <v>0</v>
      </c>
      <c r="AE13" s="15" cm="1">
        <f t="array" ref="AE13">+HLOOKUP($A$1,+[23]İcmal!$B$19:$AG$49,ROW(V11)+1,FALSE)</f>
        <v>0</v>
      </c>
      <c r="AF13" s="15" cm="1">
        <f t="array" ref="AF13">+HLOOKUP($A$1,+[24]İcmal!$B$19:$AG$49,ROW(W11)+1,FALSE)</f>
        <v>0</v>
      </c>
      <c r="AG13" s="15" cm="1">
        <f t="array" ref="AG13">+HLOOKUP($A$1,+[25]İcmal!$B$19:$AG$49,ROW(X11)+1,FALSE)</f>
        <v>0</v>
      </c>
      <c r="AH13" s="15" cm="1">
        <f t="array" ref="AH13">+HLOOKUP($A$1,+[26]İcmal!$B$19:$AG$49,ROW(Y11)+1,FALSE)</f>
        <v>0</v>
      </c>
      <c r="AI13" s="15" cm="1">
        <f t="array" ref="AI13">+HLOOKUP($A$1,+[27]İcmal!$B$19:$AG$49,ROW(Z11)+1,FALSE)</f>
        <v>0</v>
      </c>
      <c r="AJ13" s="15" cm="1">
        <f t="array" ref="AJ13">+HLOOKUP($A$1,+[28]İcmal!$B$19:$AG$49,ROW(AA11)+1,FALSE)</f>
        <v>0</v>
      </c>
      <c r="AK13" s="15" cm="1">
        <f t="array" ref="AK13">+HLOOKUP($A$1,+[29]İcmal!$B$19:$AG$49,ROW(AB11)+1,FALSE)</f>
        <v>0</v>
      </c>
      <c r="AL13" s="15"/>
      <c r="AM13" s="15"/>
      <c r="AN13" s="15"/>
      <c r="AO13" s="15"/>
      <c r="AP13" s="15"/>
      <c r="AQ13" s="15"/>
      <c r="AR13" s="15"/>
      <c r="AS13" s="15"/>
      <c r="AT13" s="13"/>
    </row>
    <row r="14" spans="1:46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3978</v>
      </c>
      <c r="I14" s="9">
        <f t="shared" si="2"/>
        <v>1491750</v>
      </c>
      <c r="J14" s="15" cm="1">
        <f t="array" ref="J14">+HLOOKUP($A$1,+[2]İcmal!$B$19:$AG$49,ROW(A12)+1,FALSE)</f>
        <v>1035</v>
      </c>
      <c r="K14" s="15" cm="1">
        <f t="array" ref="K14">+HLOOKUP($A$1,+[3]İcmal!$B$19:$AG$49,ROW(B12)+1,FALSE)</f>
        <v>972</v>
      </c>
      <c r="L14" s="15" cm="1">
        <f t="array" ref="L14">+HLOOKUP($A$1,+[4]İcmal!$B$19:$AG$49,ROW(C12)+1,FALSE)</f>
        <v>0</v>
      </c>
      <c r="M14" s="15" cm="1">
        <f t="array" ref="M14">+HLOOKUP($A$1,+[5]İcmal!$B$19:$AG$49,ROW(D12)+1,FALSE)</f>
        <v>0</v>
      </c>
      <c r="N14" s="15" cm="1">
        <f t="array" ref="N14">+HLOOKUP($A$1,+[6]İcmal!$B$19:$AG$49,ROW(E12)+1,FALSE)</f>
        <v>198</v>
      </c>
      <c r="O14" s="15" cm="1">
        <f t="array" ref="O14">+HLOOKUP($A$1,+[7]İcmal!$B$19:$AG$49,ROW(F12)+1,FALSE)</f>
        <v>0</v>
      </c>
      <c r="P14" s="15" cm="1">
        <f t="array" ref="P14">+HLOOKUP($A$1,+[8]İcmal!$B$19:$AG$49,ROW(G12)+1,FALSE)</f>
        <v>0</v>
      </c>
      <c r="Q14" s="15" cm="1">
        <f t="array" ref="Q14">+HLOOKUP($A$1,+[9]İcmal!$B$19:$AG$49,ROW(H12)+1,FALSE)</f>
        <v>0</v>
      </c>
      <c r="R14" s="15" cm="1">
        <f t="array" ref="R14">+HLOOKUP($A$1,+[10]İcmal!$B$19:$AG$49,ROW(I12)+1,FALSE)</f>
        <v>0</v>
      </c>
      <c r="S14" s="15" cm="1">
        <f t="array" ref="S14">+HLOOKUP($A$1,+[11]İcmal!$B$19:$AG$49,ROW(J12)+1,FALSE)</f>
        <v>0</v>
      </c>
      <c r="T14" s="15" cm="1">
        <f t="array" ref="T14">+HLOOKUP($A$1,+[12]İcmal!$B$19:$AG$49,ROW(K12)+1,FALSE)</f>
        <v>0</v>
      </c>
      <c r="U14" s="15" cm="1">
        <f t="array" ref="U14">+HLOOKUP($A$1,+[13]İcmal!$B$19:$AG$49,ROW(L12)+1,FALSE)</f>
        <v>0</v>
      </c>
      <c r="V14" s="15" cm="1">
        <f t="array" ref="V14">+HLOOKUP($A$1,+[14]İcmal!$B$19:$AG$49,ROW(M12)+1,FALSE)</f>
        <v>963</v>
      </c>
      <c r="W14" s="15" cm="1">
        <f t="array" ref="W14">+HLOOKUP($A$1,+[15]İcmal!$B$19:$AG$49,ROW(N12)+1,FALSE)</f>
        <v>810</v>
      </c>
      <c r="X14" s="15" cm="1">
        <f t="array" ref="X14">+HLOOKUP($A$1,+[16]İcmal!$B$19:$AG$49,ROW(O12)+1,FALSE)</f>
        <v>0</v>
      </c>
      <c r="Y14" s="15" cm="1">
        <f t="array" ref="Y14">+HLOOKUP($A$1,+[17]İcmal!$B$19:$AG$49,ROW(P12)+1,FALSE)</f>
        <v>0</v>
      </c>
      <c r="Z14" s="15" cm="1">
        <f t="array" ref="Z14">+HLOOKUP($A$1,+[18]İcmal!$B$19:$AG$49,ROW(Q12)+1,FALSE)</f>
        <v>0</v>
      </c>
      <c r="AA14" s="15" cm="1">
        <f t="array" ref="AA14">+HLOOKUP($A$1,+[19]İcmal!$B$19:$AG$49,ROW(R12)+1,FALSE)</f>
        <v>0</v>
      </c>
      <c r="AB14" s="15" cm="1">
        <f t="array" ref="AB14">+HLOOKUP($A$1,+[20]İcmal!$B$19:$AG$49,ROW(S12)+1,FALSE)</f>
        <v>0</v>
      </c>
      <c r="AC14" s="15" cm="1">
        <f t="array" ref="AC14">+HLOOKUP($A$1,+[21]İcmal!$B$19:$AG$49,ROW(T12)+1,FALSE)</f>
        <v>0</v>
      </c>
      <c r="AD14" s="15" cm="1">
        <f t="array" ref="AD14">+HLOOKUP($A$1,+[22]İcmal!$B$19:$AG$49,ROW(U12)+1,FALSE)</f>
        <v>0</v>
      </c>
      <c r="AE14" s="15" cm="1">
        <f t="array" ref="AE14">+HLOOKUP($A$1,+[23]İcmal!$B$19:$AG$49,ROW(V12)+1,FALSE)</f>
        <v>0</v>
      </c>
      <c r="AF14" s="15" cm="1">
        <f t="array" ref="AF14">+HLOOKUP($A$1,+[24]İcmal!$B$19:$AG$49,ROW(W12)+1,FALSE)</f>
        <v>0</v>
      </c>
      <c r="AG14" s="15" cm="1">
        <f t="array" ref="AG14">+HLOOKUP($A$1,+[25]İcmal!$B$19:$AG$49,ROW(X12)+1,FALSE)</f>
        <v>0</v>
      </c>
      <c r="AH14" s="15" cm="1">
        <f t="array" ref="AH14">+HLOOKUP($A$1,+[26]İcmal!$B$19:$AG$49,ROW(Y12)+1,FALSE)</f>
        <v>0</v>
      </c>
      <c r="AI14" s="15" cm="1">
        <f t="array" ref="AI14">+HLOOKUP($A$1,+[27]İcmal!$B$19:$AG$49,ROW(Z12)+1,FALSE)</f>
        <v>0</v>
      </c>
      <c r="AJ14" s="15" cm="1">
        <f t="array" ref="AJ14">+HLOOKUP($A$1,+[28]İcmal!$B$19:$AG$49,ROW(AA12)+1,FALSE)</f>
        <v>0</v>
      </c>
      <c r="AK14" s="15" cm="1">
        <f t="array" ref="AK14">+HLOOKUP($A$1,+[29]İcmal!$B$19:$AG$49,ROW(AB12)+1,FALSE)</f>
        <v>0</v>
      </c>
      <c r="AL14" s="15"/>
      <c r="AM14" s="15"/>
      <c r="AN14" s="15"/>
      <c r="AO14" s="15"/>
      <c r="AP14" s="15"/>
      <c r="AQ14" s="15"/>
      <c r="AR14" s="15"/>
      <c r="AS14" s="15"/>
      <c r="AT14" s="13"/>
    </row>
    <row r="15" spans="1:46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+HLOOKUP($A$1,+[2]İcmal!$B$19:$AG$49,ROW(A13)+1,FALSE)</f>
        <v>0</v>
      </c>
      <c r="K15" s="15" cm="1">
        <f t="array" ref="K15">+HLOOKUP($A$1,+[3]İcmal!$B$19:$AG$49,ROW(B13)+1,FALSE)</f>
        <v>0</v>
      </c>
      <c r="L15" s="15" cm="1">
        <f t="array" ref="L15">+HLOOKUP($A$1,+[4]İcmal!$B$19:$AG$49,ROW(C13)+1,FALSE)</f>
        <v>0</v>
      </c>
      <c r="M15" s="15" cm="1">
        <f t="array" ref="M15">+HLOOKUP($A$1,+[5]İcmal!$B$19:$AG$49,ROW(D13)+1,FALSE)</f>
        <v>0</v>
      </c>
      <c r="N15" s="15" cm="1">
        <f t="array" ref="N15">+HLOOKUP($A$1,+[6]İcmal!$B$19:$AG$49,ROW(E13)+1,FALSE)</f>
        <v>0</v>
      </c>
      <c r="O15" s="15" cm="1">
        <f t="array" ref="O15">+HLOOKUP($A$1,+[7]İcmal!$B$19:$AG$49,ROW(F13)+1,FALSE)</f>
        <v>0</v>
      </c>
      <c r="P15" s="15" cm="1">
        <f t="array" ref="P15">+HLOOKUP($A$1,+[8]İcmal!$B$19:$AG$49,ROW(G13)+1,FALSE)</f>
        <v>0</v>
      </c>
      <c r="Q15" s="15" cm="1">
        <f t="array" ref="Q15">+HLOOKUP($A$1,+[9]İcmal!$B$19:$AG$49,ROW(H13)+1,FALSE)</f>
        <v>0</v>
      </c>
      <c r="R15" s="15" cm="1">
        <f t="array" ref="R15">+HLOOKUP($A$1,+[10]İcmal!$B$19:$AG$49,ROW(I13)+1,FALSE)</f>
        <v>0</v>
      </c>
      <c r="S15" s="15" cm="1">
        <f t="array" ref="S15">+HLOOKUP($A$1,+[11]İcmal!$B$19:$AG$49,ROW(J13)+1,FALSE)</f>
        <v>0</v>
      </c>
      <c r="T15" s="15" cm="1">
        <f t="array" ref="T15">+HLOOKUP($A$1,+[12]İcmal!$B$19:$AG$49,ROW(K13)+1,FALSE)</f>
        <v>0</v>
      </c>
      <c r="U15" s="15" cm="1">
        <f t="array" ref="U15">+HLOOKUP($A$1,+[13]İcmal!$B$19:$AG$49,ROW(L13)+1,FALSE)</f>
        <v>0</v>
      </c>
      <c r="V15" s="15" cm="1">
        <f t="array" ref="V15">+HLOOKUP($A$1,+[14]İcmal!$B$19:$AG$49,ROW(M13)+1,FALSE)</f>
        <v>0</v>
      </c>
      <c r="W15" s="15" cm="1">
        <f t="array" ref="W15">+HLOOKUP($A$1,+[15]İcmal!$B$19:$AG$49,ROW(N13)+1,FALSE)</f>
        <v>0</v>
      </c>
      <c r="X15" s="15" cm="1">
        <f t="array" ref="X15">+HLOOKUP($A$1,+[16]İcmal!$B$19:$AG$49,ROW(O13)+1,FALSE)</f>
        <v>0</v>
      </c>
      <c r="Y15" s="15" cm="1">
        <f t="array" ref="Y15">+HLOOKUP($A$1,+[17]İcmal!$B$19:$AG$49,ROW(P13)+1,FALSE)</f>
        <v>0</v>
      </c>
      <c r="Z15" s="15" cm="1">
        <f t="array" ref="Z15">+HLOOKUP($A$1,+[18]İcmal!$B$19:$AG$49,ROW(Q13)+1,FALSE)</f>
        <v>0</v>
      </c>
      <c r="AA15" s="15" cm="1">
        <f t="array" ref="AA15">+HLOOKUP($A$1,+[19]İcmal!$B$19:$AG$49,ROW(R13)+1,FALSE)</f>
        <v>0</v>
      </c>
      <c r="AB15" s="15" cm="1">
        <f t="array" ref="AB15">+HLOOKUP($A$1,+[20]İcmal!$B$19:$AG$49,ROW(S13)+1,FALSE)</f>
        <v>0</v>
      </c>
      <c r="AC15" s="15" cm="1">
        <f t="array" ref="AC15">+HLOOKUP($A$1,+[21]İcmal!$B$19:$AG$49,ROW(T13)+1,FALSE)</f>
        <v>0</v>
      </c>
      <c r="AD15" s="15" cm="1">
        <f t="array" ref="AD15">+HLOOKUP($A$1,+[22]İcmal!$B$19:$AG$49,ROW(U13)+1,FALSE)</f>
        <v>0</v>
      </c>
      <c r="AE15" s="15" cm="1">
        <f t="array" ref="AE15">+HLOOKUP($A$1,+[23]İcmal!$B$19:$AG$49,ROW(V13)+1,FALSE)</f>
        <v>0</v>
      </c>
      <c r="AF15" s="15" cm="1">
        <f t="array" ref="AF15">+HLOOKUP($A$1,+[24]İcmal!$B$19:$AG$49,ROW(W13)+1,FALSE)</f>
        <v>0</v>
      </c>
      <c r="AG15" s="15" cm="1">
        <f t="array" ref="AG15">+HLOOKUP($A$1,+[25]İcmal!$B$19:$AG$49,ROW(X13)+1,FALSE)</f>
        <v>0</v>
      </c>
      <c r="AH15" s="15" cm="1">
        <f t="array" ref="AH15">+HLOOKUP($A$1,+[26]İcmal!$B$19:$AG$49,ROW(Y13)+1,FALSE)</f>
        <v>0</v>
      </c>
      <c r="AI15" s="15" cm="1">
        <f t="array" ref="AI15">+HLOOKUP($A$1,+[27]İcmal!$B$19:$AG$49,ROW(Z13)+1,FALSE)</f>
        <v>0</v>
      </c>
      <c r="AJ15" s="15" cm="1">
        <f t="array" ref="AJ15">+HLOOKUP($A$1,+[28]İcmal!$B$19:$AG$49,ROW(AA13)+1,FALSE)</f>
        <v>0</v>
      </c>
      <c r="AK15" s="15" cm="1">
        <f t="array" ref="AK15">+HLOOKUP($A$1,+[29]İcmal!$B$19:$AG$49,ROW(AB13)+1,FALSE)</f>
        <v>0</v>
      </c>
      <c r="AL15" s="15"/>
      <c r="AM15" s="15"/>
      <c r="AN15" s="15"/>
      <c r="AO15" s="15"/>
      <c r="AP15" s="15"/>
      <c r="AQ15" s="15"/>
      <c r="AR15" s="15"/>
      <c r="AS15" s="15"/>
      <c r="AT15" s="13"/>
    </row>
    <row r="16" spans="1:46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141.14800000000002</v>
      </c>
      <c r="I16" s="9">
        <f t="shared" si="2"/>
        <v>14397096.000000002</v>
      </c>
      <c r="J16" s="15" cm="1">
        <f t="array" ref="J16">+HLOOKUP($A$1,+[2]İcmal!$B$19:$AG$49,ROW(A14)+1,FALSE)</f>
        <v>36.502000000000002</v>
      </c>
      <c r="K16" s="15" cm="1">
        <f t="array" ref="K16">+HLOOKUP($A$1,+[3]İcmal!$B$19:$AG$49,ROW(B14)+1,FALSE)</f>
        <v>28.685000000000002</v>
      </c>
      <c r="L16" s="15" cm="1">
        <f t="array" ref="L16">+HLOOKUP($A$1,+[4]İcmal!$B$19:$AG$49,ROW(C14)+1,FALSE)</f>
        <v>0</v>
      </c>
      <c r="M16" s="15" cm="1">
        <f t="array" ref="M16">+HLOOKUP($A$1,+[5]İcmal!$B$19:$AG$49,ROW(D14)+1,FALSE)</f>
        <v>0</v>
      </c>
      <c r="N16" s="15" cm="1">
        <f t="array" ref="N16">+HLOOKUP($A$1,+[6]İcmal!$B$19:$AG$49,ROW(E14)+1,FALSE)</f>
        <v>14.391000000000002</v>
      </c>
      <c r="O16" s="15" cm="1">
        <f t="array" ref="O16">+HLOOKUP($A$1,+[7]İcmal!$B$19:$AG$49,ROW(F14)+1,FALSE)</f>
        <v>0</v>
      </c>
      <c r="P16" s="15" cm="1">
        <f t="array" ref="P16">+HLOOKUP($A$1,+[8]İcmal!$B$19:$AG$49,ROW(G14)+1,FALSE)</f>
        <v>0</v>
      </c>
      <c r="Q16" s="15" cm="1">
        <f t="array" ref="Q16">+HLOOKUP($A$1,+[9]İcmal!$B$19:$AG$49,ROW(H14)+1,FALSE)</f>
        <v>0</v>
      </c>
      <c r="R16" s="15" cm="1">
        <f t="array" ref="R16">+HLOOKUP($A$1,+[10]İcmal!$B$19:$AG$49,ROW(I14)+1,FALSE)</f>
        <v>0</v>
      </c>
      <c r="S16" s="15" cm="1">
        <f t="array" ref="S16">+HLOOKUP($A$1,+[11]İcmal!$B$19:$AG$49,ROW(J14)+1,FALSE)</f>
        <v>0</v>
      </c>
      <c r="T16" s="15" cm="1">
        <f t="array" ref="T16">+HLOOKUP($A$1,+[12]İcmal!$B$19:$AG$49,ROW(K14)+1,FALSE)</f>
        <v>0</v>
      </c>
      <c r="U16" s="15" cm="1">
        <f t="array" ref="U16">+HLOOKUP($A$1,+[13]İcmal!$B$19:$AG$49,ROW(L14)+1,FALSE)</f>
        <v>0</v>
      </c>
      <c r="V16" s="15" cm="1">
        <f t="array" ref="V16">+HLOOKUP($A$1,+[14]İcmal!$B$19:$AG$49,ROW(M14)+1,FALSE)</f>
        <v>34.412000000000006</v>
      </c>
      <c r="W16" s="15" cm="1">
        <f t="array" ref="W16">+HLOOKUP($A$1,+[15]İcmal!$B$19:$AG$49,ROW(N14)+1,FALSE)</f>
        <v>27.157999999999994</v>
      </c>
      <c r="X16" s="15" cm="1">
        <f t="array" ref="X16">+HLOOKUP($A$1,+[16]İcmal!$B$19:$AG$49,ROW(O14)+1,FALSE)</f>
        <v>0</v>
      </c>
      <c r="Y16" s="15" cm="1">
        <f t="array" ref="Y16">+HLOOKUP($A$1,+[17]İcmal!$B$19:$AG$49,ROW(P14)+1,FALSE)</f>
        <v>0</v>
      </c>
      <c r="Z16" s="15" cm="1">
        <f t="array" ref="Z16">+HLOOKUP($A$1,+[18]İcmal!$B$19:$AG$49,ROW(Q14)+1,FALSE)</f>
        <v>0</v>
      </c>
      <c r="AA16" s="15" cm="1">
        <f t="array" ref="AA16">+HLOOKUP($A$1,+[19]İcmal!$B$19:$AG$49,ROW(R14)+1,FALSE)</f>
        <v>0</v>
      </c>
      <c r="AB16" s="15" cm="1">
        <f t="array" ref="AB16">+HLOOKUP($A$1,+[20]İcmal!$B$19:$AG$49,ROW(S14)+1,FALSE)</f>
        <v>0</v>
      </c>
      <c r="AC16" s="15" cm="1">
        <f t="array" ref="AC16">+HLOOKUP($A$1,+[21]İcmal!$B$19:$AG$49,ROW(T14)+1,FALSE)</f>
        <v>0</v>
      </c>
      <c r="AD16" s="15" cm="1">
        <f t="array" ref="AD16">+HLOOKUP($A$1,+[22]İcmal!$B$19:$AG$49,ROW(U14)+1,FALSE)</f>
        <v>0</v>
      </c>
      <c r="AE16" s="15" cm="1">
        <f t="array" ref="AE16">+HLOOKUP($A$1,+[23]İcmal!$B$19:$AG$49,ROW(V14)+1,FALSE)</f>
        <v>0</v>
      </c>
      <c r="AF16" s="15" cm="1">
        <f t="array" ref="AF16">+HLOOKUP($A$1,+[24]İcmal!$B$19:$AG$49,ROW(W14)+1,FALSE)</f>
        <v>0</v>
      </c>
      <c r="AG16" s="15" cm="1">
        <f t="array" ref="AG16">+HLOOKUP($A$1,+[25]İcmal!$B$19:$AG$49,ROW(X14)+1,FALSE)</f>
        <v>0</v>
      </c>
      <c r="AH16" s="15" cm="1">
        <f t="array" ref="AH16">+HLOOKUP($A$1,+[26]İcmal!$B$19:$AG$49,ROW(Y14)+1,FALSE)</f>
        <v>0</v>
      </c>
      <c r="AI16" s="15" cm="1">
        <f t="array" ref="AI16">+HLOOKUP($A$1,+[27]İcmal!$B$19:$AG$49,ROW(Z14)+1,FALSE)</f>
        <v>0</v>
      </c>
      <c r="AJ16" s="15" cm="1">
        <f t="array" ref="AJ16">+HLOOKUP($A$1,+[28]İcmal!$B$19:$AG$49,ROW(AA14)+1,FALSE)</f>
        <v>0</v>
      </c>
      <c r="AK16" s="15" cm="1">
        <f t="array" ref="AK16">+HLOOKUP($A$1,+[29]İcmal!$B$19:$AG$49,ROW(AB14)+1,FALSE)</f>
        <v>0</v>
      </c>
      <c r="AL16" s="15"/>
      <c r="AM16" s="15"/>
      <c r="AN16" s="15"/>
      <c r="AO16" s="15"/>
      <c r="AP16" s="15"/>
      <c r="AQ16" s="15"/>
      <c r="AR16" s="15"/>
      <c r="AS16" s="15"/>
      <c r="AT16" s="13"/>
    </row>
    <row r="17" spans="1:46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10917</v>
      </c>
      <c r="I17" s="9">
        <f t="shared" si="2"/>
        <v>37117800</v>
      </c>
      <c r="J17" s="15" cm="1">
        <f t="array" ref="J17">+HLOOKUP($A$1,+[2]İcmal!$B$19:$AG$49,ROW(A15)+1,FALSE)</f>
        <v>2610</v>
      </c>
      <c r="K17" s="15" cm="1">
        <f t="array" ref="K17">+HLOOKUP($A$1,+[3]İcmal!$B$19:$AG$49,ROW(B15)+1,FALSE)</f>
        <v>2538</v>
      </c>
      <c r="L17" s="15" cm="1">
        <f t="array" ref="L17">+HLOOKUP($A$1,+[4]İcmal!$B$19:$AG$49,ROW(C15)+1,FALSE)</f>
        <v>0</v>
      </c>
      <c r="M17" s="15" cm="1">
        <f t="array" ref="M17">+HLOOKUP($A$1,+[5]İcmal!$B$19:$AG$49,ROW(D15)+1,FALSE)</f>
        <v>0</v>
      </c>
      <c r="N17" s="15" cm="1">
        <f t="array" ref="N17">+HLOOKUP($A$1,+[6]İcmal!$B$19:$AG$49,ROW(E15)+1,FALSE)</f>
        <v>1044</v>
      </c>
      <c r="O17" s="15" cm="1">
        <f t="array" ref="O17">+HLOOKUP($A$1,+[7]İcmal!$B$19:$AG$49,ROW(F15)+1,FALSE)</f>
        <v>0</v>
      </c>
      <c r="P17" s="15" cm="1">
        <f t="array" ref="P17">+HLOOKUP($A$1,+[8]İcmal!$B$19:$AG$49,ROW(G15)+1,FALSE)</f>
        <v>0</v>
      </c>
      <c r="Q17" s="15" cm="1">
        <f t="array" ref="Q17">+HLOOKUP($A$1,+[9]İcmal!$B$19:$AG$49,ROW(H15)+1,FALSE)</f>
        <v>0</v>
      </c>
      <c r="R17" s="15" cm="1">
        <f t="array" ref="R17">+HLOOKUP($A$1,+[10]İcmal!$B$19:$AG$49,ROW(I15)+1,FALSE)</f>
        <v>0</v>
      </c>
      <c r="S17" s="15" cm="1">
        <f t="array" ref="S17">+HLOOKUP($A$1,+[11]İcmal!$B$19:$AG$49,ROW(J15)+1,FALSE)</f>
        <v>0</v>
      </c>
      <c r="T17" s="15" cm="1">
        <f t="array" ref="T17">+HLOOKUP($A$1,+[12]İcmal!$B$19:$AG$49,ROW(K15)+1,FALSE)</f>
        <v>0</v>
      </c>
      <c r="U17" s="15" cm="1">
        <f t="array" ref="U17">+HLOOKUP($A$1,+[13]İcmal!$B$19:$AG$49,ROW(L15)+1,FALSE)</f>
        <v>0</v>
      </c>
      <c r="V17" s="15" cm="1">
        <f t="array" ref="V17">+HLOOKUP($A$1,+[14]İcmal!$B$19:$AG$49,ROW(M15)+1,FALSE)</f>
        <v>2610</v>
      </c>
      <c r="W17" s="15" cm="1">
        <f t="array" ref="W17">+HLOOKUP($A$1,+[15]İcmal!$B$19:$AG$49,ROW(N15)+1,FALSE)</f>
        <v>2115</v>
      </c>
      <c r="X17" s="15" cm="1">
        <f t="array" ref="X17">+HLOOKUP($A$1,+[16]İcmal!$B$19:$AG$49,ROW(O15)+1,FALSE)</f>
        <v>0</v>
      </c>
      <c r="Y17" s="15" cm="1">
        <f t="array" ref="Y17">+HLOOKUP($A$1,+[17]İcmal!$B$19:$AG$49,ROW(P15)+1,FALSE)</f>
        <v>0</v>
      </c>
      <c r="Z17" s="15" cm="1">
        <f t="array" ref="Z17">+HLOOKUP($A$1,+[18]İcmal!$B$19:$AG$49,ROW(Q15)+1,FALSE)</f>
        <v>0</v>
      </c>
      <c r="AA17" s="15" cm="1">
        <f t="array" ref="AA17">+HLOOKUP($A$1,+[19]İcmal!$B$19:$AG$49,ROW(R15)+1,FALSE)</f>
        <v>0</v>
      </c>
      <c r="AB17" s="15" cm="1">
        <f t="array" ref="AB17">+HLOOKUP($A$1,+[20]İcmal!$B$19:$AG$49,ROW(S15)+1,FALSE)</f>
        <v>0</v>
      </c>
      <c r="AC17" s="15" cm="1">
        <f t="array" ref="AC17">+HLOOKUP($A$1,+[21]İcmal!$B$19:$AG$49,ROW(T15)+1,FALSE)</f>
        <v>0</v>
      </c>
      <c r="AD17" s="15" cm="1">
        <f t="array" ref="AD17">+HLOOKUP($A$1,+[22]İcmal!$B$19:$AG$49,ROW(U15)+1,FALSE)</f>
        <v>0</v>
      </c>
      <c r="AE17" s="15" cm="1">
        <f t="array" ref="AE17">+HLOOKUP($A$1,+[23]İcmal!$B$19:$AG$49,ROW(V15)+1,FALSE)</f>
        <v>0</v>
      </c>
      <c r="AF17" s="15" cm="1">
        <f t="array" ref="AF17">+HLOOKUP($A$1,+[24]İcmal!$B$19:$AG$49,ROW(W15)+1,FALSE)</f>
        <v>0</v>
      </c>
      <c r="AG17" s="15" cm="1">
        <f t="array" ref="AG17">+HLOOKUP($A$1,+[25]İcmal!$B$19:$AG$49,ROW(X15)+1,FALSE)</f>
        <v>0</v>
      </c>
      <c r="AH17" s="15" cm="1">
        <f t="array" ref="AH17">+HLOOKUP($A$1,+[26]İcmal!$B$19:$AG$49,ROW(Y15)+1,FALSE)</f>
        <v>0</v>
      </c>
      <c r="AI17" s="15" cm="1">
        <f t="array" ref="AI17">+HLOOKUP($A$1,+[27]İcmal!$B$19:$AG$49,ROW(Z15)+1,FALSE)</f>
        <v>0</v>
      </c>
      <c r="AJ17" s="15" cm="1">
        <f t="array" ref="AJ17">+HLOOKUP($A$1,+[28]İcmal!$B$19:$AG$49,ROW(AA15)+1,FALSE)</f>
        <v>0</v>
      </c>
      <c r="AK17" s="15" cm="1">
        <f t="array" ref="AK17">+HLOOKUP($A$1,+[29]İcmal!$B$19:$AG$49,ROW(AB15)+1,FALSE)</f>
        <v>0</v>
      </c>
      <c r="AL17" s="15"/>
      <c r="AM17" s="15"/>
      <c r="AN17" s="15"/>
      <c r="AO17" s="15"/>
      <c r="AP17" s="15"/>
      <c r="AQ17" s="15"/>
      <c r="AR17" s="15"/>
      <c r="AS17" s="15"/>
      <c r="AT17" s="13"/>
    </row>
    <row r="18" spans="1:46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+HLOOKUP($A$1,+[2]İcmal!$B$19:$AG$49,ROW(A16)+1,FALSE)</f>
        <v>0</v>
      </c>
      <c r="K18" s="15" cm="1">
        <f t="array" ref="K18">+HLOOKUP($A$1,+[3]İcmal!$B$19:$AG$49,ROW(B16)+1,FALSE)</f>
        <v>0</v>
      </c>
      <c r="L18" s="15" cm="1">
        <f t="array" ref="L18">+HLOOKUP($A$1,+[4]İcmal!$B$19:$AG$49,ROW(C16)+1,FALSE)</f>
        <v>0</v>
      </c>
      <c r="M18" s="15" cm="1">
        <f t="array" ref="M18">+HLOOKUP($A$1,+[5]İcmal!$B$19:$AG$49,ROW(D16)+1,FALSE)</f>
        <v>0</v>
      </c>
      <c r="N18" s="15" cm="1">
        <f t="array" ref="N18">+HLOOKUP($A$1,+[6]İcmal!$B$19:$AG$49,ROW(E16)+1,FALSE)</f>
        <v>0</v>
      </c>
      <c r="O18" s="15" cm="1">
        <f t="array" ref="O18">+HLOOKUP($A$1,+[7]İcmal!$B$19:$AG$49,ROW(F16)+1,FALSE)</f>
        <v>0</v>
      </c>
      <c r="P18" s="15" cm="1">
        <f t="array" ref="P18">+HLOOKUP($A$1,+[8]İcmal!$B$19:$AG$49,ROW(G16)+1,FALSE)</f>
        <v>0</v>
      </c>
      <c r="Q18" s="15" cm="1">
        <f t="array" ref="Q18">+HLOOKUP($A$1,+[9]İcmal!$B$19:$AG$49,ROW(H16)+1,FALSE)</f>
        <v>0</v>
      </c>
      <c r="R18" s="15" cm="1">
        <f t="array" ref="R18">+HLOOKUP($A$1,+[10]İcmal!$B$19:$AG$49,ROW(I16)+1,FALSE)</f>
        <v>0</v>
      </c>
      <c r="S18" s="15" cm="1">
        <f t="array" ref="S18">+HLOOKUP($A$1,+[11]İcmal!$B$19:$AG$49,ROW(J16)+1,FALSE)</f>
        <v>0</v>
      </c>
      <c r="T18" s="15" cm="1">
        <f t="array" ref="T18">+HLOOKUP($A$1,+[12]İcmal!$B$19:$AG$49,ROW(K16)+1,FALSE)</f>
        <v>0</v>
      </c>
      <c r="U18" s="15" cm="1">
        <f t="array" ref="U18">+HLOOKUP($A$1,+[13]İcmal!$B$19:$AG$49,ROW(L16)+1,FALSE)</f>
        <v>0</v>
      </c>
      <c r="V18" s="15" cm="1">
        <f t="array" ref="V18">+HLOOKUP($A$1,+[14]İcmal!$B$19:$AG$49,ROW(M16)+1,FALSE)</f>
        <v>0</v>
      </c>
      <c r="W18" s="15" cm="1">
        <f t="array" ref="W18">+HLOOKUP($A$1,+[15]İcmal!$B$19:$AG$49,ROW(N16)+1,FALSE)</f>
        <v>0</v>
      </c>
      <c r="X18" s="15" cm="1">
        <f t="array" ref="X18">+HLOOKUP($A$1,+[16]İcmal!$B$19:$AG$49,ROW(O16)+1,FALSE)</f>
        <v>0</v>
      </c>
      <c r="Y18" s="15" cm="1">
        <f t="array" ref="Y18">+HLOOKUP($A$1,+[17]İcmal!$B$19:$AG$49,ROW(P16)+1,FALSE)</f>
        <v>0</v>
      </c>
      <c r="Z18" s="15" cm="1">
        <f t="array" ref="Z18">+HLOOKUP($A$1,+[18]İcmal!$B$19:$AG$49,ROW(Q16)+1,FALSE)</f>
        <v>0</v>
      </c>
      <c r="AA18" s="15" cm="1">
        <f t="array" ref="AA18">+HLOOKUP($A$1,+[19]İcmal!$B$19:$AG$49,ROW(R16)+1,FALSE)</f>
        <v>0</v>
      </c>
      <c r="AB18" s="15" cm="1">
        <f t="array" ref="AB18">+HLOOKUP($A$1,+[20]İcmal!$B$19:$AG$49,ROW(S16)+1,FALSE)</f>
        <v>0</v>
      </c>
      <c r="AC18" s="15" cm="1">
        <f t="array" ref="AC18">+HLOOKUP($A$1,+[21]İcmal!$B$19:$AG$49,ROW(T16)+1,FALSE)</f>
        <v>0</v>
      </c>
      <c r="AD18" s="15" cm="1">
        <f t="array" ref="AD18">+HLOOKUP($A$1,+[22]İcmal!$B$19:$AG$49,ROW(U16)+1,FALSE)</f>
        <v>0</v>
      </c>
      <c r="AE18" s="15" cm="1">
        <f t="array" ref="AE18">+HLOOKUP($A$1,+[23]İcmal!$B$19:$AG$49,ROW(V16)+1,FALSE)</f>
        <v>0</v>
      </c>
      <c r="AF18" s="15" cm="1">
        <f t="array" ref="AF18">+HLOOKUP($A$1,+[24]İcmal!$B$19:$AG$49,ROW(W16)+1,FALSE)</f>
        <v>0</v>
      </c>
      <c r="AG18" s="15" cm="1">
        <f t="array" ref="AG18">+HLOOKUP($A$1,+[25]İcmal!$B$19:$AG$49,ROW(X16)+1,FALSE)</f>
        <v>0</v>
      </c>
      <c r="AH18" s="15" cm="1">
        <f t="array" ref="AH18">+HLOOKUP($A$1,+[26]İcmal!$B$19:$AG$49,ROW(Y16)+1,FALSE)</f>
        <v>0</v>
      </c>
      <c r="AI18" s="15" cm="1">
        <f t="array" ref="AI18">+HLOOKUP($A$1,+[27]İcmal!$B$19:$AG$49,ROW(Z16)+1,FALSE)</f>
        <v>0</v>
      </c>
      <c r="AJ18" s="15" cm="1">
        <f t="array" ref="AJ18">+HLOOKUP($A$1,+[28]İcmal!$B$19:$AG$49,ROW(AA16)+1,FALSE)</f>
        <v>0</v>
      </c>
      <c r="AK18" s="15" cm="1">
        <f t="array" ref="AK18">+HLOOKUP($A$1,+[29]İcmal!$B$19:$AG$49,ROW(AB16)+1,FALSE)</f>
        <v>0</v>
      </c>
      <c r="AL18" s="15"/>
      <c r="AM18" s="15"/>
      <c r="AN18" s="15"/>
      <c r="AO18" s="15"/>
      <c r="AP18" s="15"/>
      <c r="AQ18" s="15"/>
      <c r="AR18" s="15"/>
      <c r="AS18" s="15"/>
      <c r="AT18" s="13"/>
    </row>
    <row r="19" spans="1:46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+HLOOKUP($A$1,+[2]İcmal!$B$19:$AG$49,ROW(A17)+1,FALSE)</f>
        <v>0</v>
      </c>
      <c r="K19" s="15" cm="1">
        <f t="array" ref="K19">+HLOOKUP($A$1,+[3]İcmal!$B$19:$AG$49,ROW(B17)+1,FALSE)</f>
        <v>0</v>
      </c>
      <c r="L19" s="15" cm="1">
        <f t="array" ref="L19">+HLOOKUP($A$1,+[4]İcmal!$B$19:$AG$49,ROW(C17)+1,FALSE)</f>
        <v>0</v>
      </c>
      <c r="M19" s="15" cm="1">
        <f t="array" ref="M19">+HLOOKUP($A$1,+[5]İcmal!$B$19:$AG$49,ROW(D17)+1,FALSE)</f>
        <v>0</v>
      </c>
      <c r="N19" s="15" cm="1">
        <f t="array" ref="N19">+HLOOKUP($A$1,+[6]İcmal!$B$19:$AG$49,ROW(E17)+1,FALSE)</f>
        <v>0</v>
      </c>
      <c r="O19" s="15" cm="1">
        <f t="array" ref="O19">+HLOOKUP($A$1,+[7]İcmal!$B$19:$AG$49,ROW(F17)+1,FALSE)</f>
        <v>0</v>
      </c>
      <c r="P19" s="15" cm="1">
        <f t="array" ref="P19">+HLOOKUP($A$1,+[8]İcmal!$B$19:$AG$49,ROW(G17)+1,FALSE)</f>
        <v>0</v>
      </c>
      <c r="Q19" s="15" cm="1">
        <f t="array" ref="Q19">+HLOOKUP($A$1,+[9]İcmal!$B$19:$AG$49,ROW(H17)+1,FALSE)</f>
        <v>0</v>
      </c>
      <c r="R19" s="15" cm="1">
        <f t="array" ref="R19">+HLOOKUP($A$1,+[10]İcmal!$B$19:$AG$49,ROW(I17)+1,FALSE)</f>
        <v>0</v>
      </c>
      <c r="S19" s="15" cm="1">
        <f t="array" ref="S19">+HLOOKUP($A$1,+[11]İcmal!$B$19:$AG$49,ROW(J17)+1,FALSE)</f>
        <v>0</v>
      </c>
      <c r="T19" s="15" cm="1">
        <f t="array" ref="T19">+HLOOKUP($A$1,+[12]İcmal!$B$19:$AG$49,ROW(K17)+1,FALSE)</f>
        <v>0</v>
      </c>
      <c r="U19" s="15" cm="1">
        <f t="array" ref="U19">+HLOOKUP($A$1,+[13]İcmal!$B$19:$AG$49,ROW(L17)+1,FALSE)</f>
        <v>0</v>
      </c>
      <c r="V19" s="15" cm="1">
        <f t="array" ref="V19">+HLOOKUP($A$1,+[14]İcmal!$B$19:$AG$49,ROW(M17)+1,FALSE)</f>
        <v>0</v>
      </c>
      <c r="W19" s="15" cm="1">
        <f t="array" ref="W19">+HLOOKUP($A$1,+[15]İcmal!$B$19:$AG$49,ROW(N17)+1,FALSE)</f>
        <v>0</v>
      </c>
      <c r="X19" s="15" cm="1">
        <f t="array" ref="X19">+HLOOKUP($A$1,+[16]İcmal!$B$19:$AG$49,ROW(O17)+1,FALSE)</f>
        <v>0</v>
      </c>
      <c r="Y19" s="15" cm="1">
        <f t="array" ref="Y19">+HLOOKUP($A$1,+[17]İcmal!$B$19:$AG$49,ROW(P17)+1,FALSE)</f>
        <v>0</v>
      </c>
      <c r="Z19" s="15" cm="1">
        <f t="array" ref="Z19">+HLOOKUP($A$1,+[18]İcmal!$B$19:$AG$49,ROW(Q17)+1,FALSE)</f>
        <v>0</v>
      </c>
      <c r="AA19" s="15" cm="1">
        <f t="array" ref="AA19">+HLOOKUP($A$1,+[19]İcmal!$B$19:$AG$49,ROW(R17)+1,FALSE)</f>
        <v>0</v>
      </c>
      <c r="AB19" s="15" cm="1">
        <f t="array" ref="AB19">+HLOOKUP($A$1,+[20]İcmal!$B$19:$AG$49,ROW(S17)+1,FALSE)</f>
        <v>0</v>
      </c>
      <c r="AC19" s="15" cm="1">
        <f t="array" ref="AC19">+HLOOKUP($A$1,+[21]İcmal!$B$19:$AG$49,ROW(T17)+1,FALSE)</f>
        <v>0</v>
      </c>
      <c r="AD19" s="15" cm="1">
        <f t="array" ref="AD19">+HLOOKUP($A$1,+[22]İcmal!$B$19:$AG$49,ROW(U17)+1,FALSE)</f>
        <v>0</v>
      </c>
      <c r="AE19" s="15" cm="1">
        <f t="array" ref="AE19">+HLOOKUP($A$1,+[23]İcmal!$B$19:$AG$49,ROW(V17)+1,FALSE)</f>
        <v>0</v>
      </c>
      <c r="AF19" s="15" cm="1">
        <f t="array" ref="AF19">+HLOOKUP($A$1,+[24]İcmal!$B$19:$AG$49,ROW(W17)+1,FALSE)</f>
        <v>0</v>
      </c>
      <c r="AG19" s="15" cm="1">
        <f t="array" ref="AG19">+HLOOKUP($A$1,+[25]İcmal!$B$19:$AG$49,ROW(X17)+1,FALSE)</f>
        <v>0</v>
      </c>
      <c r="AH19" s="15" cm="1">
        <f t="array" ref="AH19">+HLOOKUP($A$1,+[26]İcmal!$B$19:$AG$49,ROW(Y17)+1,FALSE)</f>
        <v>0</v>
      </c>
      <c r="AI19" s="15" cm="1">
        <f t="array" ref="AI19">+HLOOKUP($A$1,+[27]İcmal!$B$19:$AG$49,ROW(Z17)+1,FALSE)</f>
        <v>0</v>
      </c>
      <c r="AJ19" s="15" cm="1">
        <f t="array" ref="AJ19">+HLOOKUP($A$1,+[28]İcmal!$B$19:$AG$49,ROW(AA17)+1,FALSE)</f>
        <v>0</v>
      </c>
      <c r="AK19" s="15" cm="1">
        <f t="array" ref="AK19">+HLOOKUP($A$1,+[29]İcmal!$B$19:$AG$49,ROW(AB17)+1,FALSE)</f>
        <v>0</v>
      </c>
      <c r="AL19" s="15"/>
      <c r="AM19" s="15"/>
      <c r="AN19" s="15"/>
      <c r="AO19" s="15"/>
      <c r="AP19" s="15"/>
      <c r="AQ19" s="15"/>
      <c r="AR19" s="15"/>
      <c r="AS19" s="15"/>
      <c r="AT19" s="13"/>
    </row>
    <row r="20" spans="1:46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+HLOOKUP($A$1,+[2]İcmal!$B$19:$AG$49,ROW(A18)+1,FALSE)</f>
        <v>0</v>
      </c>
      <c r="K20" s="15" cm="1">
        <f t="array" ref="K20">+HLOOKUP($A$1,+[3]İcmal!$B$19:$AG$49,ROW(B18)+1,FALSE)</f>
        <v>0</v>
      </c>
      <c r="L20" s="15" cm="1">
        <f t="array" ref="L20">+HLOOKUP($A$1,+[4]İcmal!$B$19:$AG$49,ROW(C18)+1,FALSE)</f>
        <v>0</v>
      </c>
      <c r="M20" s="15" cm="1">
        <f t="array" ref="M20">+HLOOKUP($A$1,+[5]İcmal!$B$19:$AG$49,ROW(D18)+1,FALSE)</f>
        <v>0</v>
      </c>
      <c r="N20" s="15" cm="1">
        <f t="array" ref="N20">+HLOOKUP($A$1,+[6]İcmal!$B$19:$AG$49,ROW(E18)+1,FALSE)</f>
        <v>0</v>
      </c>
      <c r="O20" s="15" cm="1">
        <f t="array" ref="O20">+HLOOKUP($A$1,+[7]İcmal!$B$19:$AG$49,ROW(F18)+1,FALSE)</f>
        <v>0</v>
      </c>
      <c r="P20" s="15" cm="1">
        <f t="array" ref="P20">+HLOOKUP($A$1,+[8]İcmal!$B$19:$AG$49,ROW(G18)+1,FALSE)</f>
        <v>0</v>
      </c>
      <c r="Q20" s="15" cm="1">
        <f t="array" ref="Q20">+HLOOKUP($A$1,+[9]İcmal!$B$19:$AG$49,ROW(H18)+1,FALSE)</f>
        <v>0</v>
      </c>
      <c r="R20" s="15" cm="1">
        <f t="array" ref="R20">+HLOOKUP($A$1,+[10]İcmal!$B$19:$AG$49,ROW(I18)+1,FALSE)</f>
        <v>0</v>
      </c>
      <c r="S20" s="15" cm="1">
        <f t="array" ref="S20">+HLOOKUP($A$1,+[11]İcmal!$B$19:$AG$49,ROW(J18)+1,FALSE)</f>
        <v>0</v>
      </c>
      <c r="T20" s="15" cm="1">
        <f t="array" ref="T20">+HLOOKUP($A$1,+[12]İcmal!$B$19:$AG$49,ROW(K18)+1,FALSE)</f>
        <v>0</v>
      </c>
      <c r="U20" s="15" cm="1">
        <f t="array" ref="U20">+HLOOKUP($A$1,+[13]İcmal!$B$19:$AG$49,ROW(L18)+1,FALSE)</f>
        <v>0</v>
      </c>
      <c r="V20" s="15" cm="1">
        <f t="array" ref="V20">+HLOOKUP($A$1,+[14]İcmal!$B$19:$AG$49,ROW(M18)+1,FALSE)</f>
        <v>0</v>
      </c>
      <c r="W20" s="15" cm="1">
        <f t="array" ref="W20">+HLOOKUP($A$1,+[15]İcmal!$B$19:$AG$49,ROW(N18)+1,FALSE)</f>
        <v>0</v>
      </c>
      <c r="X20" s="15" cm="1">
        <f t="array" ref="X20">+HLOOKUP($A$1,+[16]İcmal!$B$19:$AG$49,ROW(O18)+1,FALSE)</f>
        <v>0</v>
      </c>
      <c r="Y20" s="15" cm="1">
        <f t="array" ref="Y20">+HLOOKUP($A$1,+[17]İcmal!$B$19:$AG$49,ROW(P18)+1,FALSE)</f>
        <v>0</v>
      </c>
      <c r="Z20" s="15" cm="1">
        <f t="array" ref="Z20">+HLOOKUP($A$1,+[18]İcmal!$B$19:$AG$49,ROW(Q18)+1,FALSE)</f>
        <v>0</v>
      </c>
      <c r="AA20" s="15" cm="1">
        <f t="array" ref="AA20">+HLOOKUP($A$1,+[19]İcmal!$B$19:$AG$49,ROW(R18)+1,FALSE)</f>
        <v>0</v>
      </c>
      <c r="AB20" s="15" cm="1">
        <f t="array" ref="AB20">+HLOOKUP($A$1,+[20]İcmal!$B$19:$AG$49,ROW(S18)+1,FALSE)</f>
        <v>0</v>
      </c>
      <c r="AC20" s="15" cm="1">
        <f t="array" ref="AC20">+HLOOKUP($A$1,+[21]İcmal!$B$19:$AG$49,ROW(T18)+1,FALSE)</f>
        <v>0</v>
      </c>
      <c r="AD20" s="15" cm="1">
        <f t="array" ref="AD20">+HLOOKUP($A$1,+[22]İcmal!$B$19:$AG$49,ROW(U18)+1,FALSE)</f>
        <v>0</v>
      </c>
      <c r="AE20" s="15" cm="1">
        <f t="array" ref="AE20">+HLOOKUP($A$1,+[23]İcmal!$B$19:$AG$49,ROW(V18)+1,FALSE)</f>
        <v>0</v>
      </c>
      <c r="AF20" s="15" cm="1">
        <f t="array" ref="AF20">+HLOOKUP($A$1,+[24]İcmal!$B$19:$AG$49,ROW(W18)+1,FALSE)</f>
        <v>0</v>
      </c>
      <c r="AG20" s="15" cm="1">
        <f t="array" ref="AG20">+HLOOKUP($A$1,+[25]İcmal!$B$19:$AG$49,ROW(X18)+1,FALSE)</f>
        <v>0</v>
      </c>
      <c r="AH20" s="15" cm="1">
        <f t="array" ref="AH20">+HLOOKUP($A$1,+[26]İcmal!$B$19:$AG$49,ROW(Y18)+1,FALSE)</f>
        <v>0</v>
      </c>
      <c r="AI20" s="15" cm="1">
        <f t="array" ref="AI20">+HLOOKUP($A$1,+[27]İcmal!$B$19:$AG$49,ROW(Z18)+1,FALSE)</f>
        <v>0</v>
      </c>
      <c r="AJ20" s="15" cm="1">
        <f t="array" ref="AJ20">+HLOOKUP($A$1,+[28]İcmal!$B$19:$AG$49,ROW(AA18)+1,FALSE)</f>
        <v>0</v>
      </c>
      <c r="AK20" s="15" cm="1">
        <f t="array" ref="AK20">+HLOOKUP($A$1,+[29]İcmal!$B$19:$AG$49,ROW(AB18)+1,FALSE)</f>
        <v>0</v>
      </c>
      <c r="AL20" s="15"/>
      <c r="AM20" s="15"/>
      <c r="AN20" s="15"/>
      <c r="AO20" s="15"/>
      <c r="AP20" s="15"/>
      <c r="AQ20" s="15"/>
      <c r="AR20" s="15"/>
      <c r="AS20" s="15"/>
      <c r="AT20" s="13"/>
    </row>
    <row r="21" spans="1:46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+HLOOKUP($A$1,+[2]İcmal!$B$19:$AG$49,ROW(A19)+1,FALSE)</f>
        <v>0</v>
      </c>
      <c r="K21" s="15" cm="1">
        <f t="array" ref="K21">+HLOOKUP($A$1,+[3]İcmal!$B$19:$AG$49,ROW(B19)+1,FALSE)</f>
        <v>0</v>
      </c>
      <c r="L21" s="15" cm="1">
        <f t="array" ref="L21">+HLOOKUP($A$1,+[4]İcmal!$B$19:$AG$49,ROW(C19)+1,FALSE)</f>
        <v>0</v>
      </c>
      <c r="M21" s="15" cm="1">
        <f t="array" ref="M21">+HLOOKUP($A$1,+[5]İcmal!$B$19:$AG$49,ROW(D19)+1,FALSE)</f>
        <v>0</v>
      </c>
      <c r="N21" s="15" cm="1">
        <f t="array" ref="N21">+HLOOKUP($A$1,+[6]İcmal!$B$19:$AG$49,ROW(E19)+1,FALSE)</f>
        <v>0</v>
      </c>
      <c r="O21" s="15" cm="1">
        <f t="array" ref="O21">+HLOOKUP($A$1,+[7]İcmal!$B$19:$AG$49,ROW(F19)+1,FALSE)</f>
        <v>0</v>
      </c>
      <c r="P21" s="15" cm="1">
        <f t="array" ref="P21">+HLOOKUP($A$1,+[8]İcmal!$B$19:$AG$49,ROW(G19)+1,FALSE)</f>
        <v>0</v>
      </c>
      <c r="Q21" s="15" cm="1">
        <f t="array" ref="Q21">+HLOOKUP($A$1,+[9]İcmal!$B$19:$AG$49,ROW(H19)+1,FALSE)</f>
        <v>0</v>
      </c>
      <c r="R21" s="15" cm="1">
        <f t="array" ref="R21">+HLOOKUP($A$1,+[10]İcmal!$B$19:$AG$49,ROW(I19)+1,FALSE)</f>
        <v>0</v>
      </c>
      <c r="S21" s="15" cm="1">
        <f t="array" ref="S21">+HLOOKUP($A$1,+[11]İcmal!$B$19:$AG$49,ROW(J19)+1,FALSE)</f>
        <v>0</v>
      </c>
      <c r="T21" s="15" cm="1">
        <f t="array" ref="T21">+HLOOKUP($A$1,+[12]İcmal!$B$19:$AG$49,ROW(K19)+1,FALSE)</f>
        <v>0</v>
      </c>
      <c r="U21" s="15" cm="1">
        <f t="array" ref="U21">+HLOOKUP($A$1,+[13]İcmal!$B$19:$AG$49,ROW(L19)+1,FALSE)</f>
        <v>0</v>
      </c>
      <c r="V21" s="15" cm="1">
        <f t="array" ref="V21">+HLOOKUP($A$1,+[14]İcmal!$B$19:$AG$49,ROW(M19)+1,FALSE)</f>
        <v>0</v>
      </c>
      <c r="W21" s="15" cm="1">
        <f t="array" ref="W21">+HLOOKUP($A$1,+[15]İcmal!$B$19:$AG$49,ROW(N19)+1,FALSE)</f>
        <v>0</v>
      </c>
      <c r="X21" s="15" cm="1">
        <f t="array" ref="X21">+HLOOKUP($A$1,+[16]İcmal!$B$19:$AG$49,ROW(O19)+1,FALSE)</f>
        <v>0</v>
      </c>
      <c r="Y21" s="15" cm="1">
        <f t="array" ref="Y21">+HLOOKUP($A$1,+[17]İcmal!$B$19:$AG$49,ROW(P19)+1,FALSE)</f>
        <v>0</v>
      </c>
      <c r="Z21" s="15" cm="1">
        <f t="array" ref="Z21">+HLOOKUP($A$1,+[18]İcmal!$B$19:$AG$49,ROW(Q19)+1,FALSE)</f>
        <v>0</v>
      </c>
      <c r="AA21" s="15" cm="1">
        <f t="array" ref="AA21">+HLOOKUP($A$1,+[19]İcmal!$B$19:$AG$49,ROW(R19)+1,FALSE)</f>
        <v>0</v>
      </c>
      <c r="AB21" s="15" cm="1">
        <f t="array" ref="AB21">+HLOOKUP($A$1,+[20]İcmal!$B$19:$AG$49,ROW(S19)+1,FALSE)</f>
        <v>0</v>
      </c>
      <c r="AC21" s="15" cm="1">
        <f t="array" ref="AC21">+HLOOKUP($A$1,+[21]İcmal!$B$19:$AG$49,ROW(T19)+1,FALSE)</f>
        <v>0</v>
      </c>
      <c r="AD21" s="15" cm="1">
        <f t="array" ref="AD21">+HLOOKUP($A$1,+[22]İcmal!$B$19:$AG$49,ROW(U19)+1,FALSE)</f>
        <v>0</v>
      </c>
      <c r="AE21" s="15" cm="1">
        <f t="array" ref="AE21">+HLOOKUP($A$1,+[23]İcmal!$B$19:$AG$49,ROW(V19)+1,FALSE)</f>
        <v>0</v>
      </c>
      <c r="AF21" s="15" cm="1">
        <f t="array" ref="AF21">+HLOOKUP($A$1,+[24]İcmal!$B$19:$AG$49,ROW(W19)+1,FALSE)</f>
        <v>0</v>
      </c>
      <c r="AG21" s="15" cm="1">
        <f t="array" ref="AG21">+HLOOKUP($A$1,+[25]İcmal!$B$19:$AG$49,ROW(X19)+1,FALSE)</f>
        <v>0</v>
      </c>
      <c r="AH21" s="15" cm="1">
        <f t="array" ref="AH21">+HLOOKUP($A$1,+[26]İcmal!$B$19:$AG$49,ROW(Y19)+1,FALSE)</f>
        <v>0</v>
      </c>
      <c r="AI21" s="15" cm="1">
        <f t="array" ref="AI21">+HLOOKUP($A$1,+[27]İcmal!$B$19:$AG$49,ROW(Z19)+1,FALSE)</f>
        <v>0</v>
      </c>
      <c r="AJ21" s="15" cm="1">
        <f t="array" ref="AJ21">+HLOOKUP($A$1,+[28]İcmal!$B$19:$AG$49,ROW(AA19)+1,FALSE)</f>
        <v>0</v>
      </c>
      <c r="AK21" s="15" cm="1">
        <f t="array" ref="AK21">+HLOOKUP($A$1,+[29]İcmal!$B$19:$AG$49,ROW(AB19)+1,FALSE)</f>
        <v>0</v>
      </c>
      <c r="AL21" s="15"/>
      <c r="AM21" s="15"/>
      <c r="AN21" s="15"/>
      <c r="AO21" s="15"/>
      <c r="AP21" s="15"/>
      <c r="AQ21" s="15"/>
      <c r="AR21" s="15"/>
      <c r="AS21" s="15"/>
      <c r="AT21" s="13"/>
    </row>
    <row r="22" spans="1:46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+HLOOKUP($A$1,+[2]İcmal!$B$19:$AG$49,ROW(A20)+1,FALSE)</f>
        <v>0</v>
      </c>
      <c r="K22" s="15" cm="1">
        <f t="array" ref="K22">+HLOOKUP($A$1,+[3]İcmal!$B$19:$AG$49,ROW(B20)+1,FALSE)</f>
        <v>0</v>
      </c>
      <c r="L22" s="15" cm="1">
        <f t="array" ref="L22">+HLOOKUP($A$1,+[4]İcmal!$B$19:$AG$49,ROW(C20)+1,FALSE)</f>
        <v>0</v>
      </c>
      <c r="M22" s="15" cm="1">
        <f t="array" ref="M22">+HLOOKUP($A$1,+[5]İcmal!$B$19:$AG$49,ROW(D20)+1,FALSE)</f>
        <v>0</v>
      </c>
      <c r="N22" s="15" cm="1">
        <f t="array" ref="N22">+HLOOKUP($A$1,+[6]İcmal!$B$19:$AG$49,ROW(E20)+1,FALSE)</f>
        <v>0</v>
      </c>
      <c r="O22" s="15" cm="1">
        <f t="array" ref="O22">+HLOOKUP($A$1,+[7]İcmal!$B$19:$AG$49,ROW(F20)+1,FALSE)</f>
        <v>0</v>
      </c>
      <c r="P22" s="15" cm="1">
        <f t="array" ref="P22">+HLOOKUP($A$1,+[8]İcmal!$B$19:$AG$49,ROW(G20)+1,FALSE)</f>
        <v>0</v>
      </c>
      <c r="Q22" s="15" cm="1">
        <f t="array" ref="Q22">+HLOOKUP($A$1,+[9]İcmal!$B$19:$AG$49,ROW(H20)+1,FALSE)</f>
        <v>0</v>
      </c>
      <c r="R22" s="15" cm="1">
        <f t="array" ref="R22">+HLOOKUP($A$1,+[10]İcmal!$B$19:$AG$49,ROW(I20)+1,FALSE)</f>
        <v>0</v>
      </c>
      <c r="S22" s="15" cm="1">
        <f t="array" ref="S22">+HLOOKUP($A$1,+[11]İcmal!$B$19:$AG$49,ROW(J20)+1,FALSE)</f>
        <v>0</v>
      </c>
      <c r="T22" s="15" cm="1">
        <f t="array" ref="T22">+HLOOKUP($A$1,+[12]İcmal!$B$19:$AG$49,ROW(K20)+1,FALSE)</f>
        <v>0</v>
      </c>
      <c r="U22" s="15" cm="1">
        <f t="array" ref="U22">+HLOOKUP($A$1,+[13]İcmal!$B$19:$AG$49,ROW(L20)+1,FALSE)</f>
        <v>0</v>
      </c>
      <c r="V22" s="15" cm="1">
        <f t="array" ref="V22">+HLOOKUP($A$1,+[14]İcmal!$B$19:$AG$49,ROW(M20)+1,FALSE)</f>
        <v>0</v>
      </c>
      <c r="W22" s="15" cm="1">
        <f t="array" ref="W22">+HLOOKUP($A$1,+[15]İcmal!$B$19:$AG$49,ROW(N20)+1,FALSE)</f>
        <v>0</v>
      </c>
      <c r="X22" s="15" cm="1">
        <f t="array" ref="X22">+HLOOKUP($A$1,+[16]İcmal!$B$19:$AG$49,ROW(O20)+1,FALSE)</f>
        <v>0</v>
      </c>
      <c r="Y22" s="15" cm="1">
        <f t="array" ref="Y22">+HLOOKUP($A$1,+[17]İcmal!$B$19:$AG$49,ROW(P20)+1,FALSE)</f>
        <v>0</v>
      </c>
      <c r="Z22" s="15" cm="1">
        <f t="array" ref="Z22">+HLOOKUP($A$1,+[18]İcmal!$B$19:$AG$49,ROW(Q20)+1,FALSE)</f>
        <v>0</v>
      </c>
      <c r="AA22" s="15" cm="1">
        <f t="array" ref="AA22">+HLOOKUP($A$1,+[19]İcmal!$B$19:$AG$49,ROW(R20)+1,FALSE)</f>
        <v>0</v>
      </c>
      <c r="AB22" s="15" cm="1">
        <f t="array" ref="AB22">+HLOOKUP($A$1,+[20]İcmal!$B$19:$AG$49,ROW(S20)+1,FALSE)</f>
        <v>0</v>
      </c>
      <c r="AC22" s="15" cm="1">
        <f t="array" ref="AC22">+HLOOKUP($A$1,+[21]İcmal!$B$19:$AG$49,ROW(T20)+1,FALSE)</f>
        <v>0</v>
      </c>
      <c r="AD22" s="15" cm="1">
        <f t="array" ref="AD22">+HLOOKUP($A$1,+[22]İcmal!$B$19:$AG$49,ROW(U20)+1,FALSE)</f>
        <v>0</v>
      </c>
      <c r="AE22" s="15" cm="1">
        <f t="array" ref="AE22">+HLOOKUP($A$1,+[23]İcmal!$B$19:$AG$49,ROW(V20)+1,FALSE)</f>
        <v>0</v>
      </c>
      <c r="AF22" s="15" cm="1">
        <f t="array" ref="AF22">+HLOOKUP($A$1,+[24]İcmal!$B$19:$AG$49,ROW(W20)+1,FALSE)</f>
        <v>0</v>
      </c>
      <c r="AG22" s="15" cm="1">
        <f t="array" ref="AG22">+HLOOKUP($A$1,+[25]İcmal!$B$19:$AG$49,ROW(X20)+1,FALSE)</f>
        <v>0</v>
      </c>
      <c r="AH22" s="15" cm="1">
        <f t="array" ref="AH22">+HLOOKUP($A$1,+[26]İcmal!$B$19:$AG$49,ROW(Y20)+1,FALSE)</f>
        <v>0</v>
      </c>
      <c r="AI22" s="15" cm="1">
        <f t="array" ref="AI22">+HLOOKUP($A$1,+[27]İcmal!$B$19:$AG$49,ROW(Z20)+1,FALSE)</f>
        <v>0</v>
      </c>
      <c r="AJ22" s="15" cm="1">
        <f t="array" ref="AJ22">+HLOOKUP($A$1,+[28]İcmal!$B$19:$AG$49,ROW(AA20)+1,FALSE)</f>
        <v>0</v>
      </c>
      <c r="AK22" s="15" cm="1">
        <f t="array" ref="AK22">+HLOOKUP($A$1,+[29]İcmal!$B$19:$AG$49,ROW(AB20)+1,FALSE)</f>
        <v>0</v>
      </c>
      <c r="AL22" s="15"/>
      <c r="AM22" s="15"/>
      <c r="AN22" s="15"/>
      <c r="AO22" s="15"/>
      <c r="AP22" s="15"/>
      <c r="AQ22" s="15"/>
      <c r="AR22" s="15"/>
      <c r="AS22" s="15"/>
      <c r="AT22" s="13"/>
    </row>
    <row r="23" spans="1:46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+HLOOKUP($A$1,+[2]İcmal!$B$19:$AG$49,ROW(A21)+1,FALSE)</f>
        <v>0</v>
      </c>
      <c r="K23" s="15" cm="1">
        <f t="array" ref="K23">+HLOOKUP($A$1,+[3]İcmal!$B$19:$AG$49,ROW(B21)+1,FALSE)</f>
        <v>0</v>
      </c>
      <c r="L23" s="15" cm="1">
        <f t="array" ref="L23">+HLOOKUP($A$1,+[4]İcmal!$B$19:$AG$49,ROW(C21)+1,FALSE)</f>
        <v>0</v>
      </c>
      <c r="M23" s="15" cm="1">
        <f t="array" ref="M23">+HLOOKUP($A$1,+[5]İcmal!$B$19:$AG$49,ROW(D21)+1,FALSE)</f>
        <v>0</v>
      </c>
      <c r="N23" s="15" cm="1">
        <f t="array" ref="N23">+HLOOKUP($A$1,+[6]İcmal!$B$19:$AG$49,ROW(E21)+1,FALSE)</f>
        <v>0</v>
      </c>
      <c r="O23" s="15" cm="1">
        <f t="array" ref="O23">+HLOOKUP($A$1,+[7]İcmal!$B$19:$AG$49,ROW(F21)+1,FALSE)</f>
        <v>0</v>
      </c>
      <c r="P23" s="15" cm="1">
        <f t="array" ref="P23">+HLOOKUP($A$1,+[8]İcmal!$B$19:$AG$49,ROW(G21)+1,FALSE)</f>
        <v>0</v>
      </c>
      <c r="Q23" s="15" cm="1">
        <f t="array" ref="Q23">+HLOOKUP($A$1,+[9]İcmal!$B$19:$AG$49,ROW(H21)+1,FALSE)</f>
        <v>0</v>
      </c>
      <c r="R23" s="15" cm="1">
        <f t="array" ref="R23">+HLOOKUP($A$1,+[10]İcmal!$B$19:$AG$49,ROW(I21)+1,FALSE)</f>
        <v>0</v>
      </c>
      <c r="S23" s="15" cm="1">
        <f t="array" ref="S23">+HLOOKUP($A$1,+[11]İcmal!$B$19:$AG$49,ROW(J21)+1,FALSE)</f>
        <v>0</v>
      </c>
      <c r="T23" s="15" cm="1">
        <f t="array" ref="T23">+HLOOKUP($A$1,+[12]İcmal!$B$19:$AG$49,ROW(K21)+1,FALSE)</f>
        <v>0</v>
      </c>
      <c r="U23" s="15" cm="1">
        <f t="array" ref="U23">+HLOOKUP($A$1,+[13]İcmal!$B$19:$AG$49,ROW(L21)+1,FALSE)</f>
        <v>0</v>
      </c>
      <c r="V23" s="15" cm="1">
        <f t="array" ref="V23">+HLOOKUP($A$1,+[14]İcmal!$B$19:$AG$49,ROW(M21)+1,FALSE)</f>
        <v>0</v>
      </c>
      <c r="W23" s="15" cm="1">
        <f t="array" ref="W23">+HLOOKUP($A$1,+[15]İcmal!$B$19:$AG$49,ROW(N21)+1,FALSE)</f>
        <v>0</v>
      </c>
      <c r="X23" s="15" cm="1">
        <f t="array" ref="X23">+HLOOKUP($A$1,+[16]İcmal!$B$19:$AG$49,ROW(O21)+1,FALSE)</f>
        <v>0</v>
      </c>
      <c r="Y23" s="15" cm="1">
        <f t="array" ref="Y23">+HLOOKUP($A$1,+[17]İcmal!$B$19:$AG$49,ROW(P21)+1,FALSE)</f>
        <v>0</v>
      </c>
      <c r="Z23" s="15" cm="1">
        <f t="array" ref="Z23">+HLOOKUP($A$1,+[18]İcmal!$B$19:$AG$49,ROW(Q21)+1,FALSE)</f>
        <v>0</v>
      </c>
      <c r="AA23" s="15" cm="1">
        <f t="array" ref="AA23">+HLOOKUP($A$1,+[19]İcmal!$B$19:$AG$49,ROW(R21)+1,FALSE)</f>
        <v>0</v>
      </c>
      <c r="AB23" s="15" cm="1">
        <f t="array" ref="AB23">+HLOOKUP($A$1,+[20]İcmal!$B$19:$AG$49,ROW(S21)+1,FALSE)</f>
        <v>0</v>
      </c>
      <c r="AC23" s="15" cm="1">
        <f t="array" ref="AC23">+HLOOKUP($A$1,+[21]İcmal!$B$19:$AG$49,ROW(T21)+1,FALSE)</f>
        <v>0</v>
      </c>
      <c r="AD23" s="15" cm="1">
        <f t="array" ref="AD23">+HLOOKUP($A$1,+[22]İcmal!$B$19:$AG$49,ROW(U21)+1,FALSE)</f>
        <v>0</v>
      </c>
      <c r="AE23" s="15" cm="1">
        <f t="array" ref="AE23">+HLOOKUP($A$1,+[23]İcmal!$B$19:$AG$49,ROW(V21)+1,FALSE)</f>
        <v>0</v>
      </c>
      <c r="AF23" s="15" cm="1">
        <f t="array" ref="AF23">+HLOOKUP($A$1,+[24]İcmal!$B$19:$AG$49,ROW(W21)+1,FALSE)</f>
        <v>0</v>
      </c>
      <c r="AG23" s="15" cm="1">
        <f t="array" ref="AG23">+HLOOKUP($A$1,+[25]İcmal!$B$19:$AG$49,ROW(X21)+1,FALSE)</f>
        <v>0</v>
      </c>
      <c r="AH23" s="15" cm="1">
        <f t="array" ref="AH23">+HLOOKUP($A$1,+[26]İcmal!$B$19:$AG$49,ROW(Y21)+1,FALSE)</f>
        <v>0</v>
      </c>
      <c r="AI23" s="15" cm="1">
        <f t="array" ref="AI23">+HLOOKUP($A$1,+[27]İcmal!$B$19:$AG$49,ROW(Z21)+1,FALSE)</f>
        <v>0</v>
      </c>
      <c r="AJ23" s="15" cm="1">
        <f t="array" ref="AJ23">+HLOOKUP($A$1,+[28]İcmal!$B$19:$AG$49,ROW(AA21)+1,FALSE)</f>
        <v>0</v>
      </c>
      <c r="AK23" s="15" cm="1">
        <f t="array" ref="AK23">+HLOOKUP($A$1,+[29]İcmal!$B$19:$AG$49,ROW(AB21)+1,FALSE)</f>
        <v>0</v>
      </c>
      <c r="AL23" s="15"/>
      <c r="AM23" s="15"/>
      <c r="AN23" s="15"/>
      <c r="AO23" s="15"/>
      <c r="AP23" s="15"/>
      <c r="AQ23" s="15"/>
      <c r="AR23" s="15"/>
      <c r="AS23" s="15"/>
      <c r="AT23" s="13"/>
    </row>
    <row r="24" spans="1:46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+HLOOKUP($A$1,+[2]İcmal!$B$19:$AG$49,ROW(A22)+1,FALSE)</f>
        <v>0</v>
      </c>
      <c r="K24" s="15" cm="1">
        <f t="array" ref="K24">+HLOOKUP($A$1,+[3]İcmal!$B$19:$AG$49,ROW(B22)+1,FALSE)</f>
        <v>0</v>
      </c>
      <c r="L24" s="15" cm="1">
        <f t="array" ref="L24">+HLOOKUP($A$1,+[4]İcmal!$B$19:$AG$49,ROW(C22)+1,FALSE)</f>
        <v>0</v>
      </c>
      <c r="M24" s="15" cm="1">
        <f t="array" ref="M24">+HLOOKUP($A$1,+[5]İcmal!$B$19:$AG$49,ROW(D22)+1,FALSE)</f>
        <v>0</v>
      </c>
      <c r="N24" s="15" cm="1">
        <f t="array" ref="N24">+HLOOKUP($A$1,+[6]İcmal!$B$19:$AG$49,ROW(E22)+1,FALSE)</f>
        <v>0</v>
      </c>
      <c r="O24" s="15" cm="1">
        <f t="array" ref="O24">+HLOOKUP($A$1,+[7]İcmal!$B$19:$AG$49,ROW(F22)+1,FALSE)</f>
        <v>0</v>
      </c>
      <c r="P24" s="15" cm="1">
        <f t="array" ref="P24">+HLOOKUP($A$1,+[8]İcmal!$B$19:$AG$49,ROW(G22)+1,FALSE)</f>
        <v>0</v>
      </c>
      <c r="Q24" s="15" cm="1">
        <f t="array" ref="Q24">+HLOOKUP($A$1,+[9]İcmal!$B$19:$AG$49,ROW(H22)+1,FALSE)</f>
        <v>0</v>
      </c>
      <c r="R24" s="15" cm="1">
        <f t="array" ref="R24">+HLOOKUP($A$1,+[10]İcmal!$B$19:$AG$49,ROW(I22)+1,FALSE)</f>
        <v>0</v>
      </c>
      <c r="S24" s="15" cm="1">
        <f t="array" ref="S24">+HLOOKUP($A$1,+[11]İcmal!$B$19:$AG$49,ROW(J22)+1,FALSE)</f>
        <v>0</v>
      </c>
      <c r="T24" s="15" cm="1">
        <f t="array" ref="T24">+HLOOKUP($A$1,+[12]İcmal!$B$19:$AG$49,ROW(K22)+1,FALSE)</f>
        <v>0</v>
      </c>
      <c r="U24" s="15" cm="1">
        <f t="array" ref="U24">+HLOOKUP($A$1,+[13]İcmal!$B$19:$AG$49,ROW(L22)+1,FALSE)</f>
        <v>0</v>
      </c>
      <c r="V24" s="15" cm="1">
        <f t="array" ref="V24">+HLOOKUP($A$1,+[14]İcmal!$B$19:$AG$49,ROW(M22)+1,FALSE)</f>
        <v>0</v>
      </c>
      <c r="W24" s="15" cm="1">
        <f t="array" ref="W24">+HLOOKUP($A$1,+[15]İcmal!$B$19:$AG$49,ROW(N22)+1,FALSE)</f>
        <v>0</v>
      </c>
      <c r="X24" s="15" cm="1">
        <f t="array" ref="X24">+HLOOKUP($A$1,+[16]İcmal!$B$19:$AG$49,ROW(O22)+1,FALSE)</f>
        <v>0</v>
      </c>
      <c r="Y24" s="15" cm="1">
        <f t="array" ref="Y24">+HLOOKUP($A$1,+[17]İcmal!$B$19:$AG$49,ROW(P22)+1,FALSE)</f>
        <v>0</v>
      </c>
      <c r="Z24" s="15" cm="1">
        <f t="array" ref="Z24">+HLOOKUP($A$1,+[18]İcmal!$B$19:$AG$49,ROW(Q22)+1,FALSE)</f>
        <v>0</v>
      </c>
      <c r="AA24" s="15" cm="1">
        <f t="array" ref="AA24">+HLOOKUP($A$1,+[19]İcmal!$B$19:$AG$49,ROW(R22)+1,FALSE)</f>
        <v>0</v>
      </c>
      <c r="AB24" s="15" cm="1">
        <f t="array" ref="AB24">+HLOOKUP($A$1,+[20]İcmal!$B$19:$AG$49,ROW(S22)+1,FALSE)</f>
        <v>0</v>
      </c>
      <c r="AC24" s="15" cm="1">
        <f t="array" ref="AC24">+HLOOKUP($A$1,+[21]İcmal!$B$19:$AG$49,ROW(T22)+1,FALSE)</f>
        <v>0</v>
      </c>
      <c r="AD24" s="15" cm="1">
        <f t="array" ref="AD24">+HLOOKUP($A$1,+[22]İcmal!$B$19:$AG$49,ROW(U22)+1,FALSE)</f>
        <v>0</v>
      </c>
      <c r="AE24" s="15" cm="1">
        <f t="array" ref="AE24">+HLOOKUP($A$1,+[23]İcmal!$B$19:$AG$49,ROW(V22)+1,FALSE)</f>
        <v>0</v>
      </c>
      <c r="AF24" s="15" cm="1">
        <f t="array" ref="AF24">+HLOOKUP($A$1,+[24]İcmal!$B$19:$AG$49,ROW(W22)+1,FALSE)</f>
        <v>0</v>
      </c>
      <c r="AG24" s="15" cm="1">
        <f t="array" ref="AG24">+HLOOKUP($A$1,+[25]İcmal!$B$19:$AG$49,ROW(X22)+1,FALSE)</f>
        <v>0</v>
      </c>
      <c r="AH24" s="15" cm="1">
        <f t="array" ref="AH24">+HLOOKUP($A$1,+[26]İcmal!$B$19:$AG$49,ROW(Y22)+1,FALSE)</f>
        <v>0</v>
      </c>
      <c r="AI24" s="15" cm="1">
        <f t="array" ref="AI24">+HLOOKUP($A$1,+[27]İcmal!$B$19:$AG$49,ROW(Z22)+1,FALSE)</f>
        <v>0</v>
      </c>
      <c r="AJ24" s="15" cm="1">
        <f t="array" ref="AJ24">+HLOOKUP($A$1,+[28]İcmal!$B$19:$AG$49,ROW(AA22)+1,FALSE)</f>
        <v>0</v>
      </c>
      <c r="AK24" s="15" cm="1">
        <f t="array" ref="AK24">+HLOOKUP($A$1,+[29]İcmal!$B$19:$AG$49,ROW(AB22)+1,FALSE)</f>
        <v>0</v>
      </c>
      <c r="AL24" s="15"/>
      <c r="AM24" s="15"/>
      <c r="AN24" s="15"/>
      <c r="AO24" s="15"/>
      <c r="AP24" s="15"/>
      <c r="AQ24" s="15"/>
      <c r="AR24" s="15"/>
      <c r="AS24" s="15"/>
      <c r="AT24" s="13"/>
    </row>
    <row r="25" spans="1:46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+HLOOKUP($A$1,+[2]İcmal!$B$19:$AG$49,ROW(A23)+1,FALSE)</f>
        <v>0</v>
      </c>
      <c r="K25" s="15" cm="1">
        <f t="array" ref="K25">+HLOOKUP($A$1,+[3]İcmal!$B$19:$AG$49,ROW(B23)+1,FALSE)</f>
        <v>0</v>
      </c>
      <c r="L25" s="15" cm="1">
        <f t="array" ref="L25">+HLOOKUP($A$1,+[4]İcmal!$B$19:$AG$49,ROW(C23)+1,FALSE)</f>
        <v>0</v>
      </c>
      <c r="M25" s="15" cm="1">
        <f t="array" ref="M25">+HLOOKUP($A$1,+[5]İcmal!$B$19:$AG$49,ROW(D23)+1,FALSE)</f>
        <v>0</v>
      </c>
      <c r="N25" s="15" cm="1">
        <f t="array" ref="N25">+HLOOKUP($A$1,+[6]İcmal!$B$19:$AG$49,ROW(E23)+1,FALSE)</f>
        <v>0</v>
      </c>
      <c r="O25" s="15" cm="1">
        <f t="array" ref="O25">+HLOOKUP($A$1,+[7]İcmal!$B$19:$AG$49,ROW(F23)+1,FALSE)</f>
        <v>0</v>
      </c>
      <c r="P25" s="15" cm="1">
        <f t="array" ref="P25">+HLOOKUP($A$1,+[8]İcmal!$B$19:$AG$49,ROW(G23)+1,FALSE)</f>
        <v>0</v>
      </c>
      <c r="Q25" s="15" cm="1">
        <f t="array" ref="Q25">+HLOOKUP($A$1,+[9]İcmal!$B$19:$AG$49,ROW(H23)+1,FALSE)</f>
        <v>0</v>
      </c>
      <c r="R25" s="15" cm="1">
        <f t="array" ref="R25">+HLOOKUP($A$1,+[10]İcmal!$B$19:$AG$49,ROW(I23)+1,FALSE)</f>
        <v>0</v>
      </c>
      <c r="S25" s="15" cm="1">
        <f t="array" ref="S25">+HLOOKUP($A$1,+[11]İcmal!$B$19:$AG$49,ROW(J23)+1,FALSE)</f>
        <v>0</v>
      </c>
      <c r="T25" s="15" cm="1">
        <f t="array" ref="T25">+HLOOKUP($A$1,+[12]İcmal!$B$19:$AG$49,ROW(K23)+1,FALSE)</f>
        <v>0</v>
      </c>
      <c r="U25" s="15" cm="1">
        <f t="array" ref="U25">+HLOOKUP($A$1,+[13]İcmal!$B$19:$AG$49,ROW(L23)+1,FALSE)</f>
        <v>0</v>
      </c>
      <c r="V25" s="15" cm="1">
        <f t="array" ref="V25">+HLOOKUP($A$1,+[14]İcmal!$B$19:$AG$49,ROW(M23)+1,FALSE)</f>
        <v>0</v>
      </c>
      <c r="W25" s="15" cm="1">
        <f t="array" ref="W25">+HLOOKUP($A$1,+[15]İcmal!$B$19:$AG$49,ROW(N23)+1,FALSE)</f>
        <v>0</v>
      </c>
      <c r="X25" s="15" cm="1">
        <f t="array" ref="X25">+HLOOKUP($A$1,+[16]İcmal!$B$19:$AG$49,ROW(O23)+1,FALSE)</f>
        <v>0</v>
      </c>
      <c r="Y25" s="15" cm="1">
        <f t="array" ref="Y25">+HLOOKUP($A$1,+[17]İcmal!$B$19:$AG$49,ROW(P23)+1,FALSE)</f>
        <v>0</v>
      </c>
      <c r="Z25" s="15" cm="1">
        <f t="array" ref="Z25">+HLOOKUP($A$1,+[18]İcmal!$B$19:$AG$49,ROW(Q23)+1,FALSE)</f>
        <v>0</v>
      </c>
      <c r="AA25" s="15" cm="1">
        <f t="array" ref="AA25">+HLOOKUP($A$1,+[19]İcmal!$B$19:$AG$49,ROW(R23)+1,FALSE)</f>
        <v>0</v>
      </c>
      <c r="AB25" s="15" cm="1">
        <f t="array" ref="AB25">+HLOOKUP($A$1,+[20]İcmal!$B$19:$AG$49,ROW(S23)+1,FALSE)</f>
        <v>0</v>
      </c>
      <c r="AC25" s="15" cm="1">
        <f t="array" ref="AC25">+HLOOKUP($A$1,+[21]İcmal!$B$19:$AG$49,ROW(T23)+1,FALSE)</f>
        <v>0</v>
      </c>
      <c r="AD25" s="15" cm="1">
        <f t="array" ref="AD25">+HLOOKUP($A$1,+[22]İcmal!$B$19:$AG$49,ROW(U23)+1,FALSE)</f>
        <v>0</v>
      </c>
      <c r="AE25" s="15" cm="1">
        <f t="array" ref="AE25">+HLOOKUP($A$1,+[23]İcmal!$B$19:$AG$49,ROW(V23)+1,FALSE)</f>
        <v>0</v>
      </c>
      <c r="AF25" s="15" cm="1">
        <f t="array" ref="AF25">+HLOOKUP($A$1,+[24]İcmal!$B$19:$AG$49,ROW(W23)+1,FALSE)</f>
        <v>0</v>
      </c>
      <c r="AG25" s="15" cm="1">
        <f t="array" ref="AG25">+HLOOKUP($A$1,+[25]İcmal!$B$19:$AG$49,ROW(X23)+1,FALSE)</f>
        <v>0</v>
      </c>
      <c r="AH25" s="15" cm="1">
        <f t="array" ref="AH25">+HLOOKUP($A$1,+[26]İcmal!$B$19:$AG$49,ROW(Y23)+1,FALSE)</f>
        <v>0</v>
      </c>
      <c r="AI25" s="15" cm="1">
        <f t="array" ref="AI25">+HLOOKUP($A$1,+[27]İcmal!$B$19:$AG$49,ROW(Z23)+1,FALSE)</f>
        <v>0</v>
      </c>
      <c r="AJ25" s="15" cm="1">
        <f t="array" ref="AJ25">+HLOOKUP($A$1,+[28]İcmal!$B$19:$AG$49,ROW(AA23)+1,FALSE)</f>
        <v>0</v>
      </c>
      <c r="AK25" s="15" cm="1">
        <f t="array" ref="AK25">+HLOOKUP($A$1,+[29]İcmal!$B$19:$AG$49,ROW(AB23)+1,FALSE)</f>
        <v>0</v>
      </c>
      <c r="AL25" s="15"/>
      <c r="AM25" s="15"/>
      <c r="AN25" s="15"/>
      <c r="AO25" s="15"/>
      <c r="AP25" s="15"/>
      <c r="AQ25" s="15"/>
      <c r="AR25" s="15"/>
      <c r="AS25" s="15"/>
      <c r="AT25" s="13"/>
    </row>
    <row r="26" spans="1:46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+HLOOKUP($A$1,+[2]İcmal!$B$19:$AG$49,ROW(A24)+1,FALSE)</f>
        <v>0</v>
      </c>
      <c r="K26" s="15" cm="1">
        <f t="array" ref="K26">+HLOOKUP($A$1,+[3]İcmal!$B$19:$AG$49,ROW(B24)+1,FALSE)</f>
        <v>0</v>
      </c>
      <c r="L26" s="15" cm="1">
        <f t="array" ref="L26">+HLOOKUP($A$1,+[4]İcmal!$B$19:$AG$49,ROW(C24)+1,FALSE)</f>
        <v>0</v>
      </c>
      <c r="M26" s="15" cm="1">
        <f t="array" ref="M26">+HLOOKUP($A$1,+[5]İcmal!$B$19:$AG$49,ROW(D24)+1,FALSE)</f>
        <v>0</v>
      </c>
      <c r="N26" s="15" cm="1">
        <f t="array" ref="N26">+HLOOKUP($A$1,+[6]İcmal!$B$19:$AG$49,ROW(E24)+1,FALSE)</f>
        <v>0</v>
      </c>
      <c r="O26" s="15" cm="1">
        <f t="array" ref="O26">+HLOOKUP($A$1,+[7]İcmal!$B$19:$AG$49,ROW(F24)+1,FALSE)</f>
        <v>0</v>
      </c>
      <c r="P26" s="15" cm="1">
        <f t="array" ref="P26">+HLOOKUP($A$1,+[8]İcmal!$B$19:$AG$49,ROW(G24)+1,FALSE)</f>
        <v>0</v>
      </c>
      <c r="Q26" s="15" cm="1">
        <f t="array" ref="Q26">+HLOOKUP($A$1,+[9]İcmal!$B$19:$AG$49,ROW(H24)+1,FALSE)</f>
        <v>0</v>
      </c>
      <c r="R26" s="15" cm="1">
        <f t="array" ref="R26">+HLOOKUP($A$1,+[10]İcmal!$B$19:$AG$49,ROW(I24)+1,FALSE)</f>
        <v>0</v>
      </c>
      <c r="S26" s="15" cm="1">
        <f t="array" ref="S26">+HLOOKUP($A$1,+[11]İcmal!$B$19:$AG$49,ROW(J24)+1,FALSE)</f>
        <v>0</v>
      </c>
      <c r="T26" s="15" cm="1">
        <f t="array" ref="T26">+HLOOKUP($A$1,+[12]İcmal!$B$19:$AG$49,ROW(K24)+1,FALSE)</f>
        <v>0</v>
      </c>
      <c r="U26" s="15" cm="1">
        <f t="array" ref="U26">+HLOOKUP($A$1,+[13]İcmal!$B$19:$AG$49,ROW(L24)+1,FALSE)</f>
        <v>0</v>
      </c>
      <c r="V26" s="15" cm="1">
        <f t="array" ref="V26">+HLOOKUP($A$1,+[14]İcmal!$B$19:$AG$49,ROW(M24)+1,FALSE)</f>
        <v>0</v>
      </c>
      <c r="W26" s="15" cm="1">
        <f t="array" ref="W26">+HLOOKUP($A$1,+[15]İcmal!$B$19:$AG$49,ROW(N24)+1,FALSE)</f>
        <v>0</v>
      </c>
      <c r="X26" s="15" cm="1">
        <f t="array" ref="X26">+HLOOKUP($A$1,+[16]İcmal!$B$19:$AG$49,ROW(O24)+1,FALSE)</f>
        <v>0</v>
      </c>
      <c r="Y26" s="15" cm="1">
        <f t="array" ref="Y26">+HLOOKUP($A$1,+[17]İcmal!$B$19:$AG$49,ROW(P24)+1,FALSE)</f>
        <v>0</v>
      </c>
      <c r="Z26" s="15" cm="1">
        <f t="array" ref="Z26">+HLOOKUP($A$1,+[18]İcmal!$B$19:$AG$49,ROW(Q24)+1,FALSE)</f>
        <v>0</v>
      </c>
      <c r="AA26" s="15" cm="1">
        <f t="array" ref="AA26">+HLOOKUP($A$1,+[19]İcmal!$B$19:$AG$49,ROW(R24)+1,FALSE)</f>
        <v>0</v>
      </c>
      <c r="AB26" s="15" cm="1">
        <f t="array" ref="AB26">+HLOOKUP($A$1,+[20]İcmal!$B$19:$AG$49,ROW(S24)+1,FALSE)</f>
        <v>0</v>
      </c>
      <c r="AC26" s="15" cm="1">
        <f t="array" ref="AC26">+HLOOKUP($A$1,+[21]İcmal!$B$19:$AG$49,ROW(T24)+1,FALSE)</f>
        <v>0</v>
      </c>
      <c r="AD26" s="15" cm="1">
        <f t="array" ref="AD26">+HLOOKUP($A$1,+[22]İcmal!$B$19:$AG$49,ROW(U24)+1,FALSE)</f>
        <v>0</v>
      </c>
      <c r="AE26" s="15" cm="1">
        <f t="array" ref="AE26">+HLOOKUP($A$1,+[23]İcmal!$B$19:$AG$49,ROW(V24)+1,FALSE)</f>
        <v>0</v>
      </c>
      <c r="AF26" s="15" cm="1">
        <f t="array" ref="AF26">+HLOOKUP($A$1,+[24]İcmal!$B$19:$AG$49,ROW(W24)+1,FALSE)</f>
        <v>0</v>
      </c>
      <c r="AG26" s="15" cm="1">
        <f t="array" ref="AG26">+HLOOKUP($A$1,+[25]İcmal!$B$19:$AG$49,ROW(X24)+1,FALSE)</f>
        <v>0</v>
      </c>
      <c r="AH26" s="15" cm="1">
        <f t="array" ref="AH26">+HLOOKUP($A$1,+[26]İcmal!$B$19:$AG$49,ROW(Y24)+1,FALSE)</f>
        <v>0</v>
      </c>
      <c r="AI26" s="15" cm="1">
        <f t="array" ref="AI26">+HLOOKUP($A$1,+[27]İcmal!$B$19:$AG$49,ROW(Z24)+1,FALSE)</f>
        <v>0</v>
      </c>
      <c r="AJ26" s="15" cm="1">
        <f t="array" ref="AJ26">+HLOOKUP($A$1,+[28]İcmal!$B$19:$AG$49,ROW(AA24)+1,FALSE)</f>
        <v>0</v>
      </c>
      <c r="AK26" s="15" cm="1">
        <f t="array" ref="AK26">+HLOOKUP($A$1,+[29]İcmal!$B$19:$AG$49,ROW(AB24)+1,FALSE)</f>
        <v>0</v>
      </c>
      <c r="AL26" s="15"/>
      <c r="AM26" s="15"/>
      <c r="AN26" s="15"/>
      <c r="AO26" s="15"/>
      <c r="AP26" s="15"/>
      <c r="AQ26" s="15"/>
      <c r="AR26" s="15"/>
      <c r="AS26" s="15"/>
      <c r="AT26" s="13"/>
    </row>
    <row r="27" spans="1:46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+HLOOKUP($A$1,+[2]İcmal!$B$19:$AG$49,ROW(A25)+1,FALSE)</f>
        <v>0</v>
      </c>
      <c r="K27" s="15" cm="1">
        <f t="array" ref="K27">+HLOOKUP($A$1,+[3]İcmal!$B$19:$AG$49,ROW(B25)+1,FALSE)</f>
        <v>0</v>
      </c>
      <c r="L27" s="15" cm="1">
        <f t="array" ref="L27">+HLOOKUP($A$1,+[4]İcmal!$B$19:$AG$49,ROW(C25)+1,FALSE)</f>
        <v>0</v>
      </c>
      <c r="M27" s="15" cm="1">
        <f t="array" ref="M27">+HLOOKUP($A$1,+[5]İcmal!$B$19:$AG$49,ROW(D25)+1,FALSE)</f>
        <v>0</v>
      </c>
      <c r="N27" s="15" cm="1">
        <f t="array" ref="N27">+HLOOKUP($A$1,+[6]İcmal!$B$19:$AG$49,ROW(E25)+1,FALSE)</f>
        <v>0</v>
      </c>
      <c r="O27" s="15" cm="1">
        <f t="array" ref="O27">+HLOOKUP($A$1,+[7]İcmal!$B$19:$AG$49,ROW(F25)+1,FALSE)</f>
        <v>0</v>
      </c>
      <c r="P27" s="15" cm="1">
        <f t="array" ref="P27">+HLOOKUP($A$1,+[8]İcmal!$B$19:$AG$49,ROW(G25)+1,FALSE)</f>
        <v>0</v>
      </c>
      <c r="Q27" s="15" cm="1">
        <f t="array" ref="Q27">+HLOOKUP($A$1,+[9]İcmal!$B$19:$AG$49,ROW(H25)+1,FALSE)</f>
        <v>0</v>
      </c>
      <c r="R27" s="15" cm="1">
        <f t="array" ref="R27">+HLOOKUP($A$1,+[10]İcmal!$B$19:$AG$49,ROW(I25)+1,FALSE)</f>
        <v>0</v>
      </c>
      <c r="S27" s="15" cm="1">
        <f t="array" ref="S27">+HLOOKUP($A$1,+[11]İcmal!$B$19:$AG$49,ROW(J25)+1,FALSE)</f>
        <v>0</v>
      </c>
      <c r="T27" s="15" cm="1">
        <f t="array" ref="T27">+HLOOKUP($A$1,+[12]İcmal!$B$19:$AG$49,ROW(K25)+1,FALSE)</f>
        <v>0</v>
      </c>
      <c r="U27" s="15" cm="1">
        <f t="array" ref="U27">+HLOOKUP($A$1,+[13]İcmal!$B$19:$AG$49,ROW(L25)+1,FALSE)</f>
        <v>0</v>
      </c>
      <c r="V27" s="15" cm="1">
        <f t="array" ref="V27">+HLOOKUP($A$1,+[14]İcmal!$B$19:$AG$49,ROW(M25)+1,FALSE)</f>
        <v>0</v>
      </c>
      <c r="W27" s="15" cm="1">
        <f t="array" ref="W27">+HLOOKUP($A$1,+[15]İcmal!$B$19:$AG$49,ROW(N25)+1,FALSE)</f>
        <v>0</v>
      </c>
      <c r="X27" s="15" cm="1">
        <f t="array" ref="X27">+HLOOKUP($A$1,+[16]İcmal!$B$19:$AG$49,ROW(O25)+1,FALSE)</f>
        <v>0</v>
      </c>
      <c r="Y27" s="15" cm="1">
        <f t="array" ref="Y27">+HLOOKUP($A$1,+[17]İcmal!$B$19:$AG$49,ROW(P25)+1,FALSE)</f>
        <v>0</v>
      </c>
      <c r="Z27" s="15" cm="1">
        <f t="array" ref="Z27">+HLOOKUP($A$1,+[18]İcmal!$B$19:$AG$49,ROW(Q25)+1,FALSE)</f>
        <v>0</v>
      </c>
      <c r="AA27" s="15" cm="1">
        <f t="array" ref="AA27">+HLOOKUP($A$1,+[19]İcmal!$B$19:$AG$49,ROW(R25)+1,FALSE)</f>
        <v>0</v>
      </c>
      <c r="AB27" s="15" cm="1">
        <f t="array" ref="AB27">+HLOOKUP($A$1,+[20]İcmal!$B$19:$AG$49,ROW(S25)+1,FALSE)</f>
        <v>0</v>
      </c>
      <c r="AC27" s="15" cm="1">
        <f t="array" ref="AC27">+HLOOKUP($A$1,+[21]İcmal!$B$19:$AG$49,ROW(T25)+1,FALSE)</f>
        <v>0</v>
      </c>
      <c r="AD27" s="15" cm="1">
        <f t="array" ref="AD27">+HLOOKUP($A$1,+[22]İcmal!$B$19:$AG$49,ROW(U25)+1,FALSE)</f>
        <v>0</v>
      </c>
      <c r="AE27" s="15" cm="1">
        <f t="array" ref="AE27">+HLOOKUP($A$1,+[23]İcmal!$B$19:$AG$49,ROW(V25)+1,FALSE)</f>
        <v>0</v>
      </c>
      <c r="AF27" s="15" cm="1">
        <f t="array" ref="AF27">+HLOOKUP($A$1,+[24]İcmal!$B$19:$AG$49,ROW(W25)+1,FALSE)</f>
        <v>0</v>
      </c>
      <c r="AG27" s="15" cm="1">
        <f t="array" ref="AG27">+HLOOKUP($A$1,+[25]İcmal!$B$19:$AG$49,ROW(X25)+1,FALSE)</f>
        <v>0</v>
      </c>
      <c r="AH27" s="15" cm="1">
        <f t="array" ref="AH27">+HLOOKUP($A$1,+[26]İcmal!$B$19:$AG$49,ROW(Y25)+1,FALSE)</f>
        <v>0</v>
      </c>
      <c r="AI27" s="15" cm="1">
        <f t="array" ref="AI27">+HLOOKUP($A$1,+[27]İcmal!$B$19:$AG$49,ROW(Z25)+1,FALSE)</f>
        <v>0</v>
      </c>
      <c r="AJ27" s="15" cm="1">
        <f t="array" ref="AJ27">+HLOOKUP($A$1,+[28]İcmal!$B$19:$AG$49,ROW(AA25)+1,FALSE)</f>
        <v>0</v>
      </c>
      <c r="AK27" s="15" cm="1">
        <f t="array" ref="AK27">+HLOOKUP($A$1,+[29]İcmal!$B$19:$AG$49,ROW(AB25)+1,FALSE)</f>
        <v>0</v>
      </c>
      <c r="AL27" s="15"/>
      <c r="AM27" s="15"/>
      <c r="AN27" s="15"/>
      <c r="AO27" s="15"/>
      <c r="AP27" s="15"/>
      <c r="AQ27" s="15"/>
      <c r="AR27" s="15"/>
      <c r="AS27" s="15"/>
      <c r="AT27" s="13"/>
    </row>
    <row r="28" spans="1:46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9.577</v>
      </c>
      <c r="I28" s="9">
        <f t="shared" si="2"/>
        <v>442936.25</v>
      </c>
      <c r="J28" s="15" cm="1">
        <f t="array" ref="J28">+HLOOKUP($A$1,+[2]İcmal!$B$19:$AG$49,ROW(A26)+1,FALSE)</f>
        <v>2.7149999999999999</v>
      </c>
      <c r="K28" s="15" cm="1">
        <f t="array" ref="K28">+HLOOKUP($A$1,+[3]İcmal!$B$19:$AG$49,ROW(B26)+1,FALSE)</f>
        <v>1.5119999999999996</v>
      </c>
      <c r="L28" s="15" cm="1">
        <f t="array" ref="L28">+HLOOKUP($A$1,+[4]İcmal!$B$19:$AG$49,ROW(C26)+1,FALSE)</f>
        <v>0</v>
      </c>
      <c r="M28" s="15" cm="1">
        <f t="array" ref="M28">+HLOOKUP($A$1,+[5]İcmal!$B$19:$AG$49,ROW(D26)+1,FALSE)</f>
        <v>0</v>
      </c>
      <c r="N28" s="15" cm="1">
        <f t="array" ref="N28">+HLOOKUP($A$1,+[6]İcmal!$B$19:$AG$49,ROW(E26)+1,FALSE)</f>
        <v>1.2029999999999998</v>
      </c>
      <c r="O28" s="15" cm="1">
        <f t="array" ref="O28">+HLOOKUP($A$1,+[7]İcmal!$B$19:$AG$49,ROW(F26)+1,FALSE)</f>
        <v>0</v>
      </c>
      <c r="P28" s="15" cm="1">
        <f t="array" ref="P28">+HLOOKUP($A$1,+[8]İcmal!$B$19:$AG$49,ROW(G26)+1,FALSE)</f>
        <v>0</v>
      </c>
      <c r="Q28" s="15" cm="1">
        <f t="array" ref="Q28">+HLOOKUP($A$1,+[9]İcmal!$B$19:$AG$49,ROW(H26)+1,FALSE)</f>
        <v>0</v>
      </c>
      <c r="R28" s="15" cm="1">
        <f t="array" ref="R28">+HLOOKUP($A$1,+[10]İcmal!$B$19:$AG$49,ROW(I26)+1,FALSE)</f>
        <v>0</v>
      </c>
      <c r="S28" s="15" cm="1">
        <f t="array" ref="S28">+HLOOKUP($A$1,+[11]İcmal!$B$19:$AG$49,ROW(J26)+1,FALSE)</f>
        <v>0</v>
      </c>
      <c r="T28" s="15" cm="1">
        <f t="array" ref="T28">+HLOOKUP($A$1,+[12]İcmal!$B$19:$AG$49,ROW(K26)+1,FALSE)</f>
        <v>0</v>
      </c>
      <c r="U28" s="15" cm="1">
        <f t="array" ref="U28">+HLOOKUP($A$1,+[13]İcmal!$B$19:$AG$49,ROW(L26)+1,FALSE)</f>
        <v>0</v>
      </c>
      <c r="V28" s="15" cm="1">
        <f t="array" ref="V28">+HLOOKUP($A$1,+[14]İcmal!$B$19:$AG$49,ROW(M26)+1,FALSE)</f>
        <v>2.6669999999999998</v>
      </c>
      <c r="W28" s="15" cm="1">
        <f t="array" ref="W28">+HLOOKUP($A$1,+[15]İcmal!$B$19:$AG$49,ROW(N26)+1,FALSE)</f>
        <v>1.4799999999999998</v>
      </c>
      <c r="X28" s="15" cm="1">
        <f t="array" ref="X28">+HLOOKUP($A$1,+[16]İcmal!$B$19:$AG$49,ROW(O26)+1,FALSE)</f>
        <v>0</v>
      </c>
      <c r="Y28" s="15" cm="1">
        <f t="array" ref="Y28">+HLOOKUP($A$1,+[17]İcmal!$B$19:$AG$49,ROW(P26)+1,FALSE)</f>
        <v>0</v>
      </c>
      <c r="Z28" s="15" cm="1">
        <f t="array" ref="Z28">+HLOOKUP($A$1,+[18]İcmal!$B$19:$AG$49,ROW(Q26)+1,FALSE)</f>
        <v>0</v>
      </c>
      <c r="AA28" s="15" cm="1">
        <f t="array" ref="AA28">+HLOOKUP($A$1,+[19]İcmal!$B$19:$AG$49,ROW(R26)+1,FALSE)</f>
        <v>0</v>
      </c>
      <c r="AB28" s="15" cm="1">
        <f t="array" ref="AB28">+HLOOKUP($A$1,+[20]İcmal!$B$19:$AG$49,ROW(S26)+1,FALSE)</f>
        <v>0</v>
      </c>
      <c r="AC28" s="15" cm="1">
        <f t="array" ref="AC28">+HLOOKUP($A$1,+[21]İcmal!$B$19:$AG$49,ROW(T26)+1,FALSE)</f>
        <v>0</v>
      </c>
      <c r="AD28" s="15" cm="1">
        <f t="array" ref="AD28">+HLOOKUP($A$1,+[22]İcmal!$B$19:$AG$49,ROW(U26)+1,FALSE)</f>
        <v>0</v>
      </c>
      <c r="AE28" s="15" cm="1">
        <f t="array" ref="AE28">+HLOOKUP($A$1,+[23]İcmal!$B$19:$AG$49,ROW(V26)+1,FALSE)</f>
        <v>0</v>
      </c>
      <c r="AF28" s="15" cm="1">
        <f t="array" ref="AF28">+HLOOKUP($A$1,+[24]İcmal!$B$19:$AG$49,ROW(W26)+1,FALSE)</f>
        <v>0</v>
      </c>
      <c r="AG28" s="15" cm="1">
        <f t="array" ref="AG28">+HLOOKUP($A$1,+[25]İcmal!$B$19:$AG$49,ROW(X26)+1,FALSE)</f>
        <v>0</v>
      </c>
      <c r="AH28" s="15" cm="1">
        <f t="array" ref="AH28">+HLOOKUP($A$1,+[26]İcmal!$B$19:$AG$49,ROW(Y26)+1,FALSE)</f>
        <v>0</v>
      </c>
      <c r="AI28" s="15" cm="1">
        <f t="array" ref="AI28">+HLOOKUP($A$1,+[27]İcmal!$B$19:$AG$49,ROW(Z26)+1,FALSE)</f>
        <v>0</v>
      </c>
      <c r="AJ28" s="15" cm="1">
        <f t="array" ref="AJ28">+HLOOKUP($A$1,+[28]İcmal!$B$19:$AG$49,ROW(AA26)+1,FALSE)</f>
        <v>0</v>
      </c>
      <c r="AK28" s="15" cm="1">
        <f t="array" ref="AK28">+HLOOKUP($A$1,+[29]İcmal!$B$19:$AG$49,ROW(AB26)+1,FALSE)</f>
        <v>0</v>
      </c>
      <c r="AL28" s="15"/>
      <c r="AM28" s="15"/>
      <c r="AN28" s="15"/>
      <c r="AO28" s="15"/>
      <c r="AP28" s="15"/>
      <c r="AQ28" s="15"/>
      <c r="AR28" s="15"/>
      <c r="AS28" s="15"/>
      <c r="AT28" s="13"/>
    </row>
    <row r="29" spans="1:46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+HLOOKUP($A$1,+[2]İcmal!$B$19:$AG$49,ROW(A27)+1,FALSE)</f>
        <v>0</v>
      </c>
      <c r="K29" s="15" cm="1">
        <f t="array" ref="K29">+HLOOKUP($A$1,+[3]İcmal!$B$19:$AG$49,ROW(B27)+1,FALSE)</f>
        <v>0</v>
      </c>
      <c r="L29" s="15" cm="1">
        <f t="array" ref="L29">+HLOOKUP($A$1,+[4]İcmal!$B$19:$AG$49,ROW(C27)+1,FALSE)</f>
        <v>0</v>
      </c>
      <c r="M29" s="15" cm="1">
        <f t="array" ref="M29">+HLOOKUP($A$1,+[5]İcmal!$B$19:$AG$49,ROW(D27)+1,FALSE)</f>
        <v>0</v>
      </c>
      <c r="N29" s="15" cm="1">
        <f t="array" ref="N29">+HLOOKUP($A$1,+[6]İcmal!$B$19:$AG$49,ROW(E27)+1,FALSE)</f>
        <v>0</v>
      </c>
      <c r="O29" s="15" cm="1">
        <f t="array" ref="O29">+HLOOKUP($A$1,+[7]İcmal!$B$19:$AG$49,ROW(F27)+1,FALSE)</f>
        <v>0</v>
      </c>
      <c r="P29" s="15" cm="1">
        <f t="array" ref="P29">+HLOOKUP($A$1,+[8]İcmal!$B$19:$AG$49,ROW(G27)+1,FALSE)</f>
        <v>0</v>
      </c>
      <c r="Q29" s="15" cm="1">
        <f t="array" ref="Q29">+HLOOKUP($A$1,+[9]İcmal!$B$19:$AG$49,ROW(H27)+1,FALSE)</f>
        <v>0</v>
      </c>
      <c r="R29" s="15" cm="1">
        <f t="array" ref="R29">+HLOOKUP($A$1,+[10]İcmal!$B$19:$AG$49,ROW(I27)+1,FALSE)</f>
        <v>0</v>
      </c>
      <c r="S29" s="15" cm="1">
        <f t="array" ref="S29">+HLOOKUP($A$1,+[11]İcmal!$B$19:$AG$49,ROW(J27)+1,FALSE)</f>
        <v>0</v>
      </c>
      <c r="T29" s="15" cm="1">
        <f t="array" ref="T29">+HLOOKUP($A$1,+[12]İcmal!$B$19:$AG$49,ROW(K27)+1,FALSE)</f>
        <v>0</v>
      </c>
      <c r="U29" s="15" cm="1">
        <f t="array" ref="U29">+HLOOKUP($A$1,+[13]İcmal!$B$19:$AG$49,ROW(L27)+1,FALSE)</f>
        <v>0</v>
      </c>
      <c r="V29" s="15" cm="1">
        <f t="array" ref="V29">+HLOOKUP($A$1,+[14]İcmal!$B$19:$AG$49,ROW(M27)+1,FALSE)</f>
        <v>0</v>
      </c>
      <c r="W29" s="15" cm="1">
        <f t="array" ref="W29">+HLOOKUP($A$1,+[15]İcmal!$B$19:$AG$49,ROW(N27)+1,FALSE)</f>
        <v>0</v>
      </c>
      <c r="X29" s="15" cm="1">
        <f t="array" ref="X29">+HLOOKUP($A$1,+[16]İcmal!$B$19:$AG$49,ROW(O27)+1,FALSE)</f>
        <v>0</v>
      </c>
      <c r="Y29" s="15" cm="1">
        <f t="array" ref="Y29">+HLOOKUP($A$1,+[17]İcmal!$B$19:$AG$49,ROW(P27)+1,FALSE)</f>
        <v>0</v>
      </c>
      <c r="Z29" s="15" cm="1">
        <f t="array" ref="Z29">+HLOOKUP($A$1,+[18]İcmal!$B$19:$AG$49,ROW(Q27)+1,FALSE)</f>
        <v>0</v>
      </c>
      <c r="AA29" s="15" cm="1">
        <f t="array" ref="AA29">+HLOOKUP($A$1,+[19]İcmal!$B$19:$AG$49,ROW(R27)+1,FALSE)</f>
        <v>0</v>
      </c>
      <c r="AB29" s="15" cm="1">
        <f t="array" ref="AB29">+HLOOKUP($A$1,+[20]İcmal!$B$19:$AG$49,ROW(S27)+1,FALSE)</f>
        <v>0</v>
      </c>
      <c r="AC29" s="15" cm="1">
        <f t="array" ref="AC29">+HLOOKUP($A$1,+[21]İcmal!$B$19:$AG$49,ROW(T27)+1,FALSE)</f>
        <v>0</v>
      </c>
      <c r="AD29" s="15" cm="1">
        <f t="array" ref="AD29">+HLOOKUP($A$1,+[22]İcmal!$B$19:$AG$49,ROW(U27)+1,FALSE)</f>
        <v>0</v>
      </c>
      <c r="AE29" s="15" cm="1">
        <f t="array" ref="AE29">+HLOOKUP($A$1,+[23]İcmal!$B$19:$AG$49,ROW(V27)+1,FALSE)</f>
        <v>0</v>
      </c>
      <c r="AF29" s="15" cm="1">
        <f t="array" ref="AF29">+HLOOKUP($A$1,+[24]İcmal!$B$19:$AG$49,ROW(W27)+1,FALSE)</f>
        <v>0</v>
      </c>
      <c r="AG29" s="15" cm="1">
        <f t="array" ref="AG29">+HLOOKUP($A$1,+[25]İcmal!$B$19:$AG$49,ROW(X27)+1,FALSE)</f>
        <v>0</v>
      </c>
      <c r="AH29" s="15" cm="1">
        <f t="array" ref="AH29">+HLOOKUP($A$1,+[26]İcmal!$B$19:$AG$49,ROW(Y27)+1,FALSE)</f>
        <v>0</v>
      </c>
      <c r="AI29" s="15" cm="1">
        <f t="array" ref="AI29">+HLOOKUP($A$1,+[27]İcmal!$B$19:$AG$49,ROW(Z27)+1,FALSE)</f>
        <v>0</v>
      </c>
      <c r="AJ29" s="15" cm="1">
        <f t="array" ref="AJ29">+HLOOKUP($A$1,+[28]İcmal!$B$19:$AG$49,ROW(AA27)+1,FALSE)</f>
        <v>0</v>
      </c>
      <c r="AK29" s="15" cm="1">
        <f t="array" ref="AK29">+HLOOKUP($A$1,+[29]İcmal!$B$19:$AG$49,ROW(AB27)+1,FALSE)</f>
        <v>0</v>
      </c>
      <c r="AL29" s="15"/>
      <c r="AM29" s="15"/>
      <c r="AN29" s="15"/>
      <c r="AO29" s="15"/>
      <c r="AP29" s="15"/>
      <c r="AQ29" s="15"/>
      <c r="AR29" s="15"/>
      <c r="AS29" s="15"/>
      <c r="AT29" s="13"/>
    </row>
    <row r="30" spans="1:46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45.983999999999995</v>
      </c>
      <c r="I30" s="9">
        <f t="shared" si="2"/>
        <v>4475760.6719999993</v>
      </c>
      <c r="J30" s="15" cm="1">
        <f t="array" ref="J30">+HLOOKUP($A$1,+[2]İcmal!$B$19:$AG$49,ROW(A28)+1,FALSE)</f>
        <v>12.370000000000001</v>
      </c>
      <c r="K30" s="15" cm="1">
        <f t="array" ref="K30">+HLOOKUP($A$1,+[3]İcmal!$B$19:$AG$49,ROW(B28)+1,FALSE)</f>
        <v>9.3060000000000027</v>
      </c>
      <c r="L30" s="15" cm="1">
        <f t="array" ref="L30">+HLOOKUP($A$1,+[4]İcmal!$B$19:$AG$49,ROW(C28)+1,FALSE)</f>
        <v>0</v>
      </c>
      <c r="M30" s="15" cm="1">
        <f t="array" ref="M30">+HLOOKUP($A$1,+[5]İcmal!$B$19:$AG$49,ROW(D28)+1,FALSE)</f>
        <v>0</v>
      </c>
      <c r="N30" s="15" cm="1">
        <f t="array" ref="N30">+HLOOKUP($A$1,+[6]İcmal!$B$19:$AG$49,ROW(E28)+1,FALSE)</f>
        <v>4.2719999999999994</v>
      </c>
      <c r="O30" s="15" cm="1">
        <f t="array" ref="O30">+HLOOKUP($A$1,+[7]İcmal!$B$19:$AG$49,ROW(F28)+1,FALSE)</f>
        <v>0</v>
      </c>
      <c r="P30" s="15" cm="1">
        <f t="array" ref="P30">+HLOOKUP($A$1,+[8]İcmal!$B$19:$AG$49,ROW(G28)+1,FALSE)</f>
        <v>0</v>
      </c>
      <c r="Q30" s="15" cm="1">
        <f t="array" ref="Q30">+HLOOKUP($A$1,+[9]İcmal!$B$19:$AG$49,ROW(H28)+1,FALSE)</f>
        <v>0</v>
      </c>
      <c r="R30" s="15" cm="1">
        <f t="array" ref="R30">+HLOOKUP($A$1,+[10]İcmal!$B$19:$AG$49,ROW(I28)+1,FALSE)</f>
        <v>0</v>
      </c>
      <c r="S30" s="15" cm="1">
        <f t="array" ref="S30">+HLOOKUP($A$1,+[11]İcmal!$B$19:$AG$49,ROW(J28)+1,FALSE)</f>
        <v>0</v>
      </c>
      <c r="T30" s="15" cm="1">
        <f t="array" ref="T30">+HLOOKUP($A$1,+[12]İcmal!$B$19:$AG$49,ROW(K28)+1,FALSE)</f>
        <v>0</v>
      </c>
      <c r="U30" s="15" cm="1">
        <f t="array" ref="U30">+HLOOKUP($A$1,+[13]İcmal!$B$19:$AG$49,ROW(L28)+1,FALSE)</f>
        <v>0</v>
      </c>
      <c r="V30" s="15" cm="1">
        <f t="array" ref="V30">+HLOOKUP($A$1,+[14]İcmal!$B$19:$AG$49,ROW(M28)+1,FALSE)</f>
        <v>11.376000000000001</v>
      </c>
      <c r="W30" s="15" cm="1">
        <f t="array" ref="W30">+HLOOKUP($A$1,+[15]İcmal!$B$19:$AG$49,ROW(N28)+1,FALSE)</f>
        <v>8.66</v>
      </c>
      <c r="X30" s="15" cm="1">
        <f t="array" ref="X30">+HLOOKUP($A$1,+[16]İcmal!$B$19:$AG$49,ROW(O28)+1,FALSE)</f>
        <v>0</v>
      </c>
      <c r="Y30" s="15" cm="1">
        <f t="array" ref="Y30">+HLOOKUP($A$1,+[17]İcmal!$B$19:$AG$49,ROW(P28)+1,FALSE)</f>
        <v>0</v>
      </c>
      <c r="Z30" s="15" cm="1">
        <f t="array" ref="Z30">+HLOOKUP($A$1,+[18]İcmal!$B$19:$AG$49,ROW(Q28)+1,FALSE)</f>
        <v>0</v>
      </c>
      <c r="AA30" s="15" cm="1">
        <f t="array" ref="AA30">+HLOOKUP($A$1,+[19]İcmal!$B$19:$AG$49,ROW(R28)+1,FALSE)</f>
        <v>0</v>
      </c>
      <c r="AB30" s="15" cm="1">
        <f t="array" ref="AB30">+HLOOKUP($A$1,+[20]İcmal!$B$19:$AG$49,ROW(S28)+1,FALSE)</f>
        <v>0</v>
      </c>
      <c r="AC30" s="15" cm="1">
        <f t="array" ref="AC30">+HLOOKUP($A$1,+[21]İcmal!$B$19:$AG$49,ROW(T28)+1,FALSE)</f>
        <v>0</v>
      </c>
      <c r="AD30" s="15" cm="1">
        <f t="array" ref="AD30">+HLOOKUP($A$1,+[22]İcmal!$B$19:$AG$49,ROW(U28)+1,FALSE)</f>
        <v>0</v>
      </c>
      <c r="AE30" s="15" cm="1">
        <f t="array" ref="AE30">+HLOOKUP($A$1,+[23]İcmal!$B$19:$AG$49,ROW(V28)+1,FALSE)</f>
        <v>0</v>
      </c>
      <c r="AF30" s="15" cm="1">
        <f t="array" ref="AF30">+HLOOKUP($A$1,+[24]İcmal!$B$19:$AG$49,ROW(W28)+1,FALSE)</f>
        <v>0</v>
      </c>
      <c r="AG30" s="15" cm="1">
        <f t="array" ref="AG30">+HLOOKUP($A$1,+[25]İcmal!$B$19:$AG$49,ROW(X28)+1,FALSE)</f>
        <v>0</v>
      </c>
      <c r="AH30" s="15" cm="1">
        <f t="array" ref="AH30">+HLOOKUP($A$1,+[26]İcmal!$B$19:$AG$49,ROW(Y28)+1,FALSE)</f>
        <v>0</v>
      </c>
      <c r="AI30" s="15" cm="1">
        <f t="array" ref="AI30">+HLOOKUP($A$1,+[27]İcmal!$B$19:$AG$49,ROW(Z28)+1,FALSE)</f>
        <v>0</v>
      </c>
      <c r="AJ30" s="15" cm="1">
        <f t="array" ref="AJ30">+HLOOKUP($A$1,+[28]İcmal!$B$19:$AG$49,ROW(AA28)+1,FALSE)</f>
        <v>0</v>
      </c>
      <c r="AK30" s="15" cm="1">
        <f t="array" ref="AK30">+HLOOKUP($A$1,+[29]İcmal!$B$19:$AG$49,ROW(AB28)+1,FALSE)</f>
        <v>0</v>
      </c>
      <c r="AL30" s="15"/>
      <c r="AM30" s="15"/>
      <c r="AN30" s="15"/>
      <c r="AO30" s="15"/>
      <c r="AP30" s="15"/>
      <c r="AQ30" s="15"/>
      <c r="AR30" s="15"/>
      <c r="AS30" s="15"/>
      <c r="AT30" s="13"/>
    </row>
    <row r="31" spans="1:46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+HLOOKUP($A$1,+[2]İcmal!$B$19:$AG$49,ROW(A29)+1,FALSE)</f>
        <v>0</v>
      </c>
      <c r="K31" s="15" cm="1">
        <f t="array" ref="K31">+HLOOKUP($A$1,+[3]İcmal!$B$19:$AG$49,ROW(B29)+1,FALSE)</f>
        <v>0</v>
      </c>
      <c r="L31" s="15" cm="1">
        <f t="array" ref="L31">+HLOOKUP($A$1,+[4]İcmal!$B$19:$AG$49,ROW(C29)+1,FALSE)</f>
        <v>0</v>
      </c>
      <c r="M31" s="15" cm="1">
        <f t="array" ref="M31">+HLOOKUP($A$1,+[5]İcmal!$B$19:$AG$49,ROW(D29)+1,FALSE)</f>
        <v>0</v>
      </c>
      <c r="N31" s="15" cm="1">
        <f t="array" ref="N31">+HLOOKUP($A$1,+[6]İcmal!$B$19:$AG$49,ROW(E29)+1,FALSE)</f>
        <v>0</v>
      </c>
      <c r="O31" s="15" cm="1">
        <f t="array" ref="O31">+HLOOKUP($A$1,+[7]İcmal!$B$19:$AG$49,ROW(F29)+1,FALSE)</f>
        <v>0</v>
      </c>
      <c r="P31" s="15" cm="1">
        <f t="array" ref="P31">+HLOOKUP($A$1,+[8]İcmal!$B$19:$AG$49,ROW(G29)+1,FALSE)</f>
        <v>0</v>
      </c>
      <c r="Q31" s="15" cm="1">
        <f t="array" ref="Q31">+HLOOKUP($A$1,+[9]İcmal!$B$19:$AG$49,ROW(H29)+1,FALSE)</f>
        <v>0</v>
      </c>
      <c r="R31" s="15" cm="1">
        <f t="array" ref="R31">+HLOOKUP($A$1,+[10]İcmal!$B$19:$AG$49,ROW(I29)+1,FALSE)</f>
        <v>0</v>
      </c>
      <c r="S31" s="15" cm="1">
        <f t="array" ref="S31">+HLOOKUP($A$1,+[11]İcmal!$B$19:$AG$49,ROW(J29)+1,FALSE)</f>
        <v>0</v>
      </c>
      <c r="T31" s="15" cm="1">
        <f t="array" ref="T31">+HLOOKUP($A$1,+[12]İcmal!$B$19:$AG$49,ROW(K29)+1,FALSE)</f>
        <v>0</v>
      </c>
      <c r="U31" s="15" cm="1">
        <f t="array" ref="U31">+HLOOKUP($A$1,+[13]İcmal!$B$19:$AG$49,ROW(L29)+1,FALSE)</f>
        <v>0</v>
      </c>
      <c r="V31" s="15" cm="1">
        <f t="array" ref="V31">+HLOOKUP($A$1,+[14]İcmal!$B$19:$AG$49,ROW(M29)+1,FALSE)</f>
        <v>0</v>
      </c>
      <c r="W31" s="15" cm="1">
        <f t="array" ref="W31">+HLOOKUP($A$1,+[15]İcmal!$B$19:$AG$49,ROW(N29)+1,FALSE)</f>
        <v>0</v>
      </c>
      <c r="X31" s="15" cm="1">
        <f t="array" ref="X31">+HLOOKUP($A$1,+[16]İcmal!$B$19:$AG$49,ROW(O29)+1,FALSE)</f>
        <v>0</v>
      </c>
      <c r="Y31" s="15" cm="1">
        <f t="array" ref="Y31">+HLOOKUP($A$1,+[17]İcmal!$B$19:$AG$49,ROW(P29)+1,FALSE)</f>
        <v>0</v>
      </c>
      <c r="Z31" s="15" cm="1">
        <f t="array" ref="Z31">+HLOOKUP($A$1,+[18]İcmal!$B$19:$AG$49,ROW(Q29)+1,FALSE)</f>
        <v>0</v>
      </c>
      <c r="AA31" s="15" cm="1">
        <f t="array" ref="AA31">+HLOOKUP($A$1,+[19]İcmal!$B$19:$AG$49,ROW(R29)+1,FALSE)</f>
        <v>0</v>
      </c>
      <c r="AB31" s="15" cm="1">
        <f t="array" ref="AB31">+HLOOKUP($A$1,+[20]İcmal!$B$19:$AG$49,ROW(S29)+1,FALSE)</f>
        <v>0</v>
      </c>
      <c r="AC31" s="15" cm="1">
        <f t="array" ref="AC31">+HLOOKUP($A$1,+[21]İcmal!$B$19:$AG$49,ROW(T29)+1,FALSE)</f>
        <v>0</v>
      </c>
      <c r="AD31" s="15" cm="1">
        <f t="array" ref="AD31">+HLOOKUP($A$1,+[22]İcmal!$B$19:$AG$49,ROW(U29)+1,FALSE)</f>
        <v>0</v>
      </c>
      <c r="AE31" s="15" cm="1">
        <f t="array" ref="AE31">+HLOOKUP($A$1,+[23]İcmal!$B$19:$AG$49,ROW(V29)+1,FALSE)</f>
        <v>0</v>
      </c>
      <c r="AF31" s="15" cm="1">
        <f t="array" ref="AF31">+HLOOKUP($A$1,+[24]İcmal!$B$19:$AG$49,ROW(W29)+1,FALSE)</f>
        <v>0</v>
      </c>
      <c r="AG31" s="15" cm="1">
        <f t="array" ref="AG31">+HLOOKUP($A$1,+[25]İcmal!$B$19:$AG$49,ROW(X29)+1,FALSE)</f>
        <v>0</v>
      </c>
      <c r="AH31" s="15" cm="1">
        <f t="array" ref="AH31">+HLOOKUP($A$1,+[26]İcmal!$B$19:$AG$49,ROW(Y29)+1,FALSE)</f>
        <v>0</v>
      </c>
      <c r="AI31" s="15" cm="1">
        <f t="array" ref="AI31">+HLOOKUP($A$1,+[27]İcmal!$B$19:$AG$49,ROW(Z29)+1,FALSE)</f>
        <v>0</v>
      </c>
      <c r="AJ31" s="15" cm="1">
        <f t="array" ref="AJ31">+HLOOKUP($A$1,+[28]İcmal!$B$19:$AG$49,ROW(AA29)+1,FALSE)</f>
        <v>0</v>
      </c>
      <c r="AK31" s="15" cm="1">
        <f t="array" ref="AK31">+HLOOKUP($A$1,+[29]İcmal!$B$19:$AG$49,ROW(AB29)+1,FALSE)</f>
        <v>0</v>
      </c>
      <c r="AL31" s="15"/>
      <c r="AM31" s="15"/>
      <c r="AN31" s="15"/>
      <c r="AO31" s="15"/>
      <c r="AP31" s="15"/>
      <c r="AQ31" s="15"/>
      <c r="AR31" s="15"/>
      <c r="AS31" s="15"/>
      <c r="AT31" s="13"/>
    </row>
    <row r="32" spans="1:46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+HLOOKUP($A$1,+[2]İcmal!$B$19:$AG$49,ROW(A30)+1,FALSE)</f>
        <v>0</v>
      </c>
      <c r="K32" s="15" cm="1">
        <f t="array" ref="K32">+HLOOKUP($A$1,+[3]İcmal!$B$19:$AG$49,ROW(B30)+1,FALSE)</f>
        <v>0</v>
      </c>
      <c r="L32" s="15" cm="1">
        <f t="array" ref="L32">+HLOOKUP($A$1,+[4]İcmal!$B$19:$AG$49,ROW(C30)+1,FALSE)</f>
        <v>0</v>
      </c>
      <c r="M32" s="15" cm="1">
        <f t="array" ref="M32">+HLOOKUP($A$1,+[5]İcmal!$B$19:$AG$49,ROW(D30)+1,FALSE)</f>
        <v>0</v>
      </c>
      <c r="N32" s="15" cm="1">
        <f t="array" ref="N32">+HLOOKUP($A$1,+[6]İcmal!$B$19:$AG$49,ROW(E30)+1,FALSE)</f>
        <v>0</v>
      </c>
      <c r="O32" s="15" cm="1">
        <f t="array" ref="O32">+HLOOKUP($A$1,+[7]İcmal!$B$19:$AG$49,ROW(F30)+1,FALSE)</f>
        <v>0</v>
      </c>
      <c r="P32" s="15" cm="1">
        <f t="array" ref="P32">+HLOOKUP($A$1,+[8]İcmal!$B$19:$AG$49,ROW(G30)+1,FALSE)</f>
        <v>0</v>
      </c>
      <c r="Q32" s="15" cm="1">
        <f t="array" ref="Q32">+HLOOKUP($A$1,+[9]İcmal!$B$19:$AG$49,ROW(H30)+1,FALSE)</f>
        <v>0</v>
      </c>
      <c r="R32" s="15" cm="1">
        <f t="array" ref="R32">+HLOOKUP($A$1,+[10]İcmal!$B$19:$AG$49,ROW(I30)+1,FALSE)</f>
        <v>0</v>
      </c>
      <c r="S32" s="15" cm="1">
        <f t="array" ref="S32">+HLOOKUP($A$1,+[11]İcmal!$B$19:$AG$49,ROW(J30)+1,FALSE)</f>
        <v>0</v>
      </c>
      <c r="T32" s="15" cm="1">
        <f t="array" ref="T32">+HLOOKUP($A$1,+[12]İcmal!$B$19:$AG$49,ROW(K30)+1,FALSE)</f>
        <v>0</v>
      </c>
      <c r="U32" s="15" cm="1">
        <f t="array" ref="U32">+HLOOKUP($A$1,+[13]İcmal!$B$19:$AG$49,ROW(L30)+1,FALSE)</f>
        <v>0</v>
      </c>
      <c r="V32" s="15" cm="1">
        <f t="array" ref="V32">+HLOOKUP($A$1,+[14]İcmal!$B$19:$AG$49,ROW(M30)+1,FALSE)</f>
        <v>0</v>
      </c>
      <c r="W32" s="15" cm="1">
        <f t="array" ref="W32">+HLOOKUP($A$1,+[15]İcmal!$B$19:$AG$49,ROW(N30)+1,FALSE)</f>
        <v>0</v>
      </c>
      <c r="X32" s="15" cm="1">
        <f t="array" ref="X32">+HLOOKUP($A$1,+[16]İcmal!$B$19:$AG$49,ROW(O30)+1,FALSE)</f>
        <v>0</v>
      </c>
      <c r="Y32" s="15" cm="1">
        <f t="array" ref="Y32">+HLOOKUP($A$1,+[17]İcmal!$B$19:$AG$49,ROW(P30)+1,FALSE)</f>
        <v>0</v>
      </c>
      <c r="Z32" s="15" cm="1">
        <f t="array" ref="Z32">+HLOOKUP($A$1,+[18]İcmal!$B$19:$AG$49,ROW(Q30)+1,FALSE)</f>
        <v>0</v>
      </c>
      <c r="AA32" s="15" cm="1">
        <f t="array" ref="AA32">+HLOOKUP($A$1,+[19]İcmal!$B$19:$AG$49,ROW(R30)+1,FALSE)</f>
        <v>0</v>
      </c>
      <c r="AB32" s="15" cm="1">
        <f t="array" ref="AB32">+HLOOKUP($A$1,+[20]İcmal!$B$19:$AG$49,ROW(S30)+1,FALSE)</f>
        <v>0</v>
      </c>
      <c r="AC32" s="15" cm="1">
        <f t="array" ref="AC32">+HLOOKUP($A$1,+[21]İcmal!$B$19:$AG$49,ROW(T30)+1,FALSE)</f>
        <v>0</v>
      </c>
      <c r="AD32" s="15" cm="1">
        <f t="array" ref="AD32">+HLOOKUP($A$1,+[22]İcmal!$B$19:$AG$49,ROW(U30)+1,FALSE)</f>
        <v>0</v>
      </c>
      <c r="AE32" s="15" cm="1">
        <f t="array" ref="AE32">+HLOOKUP($A$1,+[23]İcmal!$B$19:$AG$49,ROW(V30)+1,FALSE)</f>
        <v>0</v>
      </c>
      <c r="AF32" s="15" cm="1">
        <f t="array" ref="AF32">+HLOOKUP($A$1,+[24]İcmal!$B$19:$AG$49,ROW(W30)+1,FALSE)</f>
        <v>0</v>
      </c>
      <c r="AG32" s="15" cm="1">
        <f t="array" ref="AG32">+HLOOKUP($A$1,+[25]İcmal!$B$19:$AG$49,ROW(X30)+1,FALSE)</f>
        <v>0</v>
      </c>
      <c r="AH32" s="15" cm="1">
        <f t="array" ref="AH32">+HLOOKUP($A$1,+[26]İcmal!$B$19:$AG$49,ROW(Y30)+1,FALSE)</f>
        <v>0</v>
      </c>
      <c r="AI32" s="15" cm="1">
        <f t="array" ref="AI32">+HLOOKUP($A$1,+[27]İcmal!$B$19:$AG$49,ROW(Z30)+1,FALSE)</f>
        <v>0</v>
      </c>
      <c r="AJ32" s="15" cm="1">
        <f t="array" ref="AJ32">+HLOOKUP($A$1,+[28]İcmal!$B$19:$AG$49,ROW(AA30)+1,FALSE)</f>
        <v>0</v>
      </c>
      <c r="AK32" s="15" cm="1">
        <f t="array" ref="AK32">+HLOOKUP($A$1,+[29]İcmal!$B$19:$AG$49,ROW(AB30)+1,FALSE)</f>
        <v>0</v>
      </c>
      <c r="AL32" s="15"/>
      <c r="AM32" s="15"/>
      <c r="AN32" s="15"/>
      <c r="AO32" s="15"/>
      <c r="AP32" s="15"/>
      <c r="AQ32" s="15"/>
      <c r="AR32" s="15"/>
      <c r="AS32" s="15"/>
      <c r="AT32" s="14"/>
    </row>
    <row r="33" spans="7:45" x14ac:dyDescent="0.3">
      <c r="I33" s="16">
        <f>SUM(I3:I32)</f>
        <v>93530252.945000008</v>
      </c>
      <c r="J33" s="16">
        <f t="shared" ref="J33:AS33" si="3">+SUMPRODUCT(J3:J32,$F$3:$F$32)</f>
        <v>23508443.851999998</v>
      </c>
      <c r="K33" s="16">
        <f t="shared" si="3"/>
        <v>20498182.193000004</v>
      </c>
      <c r="L33" s="16">
        <f t="shared" si="3"/>
        <v>0</v>
      </c>
      <c r="M33" s="16">
        <f t="shared" si="3"/>
        <v>0</v>
      </c>
      <c r="N33" s="16">
        <f t="shared" si="3"/>
        <v>8305409.4980000006</v>
      </c>
      <c r="O33" s="16">
        <f t="shared" si="3"/>
        <v>0</v>
      </c>
      <c r="P33" s="16">
        <f t="shared" si="3"/>
        <v>0</v>
      </c>
      <c r="Q33" s="16">
        <f t="shared" si="3"/>
        <v>0</v>
      </c>
      <c r="R33" s="16">
        <f t="shared" si="3"/>
        <v>0</v>
      </c>
      <c r="S33" s="16">
        <f t="shared" si="3"/>
        <v>0</v>
      </c>
      <c r="T33" s="16">
        <f t="shared" si="3"/>
        <v>0</v>
      </c>
      <c r="U33" s="16">
        <f t="shared" si="3"/>
        <v>0</v>
      </c>
      <c r="V33" s="16">
        <f t="shared" si="3"/>
        <v>22822632.331999999</v>
      </c>
      <c r="W33" s="16">
        <f t="shared" si="3"/>
        <v>18395585.07</v>
      </c>
      <c r="X33" s="16">
        <f t="shared" si="3"/>
        <v>0</v>
      </c>
      <c r="Y33" s="16">
        <f t="shared" si="3"/>
        <v>0</v>
      </c>
      <c r="Z33" s="16">
        <f t="shared" si="3"/>
        <v>0</v>
      </c>
      <c r="AA33" s="16">
        <f t="shared" si="3"/>
        <v>0</v>
      </c>
      <c r="AB33" s="16">
        <f t="shared" si="3"/>
        <v>0</v>
      </c>
      <c r="AC33" s="16">
        <f t="shared" si="3"/>
        <v>0</v>
      </c>
      <c r="AD33" s="16">
        <f t="shared" si="3"/>
        <v>0</v>
      </c>
      <c r="AE33" s="16">
        <f t="shared" si="3"/>
        <v>0</v>
      </c>
      <c r="AF33" s="16">
        <f t="shared" si="3"/>
        <v>0</v>
      </c>
      <c r="AG33" s="16">
        <f t="shared" si="3"/>
        <v>0</v>
      </c>
      <c r="AH33" s="16">
        <f t="shared" si="3"/>
        <v>0</v>
      </c>
      <c r="AI33" s="16">
        <f t="shared" si="3"/>
        <v>0</v>
      </c>
      <c r="AJ33" s="16">
        <f t="shared" si="3"/>
        <v>0</v>
      </c>
      <c r="AK33" s="16">
        <f t="shared" si="3"/>
        <v>0</v>
      </c>
      <c r="AL33" s="16"/>
      <c r="AM33" s="16"/>
      <c r="AN33" s="16"/>
      <c r="AO33" s="16"/>
      <c r="AP33" s="16"/>
      <c r="AQ33" s="16"/>
      <c r="AR33" s="16"/>
      <c r="AS33" s="16">
        <f t="shared" si="3"/>
        <v>0</v>
      </c>
    </row>
    <row r="34" spans="7:45" x14ac:dyDescent="0.3">
      <c r="H34" s="52"/>
    </row>
    <row r="35" spans="7:45" x14ac:dyDescent="0.3">
      <c r="G35" s="16"/>
      <c r="H35" s="16"/>
      <c r="I35" s="16"/>
    </row>
    <row r="36" spans="7:45" x14ac:dyDescent="0.3">
      <c r="I36" s="16"/>
      <c r="K36" s="49"/>
      <c r="N36" s="49"/>
      <c r="O36" s="49"/>
      <c r="P36" s="49"/>
      <c r="Q36" s="49"/>
    </row>
    <row r="37" spans="7:45" x14ac:dyDescent="0.3"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7:45" x14ac:dyDescent="0.3">
      <c r="I38" s="16"/>
    </row>
    <row r="39" spans="7:45" x14ac:dyDescent="0.3">
      <c r="I39" s="16"/>
    </row>
    <row r="40" spans="7:45" x14ac:dyDescent="0.3">
      <c r="I40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A063-1B59-4F5D-AEE2-60F562392486}">
  <sheetPr>
    <tabColor rgb="FFFF0000"/>
  </sheetPr>
  <dimension ref="A1:AT40"/>
  <sheetViews>
    <sheetView zoomScale="70" zoomScaleNormal="70" workbookViewId="0">
      <selection activeCell="A2" sqref="A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7" width="19.33203125" bestFit="1" customWidth="1"/>
    <col min="18" max="25" width="19.21875" bestFit="1" customWidth="1"/>
    <col min="26" max="26" width="46.77734375" bestFit="1" customWidth="1"/>
    <col min="27" max="27" width="48.88671875" bestFit="1" customWidth="1"/>
    <col min="28" max="28" width="57.109375" bestFit="1" customWidth="1"/>
    <col min="29" max="29" width="56.77734375" bestFit="1" customWidth="1"/>
    <col min="30" max="30" width="57.44140625" bestFit="1" customWidth="1"/>
    <col min="31" max="31" width="57" customWidth="1"/>
    <col min="32" max="32" width="57.109375" bestFit="1" customWidth="1"/>
    <col min="33" max="33" width="46.33203125" bestFit="1" customWidth="1"/>
    <col min="34" max="37" width="46.77734375" bestFit="1" customWidth="1"/>
    <col min="38" max="44" width="19.88671875" customWidth="1"/>
    <col min="45" max="45" width="19.5546875" bestFit="1" customWidth="1"/>
    <col min="46" max="46" width="2.21875" customWidth="1"/>
  </cols>
  <sheetData>
    <row r="1" spans="1:46" ht="15" thickBot="1" x14ac:dyDescent="0.35">
      <c r="A1" s="17" t="s">
        <v>112</v>
      </c>
    </row>
    <row r="2" spans="1:46" ht="27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54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3" t="s">
        <v>126</v>
      </c>
      <c r="AG2" s="3" t="s">
        <v>143</v>
      </c>
      <c r="AH2" s="3" t="s">
        <v>144</v>
      </c>
      <c r="AI2" s="3" t="s">
        <v>138</v>
      </c>
      <c r="AJ2" s="3" t="s">
        <v>125</v>
      </c>
      <c r="AK2" s="3" t="s">
        <v>133</v>
      </c>
      <c r="AL2" s="3"/>
      <c r="AM2" s="3"/>
      <c r="AN2" s="3"/>
      <c r="AO2" s="3"/>
      <c r="AP2" s="3"/>
      <c r="AQ2" s="3"/>
      <c r="AR2" s="3"/>
      <c r="AS2" s="3"/>
      <c r="AT2" s="12"/>
    </row>
    <row r="3" spans="1:46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SUM(J3:AT3)</f>
        <v>1740.5750000000003</v>
      </c>
      <c r="I3" s="9">
        <f>+F3*H3</f>
        <v>8833418.1250000019</v>
      </c>
      <c r="J3" s="15" cm="1">
        <f t="array" ref="J3">+HLOOKUP($A$1,+[2]İcmal!$B$19:$AG$49,ROW(A1)+1,FALSE)</f>
        <v>591.59400000000005</v>
      </c>
      <c r="K3" s="15" cm="1">
        <f t="array" ref="K3">+HLOOKUP($A$1,+[3]İcmal!$B$19:$AG$49,ROW(B1)+1,FALSE)</f>
        <v>291.90899999999999</v>
      </c>
      <c r="L3" s="15" cm="1">
        <f t="array" ref="L3">+HLOOKUP($A$1,+[4]İcmal!$B$19:$AG$49,ROW(C1)+1,FALSE)</f>
        <v>0</v>
      </c>
      <c r="M3" s="15" cm="1">
        <f t="array" ref="M3">+HLOOKUP($A$1,+[5]İcmal!$B$19:$AG$49,ROW(D1)+1,FALSE)</f>
        <v>0</v>
      </c>
      <c r="N3" s="15" cm="1">
        <f t="array" ref="N3">+HLOOKUP($A$1,+[6]İcmal!$B$19:$AG$49,ROW(E1)+1,FALSE)</f>
        <v>0</v>
      </c>
      <c r="O3" s="15" cm="1">
        <f t="array" ref="O3">+HLOOKUP($A$1,+[7]İcmal!$B$19:$AG$49,ROW(F1)+1,FALSE)</f>
        <v>0</v>
      </c>
      <c r="P3" s="15" cm="1">
        <f t="array" ref="P3">+HLOOKUP($A$1,+[8]İcmal!$B$19:$AG$49,ROW(G1)+1,FALSE)</f>
        <v>0</v>
      </c>
      <c r="Q3" s="15" cm="1">
        <f t="array" ref="Q3">+HLOOKUP($A$1,+[9]İcmal!$B$19:$AG$49,ROW(H1)+1,FALSE)</f>
        <v>0</v>
      </c>
      <c r="R3" s="15" cm="1">
        <f t="array" ref="R3">+HLOOKUP($A$1,+[10]İcmal!$B$19:$AG$49,ROW(I1)+1,FALSE)</f>
        <v>256.97700000000003</v>
      </c>
      <c r="S3" s="15" cm="1">
        <f t="array" ref="S3">+HLOOKUP($A$1,+[11]İcmal!$B$19:$AG$49,ROW(J1)+1,FALSE)</f>
        <v>0</v>
      </c>
      <c r="T3" s="15" cm="1">
        <f t="array" ref="T3">+HLOOKUP($A$1,+[12]İcmal!$B$19:$AG$49,ROW(K1)+1,FALSE)</f>
        <v>0</v>
      </c>
      <c r="U3" s="15" cm="1">
        <f t="array" ref="U3">+HLOOKUP($A$1,+[13]İcmal!$B$19:$AG$49,ROW(L1)+1,FALSE)</f>
        <v>0</v>
      </c>
      <c r="V3" s="15" cm="1">
        <f t="array" ref="V3">+HLOOKUP($A$1,+[14]İcmal!$B$19:$AG$49,ROW(M1)+1,FALSE)</f>
        <v>600.09500000000014</v>
      </c>
      <c r="W3" s="15" cm="1">
        <f t="array" ref="W3">+HLOOKUP($A$1,+[15]İcmal!$B$19:$AG$49,ROW(N1)+1,FALSE)</f>
        <v>0</v>
      </c>
      <c r="X3" s="15" cm="1">
        <f t="array" ref="X3">+HLOOKUP($A$1,+[16]İcmal!$B$19:$AG$49,ROW(O1)+1,FALSE)</f>
        <v>0</v>
      </c>
      <c r="Y3" s="15" cm="1">
        <f t="array" ref="Y3">+HLOOKUP($A$1,+[17]İcmal!$B$19:$AG$49,ROW(P1)+1,FALSE)</f>
        <v>0</v>
      </c>
      <c r="Z3" s="15" cm="1">
        <f t="array" ref="Z3">+HLOOKUP($A$1,+[18]İcmal!$B$19:$AG$49,ROW(Q1)+1,FALSE)</f>
        <v>0</v>
      </c>
      <c r="AA3" s="15" cm="1">
        <f t="array" ref="AA3">+HLOOKUP($A$1,+[19]İcmal!$B$19:$AG$49,ROW(R1)+1,FALSE)</f>
        <v>0</v>
      </c>
      <c r="AB3" s="15" cm="1">
        <f t="array" ref="AB3">+HLOOKUP($A$1,+[20]İcmal!$B$19:$AG$49,ROW(S1)+1,FALSE)</f>
        <v>0</v>
      </c>
      <c r="AC3" s="15" cm="1">
        <f t="array" ref="AC3">+HLOOKUP($A$1,+[21]İcmal!$B$19:$AG$49,ROW(T1)+1,FALSE)</f>
        <v>0</v>
      </c>
      <c r="AD3" s="15" cm="1">
        <f t="array" ref="AD3">+HLOOKUP($A$1,+[22]İcmal!$B$19:$AG$49,ROW(U1)+1,FALSE)</f>
        <v>0</v>
      </c>
      <c r="AE3" s="15" cm="1">
        <f t="array" ref="AE3">+HLOOKUP($A$1,+[23]İcmal!$B$19:$AG$49,ROW(V1)+1,FALSE)</f>
        <v>0</v>
      </c>
      <c r="AF3" s="15" cm="1">
        <f t="array" ref="AF3">+HLOOKUP($A$1,+[24]İcmal!$B$19:$AG$49,ROW(W1)+1,FALSE)</f>
        <v>0</v>
      </c>
      <c r="AG3" s="15" cm="1">
        <f t="array" ref="AG3">+HLOOKUP($A$1,+[25]İcmal!$B$19:$AG$49,ROW(X1)+1,FALSE)</f>
        <v>0</v>
      </c>
      <c r="AH3" s="15" cm="1">
        <f t="array" ref="AH3">+HLOOKUP($A$1,+[26]İcmal!$B$19:$AG$49,ROW(Y1)+1,FALSE)</f>
        <v>0</v>
      </c>
      <c r="AI3" s="15" cm="1">
        <f t="array" ref="AI3">+HLOOKUP($A$1,+[27]İcmal!$B$19:$AG$49,ROW(Z1)+1,FALSE)</f>
        <v>0</v>
      </c>
      <c r="AJ3" s="15" cm="1">
        <f t="array" ref="AJ3">+HLOOKUP($A$1,+[28]İcmal!$B$19:$AG$49,ROW(AA1)+1,FALSE)</f>
        <v>0</v>
      </c>
      <c r="AK3" s="15" cm="1">
        <f t="array" ref="AK3">+HLOOKUP($A$1,+[29]İcmal!$B$19:$AG$49,ROW(AB1)+1,FALSE)</f>
        <v>0</v>
      </c>
      <c r="AL3" s="15"/>
      <c r="AM3" s="15"/>
      <c r="AN3" s="15"/>
      <c r="AO3" s="15"/>
      <c r="AP3" s="15"/>
      <c r="AQ3" s="15"/>
      <c r="AR3" s="15"/>
      <c r="AS3" s="15"/>
      <c r="AT3" s="13"/>
    </row>
    <row r="4" spans="1:46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+HLOOKUP($A$1,+[2]İcmal!$B$19:$AG$49,ROW(A2)+1,FALSE)</f>
        <v>0</v>
      </c>
      <c r="K4" s="15" cm="1">
        <f t="array" ref="K4">+HLOOKUP($A$1,+[3]İcmal!$B$19:$AG$49,ROW(B2)+1,FALSE)</f>
        <v>0</v>
      </c>
      <c r="L4" s="15" cm="1">
        <f t="array" ref="L4">+HLOOKUP($A$1,+[4]İcmal!$B$19:$AG$49,ROW(C2)+1,FALSE)</f>
        <v>0</v>
      </c>
      <c r="M4" s="15" cm="1">
        <f t="array" ref="M4">+HLOOKUP($A$1,+[5]İcmal!$B$19:$AG$49,ROW(D2)+1,FALSE)</f>
        <v>0</v>
      </c>
      <c r="N4" s="15" cm="1">
        <f t="array" ref="N4">+HLOOKUP($A$1,+[6]İcmal!$B$19:$AG$49,ROW(E2)+1,FALSE)</f>
        <v>0</v>
      </c>
      <c r="O4" s="15" cm="1">
        <f t="array" ref="O4">+HLOOKUP($A$1,+[7]İcmal!$B$19:$AG$49,ROW(F2)+1,FALSE)</f>
        <v>0</v>
      </c>
      <c r="P4" s="15" cm="1">
        <f t="array" ref="P4">+HLOOKUP($A$1,+[8]İcmal!$B$19:$AG$49,ROW(G2)+1,FALSE)</f>
        <v>0</v>
      </c>
      <c r="Q4" s="15" cm="1">
        <f t="array" ref="Q4">+HLOOKUP($A$1,+[9]İcmal!$B$19:$AG$49,ROW(H2)+1,FALSE)</f>
        <v>0</v>
      </c>
      <c r="R4" s="15" cm="1">
        <f t="array" ref="R4">+HLOOKUP($A$1,+[10]İcmal!$B$19:$AG$49,ROW(I2)+1,FALSE)</f>
        <v>0</v>
      </c>
      <c r="S4" s="15" cm="1">
        <f t="array" ref="S4">+HLOOKUP($A$1,+[11]İcmal!$B$19:$AG$49,ROW(J2)+1,FALSE)</f>
        <v>0</v>
      </c>
      <c r="T4" s="15" cm="1">
        <f t="array" ref="T4">+HLOOKUP($A$1,+[12]İcmal!$B$19:$AG$49,ROW(K2)+1,FALSE)</f>
        <v>0</v>
      </c>
      <c r="U4" s="15" cm="1">
        <f t="array" ref="U4">+HLOOKUP($A$1,+[13]İcmal!$B$19:$AG$49,ROW(L2)+1,FALSE)</f>
        <v>0</v>
      </c>
      <c r="V4" s="15" cm="1">
        <f t="array" ref="V4">+HLOOKUP($A$1,+[14]İcmal!$B$19:$AG$49,ROW(M2)+1,FALSE)</f>
        <v>0</v>
      </c>
      <c r="W4" s="15" cm="1">
        <f t="array" ref="W4">+HLOOKUP($A$1,+[15]İcmal!$B$19:$AG$49,ROW(N2)+1,FALSE)</f>
        <v>0</v>
      </c>
      <c r="X4" s="15" cm="1">
        <f t="array" ref="X4">+HLOOKUP($A$1,+[16]İcmal!$B$19:$AG$49,ROW(O2)+1,FALSE)</f>
        <v>0</v>
      </c>
      <c r="Y4" s="15" cm="1">
        <f t="array" ref="Y4">+HLOOKUP($A$1,+[17]İcmal!$B$19:$AG$49,ROW(P2)+1,FALSE)</f>
        <v>0</v>
      </c>
      <c r="Z4" s="15" cm="1">
        <f t="array" ref="Z4">+HLOOKUP($A$1,+[18]İcmal!$B$19:$AG$49,ROW(Q2)+1,FALSE)</f>
        <v>0</v>
      </c>
      <c r="AA4" s="15" cm="1">
        <f t="array" ref="AA4">+HLOOKUP($A$1,+[19]İcmal!$B$19:$AG$49,ROW(R2)+1,FALSE)</f>
        <v>0</v>
      </c>
      <c r="AB4" s="15" cm="1">
        <f t="array" ref="AB4">+HLOOKUP($A$1,+[20]İcmal!$B$19:$AG$49,ROW(S2)+1,FALSE)</f>
        <v>0</v>
      </c>
      <c r="AC4" s="15" cm="1">
        <f t="array" ref="AC4">+HLOOKUP($A$1,+[21]İcmal!$B$19:$AG$49,ROW(T2)+1,FALSE)</f>
        <v>0</v>
      </c>
      <c r="AD4" s="15" cm="1">
        <f t="array" ref="AD4">+HLOOKUP($A$1,+[22]İcmal!$B$19:$AG$49,ROW(U2)+1,FALSE)</f>
        <v>0</v>
      </c>
      <c r="AE4" s="15" cm="1">
        <f t="array" ref="AE4">+HLOOKUP($A$1,+[23]İcmal!$B$19:$AG$49,ROW(V2)+1,FALSE)</f>
        <v>0</v>
      </c>
      <c r="AF4" s="15" cm="1">
        <f t="array" ref="AF4">+HLOOKUP($A$1,+[24]İcmal!$B$19:$AG$49,ROW(W2)+1,FALSE)</f>
        <v>0</v>
      </c>
      <c r="AG4" s="15" cm="1">
        <f t="array" ref="AG4">+HLOOKUP($A$1,+[25]İcmal!$B$19:$AG$49,ROW(X2)+1,FALSE)</f>
        <v>0</v>
      </c>
      <c r="AH4" s="15" cm="1">
        <f t="array" ref="AH4">+HLOOKUP($A$1,+[26]İcmal!$B$19:$AG$49,ROW(Y2)+1,FALSE)</f>
        <v>0</v>
      </c>
      <c r="AI4" s="15" cm="1">
        <f t="array" ref="AI4">+HLOOKUP($A$1,+[27]İcmal!$B$19:$AG$49,ROW(Z2)+1,FALSE)</f>
        <v>0</v>
      </c>
      <c r="AJ4" s="15" cm="1">
        <f t="array" ref="AJ4">+HLOOKUP($A$1,+[28]İcmal!$B$19:$AG$49,ROW(AA2)+1,FALSE)</f>
        <v>0</v>
      </c>
      <c r="AK4" s="15" cm="1">
        <f t="array" ref="AK4">+HLOOKUP($A$1,+[29]İcmal!$B$19:$AG$49,ROW(AB2)+1,FALSE)</f>
        <v>0</v>
      </c>
      <c r="AL4" s="15"/>
      <c r="AM4" s="15"/>
      <c r="AN4" s="15"/>
      <c r="AO4" s="15"/>
      <c r="AP4" s="15"/>
      <c r="AQ4" s="15"/>
      <c r="AR4" s="15"/>
      <c r="AS4" s="15"/>
      <c r="AT4" s="13"/>
    </row>
    <row r="5" spans="1:46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+HLOOKUP($A$1,+[2]İcmal!$B$19:$AG$49,ROW(A3)+1,FALSE)</f>
        <v>0</v>
      </c>
      <c r="K5" s="15" cm="1">
        <f t="array" ref="K5">+HLOOKUP($A$1,+[3]İcmal!$B$19:$AG$49,ROW(B3)+1,FALSE)</f>
        <v>0</v>
      </c>
      <c r="L5" s="15" cm="1">
        <f t="array" ref="L5">+HLOOKUP($A$1,+[4]İcmal!$B$19:$AG$49,ROW(C3)+1,FALSE)</f>
        <v>0</v>
      </c>
      <c r="M5" s="15" cm="1">
        <f t="array" ref="M5">+HLOOKUP($A$1,+[5]İcmal!$B$19:$AG$49,ROW(D3)+1,FALSE)</f>
        <v>0</v>
      </c>
      <c r="N5" s="15" cm="1">
        <f t="array" ref="N5">+HLOOKUP($A$1,+[6]İcmal!$B$19:$AG$49,ROW(E3)+1,FALSE)</f>
        <v>0</v>
      </c>
      <c r="O5" s="15" cm="1">
        <f t="array" ref="O5">+HLOOKUP($A$1,+[7]İcmal!$B$19:$AG$49,ROW(F3)+1,FALSE)</f>
        <v>0</v>
      </c>
      <c r="P5" s="15" cm="1">
        <f t="array" ref="P5">+HLOOKUP($A$1,+[8]İcmal!$B$19:$AG$49,ROW(G3)+1,FALSE)</f>
        <v>0</v>
      </c>
      <c r="Q5" s="15" cm="1">
        <f t="array" ref="Q5">+HLOOKUP($A$1,+[9]İcmal!$B$19:$AG$49,ROW(H3)+1,FALSE)</f>
        <v>0</v>
      </c>
      <c r="R5" s="15" cm="1">
        <f t="array" ref="R5">+HLOOKUP($A$1,+[10]İcmal!$B$19:$AG$49,ROW(I3)+1,FALSE)</f>
        <v>0</v>
      </c>
      <c r="S5" s="15" cm="1">
        <f t="array" ref="S5">+HLOOKUP($A$1,+[11]İcmal!$B$19:$AG$49,ROW(J3)+1,FALSE)</f>
        <v>0</v>
      </c>
      <c r="T5" s="15" cm="1">
        <f t="array" ref="T5">+HLOOKUP($A$1,+[12]İcmal!$B$19:$AG$49,ROW(K3)+1,FALSE)</f>
        <v>0</v>
      </c>
      <c r="U5" s="15" cm="1">
        <f t="array" ref="U5">+HLOOKUP($A$1,+[13]İcmal!$B$19:$AG$49,ROW(L3)+1,FALSE)</f>
        <v>0</v>
      </c>
      <c r="V5" s="15" cm="1">
        <f t="array" ref="V5">+HLOOKUP($A$1,+[14]İcmal!$B$19:$AG$49,ROW(M3)+1,FALSE)</f>
        <v>0</v>
      </c>
      <c r="W5" s="15" cm="1">
        <f t="array" ref="W5">+HLOOKUP($A$1,+[15]İcmal!$B$19:$AG$49,ROW(N3)+1,FALSE)</f>
        <v>0</v>
      </c>
      <c r="X5" s="15" cm="1">
        <f t="array" ref="X5">+HLOOKUP($A$1,+[16]İcmal!$B$19:$AG$49,ROW(O3)+1,FALSE)</f>
        <v>0</v>
      </c>
      <c r="Y5" s="15" cm="1">
        <f t="array" ref="Y5">+HLOOKUP($A$1,+[17]İcmal!$B$19:$AG$49,ROW(P3)+1,FALSE)</f>
        <v>0</v>
      </c>
      <c r="Z5" s="15" cm="1">
        <f t="array" ref="Z5">+HLOOKUP($A$1,+[18]İcmal!$B$19:$AG$49,ROW(Q3)+1,FALSE)</f>
        <v>0</v>
      </c>
      <c r="AA5" s="15" cm="1">
        <f t="array" ref="AA5">+HLOOKUP($A$1,+[19]İcmal!$B$19:$AG$49,ROW(R3)+1,FALSE)</f>
        <v>0</v>
      </c>
      <c r="AB5" s="15" cm="1">
        <f t="array" ref="AB5">+HLOOKUP($A$1,+[20]İcmal!$B$19:$AG$49,ROW(S3)+1,FALSE)</f>
        <v>0</v>
      </c>
      <c r="AC5" s="15" cm="1">
        <f t="array" ref="AC5">+HLOOKUP($A$1,+[21]İcmal!$B$19:$AG$49,ROW(T3)+1,FALSE)</f>
        <v>0</v>
      </c>
      <c r="AD5" s="15" cm="1">
        <f t="array" ref="AD5">+HLOOKUP($A$1,+[22]İcmal!$B$19:$AG$49,ROW(U3)+1,FALSE)</f>
        <v>0</v>
      </c>
      <c r="AE5" s="15" cm="1">
        <f t="array" ref="AE5">+HLOOKUP($A$1,+[23]İcmal!$B$19:$AG$49,ROW(V3)+1,FALSE)</f>
        <v>0</v>
      </c>
      <c r="AF5" s="15" cm="1">
        <f t="array" ref="AF5">+HLOOKUP($A$1,+[24]İcmal!$B$19:$AG$49,ROW(W3)+1,FALSE)</f>
        <v>0</v>
      </c>
      <c r="AG5" s="15" cm="1">
        <f t="array" ref="AG5">+HLOOKUP($A$1,+[25]İcmal!$B$19:$AG$49,ROW(X3)+1,FALSE)</f>
        <v>0</v>
      </c>
      <c r="AH5" s="15" cm="1">
        <f t="array" ref="AH5">+HLOOKUP($A$1,+[26]İcmal!$B$19:$AG$49,ROW(Y3)+1,FALSE)</f>
        <v>0</v>
      </c>
      <c r="AI5" s="15" cm="1">
        <f t="array" ref="AI5">+HLOOKUP($A$1,+[27]İcmal!$B$19:$AG$49,ROW(Z3)+1,FALSE)</f>
        <v>0</v>
      </c>
      <c r="AJ5" s="15" cm="1">
        <f t="array" ref="AJ5">+HLOOKUP($A$1,+[28]İcmal!$B$19:$AG$49,ROW(AA3)+1,FALSE)</f>
        <v>0</v>
      </c>
      <c r="AK5" s="15" cm="1">
        <f t="array" ref="AK5">+HLOOKUP($A$1,+[29]İcmal!$B$19:$AG$49,ROW(AB3)+1,FALSE)</f>
        <v>0</v>
      </c>
      <c r="AL5" s="15"/>
      <c r="AM5" s="15"/>
      <c r="AN5" s="15"/>
      <c r="AO5" s="15"/>
      <c r="AP5" s="15"/>
      <c r="AQ5" s="15"/>
      <c r="AR5" s="15"/>
      <c r="AS5" s="15"/>
      <c r="AT5" s="13"/>
    </row>
    <row r="6" spans="1:46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373.11900000000003</v>
      </c>
      <c r="I6" s="9">
        <f t="shared" si="2"/>
        <v>5721406.7460000003</v>
      </c>
      <c r="J6" s="15" cm="1">
        <f t="array" ref="J6">+HLOOKUP($A$1,+[2]İcmal!$B$19:$AG$49,ROW(A4)+1,FALSE)</f>
        <v>126.86500000000002</v>
      </c>
      <c r="K6" s="15" cm="1">
        <f t="array" ref="K6">+HLOOKUP($A$1,+[3]İcmal!$B$19:$AG$49,ROW(B4)+1,FALSE)</f>
        <v>54.018999999999991</v>
      </c>
      <c r="L6" s="15" cm="1">
        <f t="array" ref="L6">+HLOOKUP($A$1,+[4]İcmal!$B$19:$AG$49,ROW(C4)+1,FALSE)</f>
        <v>0</v>
      </c>
      <c r="M6" s="15" cm="1">
        <f t="array" ref="M6">+HLOOKUP($A$1,+[5]İcmal!$B$19:$AG$49,ROW(D4)+1,FALSE)</f>
        <v>0</v>
      </c>
      <c r="N6" s="15" cm="1">
        <f t="array" ref="N6">+HLOOKUP($A$1,+[6]İcmal!$B$19:$AG$49,ROW(E4)+1,FALSE)</f>
        <v>0</v>
      </c>
      <c r="O6" s="15" cm="1">
        <f t="array" ref="O6">+HLOOKUP($A$1,+[7]İcmal!$B$19:$AG$49,ROW(F4)+1,FALSE)</f>
        <v>0</v>
      </c>
      <c r="P6" s="15" cm="1">
        <f t="array" ref="P6">+HLOOKUP($A$1,+[8]İcmal!$B$19:$AG$49,ROW(G4)+1,FALSE)</f>
        <v>0</v>
      </c>
      <c r="Q6" s="15" cm="1">
        <f t="array" ref="Q6">+HLOOKUP($A$1,+[9]İcmal!$B$19:$AG$49,ROW(H4)+1,FALSE)</f>
        <v>0</v>
      </c>
      <c r="R6" s="15" cm="1">
        <f t="array" ref="R6">+HLOOKUP($A$1,+[10]İcmal!$B$19:$AG$49,ROW(I4)+1,FALSE)</f>
        <v>56.869000000000014</v>
      </c>
      <c r="S6" s="15" cm="1">
        <f t="array" ref="S6">+HLOOKUP($A$1,+[11]İcmal!$B$19:$AG$49,ROW(J4)+1,FALSE)</f>
        <v>0</v>
      </c>
      <c r="T6" s="15" cm="1">
        <f t="array" ref="T6">+HLOOKUP($A$1,+[12]İcmal!$B$19:$AG$49,ROW(K4)+1,FALSE)</f>
        <v>0</v>
      </c>
      <c r="U6" s="15" cm="1">
        <f t="array" ref="U6">+HLOOKUP($A$1,+[13]İcmal!$B$19:$AG$49,ROW(L4)+1,FALSE)</f>
        <v>0</v>
      </c>
      <c r="V6" s="15" cm="1">
        <f t="array" ref="V6">+HLOOKUP($A$1,+[14]İcmal!$B$19:$AG$49,ROW(M4)+1,FALSE)</f>
        <v>135.36600000000001</v>
      </c>
      <c r="W6" s="15" cm="1">
        <f t="array" ref="W6">+HLOOKUP($A$1,+[15]İcmal!$B$19:$AG$49,ROW(N4)+1,FALSE)</f>
        <v>0</v>
      </c>
      <c r="X6" s="15" cm="1">
        <f t="array" ref="X6">+HLOOKUP($A$1,+[16]İcmal!$B$19:$AG$49,ROW(O4)+1,FALSE)</f>
        <v>0</v>
      </c>
      <c r="Y6" s="15" cm="1">
        <f t="array" ref="Y6">+HLOOKUP($A$1,+[17]İcmal!$B$19:$AG$49,ROW(P4)+1,FALSE)</f>
        <v>0</v>
      </c>
      <c r="Z6" s="15" cm="1">
        <f t="array" ref="Z6">+HLOOKUP($A$1,+[18]İcmal!$B$19:$AG$49,ROW(Q4)+1,FALSE)</f>
        <v>0</v>
      </c>
      <c r="AA6" s="15" cm="1">
        <f t="array" ref="AA6">+HLOOKUP($A$1,+[19]İcmal!$B$19:$AG$49,ROW(R4)+1,FALSE)</f>
        <v>0</v>
      </c>
      <c r="AB6" s="15" cm="1">
        <f t="array" ref="AB6">+HLOOKUP($A$1,+[20]İcmal!$B$19:$AG$49,ROW(S4)+1,FALSE)</f>
        <v>0</v>
      </c>
      <c r="AC6" s="15" cm="1">
        <f t="array" ref="AC6">+HLOOKUP($A$1,+[21]İcmal!$B$19:$AG$49,ROW(T4)+1,FALSE)</f>
        <v>0</v>
      </c>
      <c r="AD6" s="15" cm="1">
        <f t="array" ref="AD6">+HLOOKUP($A$1,+[22]İcmal!$B$19:$AG$49,ROW(U4)+1,FALSE)</f>
        <v>0</v>
      </c>
      <c r="AE6" s="15" cm="1">
        <f t="array" ref="AE6">+HLOOKUP($A$1,+[23]İcmal!$B$19:$AG$49,ROW(V4)+1,FALSE)</f>
        <v>0</v>
      </c>
      <c r="AF6" s="15" cm="1">
        <f t="array" ref="AF6">+HLOOKUP($A$1,+[24]İcmal!$B$19:$AG$49,ROW(W4)+1,FALSE)</f>
        <v>0</v>
      </c>
      <c r="AG6" s="15" cm="1">
        <f t="array" ref="AG6">+HLOOKUP($A$1,+[25]İcmal!$B$19:$AG$49,ROW(X4)+1,FALSE)</f>
        <v>0</v>
      </c>
      <c r="AH6" s="15" cm="1">
        <f t="array" ref="AH6">+HLOOKUP($A$1,+[26]İcmal!$B$19:$AG$49,ROW(Y4)+1,FALSE)</f>
        <v>0</v>
      </c>
      <c r="AI6" s="15" cm="1">
        <f t="array" ref="AI6">+HLOOKUP($A$1,+[27]İcmal!$B$19:$AG$49,ROW(Z4)+1,FALSE)</f>
        <v>0</v>
      </c>
      <c r="AJ6" s="15" cm="1">
        <f t="array" ref="AJ6">+HLOOKUP($A$1,+[28]İcmal!$B$19:$AG$49,ROW(AA4)+1,FALSE)</f>
        <v>0</v>
      </c>
      <c r="AK6" s="15" cm="1">
        <f t="array" ref="AK6">+HLOOKUP($A$1,+[29]İcmal!$B$19:$AG$49,ROW(AB4)+1,FALSE)</f>
        <v>0</v>
      </c>
      <c r="AL6" s="15"/>
      <c r="AM6" s="15"/>
      <c r="AN6" s="15"/>
      <c r="AO6" s="15"/>
      <c r="AP6" s="15"/>
      <c r="AQ6" s="15"/>
      <c r="AR6" s="15"/>
      <c r="AS6" s="15"/>
      <c r="AT6" s="13"/>
    </row>
    <row r="7" spans="1:46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+HLOOKUP($A$1,+[2]İcmal!$B$19:$AG$49,ROW(A5)+1,FALSE)</f>
        <v>0</v>
      </c>
      <c r="K7" s="15" cm="1">
        <f t="array" ref="K7">+HLOOKUP($A$1,+[3]İcmal!$B$19:$AG$49,ROW(B5)+1,FALSE)</f>
        <v>0</v>
      </c>
      <c r="L7" s="15" cm="1">
        <f t="array" ref="L7">+HLOOKUP($A$1,+[4]İcmal!$B$19:$AG$49,ROW(C5)+1,FALSE)</f>
        <v>0</v>
      </c>
      <c r="M7" s="15" cm="1">
        <f t="array" ref="M7">+HLOOKUP($A$1,+[5]İcmal!$B$19:$AG$49,ROW(D5)+1,FALSE)</f>
        <v>0</v>
      </c>
      <c r="N7" s="15" cm="1">
        <f t="array" ref="N7">+HLOOKUP($A$1,+[6]İcmal!$B$19:$AG$49,ROW(E5)+1,FALSE)</f>
        <v>0</v>
      </c>
      <c r="O7" s="15" cm="1">
        <f t="array" ref="O7">+HLOOKUP($A$1,+[7]İcmal!$B$19:$AG$49,ROW(F5)+1,FALSE)</f>
        <v>0</v>
      </c>
      <c r="P7" s="15" cm="1">
        <f t="array" ref="P7">+HLOOKUP($A$1,+[8]İcmal!$B$19:$AG$49,ROW(G5)+1,FALSE)</f>
        <v>0</v>
      </c>
      <c r="Q7" s="15" cm="1">
        <f t="array" ref="Q7">+HLOOKUP($A$1,+[9]İcmal!$B$19:$AG$49,ROW(H5)+1,FALSE)</f>
        <v>0</v>
      </c>
      <c r="R7" s="15" cm="1">
        <f t="array" ref="R7">+HLOOKUP($A$1,+[10]İcmal!$B$19:$AG$49,ROW(I5)+1,FALSE)</f>
        <v>0</v>
      </c>
      <c r="S7" s="15" cm="1">
        <f t="array" ref="S7">+HLOOKUP($A$1,+[11]İcmal!$B$19:$AG$49,ROW(J5)+1,FALSE)</f>
        <v>0</v>
      </c>
      <c r="T7" s="15" cm="1">
        <f t="array" ref="T7">+HLOOKUP($A$1,+[12]İcmal!$B$19:$AG$49,ROW(K5)+1,FALSE)</f>
        <v>0</v>
      </c>
      <c r="U7" s="15" cm="1">
        <f t="array" ref="U7">+HLOOKUP($A$1,+[13]İcmal!$B$19:$AG$49,ROW(L5)+1,FALSE)</f>
        <v>0</v>
      </c>
      <c r="V7" s="15" cm="1">
        <f t="array" ref="V7">+HLOOKUP($A$1,+[14]İcmal!$B$19:$AG$49,ROW(M5)+1,FALSE)</f>
        <v>0</v>
      </c>
      <c r="W7" s="15" cm="1">
        <f t="array" ref="W7">+HLOOKUP($A$1,+[15]İcmal!$B$19:$AG$49,ROW(N5)+1,FALSE)</f>
        <v>0</v>
      </c>
      <c r="X7" s="15" cm="1">
        <f t="array" ref="X7">+HLOOKUP($A$1,+[16]İcmal!$B$19:$AG$49,ROW(O5)+1,FALSE)</f>
        <v>0</v>
      </c>
      <c r="Y7" s="15" cm="1">
        <f t="array" ref="Y7">+HLOOKUP($A$1,+[17]İcmal!$B$19:$AG$49,ROW(P5)+1,FALSE)</f>
        <v>0</v>
      </c>
      <c r="Z7" s="15" cm="1">
        <f t="array" ref="Z7">+HLOOKUP($A$1,+[18]İcmal!$B$19:$AG$49,ROW(Q5)+1,FALSE)</f>
        <v>0</v>
      </c>
      <c r="AA7" s="15" cm="1">
        <f t="array" ref="AA7">+HLOOKUP($A$1,+[19]İcmal!$B$19:$AG$49,ROW(R5)+1,FALSE)</f>
        <v>0</v>
      </c>
      <c r="AB7" s="15" cm="1">
        <f t="array" ref="AB7">+HLOOKUP($A$1,+[20]İcmal!$B$19:$AG$49,ROW(S5)+1,FALSE)</f>
        <v>0</v>
      </c>
      <c r="AC7" s="15" cm="1">
        <f t="array" ref="AC7">+HLOOKUP($A$1,+[21]İcmal!$B$19:$AG$49,ROW(T5)+1,FALSE)</f>
        <v>0</v>
      </c>
      <c r="AD7" s="15" cm="1">
        <f t="array" ref="AD7">+HLOOKUP($A$1,+[22]İcmal!$B$19:$AG$49,ROW(U5)+1,FALSE)</f>
        <v>0</v>
      </c>
      <c r="AE7" s="15" cm="1">
        <f t="array" ref="AE7">+HLOOKUP($A$1,+[23]İcmal!$B$19:$AG$49,ROW(V5)+1,FALSE)</f>
        <v>0</v>
      </c>
      <c r="AF7" s="15" cm="1">
        <f t="array" ref="AF7">+HLOOKUP($A$1,+[24]İcmal!$B$19:$AG$49,ROW(W5)+1,FALSE)</f>
        <v>0</v>
      </c>
      <c r="AG7" s="15" cm="1">
        <f t="array" ref="AG7">+HLOOKUP($A$1,+[25]İcmal!$B$19:$AG$49,ROW(X5)+1,FALSE)</f>
        <v>0</v>
      </c>
      <c r="AH7" s="15" cm="1">
        <f t="array" ref="AH7">+HLOOKUP($A$1,+[26]İcmal!$B$19:$AG$49,ROW(Y5)+1,FALSE)</f>
        <v>0</v>
      </c>
      <c r="AI7" s="15" cm="1">
        <f t="array" ref="AI7">+HLOOKUP($A$1,+[27]İcmal!$B$19:$AG$49,ROW(Z5)+1,FALSE)</f>
        <v>0</v>
      </c>
      <c r="AJ7" s="15" cm="1">
        <f t="array" ref="AJ7">+HLOOKUP($A$1,+[28]İcmal!$B$19:$AG$49,ROW(AA5)+1,FALSE)</f>
        <v>0</v>
      </c>
      <c r="AK7" s="15" cm="1">
        <f t="array" ref="AK7">+HLOOKUP($A$1,+[29]İcmal!$B$19:$AG$49,ROW(AB5)+1,FALSE)</f>
        <v>0</v>
      </c>
      <c r="AL7" s="15"/>
      <c r="AM7" s="15"/>
      <c r="AN7" s="15"/>
      <c r="AO7" s="15"/>
      <c r="AP7" s="15"/>
      <c r="AQ7" s="15"/>
      <c r="AR7" s="15"/>
      <c r="AS7" s="15"/>
      <c r="AT7" s="13"/>
    </row>
    <row r="8" spans="1:46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+HLOOKUP($A$1,+[2]İcmal!$B$19:$AG$49,ROW(A6)+1,FALSE)</f>
        <v>0</v>
      </c>
      <c r="K8" s="15" cm="1">
        <f t="array" ref="K8">+HLOOKUP($A$1,+[3]İcmal!$B$19:$AG$49,ROW(B6)+1,FALSE)</f>
        <v>0</v>
      </c>
      <c r="L8" s="15" cm="1">
        <f t="array" ref="L8">+HLOOKUP($A$1,+[4]İcmal!$B$19:$AG$49,ROW(C6)+1,FALSE)</f>
        <v>0</v>
      </c>
      <c r="M8" s="15" cm="1">
        <f t="array" ref="M8">+HLOOKUP($A$1,+[5]İcmal!$B$19:$AG$49,ROW(D6)+1,FALSE)</f>
        <v>0</v>
      </c>
      <c r="N8" s="15" cm="1">
        <f t="array" ref="N8">+HLOOKUP($A$1,+[6]İcmal!$B$19:$AG$49,ROW(E6)+1,FALSE)</f>
        <v>0</v>
      </c>
      <c r="O8" s="15" cm="1">
        <f t="array" ref="O8">+HLOOKUP($A$1,+[7]İcmal!$B$19:$AG$49,ROW(F6)+1,FALSE)</f>
        <v>0</v>
      </c>
      <c r="P8" s="15" cm="1">
        <f t="array" ref="P8">+HLOOKUP($A$1,+[8]İcmal!$B$19:$AG$49,ROW(G6)+1,FALSE)</f>
        <v>0</v>
      </c>
      <c r="Q8" s="15" cm="1">
        <f t="array" ref="Q8">+HLOOKUP($A$1,+[9]İcmal!$B$19:$AG$49,ROW(H6)+1,FALSE)</f>
        <v>0</v>
      </c>
      <c r="R8" s="15" cm="1">
        <f t="array" ref="R8">+HLOOKUP($A$1,+[10]İcmal!$B$19:$AG$49,ROW(I6)+1,FALSE)</f>
        <v>0</v>
      </c>
      <c r="S8" s="15" cm="1">
        <f t="array" ref="S8">+HLOOKUP($A$1,+[11]İcmal!$B$19:$AG$49,ROW(J6)+1,FALSE)</f>
        <v>0</v>
      </c>
      <c r="T8" s="15" cm="1">
        <f t="array" ref="T8">+HLOOKUP($A$1,+[12]İcmal!$B$19:$AG$49,ROW(K6)+1,FALSE)</f>
        <v>0</v>
      </c>
      <c r="U8" s="15" cm="1">
        <f t="array" ref="U8">+HLOOKUP($A$1,+[13]İcmal!$B$19:$AG$49,ROW(L6)+1,FALSE)</f>
        <v>0</v>
      </c>
      <c r="V8" s="15" cm="1">
        <f t="array" ref="V8">+HLOOKUP($A$1,+[14]İcmal!$B$19:$AG$49,ROW(M6)+1,FALSE)</f>
        <v>0</v>
      </c>
      <c r="W8" s="15" cm="1">
        <f t="array" ref="W8">+HLOOKUP($A$1,+[15]İcmal!$B$19:$AG$49,ROW(N6)+1,FALSE)</f>
        <v>0</v>
      </c>
      <c r="X8" s="15" cm="1">
        <f t="array" ref="X8">+HLOOKUP($A$1,+[16]İcmal!$B$19:$AG$49,ROW(O6)+1,FALSE)</f>
        <v>0</v>
      </c>
      <c r="Y8" s="15" cm="1">
        <f t="array" ref="Y8">+HLOOKUP($A$1,+[17]İcmal!$B$19:$AG$49,ROW(P6)+1,FALSE)</f>
        <v>0</v>
      </c>
      <c r="Z8" s="15" cm="1">
        <f t="array" ref="Z8">+HLOOKUP($A$1,+[18]İcmal!$B$19:$AG$49,ROW(Q6)+1,FALSE)</f>
        <v>0</v>
      </c>
      <c r="AA8" s="15" cm="1">
        <f t="array" ref="AA8">+HLOOKUP($A$1,+[19]İcmal!$B$19:$AG$49,ROW(R6)+1,FALSE)</f>
        <v>0</v>
      </c>
      <c r="AB8" s="15" cm="1">
        <f t="array" ref="AB8">+HLOOKUP($A$1,+[20]İcmal!$B$19:$AG$49,ROW(S6)+1,FALSE)</f>
        <v>0</v>
      </c>
      <c r="AC8" s="15" cm="1">
        <f t="array" ref="AC8">+HLOOKUP($A$1,+[21]İcmal!$B$19:$AG$49,ROW(T6)+1,FALSE)</f>
        <v>0</v>
      </c>
      <c r="AD8" s="15" cm="1">
        <f t="array" ref="AD8">+HLOOKUP($A$1,+[22]İcmal!$B$19:$AG$49,ROW(U6)+1,FALSE)</f>
        <v>0</v>
      </c>
      <c r="AE8" s="15" cm="1">
        <f t="array" ref="AE8">+HLOOKUP($A$1,+[23]İcmal!$B$19:$AG$49,ROW(V6)+1,FALSE)</f>
        <v>0</v>
      </c>
      <c r="AF8" s="15" cm="1">
        <f t="array" ref="AF8">+HLOOKUP($A$1,+[24]İcmal!$B$19:$AG$49,ROW(W6)+1,FALSE)</f>
        <v>0</v>
      </c>
      <c r="AG8" s="15" cm="1">
        <f t="array" ref="AG8">+HLOOKUP($A$1,+[25]İcmal!$B$19:$AG$49,ROW(X6)+1,FALSE)</f>
        <v>0</v>
      </c>
      <c r="AH8" s="15" cm="1">
        <f t="array" ref="AH8">+HLOOKUP($A$1,+[26]İcmal!$B$19:$AG$49,ROW(Y6)+1,FALSE)</f>
        <v>0</v>
      </c>
      <c r="AI8" s="15" cm="1">
        <f t="array" ref="AI8">+HLOOKUP($A$1,+[27]İcmal!$B$19:$AG$49,ROW(Z6)+1,FALSE)</f>
        <v>0</v>
      </c>
      <c r="AJ8" s="15" cm="1">
        <f t="array" ref="AJ8">+HLOOKUP($A$1,+[28]İcmal!$B$19:$AG$49,ROW(AA6)+1,FALSE)</f>
        <v>0</v>
      </c>
      <c r="AK8" s="15" cm="1">
        <f t="array" ref="AK8">+HLOOKUP($A$1,+[29]İcmal!$B$19:$AG$49,ROW(AB6)+1,FALSE)</f>
        <v>0</v>
      </c>
      <c r="AL8" s="15"/>
      <c r="AM8" s="15"/>
      <c r="AN8" s="15"/>
      <c r="AO8" s="15"/>
      <c r="AP8" s="15"/>
      <c r="AQ8" s="15"/>
      <c r="AR8" s="15"/>
      <c r="AS8" s="15"/>
      <c r="AT8" s="13"/>
    </row>
    <row r="9" spans="1:46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+HLOOKUP($A$1,+[2]İcmal!$B$19:$AG$49,ROW(A7)+1,FALSE)</f>
        <v>0</v>
      </c>
      <c r="K9" s="15" cm="1">
        <f t="array" ref="K9">+HLOOKUP($A$1,+[3]İcmal!$B$19:$AG$49,ROW(B7)+1,FALSE)</f>
        <v>0</v>
      </c>
      <c r="L9" s="15" cm="1">
        <f t="array" ref="L9">+HLOOKUP($A$1,+[4]İcmal!$B$19:$AG$49,ROW(C7)+1,FALSE)</f>
        <v>0</v>
      </c>
      <c r="M9" s="15" cm="1">
        <f t="array" ref="M9">+HLOOKUP($A$1,+[5]İcmal!$B$19:$AG$49,ROW(D7)+1,FALSE)</f>
        <v>0</v>
      </c>
      <c r="N9" s="15" cm="1">
        <f t="array" ref="N9">+HLOOKUP($A$1,+[6]İcmal!$B$19:$AG$49,ROW(E7)+1,FALSE)</f>
        <v>0</v>
      </c>
      <c r="O9" s="15" cm="1">
        <f t="array" ref="O9">+HLOOKUP($A$1,+[7]İcmal!$B$19:$AG$49,ROW(F7)+1,FALSE)</f>
        <v>0</v>
      </c>
      <c r="P9" s="15" cm="1">
        <f t="array" ref="P9">+HLOOKUP($A$1,+[8]İcmal!$B$19:$AG$49,ROW(G7)+1,FALSE)</f>
        <v>0</v>
      </c>
      <c r="Q9" s="15" cm="1">
        <f t="array" ref="Q9">+HLOOKUP($A$1,+[9]İcmal!$B$19:$AG$49,ROW(H7)+1,FALSE)</f>
        <v>0</v>
      </c>
      <c r="R9" s="15" cm="1">
        <f t="array" ref="R9">+HLOOKUP($A$1,+[10]İcmal!$B$19:$AG$49,ROW(I7)+1,FALSE)</f>
        <v>0</v>
      </c>
      <c r="S9" s="15" cm="1">
        <f t="array" ref="S9">+HLOOKUP($A$1,+[11]İcmal!$B$19:$AG$49,ROW(J7)+1,FALSE)</f>
        <v>0</v>
      </c>
      <c r="T9" s="15" cm="1">
        <f t="array" ref="T9">+HLOOKUP($A$1,+[12]İcmal!$B$19:$AG$49,ROW(K7)+1,FALSE)</f>
        <v>0</v>
      </c>
      <c r="U9" s="15" cm="1">
        <f t="array" ref="U9">+HLOOKUP($A$1,+[13]İcmal!$B$19:$AG$49,ROW(L7)+1,FALSE)</f>
        <v>0</v>
      </c>
      <c r="V9" s="15" cm="1">
        <f t="array" ref="V9">+HLOOKUP($A$1,+[14]İcmal!$B$19:$AG$49,ROW(M7)+1,FALSE)</f>
        <v>0</v>
      </c>
      <c r="W9" s="15" cm="1">
        <f t="array" ref="W9">+HLOOKUP($A$1,+[15]İcmal!$B$19:$AG$49,ROW(N7)+1,FALSE)</f>
        <v>0</v>
      </c>
      <c r="X9" s="15" cm="1">
        <f t="array" ref="X9">+HLOOKUP($A$1,+[16]İcmal!$B$19:$AG$49,ROW(O7)+1,FALSE)</f>
        <v>0</v>
      </c>
      <c r="Y9" s="15" cm="1">
        <f t="array" ref="Y9">+HLOOKUP($A$1,+[17]İcmal!$B$19:$AG$49,ROW(P7)+1,FALSE)</f>
        <v>0</v>
      </c>
      <c r="Z9" s="15" cm="1">
        <f t="array" ref="Z9">+HLOOKUP($A$1,+[18]İcmal!$B$19:$AG$49,ROW(Q7)+1,FALSE)</f>
        <v>0</v>
      </c>
      <c r="AA9" s="15" cm="1">
        <f t="array" ref="AA9">+HLOOKUP($A$1,+[19]İcmal!$B$19:$AG$49,ROW(R7)+1,FALSE)</f>
        <v>0</v>
      </c>
      <c r="AB9" s="15" cm="1">
        <f t="array" ref="AB9">+HLOOKUP($A$1,+[20]İcmal!$B$19:$AG$49,ROW(S7)+1,FALSE)</f>
        <v>0</v>
      </c>
      <c r="AC9" s="15" cm="1">
        <f t="array" ref="AC9">+HLOOKUP($A$1,+[21]İcmal!$B$19:$AG$49,ROW(T7)+1,FALSE)</f>
        <v>0</v>
      </c>
      <c r="AD9" s="15" cm="1">
        <f t="array" ref="AD9">+HLOOKUP($A$1,+[22]İcmal!$B$19:$AG$49,ROW(U7)+1,FALSE)</f>
        <v>0</v>
      </c>
      <c r="AE9" s="15" cm="1">
        <f t="array" ref="AE9">+HLOOKUP($A$1,+[23]İcmal!$B$19:$AG$49,ROW(V7)+1,FALSE)</f>
        <v>0</v>
      </c>
      <c r="AF9" s="15" cm="1">
        <f t="array" ref="AF9">+HLOOKUP($A$1,+[24]İcmal!$B$19:$AG$49,ROW(W7)+1,FALSE)</f>
        <v>0</v>
      </c>
      <c r="AG9" s="15" cm="1">
        <f t="array" ref="AG9">+HLOOKUP($A$1,+[25]İcmal!$B$19:$AG$49,ROW(X7)+1,FALSE)</f>
        <v>0</v>
      </c>
      <c r="AH9" s="15" cm="1">
        <f t="array" ref="AH9">+HLOOKUP($A$1,+[26]İcmal!$B$19:$AG$49,ROW(Y7)+1,FALSE)</f>
        <v>0</v>
      </c>
      <c r="AI9" s="15" cm="1">
        <f t="array" ref="AI9">+HLOOKUP($A$1,+[27]İcmal!$B$19:$AG$49,ROW(Z7)+1,FALSE)</f>
        <v>0</v>
      </c>
      <c r="AJ9" s="15" cm="1">
        <f t="array" ref="AJ9">+HLOOKUP($A$1,+[28]İcmal!$B$19:$AG$49,ROW(AA7)+1,FALSE)</f>
        <v>0</v>
      </c>
      <c r="AK9" s="15" cm="1">
        <f t="array" ref="AK9">+HLOOKUP($A$1,+[29]İcmal!$B$19:$AG$49,ROW(AB7)+1,FALSE)</f>
        <v>0</v>
      </c>
      <c r="AL9" s="15"/>
      <c r="AM9" s="15"/>
      <c r="AN9" s="15"/>
      <c r="AO9" s="15"/>
      <c r="AP9" s="15"/>
      <c r="AQ9" s="15"/>
      <c r="AR9" s="15"/>
      <c r="AS9" s="15"/>
      <c r="AT9" s="13"/>
    </row>
    <row r="10" spans="1:46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86</v>
      </c>
      <c r="I10" s="9">
        <f t="shared" si="2"/>
        <v>688000</v>
      </c>
      <c r="J10" s="15" cm="1">
        <f t="array" ref="J10">+HLOOKUP($A$1,+[2]İcmal!$B$19:$AG$49,ROW(A8)+1,FALSE)</f>
        <v>41</v>
      </c>
      <c r="K10" s="15" cm="1">
        <f t="array" ref="K10">+HLOOKUP($A$1,+[3]İcmal!$B$19:$AG$49,ROW(B8)+1,FALSE)</f>
        <v>0</v>
      </c>
      <c r="L10" s="15" cm="1">
        <f t="array" ref="L10">+HLOOKUP($A$1,+[4]İcmal!$B$19:$AG$49,ROW(C8)+1,FALSE)</f>
        <v>0</v>
      </c>
      <c r="M10" s="15" cm="1">
        <f t="array" ref="M10">+HLOOKUP($A$1,+[5]İcmal!$B$19:$AG$49,ROW(D8)+1,FALSE)</f>
        <v>0</v>
      </c>
      <c r="N10" s="15" cm="1">
        <f t="array" ref="N10">+HLOOKUP($A$1,+[6]İcmal!$B$19:$AG$49,ROW(E8)+1,FALSE)</f>
        <v>0</v>
      </c>
      <c r="O10" s="15" cm="1">
        <f t="array" ref="O10">+HLOOKUP($A$1,+[7]İcmal!$B$19:$AG$49,ROW(F8)+1,FALSE)</f>
        <v>0</v>
      </c>
      <c r="P10" s="15" cm="1">
        <f t="array" ref="P10">+HLOOKUP($A$1,+[8]İcmal!$B$19:$AG$49,ROW(G8)+1,FALSE)</f>
        <v>0</v>
      </c>
      <c r="Q10" s="15" cm="1">
        <f t="array" ref="Q10">+HLOOKUP($A$1,+[9]İcmal!$B$19:$AG$49,ROW(H8)+1,FALSE)</f>
        <v>0</v>
      </c>
      <c r="R10" s="15" cm="1">
        <f t="array" ref="R10">+HLOOKUP($A$1,+[10]İcmal!$B$19:$AG$49,ROW(I8)+1,FALSE)</f>
        <v>0</v>
      </c>
      <c r="S10" s="15" cm="1">
        <f t="array" ref="S10">+HLOOKUP($A$1,+[11]İcmal!$B$19:$AG$49,ROW(J8)+1,FALSE)</f>
        <v>0</v>
      </c>
      <c r="T10" s="15" cm="1">
        <f t="array" ref="T10">+HLOOKUP($A$1,+[12]İcmal!$B$19:$AG$49,ROW(K8)+1,FALSE)</f>
        <v>0</v>
      </c>
      <c r="U10" s="15" cm="1">
        <f t="array" ref="U10">+HLOOKUP($A$1,+[13]İcmal!$B$19:$AG$49,ROW(L8)+1,FALSE)</f>
        <v>0</v>
      </c>
      <c r="V10" s="15" cm="1">
        <f t="array" ref="V10">+HLOOKUP($A$1,+[14]İcmal!$B$19:$AG$49,ROW(M8)+1,FALSE)</f>
        <v>45</v>
      </c>
      <c r="W10" s="15" cm="1">
        <f t="array" ref="W10">+HLOOKUP($A$1,+[15]İcmal!$B$19:$AG$49,ROW(N8)+1,FALSE)</f>
        <v>0</v>
      </c>
      <c r="X10" s="15" cm="1">
        <f t="array" ref="X10">+HLOOKUP($A$1,+[16]İcmal!$B$19:$AG$49,ROW(O8)+1,FALSE)</f>
        <v>0</v>
      </c>
      <c r="Y10" s="15" cm="1">
        <f t="array" ref="Y10">+HLOOKUP($A$1,+[17]İcmal!$B$19:$AG$49,ROW(P8)+1,FALSE)</f>
        <v>0</v>
      </c>
      <c r="Z10" s="15" cm="1">
        <f t="array" ref="Z10">+HLOOKUP($A$1,+[18]İcmal!$B$19:$AG$49,ROW(Q8)+1,FALSE)</f>
        <v>0</v>
      </c>
      <c r="AA10" s="15" cm="1">
        <f t="array" ref="AA10">+HLOOKUP($A$1,+[19]İcmal!$B$19:$AG$49,ROW(R8)+1,FALSE)</f>
        <v>0</v>
      </c>
      <c r="AB10" s="15" cm="1">
        <f t="array" ref="AB10">+HLOOKUP($A$1,+[20]İcmal!$B$19:$AG$49,ROW(S8)+1,FALSE)</f>
        <v>0</v>
      </c>
      <c r="AC10" s="15" cm="1">
        <f t="array" ref="AC10">+HLOOKUP($A$1,+[21]İcmal!$B$19:$AG$49,ROW(T8)+1,FALSE)</f>
        <v>0</v>
      </c>
      <c r="AD10" s="15" cm="1">
        <f t="array" ref="AD10">+HLOOKUP($A$1,+[22]İcmal!$B$19:$AG$49,ROW(U8)+1,FALSE)</f>
        <v>0</v>
      </c>
      <c r="AE10" s="15" cm="1">
        <f t="array" ref="AE10">+HLOOKUP($A$1,+[23]İcmal!$B$19:$AG$49,ROW(V8)+1,FALSE)</f>
        <v>0</v>
      </c>
      <c r="AF10" s="15" cm="1">
        <f t="array" ref="AF10">+HLOOKUP($A$1,+[24]İcmal!$B$19:$AG$49,ROW(W8)+1,FALSE)</f>
        <v>0</v>
      </c>
      <c r="AG10" s="15" cm="1">
        <f t="array" ref="AG10">+HLOOKUP($A$1,+[25]İcmal!$B$19:$AG$49,ROW(X8)+1,FALSE)</f>
        <v>0</v>
      </c>
      <c r="AH10" s="15" cm="1">
        <f t="array" ref="AH10">+HLOOKUP($A$1,+[26]İcmal!$B$19:$AG$49,ROW(Y8)+1,FALSE)</f>
        <v>0</v>
      </c>
      <c r="AI10" s="15" cm="1">
        <f t="array" ref="AI10">+HLOOKUP($A$1,+[27]İcmal!$B$19:$AG$49,ROW(Z8)+1,FALSE)</f>
        <v>0</v>
      </c>
      <c r="AJ10" s="15" cm="1">
        <f t="array" ref="AJ10">+HLOOKUP($A$1,+[28]İcmal!$B$19:$AG$49,ROW(AA8)+1,FALSE)</f>
        <v>0</v>
      </c>
      <c r="AK10" s="15" cm="1">
        <f t="array" ref="AK10">+HLOOKUP($A$1,+[29]İcmal!$B$19:$AG$49,ROW(AB8)+1,FALSE)</f>
        <v>0</v>
      </c>
      <c r="AL10" s="15"/>
      <c r="AM10" s="15"/>
      <c r="AN10" s="15"/>
      <c r="AO10" s="15"/>
      <c r="AP10" s="15"/>
      <c r="AQ10" s="15"/>
      <c r="AR10" s="15"/>
      <c r="AS10" s="15"/>
      <c r="AT10" s="13"/>
    </row>
    <row r="11" spans="1:46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+HLOOKUP($A$1,+[2]İcmal!$B$19:$AG$49,ROW(A9)+1,FALSE)</f>
        <v>0</v>
      </c>
      <c r="K11" s="15" cm="1">
        <f t="array" ref="K11">+HLOOKUP($A$1,+[3]İcmal!$B$19:$AG$49,ROW(B9)+1,FALSE)</f>
        <v>0</v>
      </c>
      <c r="L11" s="15" cm="1">
        <f t="array" ref="L11">+HLOOKUP($A$1,+[4]İcmal!$B$19:$AG$49,ROW(C9)+1,FALSE)</f>
        <v>0</v>
      </c>
      <c r="M11" s="15" cm="1">
        <f t="array" ref="M11">+HLOOKUP($A$1,+[5]İcmal!$B$19:$AG$49,ROW(D9)+1,FALSE)</f>
        <v>0</v>
      </c>
      <c r="N11" s="15" cm="1">
        <f t="array" ref="N11">+HLOOKUP($A$1,+[6]İcmal!$B$19:$AG$49,ROW(E9)+1,FALSE)</f>
        <v>0</v>
      </c>
      <c r="O11" s="15" cm="1">
        <f t="array" ref="O11">+HLOOKUP($A$1,+[7]İcmal!$B$19:$AG$49,ROW(F9)+1,FALSE)</f>
        <v>0</v>
      </c>
      <c r="P11" s="15" cm="1">
        <f t="array" ref="P11">+HLOOKUP($A$1,+[8]İcmal!$B$19:$AG$49,ROW(G9)+1,FALSE)</f>
        <v>0</v>
      </c>
      <c r="Q11" s="15" cm="1">
        <f t="array" ref="Q11">+HLOOKUP($A$1,+[9]İcmal!$B$19:$AG$49,ROW(H9)+1,FALSE)</f>
        <v>0</v>
      </c>
      <c r="R11" s="15" cm="1">
        <f t="array" ref="R11">+HLOOKUP($A$1,+[10]İcmal!$B$19:$AG$49,ROW(I9)+1,FALSE)</f>
        <v>0</v>
      </c>
      <c r="S11" s="15" cm="1">
        <f t="array" ref="S11">+HLOOKUP($A$1,+[11]İcmal!$B$19:$AG$49,ROW(J9)+1,FALSE)</f>
        <v>0</v>
      </c>
      <c r="T11" s="15" cm="1">
        <f t="array" ref="T11">+HLOOKUP($A$1,+[12]İcmal!$B$19:$AG$49,ROW(K9)+1,FALSE)</f>
        <v>0</v>
      </c>
      <c r="U11" s="15" cm="1">
        <f t="array" ref="U11">+HLOOKUP($A$1,+[13]İcmal!$B$19:$AG$49,ROW(L9)+1,FALSE)</f>
        <v>0</v>
      </c>
      <c r="V11" s="15" cm="1">
        <f t="array" ref="V11">+HLOOKUP($A$1,+[14]İcmal!$B$19:$AG$49,ROW(M9)+1,FALSE)</f>
        <v>0</v>
      </c>
      <c r="W11" s="15" cm="1">
        <f t="array" ref="W11">+HLOOKUP($A$1,+[15]İcmal!$B$19:$AG$49,ROW(N9)+1,FALSE)</f>
        <v>0</v>
      </c>
      <c r="X11" s="15" cm="1">
        <f t="array" ref="X11">+HLOOKUP($A$1,+[16]İcmal!$B$19:$AG$49,ROW(O9)+1,FALSE)</f>
        <v>0</v>
      </c>
      <c r="Y11" s="15" cm="1">
        <f t="array" ref="Y11">+HLOOKUP($A$1,+[17]İcmal!$B$19:$AG$49,ROW(P9)+1,FALSE)</f>
        <v>0</v>
      </c>
      <c r="Z11" s="15" cm="1">
        <f t="array" ref="Z11">+HLOOKUP($A$1,+[18]İcmal!$B$19:$AG$49,ROW(Q9)+1,FALSE)</f>
        <v>0</v>
      </c>
      <c r="AA11" s="15" cm="1">
        <f t="array" ref="AA11">+HLOOKUP($A$1,+[19]İcmal!$B$19:$AG$49,ROW(R9)+1,FALSE)</f>
        <v>0</v>
      </c>
      <c r="AB11" s="15" cm="1">
        <f t="array" ref="AB11">+HLOOKUP($A$1,+[20]İcmal!$B$19:$AG$49,ROW(S9)+1,FALSE)</f>
        <v>0</v>
      </c>
      <c r="AC11" s="15" cm="1">
        <f t="array" ref="AC11">+HLOOKUP($A$1,+[21]İcmal!$B$19:$AG$49,ROW(T9)+1,FALSE)</f>
        <v>0</v>
      </c>
      <c r="AD11" s="15" cm="1">
        <f t="array" ref="AD11">+HLOOKUP($A$1,+[22]İcmal!$B$19:$AG$49,ROW(U9)+1,FALSE)</f>
        <v>0</v>
      </c>
      <c r="AE11" s="15" cm="1">
        <f t="array" ref="AE11">+HLOOKUP($A$1,+[23]İcmal!$B$19:$AG$49,ROW(V9)+1,FALSE)</f>
        <v>0</v>
      </c>
      <c r="AF11" s="15" cm="1">
        <f t="array" ref="AF11">+HLOOKUP($A$1,+[24]İcmal!$B$19:$AG$49,ROW(W9)+1,FALSE)</f>
        <v>0</v>
      </c>
      <c r="AG11" s="15" cm="1">
        <f t="array" ref="AG11">+HLOOKUP($A$1,+[25]İcmal!$B$19:$AG$49,ROW(X9)+1,FALSE)</f>
        <v>0</v>
      </c>
      <c r="AH11" s="15" cm="1">
        <f t="array" ref="AH11">+HLOOKUP($A$1,+[26]İcmal!$B$19:$AG$49,ROW(Y9)+1,FALSE)</f>
        <v>0</v>
      </c>
      <c r="AI11" s="15" cm="1">
        <f t="array" ref="AI11">+HLOOKUP($A$1,+[27]İcmal!$B$19:$AG$49,ROW(Z9)+1,FALSE)</f>
        <v>0</v>
      </c>
      <c r="AJ11" s="15" cm="1">
        <f t="array" ref="AJ11">+HLOOKUP($A$1,+[28]İcmal!$B$19:$AG$49,ROW(AA9)+1,FALSE)</f>
        <v>0</v>
      </c>
      <c r="AK11" s="15" cm="1">
        <f t="array" ref="AK11">+HLOOKUP($A$1,+[29]İcmal!$B$19:$AG$49,ROW(AB9)+1,FALSE)</f>
        <v>0</v>
      </c>
      <c r="AL11" s="15"/>
      <c r="AM11" s="15"/>
      <c r="AN11" s="15"/>
      <c r="AO11" s="15"/>
      <c r="AP11" s="15"/>
      <c r="AQ11" s="15"/>
      <c r="AR11" s="15"/>
      <c r="AS11" s="15"/>
      <c r="AT11" s="13"/>
    </row>
    <row r="12" spans="1:46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+HLOOKUP($A$1,+[2]İcmal!$B$19:$AG$49,ROW(A10)+1,FALSE)</f>
        <v>0</v>
      </c>
      <c r="K12" s="15" cm="1">
        <f t="array" ref="K12">+HLOOKUP($A$1,+[3]İcmal!$B$19:$AG$49,ROW(B10)+1,FALSE)</f>
        <v>0</v>
      </c>
      <c r="L12" s="15" cm="1">
        <f t="array" ref="L12">+HLOOKUP($A$1,+[4]İcmal!$B$19:$AG$49,ROW(C10)+1,FALSE)</f>
        <v>0</v>
      </c>
      <c r="M12" s="15" cm="1">
        <f t="array" ref="M12">+HLOOKUP($A$1,+[5]İcmal!$B$19:$AG$49,ROW(D10)+1,FALSE)</f>
        <v>0</v>
      </c>
      <c r="N12" s="15" cm="1">
        <f t="array" ref="N12">+HLOOKUP($A$1,+[6]İcmal!$B$19:$AG$49,ROW(E10)+1,FALSE)</f>
        <v>0</v>
      </c>
      <c r="O12" s="15" cm="1">
        <f t="array" ref="O12">+HLOOKUP($A$1,+[7]İcmal!$B$19:$AG$49,ROW(F10)+1,FALSE)</f>
        <v>0</v>
      </c>
      <c r="P12" s="15" cm="1">
        <f t="array" ref="P12">+HLOOKUP($A$1,+[8]İcmal!$B$19:$AG$49,ROW(G10)+1,FALSE)</f>
        <v>0</v>
      </c>
      <c r="Q12" s="15" cm="1">
        <f t="array" ref="Q12">+HLOOKUP($A$1,+[9]İcmal!$B$19:$AG$49,ROW(H10)+1,FALSE)</f>
        <v>0</v>
      </c>
      <c r="R12" s="15" cm="1">
        <f t="array" ref="R12">+HLOOKUP($A$1,+[10]İcmal!$B$19:$AG$49,ROW(I10)+1,FALSE)</f>
        <v>0</v>
      </c>
      <c r="S12" s="15" cm="1">
        <f t="array" ref="S12">+HLOOKUP($A$1,+[11]İcmal!$B$19:$AG$49,ROW(J10)+1,FALSE)</f>
        <v>0</v>
      </c>
      <c r="T12" s="15" cm="1">
        <f t="array" ref="T12">+HLOOKUP($A$1,+[12]İcmal!$B$19:$AG$49,ROW(K10)+1,FALSE)</f>
        <v>0</v>
      </c>
      <c r="U12" s="15" cm="1">
        <f t="array" ref="U12">+HLOOKUP($A$1,+[13]İcmal!$B$19:$AG$49,ROW(L10)+1,FALSE)</f>
        <v>0</v>
      </c>
      <c r="V12" s="15" cm="1">
        <f t="array" ref="V12">+HLOOKUP($A$1,+[14]İcmal!$B$19:$AG$49,ROW(M10)+1,FALSE)</f>
        <v>0</v>
      </c>
      <c r="W12" s="15" cm="1">
        <f t="array" ref="W12">+HLOOKUP($A$1,+[15]İcmal!$B$19:$AG$49,ROW(N10)+1,FALSE)</f>
        <v>0</v>
      </c>
      <c r="X12" s="15" cm="1">
        <f t="array" ref="X12">+HLOOKUP($A$1,+[16]İcmal!$B$19:$AG$49,ROW(O10)+1,FALSE)</f>
        <v>0</v>
      </c>
      <c r="Y12" s="15" cm="1">
        <f t="array" ref="Y12">+HLOOKUP($A$1,+[17]İcmal!$B$19:$AG$49,ROW(P10)+1,FALSE)</f>
        <v>0</v>
      </c>
      <c r="Z12" s="15" cm="1">
        <f t="array" ref="Z12">+HLOOKUP($A$1,+[18]İcmal!$B$19:$AG$49,ROW(Q10)+1,FALSE)</f>
        <v>0</v>
      </c>
      <c r="AA12" s="15" cm="1">
        <f t="array" ref="AA12">+HLOOKUP($A$1,+[19]İcmal!$B$19:$AG$49,ROW(R10)+1,FALSE)</f>
        <v>0</v>
      </c>
      <c r="AB12" s="15" cm="1">
        <f t="array" ref="AB12">+HLOOKUP($A$1,+[20]İcmal!$B$19:$AG$49,ROW(S10)+1,FALSE)</f>
        <v>0</v>
      </c>
      <c r="AC12" s="15" cm="1">
        <f t="array" ref="AC12">+HLOOKUP($A$1,+[21]İcmal!$B$19:$AG$49,ROW(T10)+1,FALSE)</f>
        <v>0</v>
      </c>
      <c r="AD12" s="15" cm="1">
        <f t="array" ref="AD12">+HLOOKUP($A$1,+[22]İcmal!$B$19:$AG$49,ROW(U10)+1,FALSE)</f>
        <v>0</v>
      </c>
      <c r="AE12" s="15" cm="1">
        <f t="array" ref="AE12">+HLOOKUP($A$1,+[23]İcmal!$B$19:$AG$49,ROW(V10)+1,FALSE)</f>
        <v>0</v>
      </c>
      <c r="AF12" s="15" cm="1">
        <f t="array" ref="AF12">+HLOOKUP($A$1,+[24]İcmal!$B$19:$AG$49,ROW(W10)+1,FALSE)</f>
        <v>0</v>
      </c>
      <c r="AG12" s="15" cm="1">
        <f t="array" ref="AG12">+HLOOKUP($A$1,+[25]İcmal!$B$19:$AG$49,ROW(X10)+1,FALSE)</f>
        <v>0</v>
      </c>
      <c r="AH12" s="15" cm="1">
        <f t="array" ref="AH12">+HLOOKUP($A$1,+[26]İcmal!$B$19:$AG$49,ROW(Y10)+1,FALSE)</f>
        <v>0</v>
      </c>
      <c r="AI12" s="15" cm="1">
        <f t="array" ref="AI12">+HLOOKUP($A$1,+[27]İcmal!$B$19:$AG$49,ROW(Z10)+1,FALSE)</f>
        <v>0</v>
      </c>
      <c r="AJ12" s="15" cm="1">
        <f t="array" ref="AJ12">+HLOOKUP($A$1,+[28]İcmal!$B$19:$AG$49,ROW(AA10)+1,FALSE)</f>
        <v>0</v>
      </c>
      <c r="AK12" s="15" cm="1">
        <f t="array" ref="AK12">+HLOOKUP($A$1,+[29]İcmal!$B$19:$AG$49,ROW(AB10)+1,FALSE)</f>
        <v>0</v>
      </c>
      <c r="AL12" s="15"/>
      <c r="AM12" s="15"/>
      <c r="AN12" s="15"/>
      <c r="AO12" s="15"/>
      <c r="AP12" s="15"/>
      <c r="AQ12" s="15"/>
      <c r="AR12" s="15"/>
      <c r="AS12" s="15"/>
      <c r="AT12" s="13"/>
    </row>
    <row r="13" spans="1:46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72</v>
      </c>
      <c r="I13" s="9">
        <f t="shared" si="2"/>
        <v>2016000</v>
      </c>
      <c r="J13" s="15" cm="1">
        <f t="array" ref="J13">+HLOOKUP($A$1,+[2]İcmal!$B$19:$AG$49,ROW(A11)+1,FALSE)</f>
        <v>27</v>
      </c>
      <c r="K13" s="15" cm="1">
        <f t="array" ref="K13">+HLOOKUP($A$1,+[3]İcmal!$B$19:$AG$49,ROW(B11)+1,FALSE)</f>
        <v>15</v>
      </c>
      <c r="L13" s="15" cm="1">
        <f t="array" ref="L13">+HLOOKUP($A$1,+[4]İcmal!$B$19:$AG$49,ROW(C11)+1,FALSE)</f>
        <v>0</v>
      </c>
      <c r="M13" s="15" cm="1">
        <f t="array" ref="M13">+HLOOKUP($A$1,+[5]İcmal!$B$19:$AG$49,ROW(D11)+1,FALSE)</f>
        <v>0</v>
      </c>
      <c r="N13" s="15" cm="1">
        <f t="array" ref="N13">+HLOOKUP($A$1,+[6]İcmal!$B$19:$AG$49,ROW(E11)+1,FALSE)</f>
        <v>0</v>
      </c>
      <c r="O13" s="15" cm="1">
        <f t="array" ref="O13">+HLOOKUP($A$1,+[7]İcmal!$B$19:$AG$49,ROW(F11)+1,FALSE)</f>
        <v>0</v>
      </c>
      <c r="P13" s="15" cm="1">
        <f t="array" ref="P13">+HLOOKUP($A$1,+[8]İcmal!$B$19:$AG$49,ROW(G11)+1,FALSE)</f>
        <v>0</v>
      </c>
      <c r="Q13" s="15" cm="1">
        <f t="array" ref="Q13">+HLOOKUP($A$1,+[9]İcmal!$B$19:$AG$49,ROW(H11)+1,FALSE)</f>
        <v>0</v>
      </c>
      <c r="R13" s="15" cm="1">
        <f t="array" ref="R13">+HLOOKUP($A$1,+[10]İcmal!$B$19:$AG$49,ROW(I11)+1,FALSE)</f>
        <v>0</v>
      </c>
      <c r="S13" s="15" cm="1">
        <f t="array" ref="S13">+HLOOKUP($A$1,+[11]İcmal!$B$19:$AG$49,ROW(J11)+1,FALSE)</f>
        <v>0</v>
      </c>
      <c r="T13" s="15" cm="1">
        <f t="array" ref="T13">+HLOOKUP($A$1,+[12]İcmal!$B$19:$AG$49,ROW(K11)+1,FALSE)</f>
        <v>0</v>
      </c>
      <c r="U13" s="15" cm="1">
        <f t="array" ref="U13">+HLOOKUP($A$1,+[13]İcmal!$B$19:$AG$49,ROW(L11)+1,FALSE)</f>
        <v>0</v>
      </c>
      <c r="V13" s="15" cm="1">
        <f t="array" ref="V13">+HLOOKUP($A$1,+[14]İcmal!$B$19:$AG$49,ROW(M11)+1,FALSE)</f>
        <v>30</v>
      </c>
      <c r="W13" s="15" cm="1">
        <f t="array" ref="W13">+HLOOKUP($A$1,+[15]İcmal!$B$19:$AG$49,ROW(N11)+1,FALSE)</f>
        <v>0</v>
      </c>
      <c r="X13" s="15" cm="1">
        <f t="array" ref="X13">+HLOOKUP($A$1,+[16]İcmal!$B$19:$AG$49,ROW(O11)+1,FALSE)</f>
        <v>0</v>
      </c>
      <c r="Y13" s="15" cm="1">
        <f t="array" ref="Y13">+HLOOKUP($A$1,+[17]İcmal!$B$19:$AG$49,ROW(P11)+1,FALSE)</f>
        <v>0</v>
      </c>
      <c r="Z13" s="15" cm="1">
        <f t="array" ref="Z13">+HLOOKUP($A$1,+[18]İcmal!$B$19:$AG$49,ROW(Q11)+1,FALSE)</f>
        <v>0</v>
      </c>
      <c r="AA13" s="15" cm="1">
        <f t="array" ref="AA13">+HLOOKUP($A$1,+[19]İcmal!$B$19:$AG$49,ROW(R11)+1,FALSE)</f>
        <v>0</v>
      </c>
      <c r="AB13" s="15" cm="1">
        <f t="array" ref="AB13">+HLOOKUP($A$1,+[20]İcmal!$B$19:$AG$49,ROW(S11)+1,FALSE)</f>
        <v>0</v>
      </c>
      <c r="AC13" s="15" cm="1">
        <f t="array" ref="AC13">+HLOOKUP($A$1,+[21]İcmal!$B$19:$AG$49,ROW(T11)+1,FALSE)</f>
        <v>0</v>
      </c>
      <c r="AD13" s="15" cm="1">
        <f t="array" ref="AD13">+HLOOKUP($A$1,+[22]İcmal!$B$19:$AG$49,ROW(U11)+1,FALSE)</f>
        <v>0</v>
      </c>
      <c r="AE13" s="15" cm="1">
        <f t="array" ref="AE13">+HLOOKUP($A$1,+[23]İcmal!$B$19:$AG$49,ROW(V11)+1,FALSE)</f>
        <v>0</v>
      </c>
      <c r="AF13" s="15" cm="1">
        <f t="array" ref="AF13">+HLOOKUP($A$1,+[24]İcmal!$B$19:$AG$49,ROW(W11)+1,FALSE)</f>
        <v>0</v>
      </c>
      <c r="AG13" s="15" cm="1">
        <f t="array" ref="AG13">+HLOOKUP($A$1,+[25]İcmal!$B$19:$AG$49,ROW(X11)+1,FALSE)</f>
        <v>0</v>
      </c>
      <c r="AH13" s="15" cm="1">
        <f t="array" ref="AH13">+HLOOKUP($A$1,+[26]İcmal!$B$19:$AG$49,ROW(Y11)+1,FALSE)</f>
        <v>0</v>
      </c>
      <c r="AI13" s="15" cm="1">
        <f t="array" ref="AI13">+HLOOKUP($A$1,+[27]İcmal!$B$19:$AG$49,ROW(Z11)+1,FALSE)</f>
        <v>0</v>
      </c>
      <c r="AJ13" s="15" cm="1">
        <f t="array" ref="AJ13">+HLOOKUP($A$1,+[28]İcmal!$B$19:$AG$49,ROW(AA11)+1,FALSE)</f>
        <v>0</v>
      </c>
      <c r="AK13" s="15" cm="1">
        <f t="array" ref="AK13">+HLOOKUP($A$1,+[29]İcmal!$B$19:$AG$49,ROW(AB11)+1,FALSE)</f>
        <v>0</v>
      </c>
      <c r="AL13" s="15"/>
      <c r="AM13" s="15"/>
      <c r="AN13" s="15"/>
      <c r="AO13" s="15"/>
      <c r="AP13" s="15"/>
      <c r="AQ13" s="15"/>
      <c r="AR13" s="15"/>
      <c r="AS13" s="15"/>
      <c r="AT13" s="13"/>
    </row>
    <row r="14" spans="1:46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1152</v>
      </c>
      <c r="I14" s="9">
        <f t="shared" si="2"/>
        <v>432000</v>
      </c>
      <c r="J14" s="15" cm="1">
        <f t="array" ref="J14">+HLOOKUP($A$1,+[2]İcmal!$B$19:$AG$49,ROW(A12)+1,FALSE)</f>
        <v>396</v>
      </c>
      <c r="K14" s="15" cm="1">
        <f t="array" ref="K14">+HLOOKUP($A$1,+[3]İcmal!$B$19:$AG$49,ROW(B12)+1,FALSE)</f>
        <v>162</v>
      </c>
      <c r="L14" s="15" cm="1">
        <f t="array" ref="L14">+HLOOKUP($A$1,+[4]İcmal!$B$19:$AG$49,ROW(C12)+1,FALSE)</f>
        <v>0</v>
      </c>
      <c r="M14" s="15" cm="1">
        <f t="array" ref="M14">+HLOOKUP($A$1,+[5]İcmal!$B$19:$AG$49,ROW(D12)+1,FALSE)</f>
        <v>0</v>
      </c>
      <c r="N14" s="15" cm="1">
        <f t="array" ref="N14">+HLOOKUP($A$1,+[6]İcmal!$B$19:$AG$49,ROW(E12)+1,FALSE)</f>
        <v>0</v>
      </c>
      <c r="O14" s="15" cm="1">
        <f t="array" ref="O14">+HLOOKUP($A$1,+[7]İcmal!$B$19:$AG$49,ROW(F12)+1,FALSE)</f>
        <v>0</v>
      </c>
      <c r="P14" s="15" cm="1">
        <f t="array" ref="P14">+HLOOKUP($A$1,+[8]İcmal!$B$19:$AG$49,ROW(G12)+1,FALSE)</f>
        <v>0</v>
      </c>
      <c r="Q14" s="15" cm="1">
        <f t="array" ref="Q14">+HLOOKUP($A$1,+[9]İcmal!$B$19:$AG$49,ROW(H12)+1,FALSE)</f>
        <v>0</v>
      </c>
      <c r="R14" s="15" cm="1">
        <f t="array" ref="R14">+HLOOKUP($A$1,+[10]İcmal!$B$19:$AG$49,ROW(I12)+1,FALSE)</f>
        <v>198</v>
      </c>
      <c r="S14" s="15" cm="1">
        <f t="array" ref="S14">+HLOOKUP($A$1,+[11]İcmal!$B$19:$AG$49,ROW(J12)+1,FALSE)</f>
        <v>0</v>
      </c>
      <c r="T14" s="15" cm="1">
        <f t="array" ref="T14">+HLOOKUP($A$1,+[12]İcmal!$B$19:$AG$49,ROW(K12)+1,FALSE)</f>
        <v>0</v>
      </c>
      <c r="U14" s="15" cm="1">
        <f t="array" ref="U14">+HLOOKUP($A$1,+[13]İcmal!$B$19:$AG$49,ROW(L12)+1,FALSE)</f>
        <v>0</v>
      </c>
      <c r="V14" s="15" cm="1">
        <f t="array" ref="V14">+HLOOKUP($A$1,+[14]İcmal!$B$19:$AG$49,ROW(M12)+1,FALSE)</f>
        <v>396</v>
      </c>
      <c r="W14" s="15" cm="1">
        <f t="array" ref="W14">+HLOOKUP($A$1,+[15]İcmal!$B$19:$AG$49,ROW(N12)+1,FALSE)</f>
        <v>0</v>
      </c>
      <c r="X14" s="15" cm="1">
        <f t="array" ref="X14">+HLOOKUP($A$1,+[16]İcmal!$B$19:$AG$49,ROW(O12)+1,FALSE)</f>
        <v>0</v>
      </c>
      <c r="Y14" s="15" cm="1">
        <f t="array" ref="Y14">+HLOOKUP($A$1,+[17]İcmal!$B$19:$AG$49,ROW(P12)+1,FALSE)</f>
        <v>0</v>
      </c>
      <c r="Z14" s="15" cm="1">
        <f t="array" ref="Z14">+HLOOKUP($A$1,+[18]İcmal!$B$19:$AG$49,ROW(Q12)+1,FALSE)</f>
        <v>0</v>
      </c>
      <c r="AA14" s="15" cm="1">
        <f t="array" ref="AA14">+HLOOKUP($A$1,+[19]İcmal!$B$19:$AG$49,ROW(R12)+1,FALSE)</f>
        <v>0</v>
      </c>
      <c r="AB14" s="15" cm="1">
        <f t="array" ref="AB14">+HLOOKUP($A$1,+[20]İcmal!$B$19:$AG$49,ROW(S12)+1,FALSE)</f>
        <v>0</v>
      </c>
      <c r="AC14" s="15" cm="1">
        <f t="array" ref="AC14">+HLOOKUP($A$1,+[21]İcmal!$B$19:$AG$49,ROW(T12)+1,FALSE)</f>
        <v>0</v>
      </c>
      <c r="AD14" s="15" cm="1">
        <f t="array" ref="AD14">+HLOOKUP($A$1,+[22]İcmal!$B$19:$AG$49,ROW(U12)+1,FALSE)</f>
        <v>0</v>
      </c>
      <c r="AE14" s="15" cm="1">
        <f t="array" ref="AE14">+HLOOKUP($A$1,+[23]İcmal!$B$19:$AG$49,ROW(V12)+1,FALSE)</f>
        <v>0</v>
      </c>
      <c r="AF14" s="15" cm="1">
        <f t="array" ref="AF14">+HLOOKUP($A$1,+[24]İcmal!$B$19:$AG$49,ROW(W12)+1,FALSE)</f>
        <v>0</v>
      </c>
      <c r="AG14" s="15" cm="1">
        <f t="array" ref="AG14">+HLOOKUP($A$1,+[25]İcmal!$B$19:$AG$49,ROW(X12)+1,FALSE)</f>
        <v>0</v>
      </c>
      <c r="AH14" s="15" cm="1">
        <f t="array" ref="AH14">+HLOOKUP($A$1,+[26]İcmal!$B$19:$AG$49,ROW(Y12)+1,FALSE)</f>
        <v>0</v>
      </c>
      <c r="AI14" s="15" cm="1">
        <f t="array" ref="AI14">+HLOOKUP($A$1,+[27]İcmal!$B$19:$AG$49,ROW(Z12)+1,FALSE)</f>
        <v>0</v>
      </c>
      <c r="AJ14" s="15" cm="1">
        <f t="array" ref="AJ14">+HLOOKUP($A$1,+[28]İcmal!$B$19:$AG$49,ROW(AA12)+1,FALSE)</f>
        <v>0</v>
      </c>
      <c r="AK14" s="15" cm="1">
        <f t="array" ref="AK14">+HLOOKUP($A$1,+[29]İcmal!$B$19:$AG$49,ROW(AB12)+1,FALSE)</f>
        <v>0</v>
      </c>
      <c r="AL14" s="15"/>
      <c r="AM14" s="15"/>
      <c r="AN14" s="15"/>
      <c r="AO14" s="15"/>
      <c r="AP14" s="15"/>
      <c r="AQ14" s="15"/>
      <c r="AR14" s="15"/>
      <c r="AS14" s="15"/>
      <c r="AT14" s="13"/>
    </row>
    <row r="15" spans="1:46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+HLOOKUP($A$1,+[2]İcmal!$B$19:$AG$49,ROW(A13)+1,FALSE)</f>
        <v>0</v>
      </c>
      <c r="K15" s="15" cm="1">
        <f t="array" ref="K15">+HLOOKUP($A$1,+[3]İcmal!$B$19:$AG$49,ROW(B13)+1,FALSE)</f>
        <v>0</v>
      </c>
      <c r="L15" s="15" cm="1">
        <f t="array" ref="L15">+HLOOKUP($A$1,+[4]İcmal!$B$19:$AG$49,ROW(C13)+1,FALSE)</f>
        <v>0</v>
      </c>
      <c r="M15" s="15" cm="1">
        <f t="array" ref="M15">+HLOOKUP($A$1,+[5]İcmal!$B$19:$AG$49,ROW(D13)+1,FALSE)</f>
        <v>0</v>
      </c>
      <c r="N15" s="15" cm="1">
        <f t="array" ref="N15">+HLOOKUP($A$1,+[6]İcmal!$B$19:$AG$49,ROW(E13)+1,FALSE)</f>
        <v>0</v>
      </c>
      <c r="O15" s="15" cm="1">
        <f t="array" ref="O15">+HLOOKUP($A$1,+[7]İcmal!$B$19:$AG$49,ROW(F13)+1,FALSE)</f>
        <v>0</v>
      </c>
      <c r="P15" s="15" cm="1">
        <f t="array" ref="P15">+HLOOKUP($A$1,+[8]İcmal!$B$19:$AG$49,ROW(G13)+1,FALSE)</f>
        <v>0</v>
      </c>
      <c r="Q15" s="15" cm="1">
        <f t="array" ref="Q15">+HLOOKUP($A$1,+[9]İcmal!$B$19:$AG$49,ROW(H13)+1,FALSE)</f>
        <v>0</v>
      </c>
      <c r="R15" s="15" cm="1">
        <f t="array" ref="R15">+HLOOKUP($A$1,+[10]İcmal!$B$19:$AG$49,ROW(I13)+1,FALSE)</f>
        <v>0</v>
      </c>
      <c r="S15" s="15" cm="1">
        <f t="array" ref="S15">+HLOOKUP($A$1,+[11]İcmal!$B$19:$AG$49,ROW(J13)+1,FALSE)</f>
        <v>0</v>
      </c>
      <c r="T15" s="15" cm="1">
        <f t="array" ref="T15">+HLOOKUP($A$1,+[12]İcmal!$B$19:$AG$49,ROW(K13)+1,FALSE)</f>
        <v>0</v>
      </c>
      <c r="U15" s="15" cm="1">
        <f t="array" ref="U15">+HLOOKUP($A$1,+[13]İcmal!$B$19:$AG$49,ROW(L13)+1,FALSE)</f>
        <v>0</v>
      </c>
      <c r="V15" s="15" cm="1">
        <f t="array" ref="V15">+HLOOKUP($A$1,+[14]İcmal!$B$19:$AG$49,ROW(M13)+1,FALSE)</f>
        <v>0</v>
      </c>
      <c r="W15" s="15" cm="1">
        <f t="array" ref="W15">+HLOOKUP($A$1,+[15]İcmal!$B$19:$AG$49,ROW(N13)+1,FALSE)</f>
        <v>0</v>
      </c>
      <c r="X15" s="15" cm="1">
        <f t="array" ref="X15">+HLOOKUP($A$1,+[16]İcmal!$B$19:$AG$49,ROW(O13)+1,FALSE)</f>
        <v>0</v>
      </c>
      <c r="Y15" s="15" cm="1">
        <f t="array" ref="Y15">+HLOOKUP($A$1,+[17]İcmal!$B$19:$AG$49,ROW(P13)+1,FALSE)</f>
        <v>0</v>
      </c>
      <c r="Z15" s="15" cm="1">
        <f t="array" ref="Z15">+HLOOKUP($A$1,+[18]İcmal!$B$19:$AG$49,ROW(Q13)+1,FALSE)</f>
        <v>0</v>
      </c>
      <c r="AA15" s="15" cm="1">
        <f t="array" ref="AA15">+HLOOKUP($A$1,+[19]İcmal!$B$19:$AG$49,ROW(R13)+1,FALSE)</f>
        <v>0</v>
      </c>
      <c r="AB15" s="15" cm="1">
        <f t="array" ref="AB15">+HLOOKUP($A$1,+[20]İcmal!$B$19:$AG$49,ROW(S13)+1,FALSE)</f>
        <v>0</v>
      </c>
      <c r="AC15" s="15" cm="1">
        <f t="array" ref="AC15">+HLOOKUP($A$1,+[21]İcmal!$B$19:$AG$49,ROW(T13)+1,FALSE)</f>
        <v>0</v>
      </c>
      <c r="AD15" s="15" cm="1">
        <f t="array" ref="AD15">+HLOOKUP($A$1,+[22]İcmal!$B$19:$AG$49,ROW(U13)+1,FALSE)</f>
        <v>0</v>
      </c>
      <c r="AE15" s="15" cm="1">
        <f t="array" ref="AE15">+HLOOKUP($A$1,+[23]İcmal!$B$19:$AG$49,ROW(V13)+1,FALSE)</f>
        <v>0</v>
      </c>
      <c r="AF15" s="15" cm="1">
        <f t="array" ref="AF15">+HLOOKUP($A$1,+[24]İcmal!$B$19:$AG$49,ROW(W13)+1,FALSE)</f>
        <v>0</v>
      </c>
      <c r="AG15" s="15" cm="1">
        <f t="array" ref="AG15">+HLOOKUP($A$1,+[25]İcmal!$B$19:$AG$49,ROW(X13)+1,FALSE)</f>
        <v>0</v>
      </c>
      <c r="AH15" s="15" cm="1">
        <f t="array" ref="AH15">+HLOOKUP($A$1,+[26]İcmal!$B$19:$AG$49,ROW(Y13)+1,FALSE)</f>
        <v>0</v>
      </c>
      <c r="AI15" s="15" cm="1">
        <f t="array" ref="AI15">+HLOOKUP($A$1,+[27]İcmal!$B$19:$AG$49,ROW(Z13)+1,FALSE)</f>
        <v>0</v>
      </c>
      <c r="AJ15" s="15" cm="1">
        <f t="array" ref="AJ15">+HLOOKUP($A$1,+[28]İcmal!$B$19:$AG$49,ROW(AA13)+1,FALSE)</f>
        <v>0</v>
      </c>
      <c r="AK15" s="15" cm="1">
        <f t="array" ref="AK15">+HLOOKUP($A$1,+[29]İcmal!$B$19:$AG$49,ROW(AB13)+1,FALSE)</f>
        <v>0</v>
      </c>
      <c r="AL15" s="15"/>
      <c r="AM15" s="15"/>
      <c r="AN15" s="15"/>
      <c r="AO15" s="15"/>
      <c r="AP15" s="15"/>
      <c r="AQ15" s="15"/>
      <c r="AR15" s="15"/>
      <c r="AS15" s="15"/>
      <c r="AT15" s="13"/>
    </row>
    <row r="16" spans="1:46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72.536000000000001</v>
      </c>
      <c r="I16" s="9">
        <f t="shared" si="2"/>
        <v>7398672</v>
      </c>
      <c r="J16" s="15" cm="1">
        <f t="array" ref="J16">+HLOOKUP($A$1,+[2]İcmal!$B$19:$AG$49,ROW(A14)+1,FALSE)</f>
        <v>24.742000000000001</v>
      </c>
      <c r="K16" s="15" cm="1">
        <f t="array" ref="K16">+HLOOKUP($A$1,+[3]İcmal!$B$19:$AG$49,ROW(B14)+1,FALSE)</f>
        <v>9.9469999999999974</v>
      </c>
      <c r="L16" s="15" cm="1">
        <f t="array" ref="L16">+HLOOKUP($A$1,+[4]İcmal!$B$19:$AG$49,ROW(C14)+1,FALSE)</f>
        <v>0</v>
      </c>
      <c r="M16" s="15" cm="1">
        <f t="array" ref="M16">+HLOOKUP($A$1,+[5]İcmal!$B$19:$AG$49,ROW(D14)+1,FALSE)</f>
        <v>0</v>
      </c>
      <c r="N16" s="15" cm="1">
        <f t="array" ref="N16">+HLOOKUP($A$1,+[6]İcmal!$B$19:$AG$49,ROW(E14)+1,FALSE)</f>
        <v>0</v>
      </c>
      <c r="O16" s="15" cm="1">
        <f t="array" ref="O16">+HLOOKUP($A$1,+[7]İcmal!$B$19:$AG$49,ROW(F14)+1,FALSE)</f>
        <v>0</v>
      </c>
      <c r="P16" s="15" cm="1">
        <f t="array" ref="P16">+HLOOKUP($A$1,+[8]İcmal!$B$19:$AG$49,ROW(G14)+1,FALSE)</f>
        <v>0</v>
      </c>
      <c r="Q16" s="15" cm="1">
        <f t="array" ref="Q16">+HLOOKUP($A$1,+[9]İcmal!$B$19:$AG$49,ROW(H14)+1,FALSE)</f>
        <v>0</v>
      </c>
      <c r="R16" s="15" cm="1">
        <f t="array" ref="R16">+HLOOKUP($A$1,+[10]İcmal!$B$19:$AG$49,ROW(I14)+1,FALSE)</f>
        <v>11.016</v>
      </c>
      <c r="S16" s="15" cm="1">
        <f t="array" ref="S16">+HLOOKUP($A$1,+[11]İcmal!$B$19:$AG$49,ROW(J14)+1,FALSE)</f>
        <v>0</v>
      </c>
      <c r="T16" s="15" cm="1">
        <f t="array" ref="T16">+HLOOKUP($A$1,+[12]İcmal!$B$19:$AG$49,ROW(K14)+1,FALSE)</f>
        <v>0</v>
      </c>
      <c r="U16" s="15" cm="1">
        <f t="array" ref="U16">+HLOOKUP($A$1,+[13]İcmal!$B$19:$AG$49,ROW(L14)+1,FALSE)</f>
        <v>0</v>
      </c>
      <c r="V16" s="15" cm="1">
        <f t="array" ref="V16">+HLOOKUP($A$1,+[14]İcmal!$B$19:$AG$49,ROW(M14)+1,FALSE)</f>
        <v>26.831000000000007</v>
      </c>
      <c r="W16" s="15" cm="1">
        <f t="array" ref="W16">+HLOOKUP($A$1,+[15]İcmal!$B$19:$AG$49,ROW(N14)+1,FALSE)</f>
        <v>0</v>
      </c>
      <c r="X16" s="15" cm="1">
        <f t="array" ref="X16">+HLOOKUP($A$1,+[16]İcmal!$B$19:$AG$49,ROW(O14)+1,FALSE)</f>
        <v>0</v>
      </c>
      <c r="Y16" s="15" cm="1">
        <f t="array" ref="Y16">+HLOOKUP($A$1,+[17]İcmal!$B$19:$AG$49,ROW(P14)+1,FALSE)</f>
        <v>0</v>
      </c>
      <c r="Z16" s="15" cm="1">
        <f t="array" ref="Z16">+HLOOKUP($A$1,+[18]İcmal!$B$19:$AG$49,ROW(Q14)+1,FALSE)</f>
        <v>0</v>
      </c>
      <c r="AA16" s="15" cm="1">
        <f t="array" ref="AA16">+HLOOKUP($A$1,+[19]İcmal!$B$19:$AG$49,ROW(R14)+1,FALSE)</f>
        <v>0</v>
      </c>
      <c r="AB16" s="15" cm="1">
        <f t="array" ref="AB16">+HLOOKUP($A$1,+[20]İcmal!$B$19:$AG$49,ROW(S14)+1,FALSE)</f>
        <v>0</v>
      </c>
      <c r="AC16" s="15" cm="1">
        <f t="array" ref="AC16">+HLOOKUP($A$1,+[21]İcmal!$B$19:$AG$49,ROW(T14)+1,FALSE)</f>
        <v>0</v>
      </c>
      <c r="AD16" s="15" cm="1">
        <f t="array" ref="AD16">+HLOOKUP($A$1,+[22]İcmal!$B$19:$AG$49,ROW(U14)+1,FALSE)</f>
        <v>0</v>
      </c>
      <c r="AE16" s="15" cm="1">
        <f t="array" ref="AE16">+HLOOKUP($A$1,+[23]İcmal!$B$19:$AG$49,ROW(V14)+1,FALSE)</f>
        <v>0</v>
      </c>
      <c r="AF16" s="15" cm="1">
        <f t="array" ref="AF16">+HLOOKUP($A$1,+[24]İcmal!$B$19:$AG$49,ROW(W14)+1,FALSE)</f>
        <v>0</v>
      </c>
      <c r="AG16" s="15" cm="1">
        <f t="array" ref="AG16">+HLOOKUP($A$1,+[25]İcmal!$B$19:$AG$49,ROW(X14)+1,FALSE)</f>
        <v>0</v>
      </c>
      <c r="AH16" s="15" cm="1">
        <f t="array" ref="AH16">+HLOOKUP($A$1,+[26]İcmal!$B$19:$AG$49,ROW(Y14)+1,FALSE)</f>
        <v>0</v>
      </c>
      <c r="AI16" s="15" cm="1">
        <f t="array" ref="AI16">+HLOOKUP($A$1,+[27]İcmal!$B$19:$AG$49,ROW(Z14)+1,FALSE)</f>
        <v>0</v>
      </c>
      <c r="AJ16" s="15" cm="1">
        <f t="array" ref="AJ16">+HLOOKUP($A$1,+[28]İcmal!$B$19:$AG$49,ROW(AA14)+1,FALSE)</f>
        <v>0</v>
      </c>
      <c r="AK16" s="15" cm="1">
        <f t="array" ref="AK16">+HLOOKUP($A$1,+[29]İcmal!$B$19:$AG$49,ROW(AB14)+1,FALSE)</f>
        <v>0</v>
      </c>
      <c r="AL16" s="15"/>
      <c r="AM16" s="15"/>
      <c r="AN16" s="15"/>
      <c r="AO16" s="15"/>
      <c r="AP16" s="15"/>
      <c r="AQ16" s="15"/>
      <c r="AR16" s="15"/>
      <c r="AS16" s="15"/>
      <c r="AT16" s="13"/>
    </row>
    <row r="17" spans="1:46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3978</v>
      </c>
      <c r="I17" s="9">
        <f t="shared" si="2"/>
        <v>13525200</v>
      </c>
      <c r="J17" s="15" cm="1">
        <f t="array" ref="J17">+HLOOKUP($A$1,+[2]İcmal!$B$19:$AG$49,ROW(A15)+1,FALSE)</f>
        <v>1044</v>
      </c>
      <c r="K17" s="15" cm="1">
        <f t="array" ref="K17">+HLOOKUP($A$1,+[3]İcmal!$B$19:$AG$49,ROW(B15)+1,FALSE)</f>
        <v>423</v>
      </c>
      <c r="L17" s="15" cm="1">
        <f t="array" ref="L17">+HLOOKUP($A$1,+[4]İcmal!$B$19:$AG$49,ROW(C15)+1,FALSE)</f>
        <v>0</v>
      </c>
      <c r="M17" s="15" cm="1">
        <f t="array" ref="M17">+HLOOKUP($A$1,+[5]İcmal!$B$19:$AG$49,ROW(D15)+1,FALSE)</f>
        <v>0</v>
      </c>
      <c r="N17" s="15" cm="1">
        <f t="array" ref="N17">+HLOOKUP($A$1,+[6]İcmal!$B$19:$AG$49,ROW(E15)+1,FALSE)</f>
        <v>0</v>
      </c>
      <c r="O17" s="15" cm="1">
        <f t="array" ref="O17">+HLOOKUP($A$1,+[7]İcmal!$B$19:$AG$49,ROW(F15)+1,FALSE)</f>
        <v>0</v>
      </c>
      <c r="P17" s="15" cm="1">
        <f t="array" ref="P17">+HLOOKUP($A$1,+[8]İcmal!$B$19:$AG$49,ROW(G15)+1,FALSE)</f>
        <v>0</v>
      </c>
      <c r="Q17" s="15" cm="1">
        <f t="array" ref="Q17">+HLOOKUP($A$1,+[9]İcmal!$B$19:$AG$49,ROW(H15)+1,FALSE)</f>
        <v>0</v>
      </c>
      <c r="R17" s="15" cm="1">
        <f t="array" ref="R17">+HLOOKUP($A$1,+[10]İcmal!$B$19:$AG$49,ROW(I15)+1,FALSE)</f>
        <v>1044</v>
      </c>
      <c r="S17" s="15" cm="1">
        <f t="array" ref="S17">+HLOOKUP($A$1,+[11]İcmal!$B$19:$AG$49,ROW(J15)+1,FALSE)</f>
        <v>0</v>
      </c>
      <c r="T17" s="15" cm="1">
        <f t="array" ref="T17">+HLOOKUP($A$1,+[12]İcmal!$B$19:$AG$49,ROW(K15)+1,FALSE)</f>
        <v>0</v>
      </c>
      <c r="U17" s="15" cm="1">
        <f t="array" ref="U17">+HLOOKUP($A$1,+[13]İcmal!$B$19:$AG$49,ROW(L15)+1,FALSE)</f>
        <v>0</v>
      </c>
      <c r="V17" s="15" cm="1">
        <f t="array" ref="V17">+HLOOKUP($A$1,+[14]İcmal!$B$19:$AG$49,ROW(M15)+1,FALSE)</f>
        <v>1044</v>
      </c>
      <c r="W17" s="15" cm="1">
        <f t="array" ref="W17">+HLOOKUP($A$1,+[15]İcmal!$B$19:$AG$49,ROW(N15)+1,FALSE)</f>
        <v>423</v>
      </c>
      <c r="X17" s="15" cm="1">
        <f t="array" ref="X17">+HLOOKUP($A$1,+[16]İcmal!$B$19:$AG$49,ROW(O15)+1,FALSE)</f>
        <v>0</v>
      </c>
      <c r="Y17" s="15" cm="1">
        <f t="array" ref="Y17">+HLOOKUP($A$1,+[17]İcmal!$B$19:$AG$49,ROW(P15)+1,FALSE)</f>
        <v>0</v>
      </c>
      <c r="Z17" s="15" cm="1">
        <f t="array" ref="Z17">+HLOOKUP($A$1,+[18]İcmal!$B$19:$AG$49,ROW(Q15)+1,FALSE)</f>
        <v>0</v>
      </c>
      <c r="AA17" s="15" cm="1">
        <f t="array" ref="AA17">+HLOOKUP($A$1,+[19]İcmal!$B$19:$AG$49,ROW(R15)+1,FALSE)</f>
        <v>0</v>
      </c>
      <c r="AB17" s="15" cm="1">
        <f t="array" ref="AB17">+HLOOKUP($A$1,+[20]İcmal!$B$19:$AG$49,ROW(S15)+1,FALSE)</f>
        <v>0</v>
      </c>
      <c r="AC17" s="15" cm="1">
        <f t="array" ref="AC17">+HLOOKUP($A$1,+[21]İcmal!$B$19:$AG$49,ROW(T15)+1,FALSE)</f>
        <v>0</v>
      </c>
      <c r="AD17" s="15" cm="1">
        <f t="array" ref="AD17">+HLOOKUP($A$1,+[22]İcmal!$B$19:$AG$49,ROW(U15)+1,FALSE)</f>
        <v>0</v>
      </c>
      <c r="AE17" s="15" cm="1">
        <f t="array" ref="AE17">+HLOOKUP($A$1,+[23]İcmal!$B$19:$AG$49,ROW(V15)+1,FALSE)</f>
        <v>0</v>
      </c>
      <c r="AF17" s="15" cm="1">
        <f t="array" ref="AF17">+HLOOKUP($A$1,+[24]İcmal!$B$19:$AG$49,ROW(W15)+1,FALSE)</f>
        <v>0</v>
      </c>
      <c r="AG17" s="15" cm="1">
        <f t="array" ref="AG17">+HLOOKUP($A$1,+[25]İcmal!$B$19:$AG$49,ROW(X15)+1,FALSE)</f>
        <v>0</v>
      </c>
      <c r="AH17" s="15" cm="1">
        <f t="array" ref="AH17">+HLOOKUP($A$1,+[26]İcmal!$B$19:$AG$49,ROW(Y15)+1,FALSE)</f>
        <v>0</v>
      </c>
      <c r="AI17" s="15" cm="1">
        <f t="array" ref="AI17">+HLOOKUP($A$1,+[27]İcmal!$B$19:$AG$49,ROW(Z15)+1,FALSE)</f>
        <v>0</v>
      </c>
      <c r="AJ17" s="15" cm="1">
        <f t="array" ref="AJ17">+HLOOKUP($A$1,+[28]İcmal!$B$19:$AG$49,ROW(AA15)+1,FALSE)</f>
        <v>0</v>
      </c>
      <c r="AK17" s="15" cm="1">
        <f t="array" ref="AK17">+HLOOKUP($A$1,+[29]İcmal!$B$19:$AG$49,ROW(AB15)+1,FALSE)</f>
        <v>0</v>
      </c>
      <c r="AL17" s="15"/>
      <c r="AM17" s="15"/>
      <c r="AN17" s="15"/>
      <c r="AO17" s="15"/>
      <c r="AP17" s="15"/>
      <c r="AQ17" s="15"/>
      <c r="AR17" s="15"/>
      <c r="AS17" s="15"/>
      <c r="AT17" s="13"/>
    </row>
    <row r="18" spans="1:46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+HLOOKUP($A$1,+[2]İcmal!$B$19:$AG$49,ROW(A16)+1,FALSE)</f>
        <v>0</v>
      </c>
      <c r="K18" s="15" cm="1">
        <f t="array" ref="K18">+HLOOKUP($A$1,+[3]İcmal!$B$19:$AG$49,ROW(B16)+1,FALSE)</f>
        <v>0</v>
      </c>
      <c r="L18" s="15" cm="1">
        <f t="array" ref="L18">+HLOOKUP($A$1,+[4]İcmal!$B$19:$AG$49,ROW(C16)+1,FALSE)</f>
        <v>0</v>
      </c>
      <c r="M18" s="15" cm="1">
        <f t="array" ref="M18">+HLOOKUP($A$1,+[5]İcmal!$B$19:$AG$49,ROW(D16)+1,FALSE)</f>
        <v>0</v>
      </c>
      <c r="N18" s="15" cm="1">
        <f t="array" ref="N18">+HLOOKUP($A$1,+[6]İcmal!$B$19:$AG$49,ROW(E16)+1,FALSE)</f>
        <v>0</v>
      </c>
      <c r="O18" s="15" cm="1">
        <f t="array" ref="O18">+HLOOKUP($A$1,+[7]İcmal!$B$19:$AG$49,ROW(F16)+1,FALSE)</f>
        <v>0</v>
      </c>
      <c r="P18" s="15" cm="1">
        <f t="array" ref="P18">+HLOOKUP($A$1,+[8]İcmal!$B$19:$AG$49,ROW(G16)+1,FALSE)</f>
        <v>0</v>
      </c>
      <c r="Q18" s="15" cm="1">
        <f t="array" ref="Q18">+HLOOKUP($A$1,+[9]İcmal!$B$19:$AG$49,ROW(H16)+1,FALSE)</f>
        <v>0</v>
      </c>
      <c r="R18" s="15" cm="1">
        <f t="array" ref="R18">+HLOOKUP($A$1,+[10]İcmal!$B$19:$AG$49,ROW(I16)+1,FALSE)</f>
        <v>0</v>
      </c>
      <c r="S18" s="15" cm="1">
        <f t="array" ref="S18">+HLOOKUP($A$1,+[11]İcmal!$B$19:$AG$49,ROW(J16)+1,FALSE)</f>
        <v>0</v>
      </c>
      <c r="T18" s="15" cm="1">
        <f t="array" ref="T18">+HLOOKUP($A$1,+[12]İcmal!$B$19:$AG$49,ROW(K16)+1,FALSE)</f>
        <v>0</v>
      </c>
      <c r="U18" s="15" cm="1">
        <f t="array" ref="U18">+HLOOKUP($A$1,+[13]İcmal!$B$19:$AG$49,ROW(L16)+1,FALSE)</f>
        <v>0</v>
      </c>
      <c r="V18" s="15" cm="1">
        <f t="array" ref="V18">+HLOOKUP($A$1,+[14]İcmal!$B$19:$AG$49,ROW(M16)+1,FALSE)</f>
        <v>0</v>
      </c>
      <c r="W18" s="15" cm="1">
        <f t="array" ref="W18">+HLOOKUP($A$1,+[15]İcmal!$B$19:$AG$49,ROW(N16)+1,FALSE)</f>
        <v>0</v>
      </c>
      <c r="X18" s="15" cm="1">
        <f t="array" ref="X18">+HLOOKUP($A$1,+[16]İcmal!$B$19:$AG$49,ROW(O16)+1,FALSE)</f>
        <v>0</v>
      </c>
      <c r="Y18" s="15" cm="1">
        <f t="array" ref="Y18">+HLOOKUP($A$1,+[17]İcmal!$B$19:$AG$49,ROW(P16)+1,FALSE)</f>
        <v>0</v>
      </c>
      <c r="Z18" s="15" cm="1">
        <f t="array" ref="Z18">+HLOOKUP($A$1,+[18]İcmal!$B$19:$AG$49,ROW(Q16)+1,FALSE)</f>
        <v>0</v>
      </c>
      <c r="AA18" s="15" cm="1">
        <f t="array" ref="AA18">+HLOOKUP($A$1,+[19]İcmal!$B$19:$AG$49,ROW(R16)+1,FALSE)</f>
        <v>0</v>
      </c>
      <c r="AB18" s="15" cm="1">
        <f t="array" ref="AB18">+HLOOKUP($A$1,+[20]İcmal!$B$19:$AG$49,ROW(S16)+1,FALSE)</f>
        <v>0</v>
      </c>
      <c r="AC18" s="15" cm="1">
        <f t="array" ref="AC18">+HLOOKUP($A$1,+[21]İcmal!$B$19:$AG$49,ROW(T16)+1,FALSE)</f>
        <v>0</v>
      </c>
      <c r="AD18" s="15" cm="1">
        <f t="array" ref="AD18">+HLOOKUP($A$1,+[22]İcmal!$B$19:$AG$49,ROW(U16)+1,FALSE)</f>
        <v>0</v>
      </c>
      <c r="AE18" s="15" cm="1">
        <f t="array" ref="AE18">+HLOOKUP($A$1,+[23]İcmal!$B$19:$AG$49,ROW(V16)+1,FALSE)</f>
        <v>0</v>
      </c>
      <c r="AF18" s="15" cm="1">
        <f t="array" ref="AF18">+HLOOKUP($A$1,+[24]İcmal!$B$19:$AG$49,ROW(W16)+1,FALSE)</f>
        <v>0</v>
      </c>
      <c r="AG18" s="15" cm="1">
        <f t="array" ref="AG18">+HLOOKUP($A$1,+[25]İcmal!$B$19:$AG$49,ROW(X16)+1,FALSE)</f>
        <v>0</v>
      </c>
      <c r="AH18" s="15" cm="1">
        <f t="array" ref="AH18">+HLOOKUP($A$1,+[26]İcmal!$B$19:$AG$49,ROW(Y16)+1,FALSE)</f>
        <v>0</v>
      </c>
      <c r="AI18" s="15" cm="1">
        <f t="array" ref="AI18">+HLOOKUP($A$1,+[27]İcmal!$B$19:$AG$49,ROW(Z16)+1,FALSE)</f>
        <v>0</v>
      </c>
      <c r="AJ18" s="15" cm="1">
        <f t="array" ref="AJ18">+HLOOKUP($A$1,+[28]İcmal!$B$19:$AG$49,ROW(AA16)+1,FALSE)</f>
        <v>0</v>
      </c>
      <c r="AK18" s="15" cm="1">
        <f t="array" ref="AK18">+HLOOKUP($A$1,+[29]İcmal!$B$19:$AG$49,ROW(AB16)+1,FALSE)</f>
        <v>0</v>
      </c>
      <c r="AL18" s="15"/>
      <c r="AM18" s="15"/>
      <c r="AN18" s="15"/>
      <c r="AO18" s="15"/>
      <c r="AP18" s="15"/>
      <c r="AQ18" s="15"/>
      <c r="AR18" s="15"/>
      <c r="AS18" s="15"/>
      <c r="AT18" s="13"/>
    </row>
    <row r="19" spans="1:46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+HLOOKUP($A$1,+[2]İcmal!$B$19:$AG$49,ROW(A17)+1,FALSE)</f>
        <v>0</v>
      </c>
      <c r="K19" s="15" cm="1">
        <f t="array" ref="K19">+HLOOKUP($A$1,+[3]İcmal!$B$19:$AG$49,ROW(B17)+1,FALSE)</f>
        <v>0</v>
      </c>
      <c r="L19" s="15" cm="1">
        <f t="array" ref="L19">+HLOOKUP($A$1,+[4]İcmal!$B$19:$AG$49,ROW(C17)+1,FALSE)</f>
        <v>0</v>
      </c>
      <c r="M19" s="15" cm="1">
        <f t="array" ref="M19">+HLOOKUP($A$1,+[5]İcmal!$B$19:$AG$49,ROW(D17)+1,FALSE)</f>
        <v>0</v>
      </c>
      <c r="N19" s="15" cm="1">
        <f t="array" ref="N19">+HLOOKUP($A$1,+[6]İcmal!$B$19:$AG$49,ROW(E17)+1,FALSE)</f>
        <v>0</v>
      </c>
      <c r="O19" s="15" cm="1">
        <f t="array" ref="O19">+HLOOKUP($A$1,+[7]İcmal!$B$19:$AG$49,ROW(F17)+1,FALSE)</f>
        <v>0</v>
      </c>
      <c r="P19" s="15" cm="1">
        <f t="array" ref="P19">+HLOOKUP($A$1,+[8]İcmal!$B$19:$AG$49,ROW(G17)+1,FALSE)</f>
        <v>0</v>
      </c>
      <c r="Q19" s="15" cm="1">
        <f t="array" ref="Q19">+HLOOKUP($A$1,+[9]İcmal!$B$19:$AG$49,ROW(H17)+1,FALSE)</f>
        <v>0</v>
      </c>
      <c r="R19" s="15" cm="1">
        <f t="array" ref="R19">+HLOOKUP($A$1,+[10]İcmal!$B$19:$AG$49,ROW(I17)+1,FALSE)</f>
        <v>0</v>
      </c>
      <c r="S19" s="15" cm="1">
        <f t="array" ref="S19">+HLOOKUP($A$1,+[11]İcmal!$B$19:$AG$49,ROW(J17)+1,FALSE)</f>
        <v>0</v>
      </c>
      <c r="T19" s="15" cm="1">
        <f t="array" ref="T19">+HLOOKUP($A$1,+[12]İcmal!$B$19:$AG$49,ROW(K17)+1,FALSE)</f>
        <v>0</v>
      </c>
      <c r="U19" s="15" cm="1">
        <f t="array" ref="U19">+HLOOKUP($A$1,+[13]İcmal!$B$19:$AG$49,ROW(L17)+1,FALSE)</f>
        <v>0</v>
      </c>
      <c r="V19" s="15" cm="1">
        <f t="array" ref="V19">+HLOOKUP($A$1,+[14]İcmal!$B$19:$AG$49,ROW(M17)+1,FALSE)</f>
        <v>0</v>
      </c>
      <c r="W19" s="15" cm="1">
        <f t="array" ref="W19">+HLOOKUP($A$1,+[15]İcmal!$B$19:$AG$49,ROW(N17)+1,FALSE)</f>
        <v>0</v>
      </c>
      <c r="X19" s="15" cm="1">
        <f t="array" ref="X19">+HLOOKUP($A$1,+[16]İcmal!$B$19:$AG$49,ROW(O17)+1,FALSE)</f>
        <v>0</v>
      </c>
      <c r="Y19" s="15" cm="1">
        <f t="array" ref="Y19">+HLOOKUP($A$1,+[17]İcmal!$B$19:$AG$49,ROW(P17)+1,FALSE)</f>
        <v>0</v>
      </c>
      <c r="Z19" s="15" cm="1">
        <f t="array" ref="Z19">+HLOOKUP($A$1,+[18]İcmal!$B$19:$AG$49,ROW(Q17)+1,FALSE)</f>
        <v>0</v>
      </c>
      <c r="AA19" s="15" cm="1">
        <f t="array" ref="AA19">+HLOOKUP($A$1,+[19]İcmal!$B$19:$AG$49,ROW(R17)+1,FALSE)</f>
        <v>0</v>
      </c>
      <c r="AB19" s="15" cm="1">
        <f t="array" ref="AB19">+HLOOKUP($A$1,+[20]İcmal!$B$19:$AG$49,ROW(S17)+1,FALSE)</f>
        <v>0</v>
      </c>
      <c r="AC19" s="15" cm="1">
        <f t="array" ref="AC19">+HLOOKUP($A$1,+[21]İcmal!$B$19:$AG$49,ROW(T17)+1,FALSE)</f>
        <v>0</v>
      </c>
      <c r="AD19" s="15" cm="1">
        <f t="array" ref="AD19">+HLOOKUP($A$1,+[22]İcmal!$B$19:$AG$49,ROW(U17)+1,FALSE)</f>
        <v>0</v>
      </c>
      <c r="AE19" s="15" cm="1">
        <f t="array" ref="AE19">+HLOOKUP($A$1,+[23]İcmal!$B$19:$AG$49,ROW(V17)+1,FALSE)</f>
        <v>0</v>
      </c>
      <c r="AF19" s="15" cm="1">
        <f t="array" ref="AF19">+HLOOKUP($A$1,+[24]İcmal!$B$19:$AG$49,ROW(W17)+1,FALSE)</f>
        <v>0</v>
      </c>
      <c r="AG19" s="15" cm="1">
        <f t="array" ref="AG19">+HLOOKUP($A$1,+[25]İcmal!$B$19:$AG$49,ROW(X17)+1,FALSE)</f>
        <v>0</v>
      </c>
      <c r="AH19" s="15" cm="1">
        <f t="array" ref="AH19">+HLOOKUP($A$1,+[26]İcmal!$B$19:$AG$49,ROW(Y17)+1,FALSE)</f>
        <v>0</v>
      </c>
      <c r="AI19" s="15" cm="1">
        <f t="array" ref="AI19">+HLOOKUP($A$1,+[27]İcmal!$B$19:$AG$49,ROW(Z17)+1,FALSE)</f>
        <v>0</v>
      </c>
      <c r="AJ19" s="15" cm="1">
        <f t="array" ref="AJ19">+HLOOKUP($A$1,+[28]İcmal!$B$19:$AG$49,ROW(AA17)+1,FALSE)</f>
        <v>0</v>
      </c>
      <c r="AK19" s="15" cm="1">
        <f t="array" ref="AK19">+HLOOKUP($A$1,+[29]İcmal!$B$19:$AG$49,ROW(AB17)+1,FALSE)</f>
        <v>0</v>
      </c>
      <c r="AL19" s="15"/>
      <c r="AM19" s="15"/>
      <c r="AN19" s="15"/>
      <c r="AO19" s="15"/>
      <c r="AP19" s="15"/>
      <c r="AQ19" s="15"/>
      <c r="AR19" s="15"/>
      <c r="AS19" s="15"/>
      <c r="AT19" s="13"/>
    </row>
    <row r="20" spans="1:46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+HLOOKUP($A$1,+[2]İcmal!$B$19:$AG$49,ROW(A18)+1,FALSE)</f>
        <v>0</v>
      </c>
      <c r="K20" s="15" cm="1">
        <f t="array" ref="K20">+HLOOKUP($A$1,+[3]İcmal!$B$19:$AG$49,ROW(B18)+1,FALSE)</f>
        <v>0</v>
      </c>
      <c r="L20" s="15" cm="1">
        <f t="array" ref="L20">+HLOOKUP($A$1,+[4]İcmal!$B$19:$AG$49,ROW(C18)+1,FALSE)</f>
        <v>0</v>
      </c>
      <c r="M20" s="15" cm="1">
        <f t="array" ref="M20">+HLOOKUP($A$1,+[5]İcmal!$B$19:$AG$49,ROW(D18)+1,FALSE)</f>
        <v>0</v>
      </c>
      <c r="N20" s="15" cm="1">
        <f t="array" ref="N20">+HLOOKUP($A$1,+[6]İcmal!$B$19:$AG$49,ROW(E18)+1,FALSE)</f>
        <v>0</v>
      </c>
      <c r="O20" s="15" cm="1">
        <f t="array" ref="O20">+HLOOKUP($A$1,+[7]İcmal!$B$19:$AG$49,ROW(F18)+1,FALSE)</f>
        <v>0</v>
      </c>
      <c r="P20" s="15" cm="1">
        <f t="array" ref="P20">+HLOOKUP($A$1,+[8]İcmal!$B$19:$AG$49,ROW(G18)+1,FALSE)</f>
        <v>0</v>
      </c>
      <c r="Q20" s="15" cm="1">
        <f t="array" ref="Q20">+HLOOKUP($A$1,+[9]İcmal!$B$19:$AG$49,ROW(H18)+1,FALSE)</f>
        <v>0</v>
      </c>
      <c r="R20" s="15" cm="1">
        <f t="array" ref="R20">+HLOOKUP($A$1,+[10]İcmal!$B$19:$AG$49,ROW(I18)+1,FALSE)</f>
        <v>0</v>
      </c>
      <c r="S20" s="15" cm="1">
        <f t="array" ref="S20">+HLOOKUP($A$1,+[11]İcmal!$B$19:$AG$49,ROW(J18)+1,FALSE)</f>
        <v>0</v>
      </c>
      <c r="T20" s="15" cm="1">
        <f t="array" ref="T20">+HLOOKUP($A$1,+[12]İcmal!$B$19:$AG$49,ROW(K18)+1,FALSE)</f>
        <v>0</v>
      </c>
      <c r="U20" s="15" cm="1">
        <f t="array" ref="U20">+HLOOKUP($A$1,+[13]İcmal!$B$19:$AG$49,ROW(L18)+1,FALSE)</f>
        <v>0</v>
      </c>
      <c r="V20" s="15" cm="1">
        <f t="array" ref="V20">+HLOOKUP($A$1,+[14]İcmal!$B$19:$AG$49,ROW(M18)+1,FALSE)</f>
        <v>0</v>
      </c>
      <c r="W20" s="15" cm="1">
        <f t="array" ref="W20">+HLOOKUP($A$1,+[15]İcmal!$B$19:$AG$49,ROW(N18)+1,FALSE)</f>
        <v>0</v>
      </c>
      <c r="X20" s="15" cm="1">
        <f t="array" ref="X20">+HLOOKUP($A$1,+[16]İcmal!$B$19:$AG$49,ROW(O18)+1,FALSE)</f>
        <v>0</v>
      </c>
      <c r="Y20" s="15" cm="1">
        <f t="array" ref="Y20">+HLOOKUP($A$1,+[17]İcmal!$B$19:$AG$49,ROW(P18)+1,FALSE)</f>
        <v>0</v>
      </c>
      <c r="Z20" s="15" cm="1">
        <f t="array" ref="Z20">+HLOOKUP($A$1,+[18]İcmal!$B$19:$AG$49,ROW(Q18)+1,FALSE)</f>
        <v>0</v>
      </c>
      <c r="AA20" s="15" cm="1">
        <f t="array" ref="AA20">+HLOOKUP($A$1,+[19]İcmal!$B$19:$AG$49,ROW(R18)+1,FALSE)</f>
        <v>0</v>
      </c>
      <c r="AB20" s="15" cm="1">
        <f t="array" ref="AB20">+HLOOKUP($A$1,+[20]İcmal!$B$19:$AG$49,ROW(S18)+1,FALSE)</f>
        <v>0</v>
      </c>
      <c r="AC20" s="15" cm="1">
        <f t="array" ref="AC20">+HLOOKUP($A$1,+[21]İcmal!$B$19:$AG$49,ROW(T18)+1,FALSE)</f>
        <v>0</v>
      </c>
      <c r="AD20" s="15" cm="1">
        <f t="array" ref="AD20">+HLOOKUP($A$1,+[22]İcmal!$B$19:$AG$49,ROW(U18)+1,FALSE)</f>
        <v>0</v>
      </c>
      <c r="AE20" s="15" cm="1">
        <f t="array" ref="AE20">+HLOOKUP($A$1,+[23]İcmal!$B$19:$AG$49,ROW(V18)+1,FALSE)</f>
        <v>0</v>
      </c>
      <c r="AF20" s="15" cm="1">
        <f t="array" ref="AF20">+HLOOKUP($A$1,+[24]İcmal!$B$19:$AG$49,ROW(W18)+1,FALSE)</f>
        <v>0</v>
      </c>
      <c r="AG20" s="15" cm="1">
        <f t="array" ref="AG20">+HLOOKUP($A$1,+[25]İcmal!$B$19:$AG$49,ROW(X18)+1,FALSE)</f>
        <v>0</v>
      </c>
      <c r="AH20" s="15" cm="1">
        <f t="array" ref="AH20">+HLOOKUP($A$1,+[26]İcmal!$B$19:$AG$49,ROW(Y18)+1,FALSE)</f>
        <v>0</v>
      </c>
      <c r="AI20" s="15" cm="1">
        <f t="array" ref="AI20">+HLOOKUP($A$1,+[27]İcmal!$B$19:$AG$49,ROW(Z18)+1,FALSE)</f>
        <v>0</v>
      </c>
      <c r="AJ20" s="15" cm="1">
        <f t="array" ref="AJ20">+HLOOKUP($A$1,+[28]İcmal!$B$19:$AG$49,ROW(AA18)+1,FALSE)</f>
        <v>0</v>
      </c>
      <c r="AK20" s="15" cm="1">
        <f t="array" ref="AK20">+HLOOKUP($A$1,+[29]İcmal!$B$19:$AG$49,ROW(AB18)+1,FALSE)</f>
        <v>0</v>
      </c>
      <c r="AL20" s="15"/>
      <c r="AM20" s="15"/>
      <c r="AN20" s="15"/>
      <c r="AO20" s="15"/>
      <c r="AP20" s="15"/>
      <c r="AQ20" s="15"/>
      <c r="AR20" s="15"/>
      <c r="AS20" s="15"/>
      <c r="AT20" s="13"/>
    </row>
    <row r="21" spans="1:46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+HLOOKUP($A$1,+[2]İcmal!$B$19:$AG$49,ROW(A19)+1,FALSE)</f>
        <v>0</v>
      </c>
      <c r="K21" s="15" cm="1">
        <f t="array" ref="K21">+HLOOKUP($A$1,+[3]İcmal!$B$19:$AG$49,ROW(B19)+1,FALSE)</f>
        <v>0</v>
      </c>
      <c r="L21" s="15" cm="1">
        <f t="array" ref="L21">+HLOOKUP($A$1,+[4]İcmal!$B$19:$AG$49,ROW(C19)+1,FALSE)</f>
        <v>0</v>
      </c>
      <c r="M21" s="15" cm="1">
        <f t="array" ref="M21">+HLOOKUP($A$1,+[5]İcmal!$B$19:$AG$49,ROW(D19)+1,FALSE)</f>
        <v>0</v>
      </c>
      <c r="N21" s="15" cm="1">
        <f t="array" ref="N21">+HLOOKUP($A$1,+[6]İcmal!$B$19:$AG$49,ROW(E19)+1,FALSE)</f>
        <v>0</v>
      </c>
      <c r="O21" s="15" cm="1">
        <f t="array" ref="O21">+HLOOKUP($A$1,+[7]İcmal!$B$19:$AG$49,ROW(F19)+1,FALSE)</f>
        <v>0</v>
      </c>
      <c r="P21" s="15" cm="1">
        <f t="array" ref="P21">+HLOOKUP($A$1,+[8]İcmal!$B$19:$AG$49,ROW(G19)+1,FALSE)</f>
        <v>0</v>
      </c>
      <c r="Q21" s="15" cm="1">
        <f t="array" ref="Q21">+HLOOKUP($A$1,+[9]İcmal!$B$19:$AG$49,ROW(H19)+1,FALSE)</f>
        <v>0</v>
      </c>
      <c r="R21" s="15" cm="1">
        <f t="array" ref="R21">+HLOOKUP($A$1,+[10]İcmal!$B$19:$AG$49,ROW(I19)+1,FALSE)</f>
        <v>0</v>
      </c>
      <c r="S21" s="15" cm="1">
        <f t="array" ref="S21">+HLOOKUP($A$1,+[11]İcmal!$B$19:$AG$49,ROW(J19)+1,FALSE)</f>
        <v>0</v>
      </c>
      <c r="T21" s="15" cm="1">
        <f t="array" ref="T21">+HLOOKUP($A$1,+[12]İcmal!$B$19:$AG$49,ROW(K19)+1,FALSE)</f>
        <v>0</v>
      </c>
      <c r="U21" s="15" cm="1">
        <f t="array" ref="U21">+HLOOKUP($A$1,+[13]İcmal!$B$19:$AG$49,ROW(L19)+1,FALSE)</f>
        <v>0</v>
      </c>
      <c r="V21" s="15" cm="1">
        <f t="array" ref="V21">+HLOOKUP($A$1,+[14]İcmal!$B$19:$AG$49,ROW(M19)+1,FALSE)</f>
        <v>0</v>
      </c>
      <c r="W21" s="15" cm="1">
        <f t="array" ref="W21">+HLOOKUP($A$1,+[15]İcmal!$B$19:$AG$49,ROW(N19)+1,FALSE)</f>
        <v>0</v>
      </c>
      <c r="X21" s="15" cm="1">
        <f t="array" ref="X21">+HLOOKUP($A$1,+[16]İcmal!$B$19:$AG$49,ROW(O19)+1,FALSE)</f>
        <v>0</v>
      </c>
      <c r="Y21" s="15" cm="1">
        <f t="array" ref="Y21">+HLOOKUP($A$1,+[17]İcmal!$B$19:$AG$49,ROW(P19)+1,FALSE)</f>
        <v>0</v>
      </c>
      <c r="Z21" s="15" cm="1">
        <f t="array" ref="Z21">+HLOOKUP($A$1,+[18]İcmal!$B$19:$AG$49,ROW(Q19)+1,FALSE)</f>
        <v>0</v>
      </c>
      <c r="AA21" s="15" cm="1">
        <f t="array" ref="AA21">+HLOOKUP($A$1,+[19]İcmal!$B$19:$AG$49,ROW(R19)+1,FALSE)</f>
        <v>0</v>
      </c>
      <c r="AB21" s="15" cm="1">
        <f t="array" ref="AB21">+HLOOKUP($A$1,+[20]İcmal!$B$19:$AG$49,ROW(S19)+1,FALSE)</f>
        <v>0</v>
      </c>
      <c r="AC21" s="15" cm="1">
        <f t="array" ref="AC21">+HLOOKUP($A$1,+[21]İcmal!$B$19:$AG$49,ROW(T19)+1,FALSE)</f>
        <v>0</v>
      </c>
      <c r="AD21" s="15" cm="1">
        <f t="array" ref="AD21">+HLOOKUP($A$1,+[22]İcmal!$B$19:$AG$49,ROW(U19)+1,FALSE)</f>
        <v>0</v>
      </c>
      <c r="AE21" s="15" cm="1">
        <f t="array" ref="AE21">+HLOOKUP($A$1,+[23]İcmal!$B$19:$AG$49,ROW(V19)+1,FALSE)</f>
        <v>0</v>
      </c>
      <c r="AF21" s="15" cm="1">
        <f t="array" ref="AF21">+HLOOKUP($A$1,+[24]İcmal!$B$19:$AG$49,ROW(W19)+1,FALSE)</f>
        <v>0</v>
      </c>
      <c r="AG21" s="15" cm="1">
        <f t="array" ref="AG21">+HLOOKUP($A$1,+[25]İcmal!$B$19:$AG$49,ROW(X19)+1,FALSE)</f>
        <v>0</v>
      </c>
      <c r="AH21" s="15" cm="1">
        <f t="array" ref="AH21">+HLOOKUP($A$1,+[26]İcmal!$B$19:$AG$49,ROW(Y19)+1,FALSE)</f>
        <v>0</v>
      </c>
      <c r="AI21" s="15" cm="1">
        <f t="array" ref="AI21">+HLOOKUP($A$1,+[27]İcmal!$B$19:$AG$49,ROW(Z19)+1,FALSE)</f>
        <v>0</v>
      </c>
      <c r="AJ21" s="15" cm="1">
        <f t="array" ref="AJ21">+HLOOKUP($A$1,+[28]İcmal!$B$19:$AG$49,ROW(AA19)+1,FALSE)</f>
        <v>0</v>
      </c>
      <c r="AK21" s="15" cm="1">
        <f t="array" ref="AK21">+HLOOKUP($A$1,+[29]İcmal!$B$19:$AG$49,ROW(AB19)+1,FALSE)</f>
        <v>0</v>
      </c>
      <c r="AL21" s="15"/>
      <c r="AM21" s="15"/>
      <c r="AN21" s="15"/>
      <c r="AO21" s="15"/>
      <c r="AP21" s="15"/>
      <c r="AQ21" s="15"/>
      <c r="AR21" s="15"/>
      <c r="AS21" s="15"/>
      <c r="AT21" s="13"/>
    </row>
    <row r="22" spans="1:46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+HLOOKUP($A$1,+[2]İcmal!$B$19:$AG$49,ROW(A20)+1,FALSE)</f>
        <v>0</v>
      </c>
      <c r="K22" s="15" cm="1">
        <f t="array" ref="K22">+HLOOKUP($A$1,+[3]İcmal!$B$19:$AG$49,ROW(B20)+1,FALSE)</f>
        <v>0</v>
      </c>
      <c r="L22" s="15" cm="1">
        <f t="array" ref="L22">+HLOOKUP($A$1,+[4]İcmal!$B$19:$AG$49,ROW(C20)+1,FALSE)</f>
        <v>0</v>
      </c>
      <c r="M22" s="15" cm="1">
        <f t="array" ref="M22">+HLOOKUP($A$1,+[5]İcmal!$B$19:$AG$49,ROW(D20)+1,FALSE)</f>
        <v>0</v>
      </c>
      <c r="N22" s="15" cm="1">
        <f t="array" ref="N22">+HLOOKUP($A$1,+[6]İcmal!$B$19:$AG$49,ROW(E20)+1,FALSE)</f>
        <v>0</v>
      </c>
      <c r="O22" s="15" cm="1">
        <f t="array" ref="O22">+HLOOKUP($A$1,+[7]İcmal!$B$19:$AG$49,ROW(F20)+1,FALSE)</f>
        <v>0</v>
      </c>
      <c r="P22" s="15" cm="1">
        <f t="array" ref="P22">+HLOOKUP($A$1,+[8]İcmal!$B$19:$AG$49,ROW(G20)+1,FALSE)</f>
        <v>0</v>
      </c>
      <c r="Q22" s="15" cm="1">
        <f t="array" ref="Q22">+HLOOKUP($A$1,+[9]İcmal!$B$19:$AG$49,ROW(H20)+1,FALSE)</f>
        <v>0</v>
      </c>
      <c r="R22" s="15" cm="1">
        <f t="array" ref="R22">+HLOOKUP($A$1,+[10]İcmal!$B$19:$AG$49,ROW(I20)+1,FALSE)</f>
        <v>0</v>
      </c>
      <c r="S22" s="15" cm="1">
        <f t="array" ref="S22">+HLOOKUP($A$1,+[11]İcmal!$B$19:$AG$49,ROW(J20)+1,FALSE)</f>
        <v>0</v>
      </c>
      <c r="T22" s="15" cm="1">
        <f t="array" ref="T22">+HLOOKUP($A$1,+[12]İcmal!$B$19:$AG$49,ROW(K20)+1,FALSE)</f>
        <v>0</v>
      </c>
      <c r="U22" s="15" cm="1">
        <f t="array" ref="U22">+HLOOKUP($A$1,+[13]İcmal!$B$19:$AG$49,ROW(L20)+1,FALSE)</f>
        <v>0</v>
      </c>
      <c r="V22" s="15" cm="1">
        <f t="array" ref="V22">+HLOOKUP($A$1,+[14]İcmal!$B$19:$AG$49,ROW(M20)+1,FALSE)</f>
        <v>0</v>
      </c>
      <c r="W22" s="15" cm="1">
        <f t="array" ref="W22">+HLOOKUP($A$1,+[15]İcmal!$B$19:$AG$49,ROW(N20)+1,FALSE)</f>
        <v>0</v>
      </c>
      <c r="X22" s="15" cm="1">
        <f t="array" ref="X22">+HLOOKUP($A$1,+[16]İcmal!$B$19:$AG$49,ROW(O20)+1,FALSE)</f>
        <v>0</v>
      </c>
      <c r="Y22" s="15" cm="1">
        <f t="array" ref="Y22">+HLOOKUP($A$1,+[17]İcmal!$B$19:$AG$49,ROW(P20)+1,FALSE)</f>
        <v>0</v>
      </c>
      <c r="Z22" s="15" cm="1">
        <f t="array" ref="Z22">+HLOOKUP($A$1,+[18]İcmal!$B$19:$AG$49,ROW(Q20)+1,FALSE)</f>
        <v>0</v>
      </c>
      <c r="AA22" s="15" cm="1">
        <f t="array" ref="AA22">+HLOOKUP($A$1,+[19]İcmal!$B$19:$AG$49,ROW(R20)+1,FALSE)</f>
        <v>0</v>
      </c>
      <c r="AB22" s="15" cm="1">
        <f t="array" ref="AB22">+HLOOKUP($A$1,+[20]İcmal!$B$19:$AG$49,ROW(S20)+1,FALSE)</f>
        <v>0</v>
      </c>
      <c r="AC22" s="15" cm="1">
        <f t="array" ref="AC22">+HLOOKUP($A$1,+[21]İcmal!$B$19:$AG$49,ROW(T20)+1,FALSE)</f>
        <v>0</v>
      </c>
      <c r="AD22" s="15" cm="1">
        <f t="array" ref="AD22">+HLOOKUP($A$1,+[22]İcmal!$B$19:$AG$49,ROW(U20)+1,FALSE)</f>
        <v>0</v>
      </c>
      <c r="AE22" s="15" cm="1">
        <f t="array" ref="AE22">+HLOOKUP($A$1,+[23]İcmal!$B$19:$AG$49,ROW(V20)+1,FALSE)</f>
        <v>0</v>
      </c>
      <c r="AF22" s="15" cm="1">
        <f t="array" ref="AF22">+HLOOKUP($A$1,+[24]İcmal!$B$19:$AG$49,ROW(W20)+1,FALSE)</f>
        <v>0</v>
      </c>
      <c r="AG22" s="15" cm="1">
        <f t="array" ref="AG22">+HLOOKUP($A$1,+[25]İcmal!$B$19:$AG$49,ROW(X20)+1,FALSE)</f>
        <v>0</v>
      </c>
      <c r="AH22" s="15" cm="1">
        <f t="array" ref="AH22">+HLOOKUP($A$1,+[26]İcmal!$B$19:$AG$49,ROW(Y20)+1,FALSE)</f>
        <v>0</v>
      </c>
      <c r="AI22" s="15" cm="1">
        <f t="array" ref="AI22">+HLOOKUP($A$1,+[27]İcmal!$B$19:$AG$49,ROW(Z20)+1,FALSE)</f>
        <v>0</v>
      </c>
      <c r="AJ22" s="15" cm="1">
        <f t="array" ref="AJ22">+HLOOKUP($A$1,+[28]İcmal!$B$19:$AG$49,ROW(AA20)+1,FALSE)</f>
        <v>0</v>
      </c>
      <c r="AK22" s="15" cm="1">
        <f t="array" ref="AK22">+HLOOKUP($A$1,+[29]İcmal!$B$19:$AG$49,ROW(AB20)+1,FALSE)</f>
        <v>0</v>
      </c>
      <c r="AL22" s="15"/>
      <c r="AM22" s="15"/>
      <c r="AN22" s="15"/>
      <c r="AO22" s="15"/>
      <c r="AP22" s="15"/>
      <c r="AQ22" s="15"/>
      <c r="AR22" s="15"/>
      <c r="AS22" s="15"/>
      <c r="AT22" s="13"/>
    </row>
    <row r="23" spans="1:46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+HLOOKUP($A$1,+[2]İcmal!$B$19:$AG$49,ROW(A21)+1,FALSE)</f>
        <v>0</v>
      </c>
      <c r="K23" s="15" cm="1">
        <f t="array" ref="K23">+HLOOKUP($A$1,+[3]İcmal!$B$19:$AG$49,ROW(B21)+1,FALSE)</f>
        <v>0</v>
      </c>
      <c r="L23" s="15" cm="1">
        <f t="array" ref="L23">+HLOOKUP($A$1,+[4]İcmal!$B$19:$AG$49,ROW(C21)+1,FALSE)</f>
        <v>0</v>
      </c>
      <c r="M23" s="15" cm="1">
        <f t="array" ref="M23">+HLOOKUP($A$1,+[5]İcmal!$B$19:$AG$49,ROW(D21)+1,FALSE)</f>
        <v>0</v>
      </c>
      <c r="N23" s="15" cm="1">
        <f t="array" ref="N23">+HLOOKUP($A$1,+[6]İcmal!$B$19:$AG$49,ROW(E21)+1,FALSE)</f>
        <v>0</v>
      </c>
      <c r="O23" s="15" cm="1">
        <f t="array" ref="O23">+HLOOKUP($A$1,+[7]İcmal!$B$19:$AG$49,ROW(F21)+1,FALSE)</f>
        <v>0</v>
      </c>
      <c r="P23" s="15" cm="1">
        <f t="array" ref="P23">+HLOOKUP($A$1,+[8]İcmal!$B$19:$AG$49,ROW(G21)+1,FALSE)</f>
        <v>0</v>
      </c>
      <c r="Q23" s="15" cm="1">
        <f t="array" ref="Q23">+HLOOKUP($A$1,+[9]İcmal!$B$19:$AG$49,ROW(H21)+1,FALSE)</f>
        <v>0</v>
      </c>
      <c r="R23" s="15" cm="1">
        <f t="array" ref="R23">+HLOOKUP($A$1,+[10]İcmal!$B$19:$AG$49,ROW(I21)+1,FALSE)</f>
        <v>0</v>
      </c>
      <c r="S23" s="15" cm="1">
        <f t="array" ref="S23">+HLOOKUP($A$1,+[11]İcmal!$B$19:$AG$49,ROW(J21)+1,FALSE)</f>
        <v>0</v>
      </c>
      <c r="T23" s="15" cm="1">
        <f t="array" ref="T23">+HLOOKUP($A$1,+[12]İcmal!$B$19:$AG$49,ROW(K21)+1,FALSE)</f>
        <v>0</v>
      </c>
      <c r="U23" s="15" cm="1">
        <f t="array" ref="U23">+HLOOKUP($A$1,+[13]İcmal!$B$19:$AG$49,ROW(L21)+1,FALSE)</f>
        <v>0</v>
      </c>
      <c r="V23" s="15" cm="1">
        <f t="array" ref="V23">+HLOOKUP($A$1,+[14]İcmal!$B$19:$AG$49,ROW(M21)+1,FALSE)</f>
        <v>0</v>
      </c>
      <c r="W23" s="15" cm="1">
        <f t="array" ref="W23">+HLOOKUP($A$1,+[15]İcmal!$B$19:$AG$49,ROW(N21)+1,FALSE)</f>
        <v>0</v>
      </c>
      <c r="X23" s="15" cm="1">
        <f t="array" ref="X23">+HLOOKUP($A$1,+[16]İcmal!$B$19:$AG$49,ROW(O21)+1,FALSE)</f>
        <v>0</v>
      </c>
      <c r="Y23" s="15" cm="1">
        <f t="array" ref="Y23">+HLOOKUP($A$1,+[17]İcmal!$B$19:$AG$49,ROW(P21)+1,FALSE)</f>
        <v>0</v>
      </c>
      <c r="Z23" s="15" cm="1">
        <f t="array" ref="Z23">+HLOOKUP($A$1,+[18]İcmal!$B$19:$AG$49,ROW(Q21)+1,FALSE)</f>
        <v>0</v>
      </c>
      <c r="AA23" s="15" cm="1">
        <f t="array" ref="AA23">+HLOOKUP($A$1,+[19]İcmal!$B$19:$AG$49,ROW(R21)+1,FALSE)</f>
        <v>0</v>
      </c>
      <c r="AB23" s="15" cm="1">
        <f t="array" ref="AB23">+HLOOKUP($A$1,+[20]İcmal!$B$19:$AG$49,ROW(S21)+1,FALSE)</f>
        <v>0</v>
      </c>
      <c r="AC23" s="15" cm="1">
        <f t="array" ref="AC23">+HLOOKUP($A$1,+[21]İcmal!$B$19:$AG$49,ROW(T21)+1,FALSE)</f>
        <v>0</v>
      </c>
      <c r="AD23" s="15" cm="1">
        <f t="array" ref="AD23">+HLOOKUP($A$1,+[22]İcmal!$B$19:$AG$49,ROW(U21)+1,FALSE)</f>
        <v>0</v>
      </c>
      <c r="AE23" s="15" cm="1">
        <f t="array" ref="AE23">+HLOOKUP($A$1,+[23]İcmal!$B$19:$AG$49,ROW(V21)+1,FALSE)</f>
        <v>0</v>
      </c>
      <c r="AF23" s="15" cm="1">
        <f t="array" ref="AF23">+HLOOKUP($A$1,+[24]İcmal!$B$19:$AG$49,ROW(W21)+1,FALSE)</f>
        <v>0</v>
      </c>
      <c r="AG23" s="15" cm="1">
        <f t="array" ref="AG23">+HLOOKUP($A$1,+[25]İcmal!$B$19:$AG$49,ROW(X21)+1,FALSE)</f>
        <v>0</v>
      </c>
      <c r="AH23" s="15" cm="1">
        <f t="array" ref="AH23">+HLOOKUP($A$1,+[26]İcmal!$B$19:$AG$49,ROW(Y21)+1,FALSE)</f>
        <v>0</v>
      </c>
      <c r="AI23" s="15" cm="1">
        <f t="array" ref="AI23">+HLOOKUP($A$1,+[27]İcmal!$B$19:$AG$49,ROW(Z21)+1,FALSE)</f>
        <v>0</v>
      </c>
      <c r="AJ23" s="15" cm="1">
        <f t="array" ref="AJ23">+HLOOKUP($A$1,+[28]İcmal!$B$19:$AG$49,ROW(AA21)+1,FALSE)</f>
        <v>0</v>
      </c>
      <c r="AK23" s="15" cm="1">
        <f t="array" ref="AK23">+HLOOKUP($A$1,+[29]İcmal!$B$19:$AG$49,ROW(AB21)+1,FALSE)</f>
        <v>0</v>
      </c>
      <c r="AL23" s="15"/>
      <c r="AM23" s="15"/>
      <c r="AN23" s="15"/>
      <c r="AO23" s="15"/>
      <c r="AP23" s="15"/>
      <c r="AQ23" s="15"/>
      <c r="AR23" s="15"/>
      <c r="AS23" s="15"/>
      <c r="AT23" s="13"/>
    </row>
    <row r="24" spans="1:46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+HLOOKUP($A$1,+[2]İcmal!$B$19:$AG$49,ROW(A22)+1,FALSE)</f>
        <v>0</v>
      </c>
      <c r="K24" s="15" cm="1">
        <f t="array" ref="K24">+HLOOKUP($A$1,+[3]İcmal!$B$19:$AG$49,ROW(B22)+1,FALSE)</f>
        <v>0</v>
      </c>
      <c r="L24" s="15" cm="1">
        <f t="array" ref="L24">+HLOOKUP($A$1,+[4]İcmal!$B$19:$AG$49,ROW(C22)+1,FALSE)</f>
        <v>0</v>
      </c>
      <c r="M24" s="15" cm="1">
        <f t="array" ref="M24">+HLOOKUP($A$1,+[5]İcmal!$B$19:$AG$49,ROW(D22)+1,FALSE)</f>
        <v>0</v>
      </c>
      <c r="N24" s="15" cm="1">
        <f t="array" ref="N24">+HLOOKUP($A$1,+[6]İcmal!$B$19:$AG$49,ROW(E22)+1,FALSE)</f>
        <v>0</v>
      </c>
      <c r="O24" s="15" cm="1">
        <f t="array" ref="O24">+HLOOKUP($A$1,+[7]İcmal!$B$19:$AG$49,ROW(F22)+1,FALSE)</f>
        <v>0</v>
      </c>
      <c r="P24" s="15" cm="1">
        <f t="array" ref="P24">+HLOOKUP($A$1,+[8]İcmal!$B$19:$AG$49,ROW(G22)+1,FALSE)</f>
        <v>0</v>
      </c>
      <c r="Q24" s="15" cm="1">
        <f t="array" ref="Q24">+HLOOKUP($A$1,+[9]İcmal!$B$19:$AG$49,ROW(H22)+1,FALSE)</f>
        <v>0</v>
      </c>
      <c r="R24" s="15" cm="1">
        <f t="array" ref="R24">+HLOOKUP($A$1,+[10]İcmal!$B$19:$AG$49,ROW(I22)+1,FALSE)</f>
        <v>0</v>
      </c>
      <c r="S24" s="15" cm="1">
        <f t="array" ref="S24">+HLOOKUP($A$1,+[11]İcmal!$B$19:$AG$49,ROW(J22)+1,FALSE)</f>
        <v>0</v>
      </c>
      <c r="T24" s="15" cm="1">
        <f t="array" ref="T24">+HLOOKUP($A$1,+[12]İcmal!$B$19:$AG$49,ROW(K22)+1,FALSE)</f>
        <v>0</v>
      </c>
      <c r="U24" s="15" cm="1">
        <f t="array" ref="U24">+HLOOKUP($A$1,+[13]İcmal!$B$19:$AG$49,ROW(L22)+1,FALSE)</f>
        <v>0</v>
      </c>
      <c r="V24" s="15" cm="1">
        <f t="array" ref="V24">+HLOOKUP($A$1,+[14]İcmal!$B$19:$AG$49,ROW(M22)+1,FALSE)</f>
        <v>0</v>
      </c>
      <c r="W24" s="15" cm="1">
        <f t="array" ref="W24">+HLOOKUP($A$1,+[15]İcmal!$B$19:$AG$49,ROW(N22)+1,FALSE)</f>
        <v>0</v>
      </c>
      <c r="X24" s="15" cm="1">
        <f t="array" ref="X24">+HLOOKUP($A$1,+[16]İcmal!$B$19:$AG$49,ROW(O22)+1,FALSE)</f>
        <v>0</v>
      </c>
      <c r="Y24" s="15" cm="1">
        <f t="array" ref="Y24">+HLOOKUP($A$1,+[17]İcmal!$B$19:$AG$49,ROW(P22)+1,FALSE)</f>
        <v>0</v>
      </c>
      <c r="Z24" s="15" cm="1">
        <f t="array" ref="Z24">+HLOOKUP($A$1,+[18]İcmal!$B$19:$AG$49,ROW(Q22)+1,FALSE)</f>
        <v>0</v>
      </c>
      <c r="AA24" s="15" cm="1">
        <f t="array" ref="AA24">+HLOOKUP($A$1,+[19]İcmal!$B$19:$AG$49,ROW(R22)+1,FALSE)</f>
        <v>0</v>
      </c>
      <c r="AB24" s="15" cm="1">
        <f t="array" ref="AB24">+HLOOKUP($A$1,+[20]İcmal!$B$19:$AG$49,ROW(S22)+1,FALSE)</f>
        <v>0</v>
      </c>
      <c r="AC24" s="15" cm="1">
        <f t="array" ref="AC24">+HLOOKUP($A$1,+[21]İcmal!$B$19:$AG$49,ROW(T22)+1,FALSE)</f>
        <v>0</v>
      </c>
      <c r="AD24" s="15" cm="1">
        <f t="array" ref="AD24">+HLOOKUP($A$1,+[22]İcmal!$B$19:$AG$49,ROW(U22)+1,FALSE)</f>
        <v>0</v>
      </c>
      <c r="AE24" s="15" cm="1">
        <f t="array" ref="AE24">+HLOOKUP($A$1,+[23]İcmal!$B$19:$AG$49,ROW(V22)+1,FALSE)</f>
        <v>0</v>
      </c>
      <c r="AF24" s="15" cm="1">
        <f t="array" ref="AF24">+HLOOKUP($A$1,+[24]İcmal!$B$19:$AG$49,ROW(W22)+1,FALSE)</f>
        <v>0</v>
      </c>
      <c r="AG24" s="15" cm="1">
        <f t="array" ref="AG24">+HLOOKUP($A$1,+[25]İcmal!$B$19:$AG$49,ROW(X22)+1,FALSE)</f>
        <v>0</v>
      </c>
      <c r="AH24" s="15" cm="1">
        <f t="array" ref="AH24">+HLOOKUP($A$1,+[26]İcmal!$B$19:$AG$49,ROW(Y22)+1,FALSE)</f>
        <v>0</v>
      </c>
      <c r="AI24" s="15" cm="1">
        <f t="array" ref="AI24">+HLOOKUP($A$1,+[27]İcmal!$B$19:$AG$49,ROW(Z22)+1,FALSE)</f>
        <v>0</v>
      </c>
      <c r="AJ24" s="15" cm="1">
        <f t="array" ref="AJ24">+HLOOKUP($A$1,+[28]İcmal!$B$19:$AG$49,ROW(AA22)+1,FALSE)</f>
        <v>0</v>
      </c>
      <c r="AK24" s="15" cm="1">
        <f t="array" ref="AK24">+HLOOKUP($A$1,+[29]İcmal!$B$19:$AG$49,ROW(AB22)+1,FALSE)</f>
        <v>0</v>
      </c>
      <c r="AL24" s="15"/>
      <c r="AM24" s="15"/>
      <c r="AN24" s="15"/>
      <c r="AO24" s="15"/>
      <c r="AP24" s="15"/>
      <c r="AQ24" s="15"/>
      <c r="AR24" s="15"/>
      <c r="AS24" s="15"/>
      <c r="AT24" s="13"/>
    </row>
    <row r="25" spans="1:46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+HLOOKUP($A$1,+[2]İcmal!$B$19:$AG$49,ROW(A23)+1,FALSE)</f>
        <v>0</v>
      </c>
      <c r="K25" s="15" cm="1">
        <f t="array" ref="K25">+HLOOKUP($A$1,+[3]İcmal!$B$19:$AG$49,ROW(B23)+1,FALSE)</f>
        <v>0</v>
      </c>
      <c r="L25" s="15" cm="1">
        <f t="array" ref="L25">+HLOOKUP($A$1,+[4]İcmal!$B$19:$AG$49,ROW(C23)+1,FALSE)</f>
        <v>0</v>
      </c>
      <c r="M25" s="15" cm="1">
        <f t="array" ref="M25">+HLOOKUP($A$1,+[5]İcmal!$B$19:$AG$49,ROW(D23)+1,FALSE)</f>
        <v>0</v>
      </c>
      <c r="N25" s="15" cm="1">
        <f t="array" ref="N25">+HLOOKUP($A$1,+[6]İcmal!$B$19:$AG$49,ROW(E23)+1,FALSE)</f>
        <v>0</v>
      </c>
      <c r="O25" s="15" cm="1">
        <f t="array" ref="O25">+HLOOKUP($A$1,+[7]İcmal!$B$19:$AG$49,ROW(F23)+1,FALSE)</f>
        <v>0</v>
      </c>
      <c r="P25" s="15" cm="1">
        <f t="array" ref="P25">+HLOOKUP($A$1,+[8]İcmal!$B$19:$AG$49,ROW(G23)+1,FALSE)</f>
        <v>0</v>
      </c>
      <c r="Q25" s="15" cm="1">
        <f t="array" ref="Q25">+HLOOKUP($A$1,+[9]İcmal!$B$19:$AG$49,ROW(H23)+1,FALSE)</f>
        <v>0</v>
      </c>
      <c r="R25" s="15" cm="1">
        <f t="array" ref="R25">+HLOOKUP($A$1,+[10]İcmal!$B$19:$AG$49,ROW(I23)+1,FALSE)</f>
        <v>0</v>
      </c>
      <c r="S25" s="15" cm="1">
        <f t="array" ref="S25">+HLOOKUP($A$1,+[11]İcmal!$B$19:$AG$49,ROW(J23)+1,FALSE)</f>
        <v>0</v>
      </c>
      <c r="T25" s="15" cm="1">
        <f t="array" ref="T25">+HLOOKUP($A$1,+[12]İcmal!$B$19:$AG$49,ROW(K23)+1,FALSE)</f>
        <v>0</v>
      </c>
      <c r="U25" s="15" cm="1">
        <f t="array" ref="U25">+HLOOKUP($A$1,+[13]İcmal!$B$19:$AG$49,ROW(L23)+1,FALSE)</f>
        <v>0</v>
      </c>
      <c r="V25" s="15" cm="1">
        <f t="array" ref="V25">+HLOOKUP($A$1,+[14]İcmal!$B$19:$AG$49,ROW(M23)+1,FALSE)</f>
        <v>0</v>
      </c>
      <c r="W25" s="15" cm="1">
        <f t="array" ref="W25">+HLOOKUP($A$1,+[15]İcmal!$B$19:$AG$49,ROW(N23)+1,FALSE)</f>
        <v>0</v>
      </c>
      <c r="X25" s="15" cm="1">
        <f t="array" ref="X25">+HLOOKUP($A$1,+[16]İcmal!$B$19:$AG$49,ROW(O23)+1,FALSE)</f>
        <v>0</v>
      </c>
      <c r="Y25" s="15" cm="1">
        <f t="array" ref="Y25">+HLOOKUP($A$1,+[17]İcmal!$B$19:$AG$49,ROW(P23)+1,FALSE)</f>
        <v>0</v>
      </c>
      <c r="Z25" s="15" cm="1">
        <f t="array" ref="Z25">+HLOOKUP($A$1,+[18]İcmal!$B$19:$AG$49,ROW(Q23)+1,FALSE)</f>
        <v>0</v>
      </c>
      <c r="AA25" s="15" cm="1">
        <f t="array" ref="AA25">+HLOOKUP($A$1,+[19]İcmal!$B$19:$AG$49,ROW(R23)+1,FALSE)</f>
        <v>0</v>
      </c>
      <c r="AB25" s="15" cm="1">
        <f t="array" ref="AB25">+HLOOKUP($A$1,+[20]İcmal!$B$19:$AG$49,ROW(S23)+1,FALSE)</f>
        <v>0</v>
      </c>
      <c r="AC25" s="15" cm="1">
        <f t="array" ref="AC25">+HLOOKUP($A$1,+[21]İcmal!$B$19:$AG$49,ROW(T23)+1,FALSE)</f>
        <v>0</v>
      </c>
      <c r="AD25" s="15" cm="1">
        <f t="array" ref="AD25">+HLOOKUP($A$1,+[22]İcmal!$B$19:$AG$49,ROW(U23)+1,FALSE)</f>
        <v>0</v>
      </c>
      <c r="AE25" s="15" cm="1">
        <f t="array" ref="AE25">+HLOOKUP($A$1,+[23]İcmal!$B$19:$AG$49,ROW(V23)+1,FALSE)</f>
        <v>0</v>
      </c>
      <c r="AF25" s="15" cm="1">
        <f t="array" ref="AF25">+HLOOKUP($A$1,+[24]İcmal!$B$19:$AG$49,ROW(W23)+1,FALSE)</f>
        <v>0</v>
      </c>
      <c r="AG25" s="15" cm="1">
        <f t="array" ref="AG25">+HLOOKUP($A$1,+[25]İcmal!$B$19:$AG$49,ROW(X23)+1,FALSE)</f>
        <v>0</v>
      </c>
      <c r="AH25" s="15" cm="1">
        <f t="array" ref="AH25">+HLOOKUP($A$1,+[26]İcmal!$B$19:$AG$49,ROW(Y23)+1,FALSE)</f>
        <v>0</v>
      </c>
      <c r="AI25" s="15" cm="1">
        <f t="array" ref="AI25">+HLOOKUP($A$1,+[27]İcmal!$B$19:$AG$49,ROW(Z23)+1,FALSE)</f>
        <v>0</v>
      </c>
      <c r="AJ25" s="15" cm="1">
        <f t="array" ref="AJ25">+HLOOKUP($A$1,+[28]İcmal!$B$19:$AG$49,ROW(AA23)+1,FALSE)</f>
        <v>0</v>
      </c>
      <c r="AK25" s="15" cm="1">
        <f t="array" ref="AK25">+HLOOKUP($A$1,+[29]İcmal!$B$19:$AG$49,ROW(AB23)+1,FALSE)</f>
        <v>0</v>
      </c>
      <c r="AL25" s="15"/>
      <c r="AM25" s="15"/>
      <c r="AN25" s="15"/>
      <c r="AO25" s="15"/>
      <c r="AP25" s="15"/>
      <c r="AQ25" s="15"/>
      <c r="AR25" s="15"/>
      <c r="AS25" s="15"/>
      <c r="AT25" s="13"/>
    </row>
    <row r="26" spans="1:46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+HLOOKUP($A$1,+[2]İcmal!$B$19:$AG$49,ROW(A24)+1,FALSE)</f>
        <v>0</v>
      </c>
      <c r="K26" s="15" cm="1">
        <f t="array" ref="K26">+HLOOKUP($A$1,+[3]İcmal!$B$19:$AG$49,ROW(B24)+1,FALSE)</f>
        <v>0</v>
      </c>
      <c r="L26" s="15" cm="1">
        <f t="array" ref="L26">+HLOOKUP($A$1,+[4]İcmal!$B$19:$AG$49,ROW(C24)+1,FALSE)</f>
        <v>0</v>
      </c>
      <c r="M26" s="15" cm="1">
        <f t="array" ref="M26">+HLOOKUP($A$1,+[5]İcmal!$B$19:$AG$49,ROW(D24)+1,FALSE)</f>
        <v>0</v>
      </c>
      <c r="N26" s="15" cm="1">
        <f t="array" ref="N26">+HLOOKUP($A$1,+[6]İcmal!$B$19:$AG$49,ROW(E24)+1,FALSE)</f>
        <v>0</v>
      </c>
      <c r="O26" s="15" cm="1">
        <f t="array" ref="O26">+HLOOKUP($A$1,+[7]İcmal!$B$19:$AG$49,ROW(F24)+1,FALSE)</f>
        <v>0</v>
      </c>
      <c r="P26" s="15" cm="1">
        <f t="array" ref="P26">+HLOOKUP($A$1,+[8]İcmal!$B$19:$AG$49,ROW(G24)+1,FALSE)</f>
        <v>0</v>
      </c>
      <c r="Q26" s="15" cm="1">
        <f t="array" ref="Q26">+HLOOKUP($A$1,+[9]İcmal!$B$19:$AG$49,ROW(H24)+1,FALSE)</f>
        <v>0</v>
      </c>
      <c r="R26" s="15" cm="1">
        <f t="array" ref="R26">+HLOOKUP($A$1,+[10]İcmal!$B$19:$AG$49,ROW(I24)+1,FALSE)</f>
        <v>0</v>
      </c>
      <c r="S26" s="15" cm="1">
        <f t="array" ref="S26">+HLOOKUP($A$1,+[11]İcmal!$B$19:$AG$49,ROW(J24)+1,FALSE)</f>
        <v>0</v>
      </c>
      <c r="T26" s="15" cm="1">
        <f t="array" ref="T26">+HLOOKUP($A$1,+[12]İcmal!$B$19:$AG$49,ROW(K24)+1,FALSE)</f>
        <v>0</v>
      </c>
      <c r="U26" s="15" cm="1">
        <f t="array" ref="U26">+HLOOKUP($A$1,+[13]İcmal!$B$19:$AG$49,ROW(L24)+1,FALSE)</f>
        <v>0</v>
      </c>
      <c r="V26" s="15" cm="1">
        <f t="array" ref="V26">+HLOOKUP($A$1,+[14]İcmal!$B$19:$AG$49,ROW(M24)+1,FALSE)</f>
        <v>0</v>
      </c>
      <c r="W26" s="15" cm="1">
        <f t="array" ref="W26">+HLOOKUP($A$1,+[15]İcmal!$B$19:$AG$49,ROW(N24)+1,FALSE)</f>
        <v>0</v>
      </c>
      <c r="X26" s="15" cm="1">
        <f t="array" ref="X26">+HLOOKUP($A$1,+[16]İcmal!$B$19:$AG$49,ROW(O24)+1,FALSE)</f>
        <v>0</v>
      </c>
      <c r="Y26" s="15" cm="1">
        <f t="array" ref="Y26">+HLOOKUP($A$1,+[17]İcmal!$B$19:$AG$49,ROW(P24)+1,FALSE)</f>
        <v>0</v>
      </c>
      <c r="Z26" s="15" cm="1">
        <f t="array" ref="Z26">+HLOOKUP($A$1,+[18]İcmal!$B$19:$AG$49,ROW(Q24)+1,FALSE)</f>
        <v>0</v>
      </c>
      <c r="AA26" s="15" cm="1">
        <f t="array" ref="AA26">+HLOOKUP($A$1,+[19]İcmal!$B$19:$AG$49,ROW(R24)+1,FALSE)</f>
        <v>0</v>
      </c>
      <c r="AB26" s="15" cm="1">
        <f t="array" ref="AB26">+HLOOKUP($A$1,+[20]İcmal!$B$19:$AG$49,ROW(S24)+1,FALSE)</f>
        <v>0</v>
      </c>
      <c r="AC26" s="15" cm="1">
        <f t="array" ref="AC26">+HLOOKUP($A$1,+[21]İcmal!$B$19:$AG$49,ROW(T24)+1,FALSE)</f>
        <v>0</v>
      </c>
      <c r="AD26" s="15" cm="1">
        <f t="array" ref="AD26">+HLOOKUP($A$1,+[22]İcmal!$B$19:$AG$49,ROW(U24)+1,FALSE)</f>
        <v>0</v>
      </c>
      <c r="AE26" s="15" cm="1">
        <f t="array" ref="AE26">+HLOOKUP($A$1,+[23]İcmal!$B$19:$AG$49,ROW(V24)+1,FALSE)</f>
        <v>0</v>
      </c>
      <c r="AF26" s="15" cm="1">
        <f t="array" ref="AF26">+HLOOKUP($A$1,+[24]İcmal!$B$19:$AG$49,ROW(W24)+1,FALSE)</f>
        <v>0</v>
      </c>
      <c r="AG26" s="15" cm="1">
        <f t="array" ref="AG26">+HLOOKUP($A$1,+[25]İcmal!$B$19:$AG$49,ROW(X24)+1,FALSE)</f>
        <v>0</v>
      </c>
      <c r="AH26" s="15" cm="1">
        <f t="array" ref="AH26">+HLOOKUP($A$1,+[26]İcmal!$B$19:$AG$49,ROW(Y24)+1,FALSE)</f>
        <v>0</v>
      </c>
      <c r="AI26" s="15" cm="1">
        <f t="array" ref="AI26">+HLOOKUP($A$1,+[27]İcmal!$B$19:$AG$49,ROW(Z24)+1,FALSE)</f>
        <v>0</v>
      </c>
      <c r="AJ26" s="15" cm="1">
        <f t="array" ref="AJ26">+HLOOKUP($A$1,+[28]İcmal!$B$19:$AG$49,ROW(AA24)+1,FALSE)</f>
        <v>0</v>
      </c>
      <c r="AK26" s="15" cm="1">
        <f t="array" ref="AK26">+HLOOKUP($A$1,+[29]İcmal!$B$19:$AG$49,ROW(AB24)+1,FALSE)</f>
        <v>0</v>
      </c>
      <c r="AL26" s="15"/>
      <c r="AM26" s="15"/>
      <c r="AN26" s="15"/>
      <c r="AO26" s="15"/>
      <c r="AP26" s="15"/>
      <c r="AQ26" s="15"/>
      <c r="AR26" s="15"/>
      <c r="AS26" s="15"/>
      <c r="AT26" s="13"/>
    </row>
    <row r="27" spans="1:46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+HLOOKUP($A$1,+[2]İcmal!$B$19:$AG$49,ROW(A25)+1,FALSE)</f>
        <v>0</v>
      </c>
      <c r="K27" s="15" cm="1">
        <f t="array" ref="K27">+HLOOKUP($A$1,+[3]İcmal!$B$19:$AG$49,ROW(B25)+1,FALSE)</f>
        <v>0</v>
      </c>
      <c r="L27" s="15" cm="1">
        <f t="array" ref="L27">+HLOOKUP($A$1,+[4]İcmal!$B$19:$AG$49,ROW(C25)+1,FALSE)</f>
        <v>0</v>
      </c>
      <c r="M27" s="15" cm="1">
        <f t="array" ref="M27">+HLOOKUP($A$1,+[5]İcmal!$B$19:$AG$49,ROW(D25)+1,FALSE)</f>
        <v>0</v>
      </c>
      <c r="N27" s="15" cm="1">
        <f t="array" ref="N27">+HLOOKUP($A$1,+[6]İcmal!$B$19:$AG$49,ROW(E25)+1,FALSE)</f>
        <v>0</v>
      </c>
      <c r="O27" s="15" cm="1">
        <f t="array" ref="O27">+HLOOKUP($A$1,+[7]İcmal!$B$19:$AG$49,ROW(F25)+1,FALSE)</f>
        <v>0</v>
      </c>
      <c r="P27" s="15" cm="1">
        <f t="array" ref="P27">+HLOOKUP($A$1,+[8]İcmal!$B$19:$AG$49,ROW(G25)+1,FALSE)</f>
        <v>0</v>
      </c>
      <c r="Q27" s="15" cm="1">
        <f t="array" ref="Q27">+HLOOKUP($A$1,+[9]İcmal!$B$19:$AG$49,ROW(H25)+1,FALSE)</f>
        <v>0</v>
      </c>
      <c r="R27" s="15" cm="1">
        <f t="array" ref="R27">+HLOOKUP($A$1,+[10]İcmal!$B$19:$AG$49,ROW(I25)+1,FALSE)</f>
        <v>0</v>
      </c>
      <c r="S27" s="15" cm="1">
        <f t="array" ref="S27">+HLOOKUP($A$1,+[11]İcmal!$B$19:$AG$49,ROW(J25)+1,FALSE)</f>
        <v>0</v>
      </c>
      <c r="T27" s="15" cm="1">
        <f t="array" ref="T27">+HLOOKUP($A$1,+[12]İcmal!$B$19:$AG$49,ROW(K25)+1,FALSE)</f>
        <v>0</v>
      </c>
      <c r="U27" s="15" cm="1">
        <f t="array" ref="U27">+HLOOKUP($A$1,+[13]İcmal!$B$19:$AG$49,ROW(L25)+1,FALSE)</f>
        <v>0</v>
      </c>
      <c r="V27" s="15" cm="1">
        <f t="array" ref="V27">+HLOOKUP($A$1,+[14]İcmal!$B$19:$AG$49,ROW(M25)+1,FALSE)</f>
        <v>0</v>
      </c>
      <c r="W27" s="15" cm="1">
        <f t="array" ref="W27">+HLOOKUP($A$1,+[15]İcmal!$B$19:$AG$49,ROW(N25)+1,FALSE)</f>
        <v>0</v>
      </c>
      <c r="X27" s="15" cm="1">
        <f t="array" ref="X27">+HLOOKUP($A$1,+[16]İcmal!$B$19:$AG$49,ROW(O25)+1,FALSE)</f>
        <v>0</v>
      </c>
      <c r="Y27" s="15" cm="1">
        <f t="array" ref="Y27">+HLOOKUP($A$1,+[17]İcmal!$B$19:$AG$49,ROW(P25)+1,FALSE)</f>
        <v>0</v>
      </c>
      <c r="Z27" s="15" cm="1">
        <f t="array" ref="Z27">+HLOOKUP($A$1,+[18]İcmal!$B$19:$AG$49,ROW(Q25)+1,FALSE)</f>
        <v>0</v>
      </c>
      <c r="AA27" s="15" cm="1">
        <f t="array" ref="AA27">+HLOOKUP($A$1,+[19]İcmal!$B$19:$AG$49,ROW(R25)+1,FALSE)</f>
        <v>0</v>
      </c>
      <c r="AB27" s="15" cm="1">
        <f t="array" ref="AB27">+HLOOKUP($A$1,+[20]İcmal!$B$19:$AG$49,ROW(S25)+1,FALSE)</f>
        <v>0</v>
      </c>
      <c r="AC27" s="15" cm="1">
        <f t="array" ref="AC27">+HLOOKUP($A$1,+[21]İcmal!$B$19:$AG$49,ROW(T25)+1,FALSE)</f>
        <v>0</v>
      </c>
      <c r="AD27" s="15" cm="1">
        <f t="array" ref="AD27">+HLOOKUP($A$1,+[22]İcmal!$B$19:$AG$49,ROW(U25)+1,FALSE)</f>
        <v>0</v>
      </c>
      <c r="AE27" s="15" cm="1">
        <f t="array" ref="AE27">+HLOOKUP($A$1,+[23]İcmal!$B$19:$AG$49,ROW(V25)+1,FALSE)</f>
        <v>0</v>
      </c>
      <c r="AF27" s="15" cm="1">
        <f t="array" ref="AF27">+HLOOKUP($A$1,+[24]İcmal!$B$19:$AG$49,ROW(W25)+1,FALSE)</f>
        <v>0</v>
      </c>
      <c r="AG27" s="15" cm="1">
        <f t="array" ref="AG27">+HLOOKUP($A$1,+[25]İcmal!$B$19:$AG$49,ROW(X25)+1,FALSE)</f>
        <v>0</v>
      </c>
      <c r="AH27" s="15" cm="1">
        <f t="array" ref="AH27">+HLOOKUP($A$1,+[26]İcmal!$B$19:$AG$49,ROW(Y25)+1,FALSE)</f>
        <v>0</v>
      </c>
      <c r="AI27" s="15" cm="1">
        <f t="array" ref="AI27">+HLOOKUP($A$1,+[27]İcmal!$B$19:$AG$49,ROW(Z25)+1,FALSE)</f>
        <v>0</v>
      </c>
      <c r="AJ27" s="15" cm="1">
        <f t="array" ref="AJ27">+HLOOKUP($A$1,+[28]İcmal!$B$19:$AG$49,ROW(AA25)+1,FALSE)</f>
        <v>0</v>
      </c>
      <c r="AK27" s="15" cm="1">
        <f t="array" ref="AK27">+HLOOKUP($A$1,+[29]İcmal!$B$19:$AG$49,ROW(AB25)+1,FALSE)</f>
        <v>0</v>
      </c>
      <c r="AL27" s="15"/>
      <c r="AM27" s="15"/>
      <c r="AN27" s="15"/>
      <c r="AO27" s="15"/>
      <c r="AP27" s="15"/>
      <c r="AQ27" s="15"/>
      <c r="AR27" s="15"/>
      <c r="AS27" s="15"/>
      <c r="AT27" s="13"/>
    </row>
    <row r="28" spans="1:46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5.3860000000000001</v>
      </c>
      <c r="I28" s="9">
        <f t="shared" si="2"/>
        <v>249102.5</v>
      </c>
      <c r="J28" s="15" cm="1">
        <f t="array" ref="J28">+HLOOKUP($A$1,+[2]İcmal!$B$19:$AG$49,ROW(A26)+1,FALSE)</f>
        <v>1.9239999999999999</v>
      </c>
      <c r="K28" s="15" cm="1">
        <f t="array" ref="K28">+HLOOKUP($A$1,+[3]İcmal!$B$19:$AG$49,ROW(B26)+1,FALSE)</f>
        <v>0.57300000000000006</v>
      </c>
      <c r="L28" s="15" cm="1">
        <f t="array" ref="L28">+HLOOKUP($A$1,+[4]İcmal!$B$19:$AG$49,ROW(C26)+1,FALSE)</f>
        <v>0</v>
      </c>
      <c r="M28" s="15" cm="1">
        <f t="array" ref="M28">+HLOOKUP($A$1,+[5]İcmal!$B$19:$AG$49,ROW(D26)+1,FALSE)</f>
        <v>0</v>
      </c>
      <c r="N28" s="15" cm="1">
        <f t="array" ref="N28">+HLOOKUP($A$1,+[6]İcmal!$B$19:$AG$49,ROW(E26)+1,FALSE)</f>
        <v>0</v>
      </c>
      <c r="O28" s="15" cm="1">
        <f t="array" ref="O28">+HLOOKUP($A$1,+[7]İcmal!$B$19:$AG$49,ROW(F26)+1,FALSE)</f>
        <v>0</v>
      </c>
      <c r="P28" s="15" cm="1">
        <f t="array" ref="P28">+HLOOKUP($A$1,+[8]İcmal!$B$19:$AG$49,ROW(G26)+1,FALSE)</f>
        <v>0</v>
      </c>
      <c r="Q28" s="15" cm="1">
        <f t="array" ref="Q28">+HLOOKUP($A$1,+[9]İcmal!$B$19:$AG$49,ROW(H26)+1,FALSE)</f>
        <v>0</v>
      </c>
      <c r="R28" s="15" cm="1">
        <f t="array" ref="R28">+HLOOKUP($A$1,+[10]İcmal!$B$19:$AG$49,ROW(I26)+1,FALSE)</f>
        <v>0.91700000000000015</v>
      </c>
      <c r="S28" s="15" cm="1">
        <f t="array" ref="S28">+HLOOKUP($A$1,+[11]İcmal!$B$19:$AG$49,ROW(J26)+1,FALSE)</f>
        <v>0</v>
      </c>
      <c r="T28" s="15" cm="1">
        <f t="array" ref="T28">+HLOOKUP($A$1,+[12]İcmal!$B$19:$AG$49,ROW(K26)+1,FALSE)</f>
        <v>0</v>
      </c>
      <c r="U28" s="15" cm="1">
        <f t="array" ref="U28">+HLOOKUP($A$1,+[13]İcmal!$B$19:$AG$49,ROW(L26)+1,FALSE)</f>
        <v>0</v>
      </c>
      <c r="V28" s="15" cm="1">
        <f t="array" ref="V28">+HLOOKUP($A$1,+[14]İcmal!$B$19:$AG$49,ROW(M26)+1,FALSE)</f>
        <v>1.972</v>
      </c>
      <c r="W28" s="15" cm="1">
        <f t="array" ref="W28">+HLOOKUP($A$1,+[15]İcmal!$B$19:$AG$49,ROW(N26)+1,FALSE)</f>
        <v>0</v>
      </c>
      <c r="X28" s="15" cm="1">
        <f t="array" ref="X28">+HLOOKUP($A$1,+[16]İcmal!$B$19:$AG$49,ROW(O26)+1,FALSE)</f>
        <v>0</v>
      </c>
      <c r="Y28" s="15" cm="1">
        <f t="array" ref="Y28">+HLOOKUP($A$1,+[17]İcmal!$B$19:$AG$49,ROW(P26)+1,FALSE)</f>
        <v>0</v>
      </c>
      <c r="Z28" s="15" cm="1">
        <f t="array" ref="Z28">+HLOOKUP($A$1,+[18]İcmal!$B$19:$AG$49,ROW(Q26)+1,FALSE)</f>
        <v>0</v>
      </c>
      <c r="AA28" s="15" cm="1">
        <f t="array" ref="AA28">+HLOOKUP($A$1,+[19]İcmal!$B$19:$AG$49,ROW(R26)+1,FALSE)</f>
        <v>0</v>
      </c>
      <c r="AB28" s="15" cm="1">
        <f t="array" ref="AB28">+HLOOKUP($A$1,+[20]İcmal!$B$19:$AG$49,ROW(S26)+1,FALSE)</f>
        <v>0</v>
      </c>
      <c r="AC28" s="15" cm="1">
        <f t="array" ref="AC28">+HLOOKUP($A$1,+[21]İcmal!$B$19:$AG$49,ROW(T26)+1,FALSE)</f>
        <v>0</v>
      </c>
      <c r="AD28" s="15" cm="1">
        <f t="array" ref="AD28">+HLOOKUP($A$1,+[22]İcmal!$B$19:$AG$49,ROW(U26)+1,FALSE)</f>
        <v>0</v>
      </c>
      <c r="AE28" s="15" cm="1">
        <f t="array" ref="AE28">+HLOOKUP($A$1,+[23]İcmal!$B$19:$AG$49,ROW(V26)+1,FALSE)</f>
        <v>0</v>
      </c>
      <c r="AF28" s="15" cm="1">
        <f t="array" ref="AF28">+HLOOKUP($A$1,+[24]İcmal!$B$19:$AG$49,ROW(W26)+1,FALSE)</f>
        <v>0</v>
      </c>
      <c r="AG28" s="15" cm="1">
        <f t="array" ref="AG28">+HLOOKUP($A$1,+[25]İcmal!$B$19:$AG$49,ROW(X26)+1,FALSE)</f>
        <v>0</v>
      </c>
      <c r="AH28" s="15" cm="1">
        <f t="array" ref="AH28">+HLOOKUP($A$1,+[26]İcmal!$B$19:$AG$49,ROW(Y26)+1,FALSE)</f>
        <v>0</v>
      </c>
      <c r="AI28" s="15" cm="1">
        <f t="array" ref="AI28">+HLOOKUP($A$1,+[27]İcmal!$B$19:$AG$49,ROW(Z26)+1,FALSE)</f>
        <v>0</v>
      </c>
      <c r="AJ28" s="15" cm="1">
        <f t="array" ref="AJ28">+HLOOKUP($A$1,+[28]İcmal!$B$19:$AG$49,ROW(AA26)+1,FALSE)</f>
        <v>0</v>
      </c>
      <c r="AK28" s="15" cm="1">
        <f t="array" ref="AK28">+HLOOKUP($A$1,+[29]İcmal!$B$19:$AG$49,ROW(AB26)+1,FALSE)</f>
        <v>0</v>
      </c>
      <c r="AL28" s="15"/>
      <c r="AM28" s="15"/>
      <c r="AN28" s="15"/>
      <c r="AO28" s="15"/>
      <c r="AP28" s="15"/>
      <c r="AQ28" s="15"/>
      <c r="AR28" s="15"/>
      <c r="AS28" s="15"/>
      <c r="AT28" s="13"/>
    </row>
    <row r="29" spans="1:46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+HLOOKUP($A$1,+[2]İcmal!$B$19:$AG$49,ROW(A27)+1,FALSE)</f>
        <v>0</v>
      </c>
      <c r="K29" s="15" cm="1">
        <f t="array" ref="K29">+HLOOKUP($A$1,+[3]İcmal!$B$19:$AG$49,ROW(B27)+1,FALSE)</f>
        <v>0</v>
      </c>
      <c r="L29" s="15" cm="1">
        <f t="array" ref="L29">+HLOOKUP($A$1,+[4]İcmal!$B$19:$AG$49,ROW(C27)+1,FALSE)</f>
        <v>0</v>
      </c>
      <c r="M29" s="15" cm="1">
        <f t="array" ref="M29">+HLOOKUP($A$1,+[5]İcmal!$B$19:$AG$49,ROW(D27)+1,FALSE)</f>
        <v>0</v>
      </c>
      <c r="N29" s="15" cm="1">
        <f t="array" ref="N29">+HLOOKUP($A$1,+[6]İcmal!$B$19:$AG$49,ROW(E27)+1,FALSE)</f>
        <v>0</v>
      </c>
      <c r="O29" s="15" cm="1">
        <f t="array" ref="O29">+HLOOKUP($A$1,+[7]İcmal!$B$19:$AG$49,ROW(F27)+1,FALSE)</f>
        <v>0</v>
      </c>
      <c r="P29" s="15" cm="1">
        <f t="array" ref="P29">+HLOOKUP($A$1,+[8]İcmal!$B$19:$AG$49,ROW(G27)+1,FALSE)</f>
        <v>0</v>
      </c>
      <c r="Q29" s="15" cm="1">
        <f t="array" ref="Q29">+HLOOKUP($A$1,+[9]İcmal!$B$19:$AG$49,ROW(H27)+1,FALSE)</f>
        <v>0</v>
      </c>
      <c r="R29" s="15" cm="1">
        <f t="array" ref="R29">+HLOOKUP($A$1,+[10]İcmal!$B$19:$AG$49,ROW(I27)+1,FALSE)</f>
        <v>0</v>
      </c>
      <c r="S29" s="15" cm="1">
        <f t="array" ref="S29">+HLOOKUP($A$1,+[11]İcmal!$B$19:$AG$49,ROW(J27)+1,FALSE)</f>
        <v>0</v>
      </c>
      <c r="T29" s="15" cm="1">
        <f t="array" ref="T29">+HLOOKUP($A$1,+[12]İcmal!$B$19:$AG$49,ROW(K27)+1,FALSE)</f>
        <v>0</v>
      </c>
      <c r="U29" s="15" cm="1">
        <f t="array" ref="U29">+HLOOKUP($A$1,+[13]İcmal!$B$19:$AG$49,ROW(L27)+1,FALSE)</f>
        <v>0</v>
      </c>
      <c r="V29" s="15" cm="1">
        <f t="array" ref="V29">+HLOOKUP($A$1,+[14]İcmal!$B$19:$AG$49,ROW(M27)+1,FALSE)</f>
        <v>0</v>
      </c>
      <c r="W29" s="15" cm="1">
        <f t="array" ref="W29">+HLOOKUP($A$1,+[15]İcmal!$B$19:$AG$49,ROW(N27)+1,FALSE)</f>
        <v>0</v>
      </c>
      <c r="X29" s="15" cm="1">
        <f t="array" ref="X29">+HLOOKUP($A$1,+[16]İcmal!$B$19:$AG$49,ROW(O27)+1,FALSE)</f>
        <v>0</v>
      </c>
      <c r="Y29" s="15" cm="1">
        <f t="array" ref="Y29">+HLOOKUP($A$1,+[17]İcmal!$B$19:$AG$49,ROW(P27)+1,FALSE)</f>
        <v>0</v>
      </c>
      <c r="Z29" s="15" cm="1">
        <f t="array" ref="Z29">+HLOOKUP($A$1,+[18]İcmal!$B$19:$AG$49,ROW(Q27)+1,FALSE)</f>
        <v>0</v>
      </c>
      <c r="AA29" s="15" cm="1">
        <f t="array" ref="AA29">+HLOOKUP($A$1,+[19]İcmal!$B$19:$AG$49,ROW(R27)+1,FALSE)</f>
        <v>0</v>
      </c>
      <c r="AB29" s="15" cm="1">
        <f t="array" ref="AB29">+HLOOKUP($A$1,+[20]İcmal!$B$19:$AG$49,ROW(S27)+1,FALSE)</f>
        <v>0</v>
      </c>
      <c r="AC29" s="15" cm="1">
        <f t="array" ref="AC29">+HLOOKUP($A$1,+[21]İcmal!$B$19:$AG$49,ROW(T27)+1,FALSE)</f>
        <v>0</v>
      </c>
      <c r="AD29" s="15" cm="1">
        <f t="array" ref="AD29">+HLOOKUP($A$1,+[22]İcmal!$B$19:$AG$49,ROW(U27)+1,FALSE)</f>
        <v>0</v>
      </c>
      <c r="AE29" s="15" cm="1">
        <f t="array" ref="AE29">+HLOOKUP($A$1,+[23]İcmal!$B$19:$AG$49,ROW(V27)+1,FALSE)</f>
        <v>0</v>
      </c>
      <c r="AF29" s="15" cm="1">
        <f t="array" ref="AF29">+HLOOKUP($A$1,+[24]İcmal!$B$19:$AG$49,ROW(W27)+1,FALSE)</f>
        <v>0</v>
      </c>
      <c r="AG29" s="15" cm="1">
        <f t="array" ref="AG29">+HLOOKUP($A$1,+[25]İcmal!$B$19:$AG$49,ROW(X27)+1,FALSE)</f>
        <v>0</v>
      </c>
      <c r="AH29" s="15" cm="1">
        <f t="array" ref="AH29">+HLOOKUP($A$1,+[26]İcmal!$B$19:$AG$49,ROW(Y27)+1,FALSE)</f>
        <v>0</v>
      </c>
      <c r="AI29" s="15" cm="1">
        <f t="array" ref="AI29">+HLOOKUP($A$1,+[27]İcmal!$B$19:$AG$49,ROW(Z27)+1,FALSE)</f>
        <v>0</v>
      </c>
      <c r="AJ29" s="15" cm="1">
        <f t="array" ref="AJ29">+HLOOKUP($A$1,+[28]İcmal!$B$19:$AG$49,ROW(AA27)+1,FALSE)</f>
        <v>0</v>
      </c>
      <c r="AK29" s="15" cm="1">
        <f t="array" ref="AK29">+HLOOKUP($A$1,+[29]İcmal!$B$19:$AG$49,ROW(AB27)+1,FALSE)</f>
        <v>0</v>
      </c>
      <c r="AL29" s="15"/>
      <c r="AM29" s="15"/>
      <c r="AN29" s="15"/>
      <c r="AO29" s="15"/>
      <c r="AP29" s="15"/>
      <c r="AQ29" s="15"/>
      <c r="AR29" s="15"/>
      <c r="AS29" s="15"/>
      <c r="AT29" s="13"/>
    </row>
    <row r="30" spans="1:46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23.977</v>
      </c>
      <c r="I30" s="9">
        <f t="shared" si="2"/>
        <v>2333753.341</v>
      </c>
      <c r="J30" s="15" cm="1">
        <f t="array" ref="J30">+HLOOKUP($A$1,+[2]İcmal!$B$19:$AG$49,ROW(A28)+1,FALSE)</f>
        <v>8.1210000000000004</v>
      </c>
      <c r="K30" s="15" cm="1">
        <f t="array" ref="K30">+HLOOKUP($A$1,+[3]İcmal!$B$19:$AG$49,ROW(B28)+1,FALSE)</f>
        <v>3.0840000000000001</v>
      </c>
      <c r="L30" s="15" cm="1">
        <f t="array" ref="L30">+HLOOKUP($A$1,+[4]İcmal!$B$19:$AG$49,ROW(C28)+1,FALSE)</f>
        <v>0</v>
      </c>
      <c r="M30" s="15" cm="1">
        <f t="array" ref="M30">+HLOOKUP($A$1,+[5]İcmal!$B$19:$AG$49,ROW(D28)+1,FALSE)</f>
        <v>0</v>
      </c>
      <c r="N30" s="15" cm="1">
        <f t="array" ref="N30">+HLOOKUP($A$1,+[6]İcmal!$B$19:$AG$49,ROW(E28)+1,FALSE)</f>
        <v>0</v>
      </c>
      <c r="O30" s="15" cm="1">
        <f t="array" ref="O30">+HLOOKUP($A$1,+[7]İcmal!$B$19:$AG$49,ROW(F28)+1,FALSE)</f>
        <v>0</v>
      </c>
      <c r="P30" s="15" cm="1">
        <f t="array" ref="P30">+HLOOKUP($A$1,+[8]İcmal!$B$19:$AG$49,ROW(G28)+1,FALSE)</f>
        <v>0</v>
      </c>
      <c r="Q30" s="15" cm="1">
        <f t="array" ref="Q30">+HLOOKUP($A$1,+[9]İcmal!$B$19:$AG$49,ROW(H28)+1,FALSE)</f>
        <v>0</v>
      </c>
      <c r="R30" s="15" cm="1">
        <f t="array" ref="R30">+HLOOKUP($A$1,+[10]İcmal!$B$19:$AG$49,ROW(I28)+1,FALSE)</f>
        <v>3.7559999999999998</v>
      </c>
      <c r="S30" s="15" cm="1">
        <f t="array" ref="S30">+HLOOKUP($A$1,+[11]İcmal!$B$19:$AG$49,ROW(J28)+1,FALSE)</f>
        <v>0</v>
      </c>
      <c r="T30" s="15" cm="1">
        <f t="array" ref="T30">+HLOOKUP($A$1,+[12]İcmal!$B$19:$AG$49,ROW(K28)+1,FALSE)</f>
        <v>0</v>
      </c>
      <c r="U30" s="15" cm="1">
        <f t="array" ref="U30">+HLOOKUP($A$1,+[13]İcmal!$B$19:$AG$49,ROW(L28)+1,FALSE)</f>
        <v>0</v>
      </c>
      <c r="V30" s="15" cm="1">
        <f t="array" ref="V30">+HLOOKUP($A$1,+[14]İcmal!$B$19:$AG$49,ROW(M28)+1,FALSE)</f>
        <v>9.016</v>
      </c>
      <c r="W30" s="15" cm="1">
        <f t="array" ref="W30">+HLOOKUP($A$1,+[15]İcmal!$B$19:$AG$49,ROW(N28)+1,FALSE)</f>
        <v>0</v>
      </c>
      <c r="X30" s="15" cm="1">
        <f t="array" ref="X30">+HLOOKUP($A$1,+[16]İcmal!$B$19:$AG$49,ROW(O28)+1,FALSE)</f>
        <v>0</v>
      </c>
      <c r="Y30" s="15" cm="1">
        <f t="array" ref="Y30">+HLOOKUP($A$1,+[17]İcmal!$B$19:$AG$49,ROW(P28)+1,FALSE)</f>
        <v>0</v>
      </c>
      <c r="Z30" s="15" cm="1">
        <f t="array" ref="Z30">+HLOOKUP($A$1,+[18]İcmal!$B$19:$AG$49,ROW(Q28)+1,FALSE)</f>
        <v>0</v>
      </c>
      <c r="AA30" s="15" cm="1">
        <f t="array" ref="AA30">+HLOOKUP($A$1,+[19]İcmal!$B$19:$AG$49,ROW(R28)+1,FALSE)</f>
        <v>0</v>
      </c>
      <c r="AB30" s="15" cm="1">
        <f t="array" ref="AB30">+HLOOKUP($A$1,+[20]İcmal!$B$19:$AG$49,ROW(S28)+1,FALSE)</f>
        <v>0</v>
      </c>
      <c r="AC30" s="15" cm="1">
        <f t="array" ref="AC30">+HLOOKUP($A$1,+[21]İcmal!$B$19:$AG$49,ROW(T28)+1,FALSE)</f>
        <v>0</v>
      </c>
      <c r="AD30" s="15" cm="1">
        <f t="array" ref="AD30">+HLOOKUP($A$1,+[22]İcmal!$B$19:$AG$49,ROW(U28)+1,FALSE)</f>
        <v>0</v>
      </c>
      <c r="AE30" s="15" cm="1">
        <f t="array" ref="AE30">+HLOOKUP($A$1,+[23]İcmal!$B$19:$AG$49,ROW(V28)+1,FALSE)</f>
        <v>0</v>
      </c>
      <c r="AF30" s="15" cm="1">
        <f t="array" ref="AF30">+HLOOKUP($A$1,+[24]İcmal!$B$19:$AG$49,ROW(W28)+1,FALSE)</f>
        <v>0</v>
      </c>
      <c r="AG30" s="15" cm="1">
        <f t="array" ref="AG30">+HLOOKUP($A$1,+[25]İcmal!$B$19:$AG$49,ROW(X28)+1,FALSE)</f>
        <v>0</v>
      </c>
      <c r="AH30" s="15" cm="1">
        <f t="array" ref="AH30">+HLOOKUP($A$1,+[26]İcmal!$B$19:$AG$49,ROW(Y28)+1,FALSE)</f>
        <v>0</v>
      </c>
      <c r="AI30" s="15" cm="1">
        <f t="array" ref="AI30">+HLOOKUP($A$1,+[27]İcmal!$B$19:$AG$49,ROW(Z28)+1,FALSE)</f>
        <v>0</v>
      </c>
      <c r="AJ30" s="15" cm="1">
        <f t="array" ref="AJ30">+HLOOKUP($A$1,+[28]İcmal!$B$19:$AG$49,ROW(AA28)+1,FALSE)</f>
        <v>0</v>
      </c>
      <c r="AK30" s="15" cm="1">
        <f t="array" ref="AK30">+HLOOKUP($A$1,+[29]İcmal!$B$19:$AG$49,ROW(AB28)+1,FALSE)</f>
        <v>0</v>
      </c>
      <c r="AL30" s="15"/>
      <c r="AM30" s="15"/>
      <c r="AN30" s="15"/>
      <c r="AO30" s="15"/>
      <c r="AP30" s="15"/>
      <c r="AQ30" s="15"/>
      <c r="AR30" s="15"/>
      <c r="AS30" s="15"/>
      <c r="AT30" s="13"/>
    </row>
    <row r="31" spans="1:46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+HLOOKUP($A$1,+[2]İcmal!$B$19:$AG$49,ROW(A29)+1,FALSE)</f>
        <v>0</v>
      </c>
      <c r="K31" s="15" cm="1">
        <f t="array" ref="K31">+HLOOKUP($A$1,+[3]İcmal!$B$19:$AG$49,ROW(B29)+1,FALSE)</f>
        <v>0</v>
      </c>
      <c r="L31" s="15" cm="1">
        <f t="array" ref="L31">+HLOOKUP($A$1,+[4]İcmal!$B$19:$AG$49,ROW(C29)+1,FALSE)</f>
        <v>0</v>
      </c>
      <c r="M31" s="15" cm="1">
        <f t="array" ref="M31">+HLOOKUP($A$1,+[5]İcmal!$B$19:$AG$49,ROW(D29)+1,FALSE)</f>
        <v>0</v>
      </c>
      <c r="N31" s="15" cm="1">
        <f t="array" ref="N31">+HLOOKUP($A$1,+[6]İcmal!$B$19:$AG$49,ROW(E29)+1,FALSE)</f>
        <v>0</v>
      </c>
      <c r="O31" s="15" cm="1">
        <f t="array" ref="O31">+HLOOKUP($A$1,+[7]İcmal!$B$19:$AG$49,ROW(F29)+1,FALSE)</f>
        <v>0</v>
      </c>
      <c r="P31" s="15" cm="1">
        <f t="array" ref="P31">+HLOOKUP($A$1,+[8]İcmal!$B$19:$AG$49,ROW(G29)+1,FALSE)</f>
        <v>0</v>
      </c>
      <c r="Q31" s="15" cm="1">
        <f t="array" ref="Q31">+HLOOKUP($A$1,+[9]İcmal!$B$19:$AG$49,ROW(H29)+1,FALSE)</f>
        <v>0</v>
      </c>
      <c r="R31" s="15" cm="1">
        <f t="array" ref="R31">+HLOOKUP($A$1,+[10]İcmal!$B$19:$AG$49,ROW(I29)+1,FALSE)</f>
        <v>0</v>
      </c>
      <c r="S31" s="15" cm="1">
        <f t="array" ref="S31">+HLOOKUP($A$1,+[11]İcmal!$B$19:$AG$49,ROW(J29)+1,FALSE)</f>
        <v>0</v>
      </c>
      <c r="T31" s="15" cm="1">
        <f t="array" ref="T31">+HLOOKUP($A$1,+[12]İcmal!$B$19:$AG$49,ROW(K29)+1,FALSE)</f>
        <v>0</v>
      </c>
      <c r="U31" s="15" cm="1">
        <f t="array" ref="U31">+HLOOKUP($A$1,+[13]İcmal!$B$19:$AG$49,ROW(L29)+1,FALSE)</f>
        <v>0</v>
      </c>
      <c r="V31" s="15" cm="1">
        <f t="array" ref="V31">+HLOOKUP($A$1,+[14]İcmal!$B$19:$AG$49,ROW(M29)+1,FALSE)</f>
        <v>0</v>
      </c>
      <c r="W31" s="15" cm="1">
        <f t="array" ref="W31">+HLOOKUP($A$1,+[15]İcmal!$B$19:$AG$49,ROW(N29)+1,FALSE)</f>
        <v>0</v>
      </c>
      <c r="X31" s="15" cm="1">
        <f t="array" ref="X31">+HLOOKUP($A$1,+[16]İcmal!$B$19:$AG$49,ROW(O29)+1,FALSE)</f>
        <v>0</v>
      </c>
      <c r="Y31" s="15" cm="1">
        <f t="array" ref="Y31">+HLOOKUP($A$1,+[17]İcmal!$B$19:$AG$49,ROW(P29)+1,FALSE)</f>
        <v>0</v>
      </c>
      <c r="Z31" s="15" cm="1">
        <f t="array" ref="Z31">+HLOOKUP($A$1,+[18]İcmal!$B$19:$AG$49,ROW(Q29)+1,FALSE)</f>
        <v>0</v>
      </c>
      <c r="AA31" s="15" cm="1">
        <f t="array" ref="AA31">+HLOOKUP($A$1,+[19]İcmal!$B$19:$AG$49,ROW(R29)+1,FALSE)</f>
        <v>0</v>
      </c>
      <c r="AB31" s="15" cm="1">
        <f t="array" ref="AB31">+HLOOKUP($A$1,+[20]İcmal!$B$19:$AG$49,ROW(S29)+1,FALSE)</f>
        <v>0</v>
      </c>
      <c r="AC31" s="15" cm="1">
        <f t="array" ref="AC31">+HLOOKUP($A$1,+[21]İcmal!$B$19:$AG$49,ROW(T29)+1,FALSE)</f>
        <v>0</v>
      </c>
      <c r="AD31" s="15" cm="1">
        <f t="array" ref="AD31">+HLOOKUP($A$1,+[22]İcmal!$B$19:$AG$49,ROW(U29)+1,FALSE)</f>
        <v>0</v>
      </c>
      <c r="AE31" s="15" cm="1">
        <f t="array" ref="AE31">+HLOOKUP($A$1,+[23]İcmal!$B$19:$AG$49,ROW(V29)+1,FALSE)</f>
        <v>0</v>
      </c>
      <c r="AF31" s="15" cm="1">
        <f t="array" ref="AF31">+HLOOKUP($A$1,+[24]İcmal!$B$19:$AG$49,ROW(W29)+1,FALSE)</f>
        <v>0</v>
      </c>
      <c r="AG31" s="15" cm="1">
        <f t="array" ref="AG31">+HLOOKUP($A$1,+[25]İcmal!$B$19:$AG$49,ROW(X29)+1,FALSE)</f>
        <v>0</v>
      </c>
      <c r="AH31" s="15" cm="1">
        <f t="array" ref="AH31">+HLOOKUP($A$1,+[26]İcmal!$B$19:$AG$49,ROW(Y29)+1,FALSE)</f>
        <v>0</v>
      </c>
      <c r="AI31" s="15" cm="1">
        <f t="array" ref="AI31">+HLOOKUP($A$1,+[27]İcmal!$B$19:$AG$49,ROW(Z29)+1,FALSE)</f>
        <v>0</v>
      </c>
      <c r="AJ31" s="15" cm="1">
        <f t="array" ref="AJ31">+HLOOKUP($A$1,+[28]İcmal!$B$19:$AG$49,ROW(AA29)+1,FALSE)</f>
        <v>0</v>
      </c>
      <c r="AK31" s="15" cm="1">
        <f t="array" ref="AK31">+HLOOKUP($A$1,+[29]İcmal!$B$19:$AG$49,ROW(AB29)+1,FALSE)</f>
        <v>0</v>
      </c>
      <c r="AL31" s="15"/>
      <c r="AM31" s="15"/>
      <c r="AN31" s="15"/>
      <c r="AO31" s="15"/>
      <c r="AP31" s="15"/>
      <c r="AQ31" s="15"/>
      <c r="AR31" s="15"/>
      <c r="AS31" s="15"/>
      <c r="AT31" s="13"/>
    </row>
    <row r="32" spans="1:46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+HLOOKUP($A$1,+[2]İcmal!$B$19:$AG$49,ROW(A30)+1,FALSE)</f>
        <v>0</v>
      </c>
      <c r="K32" s="15" cm="1">
        <f t="array" ref="K32">+HLOOKUP($A$1,+[3]İcmal!$B$19:$AG$49,ROW(B30)+1,FALSE)</f>
        <v>0</v>
      </c>
      <c r="L32" s="15" cm="1">
        <f t="array" ref="L32">+HLOOKUP($A$1,+[4]İcmal!$B$19:$AG$49,ROW(C30)+1,FALSE)</f>
        <v>0</v>
      </c>
      <c r="M32" s="15" cm="1">
        <f t="array" ref="M32">+HLOOKUP($A$1,+[5]İcmal!$B$19:$AG$49,ROW(D30)+1,FALSE)</f>
        <v>0</v>
      </c>
      <c r="N32" s="15" cm="1">
        <f t="array" ref="N32">+HLOOKUP($A$1,+[6]İcmal!$B$19:$AG$49,ROW(E30)+1,FALSE)</f>
        <v>0</v>
      </c>
      <c r="O32" s="15" cm="1">
        <f t="array" ref="O32">+HLOOKUP($A$1,+[7]İcmal!$B$19:$AG$49,ROW(F30)+1,FALSE)</f>
        <v>0</v>
      </c>
      <c r="P32" s="15" cm="1">
        <f t="array" ref="P32">+HLOOKUP($A$1,+[8]İcmal!$B$19:$AG$49,ROW(G30)+1,FALSE)</f>
        <v>0</v>
      </c>
      <c r="Q32" s="15" cm="1">
        <f t="array" ref="Q32">+HLOOKUP($A$1,+[9]İcmal!$B$19:$AG$49,ROW(H30)+1,FALSE)</f>
        <v>0</v>
      </c>
      <c r="R32" s="15" cm="1">
        <f t="array" ref="R32">+HLOOKUP($A$1,+[10]İcmal!$B$19:$AG$49,ROW(I30)+1,FALSE)</f>
        <v>0</v>
      </c>
      <c r="S32" s="15" cm="1">
        <f t="array" ref="S32">+HLOOKUP($A$1,+[11]İcmal!$B$19:$AG$49,ROW(J30)+1,FALSE)</f>
        <v>0</v>
      </c>
      <c r="T32" s="15" cm="1">
        <f t="array" ref="T32">+HLOOKUP($A$1,+[12]İcmal!$B$19:$AG$49,ROW(K30)+1,FALSE)</f>
        <v>0</v>
      </c>
      <c r="U32" s="15" cm="1">
        <f t="array" ref="U32">+HLOOKUP($A$1,+[13]İcmal!$B$19:$AG$49,ROW(L30)+1,FALSE)</f>
        <v>0</v>
      </c>
      <c r="V32" s="15" cm="1">
        <f t="array" ref="V32">+HLOOKUP($A$1,+[14]İcmal!$B$19:$AG$49,ROW(M30)+1,FALSE)</f>
        <v>0</v>
      </c>
      <c r="W32" s="15" cm="1">
        <f t="array" ref="W32">+HLOOKUP($A$1,+[15]İcmal!$B$19:$AG$49,ROW(N30)+1,FALSE)</f>
        <v>0</v>
      </c>
      <c r="X32" s="15" cm="1">
        <f t="array" ref="X32">+HLOOKUP($A$1,+[16]İcmal!$B$19:$AG$49,ROW(O30)+1,FALSE)</f>
        <v>0</v>
      </c>
      <c r="Y32" s="15" cm="1">
        <f t="array" ref="Y32">+HLOOKUP($A$1,+[17]İcmal!$B$19:$AG$49,ROW(P30)+1,FALSE)</f>
        <v>0</v>
      </c>
      <c r="Z32" s="15" cm="1">
        <f t="array" ref="Z32">+HLOOKUP($A$1,+[18]İcmal!$B$19:$AG$49,ROW(Q30)+1,FALSE)</f>
        <v>0</v>
      </c>
      <c r="AA32" s="15" cm="1">
        <f t="array" ref="AA32">+HLOOKUP($A$1,+[19]İcmal!$B$19:$AG$49,ROW(R30)+1,FALSE)</f>
        <v>0</v>
      </c>
      <c r="AB32" s="15" cm="1">
        <f t="array" ref="AB32">+HLOOKUP($A$1,+[20]İcmal!$B$19:$AG$49,ROW(S30)+1,FALSE)</f>
        <v>0</v>
      </c>
      <c r="AC32" s="15" cm="1">
        <f t="array" ref="AC32">+HLOOKUP($A$1,+[21]İcmal!$B$19:$AG$49,ROW(T30)+1,FALSE)</f>
        <v>0</v>
      </c>
      <c r="AD32" s="15" cm="1">
        <f t="array" ref="AD32">+HLOOKUP($A$1,+[22]İcmal!$B$19:$AG$49,ROW(U30)+1,FALSE)</f>
        <v>0</v>
      </c>
      <c r="AE32" s="15" cm="1">
        <f t="array" ref="AE32">+HLOOKUP($A$1,+[23]İcmal!$B$19:$AG$49,ROW(V30)+1,FALSE)</f>
        <v>0</v>
      </c>
      <c r="AF32" s="15" cm="1">
        <f t="array" ref="AF32">+HLOOKUP($A$1,+[24]İcmal!$B$19:$AG$49,ROW(W30)+1,FALSE)</f>
        <v>0</v>
      </c>
      <c r="AG32" s="15" cm="1">
        <f t="array" ref="AG32">+HLOOKUP($A$1,+[25]İcmal!$B$19:$AG$49,ROW(X30)+1,FALSE)</f>
        <v>0</v>
      </c>
      <c r="AH32" s="15" cm="1">
        <f t="array" ref="AH32">+HLOOKUP($A$1,+[26]İcmal!$B$19:$AG$49,ROW(Y30)+1,FALSE)</f>
        <v>0</v>
      </c>
      <c r="AI32" s="15" cm="1">
        <f t="array" ref="AI32">+HLOOKUP($A$1,+[27]İcmal!$B$19:$AG$49,ROW(Z30)+1,FALSE)</f>
        <v>0</v>
      </c>
      <c r="AJ32" s="15" cm="1">
        <f t="array" ref="AJ32">+HLOOKUP($A$1,+[28]İcmal!$B$19:$AG$49,ROW(AA30)+1,FALSE)</f>
        <v>0</v>
      </c>
      <c r="AK32" s="15" cm="1">
        <f t="array" ref="AK32">+HLOOKUP($A$1,+[29]İcmal!$B$19:$AG$49,ROW(AB30)+1,FALSE)</f>
        <v>0</v>
      </c>
      <c r="AL32" s="15"/>
      <c r="AM32" s="15"/>
      <c r="AN32" s="15"/>
      <c r="AO32" s="15"/>
      <c r="AP32" s="15"/>
      <c r="AQ32" s="15"/>
      <c r="AR32" s="15"/>
      <c r="AS32" s="15"/>
      <c r="AT32" s="14"/>
    </row>
    <row r="33" spans="7:45" x14ac:dyDescent="0.3">
      <c r="I33" s="16">
        <f>SUM(I3:I32)</f>
        <v>41197552.712000005</v>
      </c>
      <c r="J33" s="16">
        <f t="shared" ref="J33:AS33" si="3">+SUMPRODUCT(J3:J32,$F$3:$F$32)</f>
        <v>13132897.753</v>
      </c>
      <c r="K33" s="16">
        <f t="shared" si="3"/>
        <v>5569985.7429999998</v>
      </c>
      <c r="L33" s="16">
        <f t="shared" si="3"/>
        <v>0</v>
      </c>
      <c r="M33" s="16">
        <f t="shared" si="3"/>
        <v>0</v>
      </c>
      <c r="N33" s="16">
        <f t="shared" si="3"/>
        <v>0</v>
      </c>
      <c r="O33" s="16">
        <f t="shared" si="3"/>
        <v>0</v>
      </c>
      <c r="P33" s="16">
        <f t="shared" si="3"/>
        <v>0</v>
      </c>
      <c r="Q33" s="16">
        <f t="shared" si="3"/>
        <v>0</v>
      </c>
      <c r="R33" s="16">
        <f t="shared" si="3"/>
        <v>7331663.5189999994</v>
      </c>
      <c r="S33" s="16">
        <f t="shared" si="3"/>
        <v>0</v>
      </c>
      <c r="T33" s="16">
        <f t="shared" si="3"/>
        <v>0</v>
      </c>
      <c r="U33" s="16">
        <f t="shared" si="3"/>
        <v>0</v>
      </c>
      <c r="V33" s="16">
        <f t="shared" si="3"/>
        <v>13724805.697000001</v>
      </c>
      <c r="W33" s="16">
        <f t="shared" si="3"/>
        <v>1438200</v>
      </c>
      <c r="X33" s="16">
        <f t="shared" si="3"/>
        <v>0</v>
      </c>
      <c r="Y33" s="16">
        <f t="shared" si="3"/>
        <v>0</v>
      </c>
      <c r="Z33" s="16">
        <f t="shared" si="3"/>
        <v>0</v>
      </c>
      <c r="AA33" s="16">
        <f t="shared" si="3"/>
        <v>0</v>
      </c>
      <c r="AB33" s="16">
        <f t="shared" si="3"/>
        <v>0</v>
      </c>
      <c r="AC33" s="16">
        <f t="shared" si="3"/>
        <v>0</v>
      </c>
      <c r="AD33" s="16">
        <f t="shared" si="3"/>
        <v>0</v>
      </c>
      <c r="AE33" s="16">
        <f t="shared" si="3"/>
        <v>0</v>
      </c>
      <c r="AF33" s="16">
        <f t="shared" si="3"/>
        <v>0</v>
      </c>
      <c r="AG33" s="16">
        <f t="shared" si="3"/>
        <v>0</v>
      </c>
      <c r="AH33" s="16">
        <f t="shared" si="3"/>
        <v>0</v>
      </c>
      <c r="AI33" s="16">
        <f t="shared" si="3"/>
        <v>0</v>
      </c>
      <c r="AJ33" s="16">
        <f t="shared" si="3"/>
        <v>0</v>
      </c>
      <c r="AK33" s="16">
        <f t="shared" si="3"/>
        <v>0</v>
      </c>
      <c r="AL33" s="16"/>
      <c r="AM33" s="16"/>
      <c r="AN33" s="16"/>
      <c r="AO33" s="16"/>
      <c r="AP33" s="16"/>
      <c r="AQ33" s="16"/>
      <c r="AR33" s="16"/>
      <c r="AS33" s="16">
        <f t="shared" si="3"/>
        <v>0</v>
      </c>
    </row>
    <row r="34" spans="7:45" x14ac:dyDescent="0.3">
      <c r="H34" s="52"/>
    </row>
    <row r="35" spans="7:45" x14ac:dyDescent="0.3">
      <c r="G35" s="16"/>
      <c r="H35" s="16"/>
      <c r="I35" s="16"/>
    </row>
    <row r="36" spans="7:45" x14ac:dyDescent="0.3">
      <c r="I36" s="16"/>
      <c r="K36" s="49"/>
      <c r="N36" s="49"/>
      <c r="O36" s="49"/>
      <c r="P36" s="49"/>
      <c r="Q36" s="49"/>
    </row>
    <row r="37" spans="7:45" x14ac:dyDescent="0.3"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7:45" x14ac:dyDescent="0.3">
      <c r="I38" s="16"/>
    </row>
    <row r="39" spans="7:45" x14ac:dyDescent="0.3">
      <c r="I39" s="16"/>
    </row>
    <row r="40" spans="7:45" x14ac:dyDescent="0.3">
      <c r="I40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9791-3187-4095-82D4-A963C2029091}">
  <sheetPr>
    <tabColor rgb="FFFF0000"/>
  </sheetPr>
  <dimension ref="A1:AT40"/>
  <sheetViews>
    <sheetView zoomScale="70" zoomScaleNormal="70" workbookViewId="0">
      <selection activeCell="A2" sqref="A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7" width="19.33203125" bestFit="1" customWidth="1"/>
    <col min="18" max="25" width="19.21875" bestFit="1" customWidth="1"/>
    <col min="26" max="26" width="46.77734375" bestFit="1" customWidth="1"/>
    <col min="27" max="27" width="48.88671875" bestFit="1" customWidth="1"/>
    <col min="28" max="28" width="57.109375" bestFit="1" customWidth="1"/>
    <col min="29" max="29" width="56.77734375" bestFit="1" customWidth="1"/>
    <col min="30" max="30" width="57.44140625" bestFit="1" customWidth="1"/>
    <col min="31" max="31" width="57" customWidth="1"/>
    <col min="32" max="32" width="57.109375" bestFit="1" customWidth="1"/>
    <col min="33" max="33" width="46.33203125" bestFit="1" customWidth="1"/>
    <col min="34" max="37" width="46.77734375" bestFit="1" customWidth="1"/>
    <col min="38" max="44" width="19.88671875" customWidth="1"/>
    <col min="45" max="45" width="19.5546875" bestFit="1" customWidth="1"/>
    <col min="46" max="46" width="2.21875" customWidth="1"/>
  </cols>
  <sheetData>
    <row r="1" spans="1:46" ht="15" thickBot="1" x14ac:dyDescent="0.35">
      <c r="A1" s="17" t="s">
        <v>75</v>
      </c>
    </row>
    <row r="2" spans="1:46" ht="27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54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3" t="s">
        <v>126</v>
      </c>
      <c r="AG2" s="3" t="s">
        <v>143</v>
      </c>
      <c r="AH2" s="3" t="s">
        <v>144</v>
      </c>
      <c r="AI2" s="3" t="s">
        <v>138</v>
      </c>
      <c r="AJ2" s="3" t="s">
        <v>125</v>
      </c>
      <c r="AK2" s="3" t="s">
        <v>133</v>
      </c>
      <c r="AL2" s="3"/>
      <c r="AM2" s="3"/>
      <c r="AN2" s="3"/>
      <c r="AO2" s="3"/>
      <c r="AP2" s="3"/>
      <c r="AQ2" s="3"/>
      <c r="AR2" s="3"/>
      <c r="AS2" s="3"/>
      <c r="AT2" s="12"/>
    </row>
    <row r="3" spans="1:46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SUM(J3:AT3)</f>
        <v>0</v>
      </c>
      <c r="I3" s="9">
        <f>+F3*H3</f>
        <v>0</v>
      </c>
      <c r="J3" s="15" cm="1">
        <f t="array" ref="J3">+HLOOKUP($A$1,+[2]İcmal!$B$19:$AG$49,ROW(A1)+1,FALSE)</f>
        <v>0</v>
      </c>
      <c r="K3" s="15" cm="1">
        <f t="array" ref="K3">+HLOOKUP($A$1,+[3]İcmal!$B$19:$AG$49,ROW(B1)+1,FALSE)</f>
        <v>0</v>
      </c>
      <c r="L3" s="15" cm="1">
        <f t="array" ref="L3">+HLOOKUP($A$1,+[4]İcmal!$B$19:$AG$49,ROW(C1)+1,FALSE)</f>
        <v>0</v>
      </c>
      <c r="M3" s="15" cm="1">
        <f t="array" ref="M3">+HLOOKUP($A$1,+[5]İcmal!$B$19:$AG$49,ROW(D1)+1,FALSE)</f>
        <v>0</v>
      </c>
      <c r="N3" s="15" cm="1">
        <f t="array" ref="N3">+HLOOKUP($A$1,+[6]İcmal!$B$19:$AG$49,ROW(E1)+1,FALSE)</f>
        <v>0</v>
      </c>
      <c r="O3" s="15" cm="1">
        <f t="array" ref="O3">+HLOOKUP($A$1,+[7]İcmal!$B$19:$AG$49,ROW(F1)+1,FALSE)</f>
        <v>0</v>
      </c>
      <c r="P3" s="15" cm="1">
        <f t="array" ref="P3">+HLOOKUP($A$1,+[8]İcmal!$B$19:$AG$49,ROW(G1)+1,FALSE)</f>
        <v>0</v>
      </c>
      <c r="Q3" s="15" cm="1">
        <f t="array" ref="Q3">+HLOOKUP($A$1,+[9]İcmal!$B$19:$AG$49,ROW(H1)+1,FALSE)</f>
        <v>0</v>
      </c>
      <c r="R3" s="15" cm="1">
        <f t="array" ref="R3">+HLOOKUP($A$1,+[10]İcmal!$B$19:$AG$49,ROW(I1)+1,FALSE)</f>
        <v>0</v>
      </c>
      <c r="S3" s="15" cm="1">
        <f t="array" ref="S3">+HLOOKUP($A$1,+[11]İcmal!$B$19:$AG$49,ROW(J1)+1,FALSE)</f>
        <v>0</v>
      </c>
      <c r="T3" s="15" cm="1">
        <f t="array" ref="T3">+HLOOKUP($A$1,+[12]İcmal!$B$19:$AG$49,ROW(K1)+1,FALSE)</f>
        <v>0</v>
      </c>
      <c r="U3" s="15" cm="1">
        <f t="array" ref="U3">+HLOOKUP($A$1,+[13]İcmal!$B$19:$AG$49,ROW(L1)+1,FALSE)</f>
        <v>0</v>
      </c>
      <c r="V3" s="15" cm="1">
        <f t="array" ref="V3">+HLOOKUP($A$1,+[14]İcmal!$B$19:$AG$49,ROW(M1)+1,FALSE)</f>
        <v>0</v>
      </c>
      <c r="W3" s="15" cm="1">
        <f t="array" ref="W3">+HLOOKUP($A$1,+[15]İcmal!$B$19:$AG$49,ROW(N1)+1,FALSE)</f>
        <v>0</v>
      </c>
      <c r="X3" s="15" cm="1">
        <f t="array" ref="X3">+HLOOKUP($A$1,+[16]İcmal!$B$19:$AG$49,ROW(O1)+1,FALSE)</f>
        <v>0</v>
      </c>
      <c r="Y3" s="15" cm="1">
        <f t="array" ref="Y3">+HLOOKUP($A$1,+[17]İcmal!$B$19:$AG$49,ROW(P1)+1,FALSE)</f>
        <v>0</v>
      </c>
      <c r="Z3" s="15" cm="1">
        <f t="array" ref="Z3">+HLOOKUP($A$1,+[18]İcmal!$B$19:$AG$49,ROW(Q1)+1,FALSE)</f>
        <v>0</v>
      </c>
      <c r="AA3" s="15" cm="1">
        <f t="array" ref="AA3">+HLOOKUP($A$1,+[19]İcmal!$B$19:$AG$49,ROW(R1)+1,FALSE)</f>
        <v>0</v>
      </c>
      <c r="AB3" s="15" cm="1">
        <f t="array" ref="AB3">+HLOOKUP($A$1,+[20]İcmal!$B$19:$AG$49,ROW(S1)+1,FALSE)</f>
        <v>0</v>
      </c>
      <c r="AC3" s="15" cm="1">
        <f t="array" ref="AC3">+HLOOKUP($A$1,+[21]İcmal!$B$19:$AG$49,ROW(T1)+1,FALSE)</f>
        <v>0</v>
      </c>
      <c r="AD3" s="15" cm="1">
        <f t="array" ref="AD3">+HLOOKUP($A$1,+[22]İcmal!$B$19:$AG$49,ROW(U1)+1,FALSE)</f>
        <v>0</v>
      </c>
      <c r="AE3" s="15" cm="1">
        <f t="array" ref="AE3">+HLOOKUP($A$1,+[23]İcmal!$B$19:$AG$49,ROW(V1)+1,FALSE)</f>
        <v>0</v>
      </c>
      <c r="AF3" s="15" cm="1">
        <f t="array" ref="AF3">+HLOOKUP($A$1,+[24]İcmal!$B$19:$AG$49,ROW(W1)+1,FALSE)</f>
        <v>0</v>
      </c>
      <c r="AG3" s="15" cm="1">
        <f t="array" ref="AG3">+HLOOKUP($A$1,+[25]İcmal!$B$19:$AG$49,ROW(X1)+1,FALSE)</f>
        <v>0</v>
      </c>
      <c r="AH3" s="15" cm="1">
        <f t="array" ref="AH3">+HLOOKUP($A$1,+[26]İcmal!$B$19:$AG$49,ROW(Y1)+1,FALSE)</f>
        <v>0</v>
      </c>
      <c r="AI3" s="15" cm="1">
        <f t="array" ref="AI3">+HLOOKUP($A$1,+[27]İcmal!$B$19:$AG$49,ROW(Z1)+1,FALSE)</f>
        <v>0</v>
      </c>
      <c r="AJ3" s="15" cm="1">
        <f t="array" ref="AJ3">+HLOOKUP($A$1,+[28]İcmal!$B$19:$AG$49,ROW(AA1)+1,FALSE)</f>
        <v>0</v>
      </c>
      <c r="AK3" s="15" cm="1">
        <f t="array" ref="AK3">+HLOOKUP($A$1,+[29]İcmal!$B$19:$AG$49,ROW(AB1)+1,FALSE)</f>
        <v>0</v>
      </c>
      <c r="AL3" s="15"/>
      <c r="AM3" s="15"/>
      <c r="AN3" s="15"/>
      <c r="AO3" s="15"/>
      <c r="AP3" s="15"/>
      <c r="AQ3" s="15"/>
      <c r="AR3" s="15"/>
      <c r="AS3" s="15"/>
      <c r="AT3" s="13"/>
    </row>
    <row r="4" spans="1:46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+HLOOKUP($A$1,+[2]İcmal!$B$19:$AG$49,ROW(A2)+1,FALSE)</f>
        <v>0</v>
      </c>
      <c r="K4" s="15" cm="1">
        <f t="array" ref="K4">+HLOOKUP($A$1,+[3]İcmal!$B$19:$AG$49,ROW(B2)+1,FALSE)</f>
        <v>0</v>
      </c>
      <c r="L4" s="15" cm="1">
        <f t="array" ref="L4">+HLOOKUP($A$1,+[4]İcmal!$B$19:$AG$49,ROW(C2)+1,FALSE)</f>
        <v>0</v>
      </c>
      <c r="M4" s="15" cm="1">
        <f t="array" ref="M4">+HLOOKUP($A$1,+[5]İcmal!$B$19:$AG$49,ROW(D2)+1,FALSE)</f>
        <v>0</v>
      </c>
      <c r="N4" s="15" cm="1">
        <f t="array" ref="N4">+HLOOKUP($A$1,+[6]İcmal!$B$19:$AG$49,ROW(E2)+1,FALSE)</f>
        <v>0</v>
      </c>
      <c r="O4" s="15" cm="1">
        <f t="array" ref="O4">+HLOOKUP($A$1,+[7]İcmal!$B$19:$AG$49,ROW(F2)+1,FALSE)</f>
        <v>0</v>
      </c>
      <c r="P4" s="15" cm="1">
        <f t="array" ref="P4">+HLOOKUP($A$1,+[8]İcmal!$B$19:$AG$49,ROW(G2)+1,FALSE)</f>
        <v>0</v>
      </c>
      <c r="Q4" s="15" cm="1">
        <f t="array" ref="Q4">+HLOOKUP($A$1,+[9]İcmal!$B$19:$AG$49,ROW(H2)+1,FALSE)</f>
        <v>0</v>
      </c>
      <c r="R4" s="15" cm="1">
        <f t="array" ref="R4">+HLOOKUP($A$1,+[10]İcmal!$B$19:$AG$49,ROW(I2)+1,FALSE)</f>
        <v>0</v>
      </c>
      <c r="S4" s="15" cm="1">
        <f t="array" ref="S4">+HLOOKUP($A$1,+[11]İcmal!$B$19:$AG$49,ROW(J2)+1,FALSE)</f>
        <v>0</v>
      </c>
      <c r="T4" s="15" cm="1">
        <f t="array" ref="T4">+HLOOKUP($A$1,+[12]İcmal!$B$19:$AG$49,ROW(K2)+1,FALSE)</f>
        <v>0</v>
      </c>
      <c r="U4" s="15" cm="1">
        <f t="array" ref="U4">+HLOOKUP($A$1,+[13]İcmal!$B$19:$AG$49,ROW(L2)+1,FALSE)</f>
        <v>0</v>
      </c>
      <c r="V4" s="15" cm="1">
        <f t="array" ref="V4">+HLOOKUP($A$1,+[14]İcmal!$B$19:$AG$49,ROW(M2)+1,FALSE)</f>
        <v>0</v>
      </c>
      <c r="W4" s="15" cm="1">
        <f t="array" ref="W4">+HLOOKUP($A$1,+[15]İcmal!$B$19:$AG$49,ROW(N2)+1,FALSE)</f>
        <v>0</v>
      </c>
      <c r="X4" s="15" cm="1">
        <f t="array" ref="X4">+HLOOKUP($A$1,+[16]İcmal!$B$19:$AG$49,ROW(O2)+1,FALSE)</f>
        <v>0</v>
      </c>
      <c r="Y4" s="15" cm="1">
        <f t="array" ref="Y4">+HLOOKUP($A$1,+[17]İcmal!$B$19:$AG$49,ROW(P2)+1,FALSE)</f>
        <v>0</v>
      </c>
      <c r="Z4" s="15" cm="1">
        <f t="array" ref="Z4">+HLOOKUP($A$1,+[18]İcmal!$B$19:$AG$49,ROW(Q2)+1,FALSE)</f>
        <v>0</v>
      </c>
      <c r="AA4" s="15" cm="1">
        <f t="array" ref="AA4">+HLOOKUP($A$1,+[19]İcmal!$B$19:$AG$49,ROW(R2)+1,FALSE)</f>
        <v>0</v>
      </c>
      <c r="AB4" s="15" cm="1">
        <f t="array" ref="AB4">+HLOOKUP($A$1,+[20]İcmal!$B$19:$AG$49,ROW(S2)+1,FALSE)</f>
        <v>0</v>
      </c>
      <c r="AC4" s="15" cm="1">
        <f t="array" ref="AC4">+HLOOKUP($A$1,+[21]İcmal!$B$19:$AG$49,ROW(T2)+1,FALSE)</f>
        <v>0</v>
      </c>
      <c r="AD4" s="15" cm="1">
        <f t="array" ref="AD4">+HLOOKUP($A$1,+[22]İcmal!$B$19:$AG$49,ROW(U2)+1,FALSE)</f>
        <v>0</v>
      </c>
      <c r="AE4" s="15" cm="1">
        <f t="array" ref="AE4">+HLOOKUP($A$1,+[23]İcmal!$B$19:$AG$49,ROW(V2)+1,FALSE)</f>
        <v>0</v>
      </c>
      <c r="AF4" s="15" cm="1">
        <f t="array" ref="AF4">+HLOOKUP($A$1,+[24]İcmal!$B$19:$AG$49,ROW(W2)+1,FALSE)</f>
        <v>0</v>
      </c>
      <c r="AG4" s="15" cm="1">
        <f t="array" ref="AG4">+HLOOKUP($A$1,+[25]İcmal!$B$19:$AG$49,ROW(X2)+1,FALSE)</f>
        <v>0</v>
      </c>
      <c r="AH4" s="15" cm="1">
        <f t="array" ref="AH4">+HLOOKUP($A$1,+[26]İcmal!$B$19:$AG$49,ROW(Y2)+1,FALSE)</f>
        <v>0</v>
      </c>
      <c r="AI4" s="15" cm="1">
        <f t="array" ref="AI4">+HLOOKUP($A$1,+[27]İcmal!$B$19:$AG$49,ROW(Z2)+1,FALSE)</f>
        <v>0</v>
      </c>
      <c r="AJ4" s="15" cm="1">
        <f t="array" ref="AJ4">+HLOOKUP($A$1,+[28]İcmal!$B$19:$AG$49,ROW(AA2)+1,FALSE)</f>
        <v>0</v>
      </c>
      <c r="AK4" s="15" cm="1">
        <f t="array" ref="AK4">+HLOOKUP($A$1,+[29]İcmal!$B$19:$AG$49,ROW(AB2)+1,FALSE)</f>
        <v>0</v>
      </c>
      <c r="AL4" s="15"/>
      <c r="AM4" s="15"/>
      <c r="AN4" s="15"/>
      <c r="AO4" s="15"/>
      <c r="AP4" s="15"/>
      <c r="AQ4" s="15"/>
      <c r="AR4" s="15"/>
      <c r="AS4" s="15"/>
      <c r="AT4" s="13"/>
    </row>
    <row r="5" spans="1:46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+HLOOKUP($A$1,+[2]İcmal!$B$19:$AG$49,ROW(A3)+1,FALSE)</f>
        <v>0</v>
      </c>
      <c r="K5" s="15" cm="1">
        <f t="array" ref="K5">+HLOOKUP($A$1,+[3]İcmal!$B$19:$AG$49,ROW(B3)+1,FALSE)</f>
        <v>0</v>
      </c>
      <c r="L5" s="15" cm="1">
        <f t="array" ref="L5">+HLOOKUP($A$1,+[4]İcmal!$B$19:$AG$49,ROW(C3)+1,FALSE)</f>
        <v>0</v>
      </c>
      <c r="M5" s="15" cm="1">
        <f t="array" ref="M5">+HLOOKUP($A$1,+[5]İcmal!$B$19:$AG$49,ROW(D3)+1,FALSE)</f>
        <v>0</v>
      </c>
      <c r="N5" s="15" cm="1">
        <f t="array" ref="N5">+HLOOKUP($A$1,+[6]İcmal!$B$19:$AG$49,ROW(E3)+1,FALSE)</f>
        <v>0</v>
      </c>
      <c r="O5" s="15" cm="1">
        <f t="array" ref="O5">+HLOOKUP($A$1,+[7]İcmal!$B$19:$AG$49,ROW(F3)+1,FALSE)</f>
        <v>0</v>
      </c>
      <c r="P5" s="15" cm="1">
        <f t="array" ref="P5">+HLOOKUP($A$1,+[8]İcmal!$B$19:$AG$49,ROW(G3)+1,FALSE)</f>
        <v>0</v>
      </c>
      <c r="Q5" s="15" cm="1">
        <f t="array" ref="Q5">+HLOOKUP($A$1,+[9]İcmal!$B$19:$AG$49,ROW(H3)+1,FALSE)</f>
        <v>0</v>
      </c>
      <c r="R5" s="15" cm="1">
        <f t="array" ref="R5">+HLOOKUP($A$1,+[10]İcmal!$B$19:$AG$49,ROW(I3)+1,FALSE)</f>
        <v>0</v>
      </c>
      <c r="S5" s="15" cm="1">
        <f t="array" ref="S5">+HLOOKUP($A$1,+[11]İcmal!$B$19:$AG$49,ROW(J3)+1,FALSE)</f>
        <v>0</v>
      </c>
      <c r="T5" s="15" cm="1">
        <f t="array" ref="T5">+HLOOKUP($A$1,+[12]İcmal!$B$19:$AG$49,ROW(K3)+1,FALSE)</f>
        <v>0</v>
      </c>
      <c r="U5" s="15" cm="1">
        <f t="array" ref="U5">+HLOOKUP($A$1,+[13]İcmal!$B$19:$AG$49,ROW(L3)+1,FALSE)</f>
        <v>0</v>
      </c>
      <c r="V5" s="15" cm="1">
        <f t="array" ref="V5">+HLOOKUP($A$1,+[14]İcmal!$B$19:$AG$49,ROW(M3)+1,FALSE)</f>
        <v>0</v>
      </c>
      <c r="W5" s="15" cm="1">
        <f t="array" ref="W5">+HLOOKUP($A$1,+[15]İcmal!$B$19:$AG$49,ROW(N3)+1,FALSE)</f>
        <v>0</v>
      </c>
      <c r="X5" s="15" cm="1">
        <f t="array" ref="X5">+HLOOKUP($A$1,+[16]İcmal!$B$19:$AG$49,ROW(O3)+1,FALSE)</f>
        <v>0</v>
      </c>
      <c r="Y5" s="15" cm="1">
        <f t="array" ref="Y5">+HLOOKUP($A$1,+[17]İcmal!$B$19:$AG$49,ROW(P3)+1,FALSE)</f>
        <v>0</v>
      </c>
      <c r="Z5" s="15" cm="1">
        <f t="array" ref="Z5">+HLOOKUP($A$1,+[18]İcmal!$B$19:$AG$49,ROW(Q3)+1,FALSE)</f>
        <v>0</v>
      </c>
      <c r="AA5" s="15" cm="1">
        <f t="array" ref="AA5">+HLOOKUP($A$1,+[19]İcmal!$B$19:$AG$49,ROW(R3)+1,FALSE)</f>
        <v>0</v>
      </c>
      <c r="AB5" s="15" cm="1">
        <f t="array" ref="AB5">+HLOOKUP($A$1,+[20]İcmal!$B$19:$AG$49,ROW(S3)+1,FALSE)</f>
        <v>0</v>
      </c>
      <c r="AC5" s="15" cm="1">
        <f t="array" ref="AC5">+HLOOKUP($A$1,+[21]İcmal!$B$19:$AG$49,ROW(T3)+1,FALSE)</f>
        <v>0</v>
      </c>
      <c r="AD5" s="15" cm="1">
        <f t="array" ref="AD5">+HLOOKUP($A$1,+[22]İcmal!$B$19:$AG$49,ROW(U3)+1,FALSE)</f>
        <v>0</v>
      </c>
      <c r="AE5" s="15" cm="1">
        <f t="array" ref="AE5">+HLOOKUP($A$1,+[23]İcmal!$B$19:$AG$49,ROW(V3)+1,FALSE)</f>
        <v>0</v>
      </c>
      <c r="AF5" s="15" cm="1">
        <f t="array" ref="AF5">+HLOOKUP($A$1,+[24]İcmal!$B$19:$AG$49,ROW(W3)+1,FALSE)</f>
        <v>0</v>
      </c>
      <c r="AG5" s="15" cm="1">
        <f t="array" ref="AG5">+HLOOKUP($A$1,+[25]İcmal!$B$19:$AG$49,ROW(X3)+1,FALSE)</f>
        <v>0</v>
      </c>
      <c r="AH5" s="15" cm="1">
        <f t="array" ref="AH5">+HLOOKUP($A$1,+[26]İcmal!$B$19:$AG$49,ROW(Y3)+1,FALSE)</f>
        <v>0</v>
      </c>
      <c r="AI5" s="15" cm="1">
        <f t="array" ref="AI5">+HLOOKUP($A$1,+[27]İcmal!$B$19:$AG$49,ROW(Z3)+1,FALSE)</f>
        <v>0</v>
      </c>
      <c r="AJ5" s="15" cm="1">
        <f t="array" ref="AJ5">+HLOOKUP($A$1,+[28]İcmal!$B$19:$AG$49,ROW(AA3)+1,FALSE)</f>
        <v>0</v>
      </c>
      <c r="AK5" s="15" cm="1">
        <f t="array" ref="AK5">+HLOOKUP($A$1,+[29]İcmal!$B$19:$AG$49,ROW(AB3)+1,FALSE)</f>
        <v>0</v>
      </c>
      <c r="AL5" s="15"/>
      <c r="AM5" s="15"/>
      <c r="AN5" s="15"/>
      <c r="AO5" s="15"/>
      <c r="AP5" s="15"/>
      <c r="AQ5" s="15"/>
      <c r="AR5" s="15"/>
      <c r="AS5" s="15"/>
      <c r="AT5" s="13"/>
    </row>
    <row r="6" spans="1:46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0</v>
      </c>
      <c r="I6" s="9">
        <f t="shared" si="2"/>
        <v>0</v>
      </c>
      <c r="J6" s="15" cm="1">
        <f t="array" ref="J6">+HLOOKUP($A$1,+[2]İcmal!$B$19:$AG$49,ROW(A4)+1,FALSE)</f>
        <v>0</v>
      </c>
      <c r="K6" s="15" cm="1">
        <f t="array" ref="K6">+HLOOKUP($A$1,+[3]İcmal!$B$19:$AG$49,ROW(B4)+1,FALSE)</f>
        <v>0</v>
      </c>
      <c r="L6" s="15" cm="1">
        <f t="array" ref="L6">+HLOOKUP($A$1,+[4]İcmal!$B$19:$AG$49,ROW(C4)+1,FALSE)</f>
        <v>0</v>
      </c>
      <c r="M6" s="15" cm="1">
        <f t="array" ref="M6">+HLOOKUP($A$1,+[5]İcmal!$B$19:$AG$49,ROW(D4)+1,FALSE)</f>
        <v>0</v>
      </c>
      <c r="N6" s="15" cm="1">
        <f t="array" ref="N6">+HLOOKUP($A$1,+[6]İcmal!$B$19:$AG$49,ROW(E4)+1,FALSE)</f>
        <v>0</v>
      </c>
      <c r="O6" s="15" cm="1">
        <f t="array" ref="O6">+HLOOKUP($A$1,+[7]İcmal!$B$19:$AG$49,ROW(F4)+1,FALSE)</f>
        <v>0</v>
      </c>
      <c r="P6" s="15" cm="1">
        <f t="array" ref="P6">+HLOOKUP($A$1,+[8]İcmal!$B$19:$AG$49,ROW(G4)+1,FALSE)</f>
        <v>0</v>
      </c>
      <c r="Q6" s="15" cm="1">
        <f t="array" ref="Q6">+HLOOKUP($A$1,+[9]İcmal!$B$19:$AG$49,ROW(H4)+1,FALSE)</f>
        <v>0</v>
      </c>
      <c r="R6" s="15" cm="1">
        <f t="array" ref="R6">+HLOOKUP($A$1,+[10]İcmal!$B$19:$AG$49,ROW(I4)+1,FALSE)</f>
        <v>0</v>
      </c>
      <c r="S6" s="15" cm="1">
        <f t="array" ref="S6">+HLOOKUP($A$1,+[11]İcmal!$B$19:$AG$49,ROW(J4)+1,FALSE)</f>
        <v>0</v>
      </c>
      <c r="T6" s="15" cm="1">
        <f t="array" ref="T6">+HLOOKUP($A$1,+[12]İcmal!$B$19:$AG$49,ROW(K4)+1,FALSE)</f>
        <v>0</v>
      </c>
      <c r="U6" s="15" cm="1">
        <f t="array" ref="U6">+HLOOKUP($A$1,+[13]İcmal!$B$19:$AG$49,ROW(L4)+1,FALSE)</f>
        <v>0</v>
      </c>
      <c r="V6" s="15" cm="1">
        <f t="array" ref="V6">+HLOOKUP($A$1,+[14]İcmal!$B$19:$AG$49,ROW(M4)+1,FALSE)</f>
        <v>0</v>
      </c>
      <c r="W6" s="15" cm="1">
        <f t="array" ref="W6">+HLOOKUP($A$1,+[15]İcmal!$B$19:$AG$49,ROW(N4)+1,FALSE)</f>
        <v>0</v>
      </c>
      <c r="X6" s="15" cm="1">
        <f t="array" ref="X6">+HLOOKUP($A$1,+[16]İcmal!$B$19:$AG$49,ROW(O4)+1,FALSE)</f>
        <v>0</v>
      </c>
      <c r="Y6" s="15" cm="1">
        <f t="array" ref="Y6">+HLOOKUP($A$1,+[17]İcmal!$B$19:$AG$49,ROW(P4)+1,FALSE)</f>
        <v>0</v>
      </c>
      <c r="Z6" s="15" cm="1">
        <f t="array" ref="Z6">+HLOOKUP($A$1,+[18]İcmal!$B$19:$AG$49,ROW(Q4)+1,FALSE)</f>
        <v>0</v>
      </c>
      <c r="AA6" s="15" cm="1">
        <f t="array" ref="AA6">+HLOOKUP($A$1,+[19]İcmal!$B$19:$AG$49,ROW(R4)+1,FALSE)</f>
        <v>0</v>
      </c>
      <c r="AB6" s="15" cm="1">
        <f t="array" ref="AB6">+HLOOKUP($A$1,+[20]İcmal!$B$19:$AG$49,ROW(S4)+1,FALSE)</f>
        <v>0</v>
      </c>
      <c r="AC6" s="15" cm="1">
        <f t="array" ref="AC6">+HLOOKUP($A$1,+[21]İcmal!$B$19:$AG$49,ROW(T4)+1,FALSE)</f>
        <v>0</v>
      </c>
      <c r="AD6" s="15" cm="1">
        <f t="array" ref="AD6">+HLOOKUP($A$1,+[22]İcmal!$B$19:$AG$49,ROW(U4)+1,FALSE)</f>
        <v>0</v>
      </c>
      <c r="AE6" s="15" cm="1">
        <f t="array" ref="AE6">+HLOOKUP($A$1,+[23]İcmal!$B$19:$AG$49,ROW(V4)+1,FALSE)</f>
        <v>0</v>
      </c>
      <c r="AF6" s="15" cm="1">
        <f t="array" ref="AF6">+HLOOKUP($A$1,+[24]İcmal!$B$19:$AG$49,ROW(W4)+1,FALSE)</f>
        <v>0</v>
      </c>
      <c r="AG6" s="15" cm="1">
        <f t="array" ref="AG6">+HLOOKUP($A$1,+[25]İcmal!$B$19:$AG$49,ROW(X4)+1,FALSE)</f>
        <v>0</v>
      </c>
      <c r="AH6" s="15" cm="1">
        <f t="array" ref="AH6">+HLOOKUP($A$1,+[26]İcmal!$B$19:$AG$49,ROW(Y4)+1,FALSE)</f>
        <v>0</v>
      </c>
      <c r="AI6" s="15" cm="1">
        <f t="array" ref="AI6">+HLOOKUP($A$1,+[27]İcmal!$B$19:$AG$49,ROW(Z4)+1,FALSE)</f>
        <v>0</v>
      </c>
      <c r="AJ6" s="15" cm="1">
        <f t="array" ref="AJ6">+HLOOKUP($A$1,+[28]İcmal!$B$19:$AG$49,ROW(AA4)+1,FALSE)</f>
        <v>0</v>
      </c>
      <c r="AK6" s="15" cm="1">
        <f t="array" ref="AK6">+HLOOKUP($A$1,+[29]İcmal!$B$19:$AG$49,ROW(AB4)+1,FALSE)</f>
        <v>0</v>
      </c>
      <c r="AL6" s="15"/>
      <c r="AM6" s="15"/>
      <c r="AN6" s="15"/>
      <c r="AO6" s="15"/>
      <c r="AP6" s="15"/>
      <c r="AQ6" s="15"/>
      <c r="AR6" s="15"/>
      <c r="AS6" s="15"/>
      <c r="AT6" s="13"/>
    </row>
    <row r="7" spans="1:46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+HLOOKUP($A$1,+[2]İcmal!$B$19:$AG$49,ROW(A5)+1,FALSE)</f>
        <v>0</v>
      </c>
      <c r="K7" s="15" cm="1">
        <f t="array" ref="K7">+HLOOKUP($A$1,+[3]İcmal!$B$19:$AG$49,ROW(B5)+1,FALSE)</f>
        <v>0</v>
      </c>
      <c r="L7" s="15" cm="1">
        <f t="array" ref="L7">+HLOOKUP($A$1,+[4]İcmal!$B$19:$AG$49,ROW(C5)+1,FALSE)</f>
        <v>0</v>
      </c>
      <c r="M7" s="15" cm="1">
        <f t="array" ref="M7">+HLOOKUP($A$1,+[5]İcmal!$B$19:$AG$49,ROW(D5)+1,FALSE)</f>
        <v>0</v>
      </c>
      <c r="N7" s="15" cm="1">
        <f t="array" ref="N7">+HLOOKUP($A$1,+[6]İcmal!$B$19:$AG$49,ROW(E5)+1,FALSE)</f>
        <v>0</v>
      </c>
      <c r="O7" s="15" cm="1">
        <f t="array" ref="O7">+HLOOKUP($A$1,+[7]İcmal!$B$19:$AG$49,ROW(F5)+1,FALSE)</f>
        <v>0</v>
      </c>
      <c r="P7" s="15" cm="1">
        <f t="array" ref="P7">+HLOOKUP($A$1,+[8]İcmal!$B$19:$AG$49,ROW(G5)+1,FALSE)</f>
        <v>0</v>
      </c>
      <c r="Q7" s="15" cm="1">
        <f t="array" ref="Q7">+HLOOKUP($A$1,+[9]İcmal!$B$19:$AG$49,ROW(H5)+1,FALSE)</f>
        <v>0</v>
      </c>
      <c r="R7" s="15" cm="1">
        <f t="array" ref="R7">+HLOOKUP($A$1,+[10]İcmal!$B$19:$AG$49,ROW(I5)+1,FALSE)</f>
        <v>0</v>
      </c>
      <c r="S7" s="15" cm="1">
        <f t="array" ref="S7">+HLOOKUP($A$1,+[11]İcmal!$B$19:$AG$49,ROW(J5)+1,FALSE)</f>
        <v>0</v>
      </c>
      <c r="T7" s="15" cm="1">
        <f t="array" ref="T7">+HLOOKUP($A$1,+[12]İcmal!$B$19:$AG$49,ROW(K5)+1,FALSE)</f>
        <v>0</v>
      </c>
      <c r="U7" s="15" cm="1">
        <f t="array" ref="U7">+HLOOKUP($A$1,+[13]İcmal!$B$19:$AG$49,ROW(L5)+1,FALSE)</f>
        <v>0</v>
      </c>
      <c r="V7" s="15" cm="1">
        <f t="array" ref="V7">+HLOOKUP($A$1,+[14]İcmal!$B$19:$AG$49,ROW(M5)+1,FALSE)</f>
        <v>0</v>
      </c>
      <c r="W7" s="15" cm="1">
        <f t="array" ref="W7">+HLOOKUP($A$1,+[15]İcmal!$B$19:$AG$49,ROW(N5)+1,FALSE)</f>
        <v>0</v>
      </c>
      <c r="X7" s="15" cm="1">
        <f t="array" ref="X7">+HLOOKUP($A$1,+[16]İcmal!$B$19:$AG$49,ROW(O5)+1,FALSE)</f>
        <v>0</v>
      </c>
      <c r="Y7" s="15" cm="1">
        <f t="array" ref="Y7">+HLOOKUP($A$1,+[17]İcmal!$B$19:$AG$49,ROW(P5)+1,FALSE)</f>
        <v>0</v>
      </c>
      <c r="Z7" s="15" cm="1">
        <f t="array" ref="Z7">+HLOOKUP($A$1,+[18]İcmal!$B$19:$AG$49,ROW(Q5)+1,FALSE)</f>
        <v>0</v>
      </c>
      <c r="AA7" s="15" cm="1">
        <f t="array" ref="AA7">+HLOOKUP($A$1,+[19]İcmal!$B$19:$AG$49,ROW(R5)+1,FALSE)</f>
        <v>0</v>
      </c>
      <c r="AB7" s="15" cm="1">
        <f t="array" ref="AB7">+HLOOKUP($A$1,+[20]İcmal!$B$19:$AG$49,ROW(S5)+1,FALSE)</f>
        <v>0</v>
      </c>
      <c r="AC7" s="15" cm="1">
        <f t="array" ref="AC7">+HLOOKUP($A$1,+[21]İcmal!$B$19:$AG$49,ROW(T5)+1,FALSE)</f>
        <v>0</v>
      </c>
      <c r="AD7" s="15" cm="1">
        <f t="array" ref="AD7">+HLOOKUP($A$1,+[22]İcmal!$B$19:$AG$49,ROW(U5)+1,FALSE)</f>
        <v>0</v>
      </c>
      <c r="AE7" s="15" cm="1">
        <f t="array" ref="AE7">+HLOOKUP($A$1,+[23]İcmal!$B$19:$AG$49,ROW(V5)+1,FALSE)</f>
        <v>0</v>
      </c>
      <c r="AF7" s="15" cm="1">
        <f t="array" ref="AF7">+HLOOKUP($A$1,+[24]İcmal!$B$19:$AG$49,ROW(W5)+1,FALSE)</f>
        <v>0</v>
      </c>
      <c r="AG7" s="15" cm="1">
        <f t="array" ref="AG7">+HLOOKUP($A$1,+[25]İcmal!$B$19:$AG$49,ROW(X5)+1,FALSE)</f>
        <v>0</v>
      </c>
      <c r="AH7" s="15" cm="1">
        <f t="array" ref="AH7">+HLOOKUP($A$1,+[26]İcmal!$B$19:$AG$49,ROW(Y5)+1,FALSE)</f>
        <v>0</v>
      </c>
      <c r="AI7" s="15" cm="1">
        <f t="array" ref="AI7">+HLOOKUP($A$1,+[27]İcmal!$B$19:$AG$49,ROW(Z5)+1,FALSE)</f>
        <v>0</v>
      </c>
      <c r="AJ7" s="15" cm="1">
        <f t="array" ref="AJ7">+HLOOKUP($A$1,+[28]İcmal!$B$19:$AG$49,ROW(AA5)+1,FALSE)</f>
        <v>0</v>
      </c>
      <c r="AK7" s="15" cm="1">
        <f t="array" ref="AK7">+HLOOKUP($A$1,+[29]İcmal!$B$19:$AG$49,ROW(AB5)+1,FALSE)</f>
        <v>0</v>
      </c>
      <c r="AL7" s="15"/>
      <c r="AM7" s="15"/>
      <c r="AN7" s="15"/>
      <c r="AO7" s="15"/>
      <c r="AP7" s="15"/>
      <c r="AQ7" s="15"/>
      <c r="AR7" s="15"/>
      <c r="AS7" s="15"/>
      <c r="AT7" s="13"/>
    </row>
    <row r="8" spans="1:46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+HLOOKUP($A$1,+[2]İcmal!$B$19:$AG$49,ROW(A6)+1,FALSE)</f>
        <v>0</v>
      </c>
      <c r="K8" s="15" cm="1">
        <f t="array" ref="K8">+HLOOKUP($A$1,+[3]İcmal!$B$19:$AG$49,ROW(B6)+1,FALSE)</f>
        <v>0</v>
      </c>
      <c r="L8" s="15" cm="1">
        <f t="array" ref="L8">+HLOOKUP($A$1,+[4]İcmal!$B$19:$AG$49,ROW(C6)+1,FALSE)</f>
        <v>0</v>
      </c>
      <c r="M8" s="15" cm="1">
        <f t="array" ref="M8">+HLOOKUP($A$1,+[5]İcmal!$B$19:$AG$49,ROW(D6)+1,FALSE)</f>
        <v>0</v>
      </c>
      <c r="N8" s="15" cm="1">
        <f t="array" ref="N8">+HLOOKUP($A$1,+[6]İcmal!$B$19:$AG$49,ROW(E6)+1,FALSE)</f>
        <v>0</v>
      </c>
      <c r="O8" s="15" cm="1">
        <f t="array" ref="O8">+HLOOKUP($A$1,+[7]İcmal!$B$19:$AG$49,ROW(F6)+1,FALSE)</f>
        <v>0</v>
      </c>
      <c r="P8" s="15" cm="1">
        <f t="array" ref="P8">+HLOOKUP($A$1,+[8]İcmal!$B$19:$AG$49,ROW(G6)+1,FALSE)</f>
        <v>0</v>
      </c>
      <c r="Q8" s="15" cm="1">
        <f t="array" ref="Q8">+HLOOKUP($A$1,+[9]İcmal!$B$19:$AG$49,ROW(H6)+1,FALSE)</f>
        <v>0</v>
      </c>
      <c r="R8" s="15" cm="1">
        <f t="array" ref="R8">+HLOOKUP($A$1,+[10]İcmal!$B$19:$AG$49,ROW(I6)+1,FALSE)</f>
        <v>0</v>
      </c>
      <c r="S8" s="15" cm="1">
        <f t="array" ref="S8">+HLOOKUP($A$1,+[11]İcmal!$B$19:$AG$49,ROW(J6)+1,FALSE)</f>
        <v>0</v>
      </c>
      <c r="T8" s="15" cm="1">
        <f t="array" ref="T8">+HLOOKUP($A$1,+[12]İcmal!$B$19:$AG$49,ROW(K6)+1,FALSE)</f>
        <v>0</v>
      </c>
      <c r="U8" s="15" cm="1">
        <f t="array" ref="U8">+HLOOKUP($A$1,+[13]İcmal!$B$19:$AG$49,ROW(L6)+1,FALSE)</f>
        <v>0</v>
      </c>
      <c r="V8" s="15" cm="1">
        <f t="array" ref="V8">+HLOOKUP($A$1,+[14]İcmal!$B$19:$AG$49,ROW(M6)+1,FALSE)</f>
        <v>0</v>
      </c>
      <c r="W8" s="15" cm="1">
        <f t="array" ref="W8">+HLOOKUP($A$1,+[15]İcmal!$B$19:$AG$49,ROW(N6)+1,FALSE)</f>
        <v>0</v>
      </c>
      <c r="X8" s="15" cm="1">
        <f t="array" ref="X8">+HLOOKUP($A$1,+[16]İcmal!$B$19:$AG$49,ROW(O6)+1,FALSE)</f>
        <v>0</v>
      </c>
      <c r="Y8" s="15" cm="1">
        <f t="array" ref="Y8">+HLOOKUP($A$1,+[17]İcmal!$B$19:$AG$49,ROW(P6)+1,FALSE)</f>
        <v>0</v>
      </c>
      <c r="Z8" s="15" cm="1">
        <f t="array" ref="Z8">+HLOOKUP($A$1,+[18]İcmal!$B$19:$AG$49,ROW(Q6)+1,FALSE)</f>
        <v>0</v>
      </c>
      <c r="AA8" s="15" cm="1">
        <f t="array" ref="AA8">+HLOOKUP($A$1,+[19]İcmal!$B$19:$AG$49,ROW(R6)+1,FALSE)</f>
        <v>0</v>
      </c>
      <c r="AB8" s="15" cm="1">
        <f t="array" ref="AB8">+HLOOKUP($A$1,+[20]İcmal!$B$19:$AG$49,ROW(S6)+1,FALSE)</f>
        <v>0</v>
      </c>
      <c r="AC8" s="15" cm="1">
        <f t="array" ref="AC8">+HLOOKUP($A$1,+[21]İcmal!$B$19:$AG$49,ROW(T6)+1,FALSE)</f>
        <v>0</v>
      </c>
      <c r="AD8" s="15" cm="1">
        <f t="array" ref="AD8">+HLOOKUP($A$1,+[22]İcmal!$B$19:$AG$49,ROW(U6)+1,FALSE)</f>
        <v>0</v>
      </c>
      <c r="AE8" s="15" cm="1">
        <f t="array" ref="AE8">+HLOOKUP($A$1,+[23]İcmal!$B$19:$AG$49,ROW(V6)+1,FALSE)</f>
        <v>0</v>
      </c>
      <c r="AF8" s="15" cm="1">
        <f t="array" ref="AF8">+HLOOKUP($A$1,+[24]İcmal!$B$19:$AG$49,ROW(W6)+1,FALSE)</f>
        <v>0</v>
      </c>
      <c r="AG8" s="15" cm="1">
        <f t="array" ref="AG8">+HLOOKUP($A$1,+[25]İcmal!$B$19:$AG$49,ROW(X6)+1,FALSE)</f>
        <v>0</v>
      </c>
      <c r="AH8" s="15" cm="1">
        <f t="array" ref="AH8">+HLOOKUP($A$1,+[26]İcmal!$B$19:$AG$49,ROW(Y6)+1,FALSE)</f>
        <v>0</v>
      </c>
      <c r="AI8" s="15" cm="1">
        <f t="array" ref="AI8">+HLOOKUP($A$1,+[27]İcmal!$B$19:$AG$49,ROW(Z6)+1,FALSE)</f>
        <v>0</v>
      </c>
      <c r="AJ8" s="15" cm="1">
        <f t="array" ref="AJ8">+HLOOKUP($A$1,+[28]İcmal!$B$19:$AG$49,ROW(AA6)+1,FALSE)</f>
        <v>0</v>
      </c>
      <c r="AK8" s="15" cm="1">
        <f t="array" ref="AK8">+HLOOKUP($A$1,+[29]İcmal!$B$19:$AG$49,ROW(AB6)+1,FALSE)</f>
        <v>0</v>
      </c>
      <c r="AL8" s="15"/>
      <c r="AM8" s="15"/>
      <c r="AN8" s="15"/>
      <c r="AO8" s="15"/>
      <c r="AP8" s="15"/>
      <c r="AQ8" s="15"/>
      <c r="AR8" s="15"/>
      <c r="AS8" s="15"/>
      <c r="AT8" s="13"/>
    </row>
    <row r="9" spans="1:46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+HLOOKUP($A$1,+[2]İcmal!$B$19:$AG$49,ROW(A7)+1,FALSE)</f>
        <v>0</v>
      </c>
      <c r="K9" s="15" cm="1">
        <f t="array" ref="K9">+HLOOKUP($A$1,+[3]İcmal!$B$19:$AG$49,ROW(B7)+1,FALSE)</f>
        <v>0</v>
      </c>
      <c r="L9" s="15" cm="1">
        <f t="array" ref="L9">+HLOOKUP($A$1,+[4]İcmal!$B$19:$AG$49,ROW(C7)+1,FALSE)</f>
        <v>0</v>
      </c>
      <c r="M9" s="15" cm="1">
        <f t="array" ref="M9">+HLOOKUP($A$1,+[5]İcmal!$B$19:$AG$49,ROW(D7)+1,FALSE)</f>
        <v>0</v>
      </c>
      <c r="N9" s="15" cm="1">
        <f t="array" ref="N9">+HLOOKUP($A$1,+[6]İcmal!$B$19:$AG$49,ROW(E7)+1,FALSE)</f>
        <v>0</v>
      </c>
      <c r="O9" s="15" cm="1">
        <f t="array" ref="O9">+HLOOKUP($A$1,+[7]İcmal!$B$19:$AG$49,ROW(F7)+1,FALSE)</f>
        <v>0</v>
      </c>
      <c r="P9" s="15" cm="1">
        <f t="array" ref="P9">+HLOOKUP($A$1,+[8]İcmal!$B$19:$AG$49,ROW(G7)+1,FALSE)</f>
        <v>0</v>
      </c>
      <c r="Q9" s="15" cm="1">
        <f t="array" ref="Q9">+HLOOKUP($A$1,+[9]İcmal!$B$19:$AG$49,ROW(H7)+1,FALSE)</f>
        <v>0</v>
      </c>
      <c r="R9" s="15" cm="1">
        <f t="array" ref="R9">+HLOOKUP($A$1,+[10]İcmal!$B$19:$AG$49,ROW(I7)+1,FALSE)</f>
        <v>0</v>
      </c>
      <c r="S9" s="15" cm="1">
        <f t="array" ref="S9">+HLOOKUP($A$1,+[11]İcmal!$B$19:$AG$49,ROW(J7)+1,FALSE)</f>
        <v>0</v>
      </c>
      <c r="T9" s="15" cm="1">
        <f t="array" ref="T9">+HLOOKUP($A$1,+[12]İcmal!$B$19:$AG$49,ROW(K7)+1,FALSE)</f>
        <v>0</v>
      </c>
      <c r="U9" s="15" cm="1">
        <f t="array" ref="U9">+HLOOKUP($A$1,+[13]İcmal!$B$19:$AG$49,ROW(L7)+1,FALSE)</f>
        <v>0</v>
      </c>
      <c r="V9" s="15" cm="1">
        <f t="array" ref="V9">+HLOOKUP($A$1,+[14]İcmal!$B$19:$AG$49,ROW(M7)+1,FALSE)</f>
        <v>0</v>
      </c>
      <c r="W9" s="15" cm="1">
        <f t="array" ref="W9">+HLOOKUP($A$1,+[15]İcmal!$B$19:$AG$49,ROW(N7)+1,FALSE)</f>
        <v>0</v>
      </c>
      <c r="X9" s="15" cm="1">
        <f t="array" ref="X9">+HLOOKUP($A$1,+[16]İcmal!$B$19:$AG$49,ROW(O7)+1,FALSE)</f>
        <v>0</v>
      </c>
      <c r="Y9" s="15" cm="1">
        <f t="array" ref="Y9">+HLOOKUP($A$1,+[17]İcmal!$B$19:$AG$49,ROW(P7)+1,FALSE)</f>
        <v>0</v>
      </c>
      <c r="Z9" s="15" cm="1">
        <f t="array" ref="Z9">+HLOOKUP($A$1,+[18]İcmal!$B$19:$AG$49,ROW(Q7)+1,FALSE)</f>
        <v>0</v>
      </c>
      <c r="AA9" s="15" cm="1">
        <f t="array" ref="AA9">+HLOOKUP($A$1,+[19]İcmal!$B$19:$AG$49,ROW(R7)+1,FALSE)</f>
        <v>0</v>
      </c>
      <c r="AB9" s="15" cm="1">
        <f t="array" ref="AB9">+HLOOKUP($A$1,+[20]İcmal!$B$19:$AG$49,ROW(S7)+1,FALSE)</f>
        <v>0</v>
      </c>
      <c r="AC9" s="15" cm="1">
        <f t="array" ref="AC9">+HLOOKUP($A$1,+[21]İcmal!$B$19:$AG$49,ROW(T7)+1,FALSE)</f>
        <v>0</v>
      </c>
      <c r="AD9" s="15" cm="1">
        <f t="array" ref="AD9">+HLOOKUP($A$1,+[22]İcmal!$B$19:$AG$49,ROW(U7)+1,FALSE)</f>
        <v>0</v>
      </c>
      <c r="AE9" s="15" cm="1">
        <f t="array" ref="AE9">+HLOOKUP($A$1,+[23]İcmal!$B$19:$AG$49,ROW(V7)+1,FALSE)</f>
        <v>0</v>
      </c>
      <c r="AF9" s="15" cm="1">
        <f t="array" ref="AF9">+HLOOKUP($A$1,+[24]İcmal!$B$19:$AG$49,ROW(W7)+1,FALSE)</f>
        <v>0</v>
      </c>
      <c r="AG9" s="15" cm="1">
        <f t="array" ref="AG9">+HLOOKUP($A$1,+[25]İcmal!$B$19:$AG$49,ROW(X7)+1,FALSE)</f>
        <v>0</v>
      </c>
      <c r="AH9" s="15" cm="1">
        <f t="array" ref="AH9">+HLOOKUP($A$1,+[26]İcmal!$B$19:$AG$49,ROW(Y7)+1,FALSE)</f>
        <v>0</v>
      </c>
      <c r="AI9" s="15" cm="1">
        <f t="array" ref="AI9">+HLOOKUP($A$1,+[27]İcmal!$B$19:$AG$49,ROW(Z7)+1,FALSE)</f>
        <v>0</v>
      </c>
      <c r="AJ9" s="15" cm="1">
        <f t="array" ref="AJ9">+HLOOKUP($A$1,+[28]İcmal!$B$19:$AG$49,ROW(AA7)+1,FALSE)</f>
        <v>0</v>
      </c>
      <c r="AK9" s="15" cm="1">
        <f t="array" ref="AK9">+HLOOKUP($A$1,+[29]İcmal!$B$19:$AG$49,ROW(AB7)+1,FALSE)</f>
        <v>0</v>
      </c>
      <c r="AL9" s="15"/>
      <c r="AM9" s="15"/>
      <c r="AN9" s="15"/>
      <c r="AO9" s="15"/>
      <c r="AP9" s="15"/>
      <c r="AQ9" s="15"/>
      <c r="AR9" s="15"/>
      <c r="AS9" s="15"/>
      <c r="AT9" s="13"/>
    </row>
    <row r="10" spans="1:46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0</v>
      </c>
      <c r="I10" s="9">
        <f t="shared" si="2"/>
        <v>0</v>
      </c>
      <c r="J10" s="15" cm="1">
        <f t="array" ref="J10">+HLOOKUP($A$1,+[2]İcmal!$B$19:$AG$49,ROW(A8)+1,FALSE)</f>
        <v>0</v>
      </c>
      <c r="K10" s="15" cm="1">
        <f t="array" ref="K10">+HLOOKUP($A$1,+[3]İcmal!$B$19:$AG$49,ROW(B8)+1,FALSE)</f>
        <v>0</v>
      </c>
      <c r="L10" s="15" cm="1">
        <f t="array" ref="L10">+HLOOKUP($A$1,+[4]İcmal!$B$19:$AG$49,ROW(C8)+1,FALSE)</f>
        <v>0</v>
      </c>
      <c r="M10" s="15" cm="1">
        <f t="array" ref="M10">+HLOOKUP($A$1,+[5]İcmal!$B$19:$AG$49,ROW(D8)+1,FALSE)</f>
        <v>0</v>
      </c>
      <c r="N10" s="15" cm="1">
        <f t="array" ref="N10">+HLOOKUP($A$1,+[6]İcmal!$B$19:$AG$49,ROW(E8)+1,FALSE)</f>
        <v>0</v>
      </c>
      <c r="O10" s="15" cm="1">
        <f t="array" ref="O10">+HLOOKUP($A$1,+[7]İcmal!$B$19:$AG$49,ROW(F8)+1,FALSE)</f>
        <v>0</v>
      </c>
      <c r="P10" s="15" cm="1">
        <f t="array" ref="P10">+HLOOKUP($A$1,+[8]İcmal!$B$19:$AG$49,ROW(G8)+1,FALSE)</f>
        <v>0</v>
      </c>
      <c r="Q10" s="15" cm="1">
        <f t="array" ref="Q10">+HLOOKUP($A$1,+[9]İcmal!$B$19:$AG$49,ROW(H8)+1,FALSE)</f>
        <v>0</v>
      </c>
      <c r="R10" s="15" cm="1">
        <f t="array" ref="R10">+HLOOKUP($A$1,+[10]İcmal!$B$19:$AG$49,ROW(I8)+1,FALSE)</f>
        <v>0</v>
      </c>
      <c r="S10" s="15" cm="1">
        <f t="array" ref="S10">+HLOOKUP($A$1,+[11]İcmal!$B$19:$AG$49,ROW(J8)+1,FALSE)</f>
        <v>0</v>
      </c>
      <c r="T10" s="15" cm="1">
        <f t="array" ref="T10">+HLOOKUP($A$1,+[12]İcmal!$B$19:$AG$49,ROW(K8)+1,FALSE)</f>
        <v>0</v>
      </c>
      <c r="U10" s="15" cm="1">
        <f t="array" ref="U10">+HLOOKUP($A$1,+[13]İcmal!$B$19:$AG$49,ROW(L8)+1,FALSE)</f>
        <v>0</v>
      </c>
      <c r="V10" s="15" cm="1">
        <f t="array" ref="V10">+HLOOKUP($A$1,+[14]İcmal!$B$19:$AG$49,ROW(M8)+1,FALSE)</f>
        <v>0</v>
      </c>
      <c r="W10" s="15" cm="1">
        <f t="array" ref="W10">+HLOOKUP($A$1,+[15]İcmal!$B$19:$AG$49,ROW(N8)+1,FALSE)</f>
        <v>0</v>
      </c>
      <c r="X10" s="15" cm="1">
        <f t="array" ref="X10">+HLOOKUP($A$1,+[16]İcmal!$B$19:$AG$49,ROW(O8)+1,FALSE)</f>
        <v>0</v>
      </c>
      <c r="Y10" s="15" cm="1">
        <f t="array" ref="Y10">+HLOOKUP($A$1,+[17]İcmal!$B$19:$AG$49,ROW(P8)+1,FALSE)</f>
        <v>0</v>
      </c>
      <c r="Z10" s="15" cm="1">
        <f t="array" ref="Z10">+HLOOKUP($A$1,+[18]İcmal!$B$19:$AG$49,ROW(Q8)+1,FALSE)</f>
        <v>0</v>
      </c>
      <c r="AA10" s="15" cm="1">
        <f t="array" ref="AA10">+HLOOKUP($A$1,+[19]İcmal!$B$19:$AG$49,ROW(R8)+1,FALSE)</f>
        <v>0</v>
      </c>
      <c r="AB10" s="15" cm="1">
        <f t="array" ref="AB10">+HLOOKUP($A$1,+[20]İcmal!$B$19:$AG$49,ROW(S8)+1,FALSE)</f>
        <v>0</v>
      </c>
      <c r="AC10" s="15" cm="1">
        <f t="array" ref="AC10">+HLOOKUP($A$1,+[21]İcmal!$B$19:$AG$49,ROW(T8)+1,FALSE)</f>
        <v>0</v>
      </c>
      <c r="AD10" s="15" cm="1">
        <f t="array" ref="AD10">+HLOOKUP($A$1,+[22]İcmal!$B$19:$AG$49,ROW(U8)+1,FALSE)</f>
        <v>0</v>
      </c>
      <c r="AE10" s="15" cm="1">
        <f t="array" ref="AE10">+HLOOKUP($A$1,+[23]İcmal!$B$19:$AG$49,ROW(V8)+1,FALSE)</f>
        <v>0</v>
      </c>
      <c r="AF10" s="15" cm="1">
        <f t="array" ref="AF10">+HLOOKUP($A$1,+[24]İcmal!$B$19:$AG$49,ROW(W8)+1,FALSE)</f>
        <v>0</v>
      </c>
      <c r="AG10" s="15" cm="1">
        <f t="array" ref="AG10">+HLOOKUP($A$1,+[25]İcmal!$B$19:$AG$49,ROW(X8)+1,FALSE)</f>
        <v>0</v>
      </c>
      <c r="AH10" s="15" cm="1">
        <f t="array" ref="AH10">+HLOOKUP($A$1,+[26]İcmal!$B$19:$AG$49,ROW(Y8)+1,FALSE)</f>
        <v>0</v>
      </c>
      <c r="AI10" s="15" cm="1">
        <f t="array" ref="AI10">+HLOOKUP($A$1,+[27]İcmal!$B$19:$AG$49,ROW(Z8)+1,FALSE)</f>
        <v>0</v>
      </c>
      <c r="AJ10" s="15" cm="1">
        <f t="array" ref="AJ10">+HLOOKUP($A$1,+[28]İcmal!$B$19:$AG$49,ROW(AA8)+1,FALSE)</f>
        <v>0</v>
      </c>
      <c r="AK10" s="15" cm="1">
        <f t="array" ref="AK10">+HLOOKUP($A$1,+[29]İcmal!$B$19:$AG$49,ROW(AB8)+1,FALSE)</f>
        <v>0</v>
      </c>
      <c r="AL10" s="15"/>
      <c r="AM10" s="15"/>
      <c r="AN10" s="15"/>
      <c r="AO10" s="15"/>
      <c r="AP10" s="15"/>
      <c r="AQ10" s="15"/>
      <c r="AR10" s="15"/>
      <c r="AS10" s="15"/>
      <c r="AT10" s="13"/>
    </row>
    <row r="11" spans="1:46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+HLOOKUP($A$1,+[2]İcmal!$B$19:$AG$49,ROW(A9)+1,FALSE)</f>
        <v>0</v>
      </c>
      <c r="K11" s="15" cm="1">
        <f t="array" ref="K11">+HLOOKUP($A$1,+[3]İcmal!$B$19:$AG$49,ROW(B9)+1,FALSE)</f>
        <v>0</v>
      </c>
      <c r="L11" s="15" cm="1">
        <f t="array" ref="L11">+HLOOKUP($A$1,+[4]İcmal!$B$19:$AG$49,ROW(C9)+1,FALSE)</f>
        <v>0</v>
      </c>
      <c r="M11" s="15" cm="1">
        <f t="array" ref="M11">+HLOOKUP($A$1,+[5]İcmal!$B$19:$AG$49,ROW(D9)+1,FALSE)</f>
        <v>0</v>
      </c>
      <c r="N11" s="15" cm="1">
        <f t="array" ref="N11">+HLOOKUP($A$1,+[6]İcmal!$B$19:$AG$49,ROW(E9)+1,FALSE)</f>
        <v>0</v>
      </c>
      <c r="O11" s="15" cm="1">
        <f t="array" ref="O11">+HLOOKUP($A$1,+[7]İcmal!$B$19:$AG$49,ROW(F9)+1,FALSE)</f>
        <v>0</v>
      </c>
      <c r="P11" s="15" cm="1">
        <f t="array" ref="P11">+HLOOKUP($A$1,+[8]İcmal!$B$19:$AG$49,ROW(G9)+1,FALSE)</f>
        <v>0</v>
      </c>
      <c r="Q11" s="15" cm="1">
        <f t="array" ref="Q11">+HLOOKUP($A$1,+[9]İcmal!$B$19:$AG$49,ROW(H9)+1,FALSE)</f>
        <v>0</v>
      </c>
      <c r="R11" s="15" cm="1">
        <f t="array" ref="R11">+HLOOKUP($A$1,+[10]İcmal!$B$19:$AG$49,ROW(I9)+1,FALSE)</f>
        <v>0</v>
      </c>
      <c r="S11" s="15" cm="1">
        <f t="array" ref="S11">+HLOOKUP($A$1,+[11]İcmal!$B$19:$AG$49,ROW(J9)+1,FALSE)</f>
        <v>0</v>
      </c>
      <c r="T11" s="15" cm="1">
        <f t="array" ref="T11">+HLOOKUP($A$1,+[12]İcmal!$B$19:$AG$49,ROW(K9)+1,FALSE)</f>
        <v>0</v>
      </c>
      <c r="U11" s="15" cm="1">
        <f t="array" ref="U11">+HLOOKUP($A$1,+[13]İcmal!$B$19:$AG$49,ROW(L9)+1,FALSE)</f>
        <v>0</v>
      </c>
      <c r="V11" s="15" cm="1">
        <f t="array" ref="V11">+HLOOKUP($A$1,+[14]İcmal!$B$19:$AG$49,ROW(M9)+1,FALSE)</f>
        <v>0</v>
      </c>
      <c r="W11" s="15" cm="1">
        <f t="array" ref="W11">+HLOOKUP($A$1,+[15]İcmal!$B$19:$AG$49,ROW(N9)+1,FALSE)</f>
        <v>0</v>
      </c>
      <c r="X11" s="15" cm="1">
        <f t="array" ref="X11">+HLOOKUP($A$1,+[16]İcmal!$B$19:$AG$49,ROW(O9)+1,FALSE)</f>
        <v>0</v>
      </c>
      <c r="Y11" s="15" cm="1">
        <f t="array" ref="Y11">+HLOOKUP($A$1,+[17]İcmal!$B$19:$AG$49,ROW(P9)+1,FALSE)</f>
        <v>0</v>
      </c>
      <c r="Z11" s="15" cm="1">
        <f t="array" ref="Z11">+HLOOKUP($A$1,+[18]İcmal!$B$19:$AG$49,ROW(Q9)+1,FALSE)</f>
        <v>0</v>
      </c>
      <c r="AA11" s="15" cm="1">
        <f t="array" ref="AA11">+HLOOKUP($A$1,+[19]İcmal!$B$19:$AG$49,ROW(R9)+1,FALSE)</f>
        <v>0</v>
      </c>
      <c r="AB11" s="15" cm="1">
        <f t="array" ref="AB11">+HLOOKUP($A$1,+[20]İcmal!$B$19:$AG$49,ROW(S9)+1,FALSE)</f>
        <v>0</v>
      </c>
      <c r="AC11" s="15" cm="1">
        <f t="array" ref="AC11">+HLOOKUP($A$1,+[21]İcmal!$B$19:$AG$49,ROW(T9)+1,FALSE)</f>
        <v>0</v>
      </c>
      <c r="AD11" s="15" cm="1">
        <f t="array" ref="AD11">+HLOOKUP($A$1,+[22]İcmal!$B$19:$AG$49,ROW(U9)+1,FALSE)</f>
        <v>0</v>
      </c>
      <c r="AE11" s="15" cm="1">
        <f t="array" ref="AE11">+HLOOKUP($A$1,+[23]İcmal!$B$19:$AG$49,ROW(V9)+1,FALSE)</f>
        <v>0</v>
      </c>
      <c r="AF11" s="15" cm="1">
        <f t="array" ref="AF11">+HLOOKUP($A$1,+[24]İcmal!$B$19:$AG$49,ROW(W9)+1,FALSE)</f>
        <v>0</v>
      </c>
      <c r="AG11" s="15" cm="1">
        <f t="array" ref="AG11">+HLOOKUP($A$1,+[25]İcmal!$B$19:$AG$49,ROW(X9)+1,FALSE)</f>
        <v>0</v>
      </c>
      <c r="AH11" s="15" cm="1">
        <f t="array" ref="AH11">+HLOOKUP($A$1,+[26]İcmal!$B$19:$AG$49,ROW(Y9)+1,FALSE)</f>
        <v>0</v>
      </c>
      <c r="AI11" s="15" cm="1">
        <f t="array" ref="AI11">+HLOOKUP($A$1,+[27]İcmal!$B$19:$AG$49,ROW(Z9)+1,FALSE)</f>
        <v>0</v>
      </c>
      <c r="AJ11" s="15" cm="1">
        <f t="array" ref="AJ11">+HLOOKUP($A$1,+[28]İcmal!$B$19:$AG$49,ROW(AA9)+1,FALSE)</f>
        <v>0</v>
      </c>
      <c r="AK11" s="15" cm="1">
        <f t="array" ref="AK11">+HLOOKUP($A$1,+[29]İcmal!$B$19:$AG$49,ROW(AB9)+1,FALSE)</f>
        <v>0</v>
      </c>
      <c r="AL11" s="15"/>
      <c r="AM11" s="15"/>
      <c r="AN11" s="15"/>
      <c r="AO11" s="15"/>
      <c r="AP11" s="15"/>
      <c r="AQ11" s="15"/>
      <c r="AR11" s="15"/>
      <c r="AS11" s="15"/>
      <c r="AT11" s="13"/>
    </row>
    <row r="12" spans="1:46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+HLOOKUP($A$1,+[2]İcmal!$B$19:$AG$49,ROW(A10)+1,FALSE)</f>
        <v>0</v>
      </c>
      <c r="K12" s="15" cm="1">
        <f t="array" ref="K12">+HLOOKUP($A$1,+[3]İcmal!$B$19:$AG$49,ROW(B10)+1,FALSE)</f>
        <v>0</v>
      </c>
      <c r="L12" s="15" cm="1">
        <f t="array" ref="L12">+HLOOKUP($A$1,+[4]İcmal!$B$19:$AG$49,ROW(C10)+1,FALSE)</f>
        <v>0</v>
      </c>
      <c r="M12" s="15" cm="1">
        <f t="array" ref="M12">+HLOOKUP($A$1,+[5]İcmal!$B$19:$AG$49,ROW(D10)+1,FALSE)</f>
        <v>0</v>
      </c>
      <c r="N12" s="15" cm="1">
        <f t="array" ref="N12">+HLOOKUP($A$1,+[6]İcmal!$B$19:$AG$49,ROW(E10)+1,FALSE)</f>
        <v>0</v>
      </c>
      <c r="O12" s="15" cm="1">
        <f t="array" ref="O12">+HLOOKUP($A$1,+[7]İcmal!$B$19:$AG$49,ROW(F10)+1,FALSE)</f>
        <v>0</v>
      </c>
      <c r="P12" s="15" cm="1">
        <f t="array" ref="P12">+HLOOKUP($A$1,+[8]İcmal!$B$19:$AG$49,ROW(G10)+1,FALSE)</f>
        <v>0</v>
      </c>
      <c r="Q12" s="15" cm="1">
        <f t="array" ref="Q12">+HLOOKUP($A$1,+[9]İcmal!$B$19:$AG$49,ROW(H10)+1,FALSE)</f>
        <v>0</v>
      </c>
      <c r="R12" s="15" cm="1">
        <f t="array" ref="R12">+HLOOKUP($A$1,+[10]İcmal!$B$19:$AG$49,ROW(I10)+1,FALSE)</f>
        <v>0</v>
      </c>
      <c r="S12" s="15" cm="1">
        <f t="array" ref="S12">+HLOOKUP($A$1,+[11]İcmal!$B$19:$AG$49,ROW(J10)+1,FALSE)</f>
        <v>0</v>
      </c>
      <c r="T12" s="15" cm="1">
        <f t="array" ref="T12">+HLOOKUP($A$1,+[12]İcmal!$B$19:$AG$49,ROW(K10)+1,FALSE)</f>
        <v>0</v>
      </c>
      <c r="U12" s="15" cm="1">
        <f t="array" ref="U12">+HLOOKUP($A$1,+[13]İcmal!$B$19:$AG$49,ROW(L10)+1,FALSE)</f>
        <v>0</v>
      </c>
      <c r="V12" s="15" cm="1">
        <f t="array" ref="V12">+HLOOKUP($A$1,+[14]İcmal!$B$19:$AG$49,ROW(M10)+1,FALSE)</f>
        <v>0</v>
      </c>
      <c r="W12" s="15" cm="1">
        <f t="array" ref="W12">+HLOOKUP($A$1,+[15]İcmal!$B$19:$AG$49,ROW(N10)+1,FALSE)</f>
        <v>0</v>
      </c>
      <c r="X12" s="15" cm="1">
        <f t="array" ref="X12">+HLOOKUP($A$1,+[16]İcmal!$B$19:$AG$49,ROW(O10)+1,FALSE)</f>
        <v>0</v>
      </c>
      <c r="Y12" s="15" cm="1">
        <f t="array" ref="Y12">+HLOOKUP($A$1,+[17]İcmal!$B$19:$AG$49,ROW(P10)+1,FALSE)</f>
        <v>0</v>
      </c>
      <c r="Z12" s="15" cm="1">
        <f t="array" ref="Z12">+HLOOKUP($A$1,+[18]İcmal!$B$19:$AG$49,ROW(Q10)+1,FALSE)</f>
        <v>0</v>
      </c>
      <c r="AA12" s="15" cm="1">
        <f t="array" ref="AA12">+HLOOKUP($A$1,+[19]İcmal!$B$19:$AG$49,ROW(R10)+1,FALSE)</f>
        <v>0</v>
      </c>
      <c r="AB12" s="15" cm="1">
        <f t="array" ref="AB12">+HLOOKUP($A$1,+[20]İcmal!$B$19:$AG$49,ROW(S10)+1,FALSE)</f>
        <v>0</v>
      </c>
      <c r="AC12" s="15" cm="1">
        <f t="array" ref="AC12">+HLOOKUP($A$1,+[21]İcmal!$B$19:$AG$49,ROW(T10)+1,FALSE)</f>
        <v>0</v>
      </c>
      <c r="AD12" s="15" cm="1">
        <f t="array" ref="AD12">+HLOOKUP($A$1,+[22]İcmal!$B$19:$AG$49,ROW(U10)+1,FALSE)</f>
        <v>0</v>
      </c>
      <c r="AE12" s="15" cm="1">
        <f t="array" ref="AE12">+HLOOKUP($A$1,+[23]İcmal!$B$19:$AG$49,ROW(V10)+1,FALSE)</f>
        <v>0</v>
      </c>
      <c r="AF12" s="15" cm="1">
        <f t="array" ref="AF12">+HLOOKUP($A$1,+[24]İcmal!$B$19:$AG$49,ROW(W10)+1,FALSE)</f>
        <v>0</v>
      </c>
      <c r="AG12" s="15" cm="1">
        <f t="array" ref="AG12">+HLOOKUP($A$1,+[25]İcmal!$B$19:$AG$49,ROW(X10)+1,FALSE)</f>
        <v>0</v>
      </c>
      <c r="AH12" s="15" cm="1">
        <f t="array" ref="AH12">+HLOOKUP($A$1,+[26]İcmal!$B$19:$AG$49,ROW(Y10)+1,FALSE)</f>
        <v>0</v>
      </c>
      <c r="AI12" s="15" cm="1">
        <f t="array" ref="AI12">+HLOOKUP($A$1,+[27]İcmal!$B$19:$AG$49,ROW(Z10)+1,FALSE)</f>
        <v>0</v>
      </c>
      <c r="AJ12" s="15" cm="1">
        <f t="array" ref="AJ12">+HLOOKUP($A$1,+[28]İcmal!$B$19:$AG$49,ROW(AA10)+1,FALSE)</f>
        <v>0</v>
      </c>
      <c r="AK12" s="15" cm="1">
        <f t="array" ref="AK12">+HLOOKUP($A$1,+[29]İcmal!$B$19:$AG$49,ROW(AB10)+1,FALSE)</f>
        <v>0</v>
      </c>
      <c r="AL12" s="15"/>
      <c r="AM12" s="15"/>
      <c r="AN12" s="15"/>
      <c r="AO12" s="15"/>
      <c r="AP12" s="15"/>
      <c r="AQ12" s="15"/>
      <c r="AR12" s="15"/>
      <c r="AS12" s="15"/>
      <c r="AT12" s="13"/>
    </row>
    <row r="13" spans="1:46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0</v>
      </c>
      <c r="I13" s="9">
        <f t="shared" si="2"/>
        <v>0</v>
      </c>
      <c r="J13" s="15" cm="1">
        <f t="array" ref="J13">+HLOOKUP($A$1,+[2]İcmal!$B$19:$AG$49,ROW(A11)+1,FALSE)</f>
        <v>0</v>
      </c>
      <c r="K13" s="15" cm="1">
        <f t="array" ref="K13">+HLOOKUP($A$1,+[3]İcmal!$B$19:$AG$49,ROW(B11)+1,FALSE)</f>
        <v>0</v>
      </c>
      <c r="L13" s="15" cm="1">
        <f t="array" ref="L13">+HLOOKUP($A$1,+[4]İcmal!$B$19:$AG$49,ROW(C11)+1,FALSE)</f>
        <v>0</v>
      </c>
      <c r="M13" s="15" cm="1">
        <f t="array" ref="M13">+HLOOKUP($A$1,+[5]İcmal!$B$19:$AG$49,ROW(D11)+1,FALSE)</f>
        <v>0</v>
      </c>
      <c r="N13" s="15" cm="1">
        <f t="array" ref="N13">+HLOOKUP($A$1,+[6]İcmal!$B$19:$AG$49,ROW(E11)+1,FALSE)</f>
        <v>0</v>
      </c>
      <c r="O13" s="15" cm="1">
        <f t="array" ref="O13">+HLOOKUP($A$1,+[7]İcmal!$B$19:$AG$49,ROW(F11)+1,FALSE)</f>
        <v>0</v>
      </c>
      <c r="P13" s="15" cm="1">
        <f t="array" ref="P13">+HLOOKUP($A$1,+[8]İcmal!$B$19:$AG$49,ROW(G11)+1,FALSE)</f>
        <v>0</v>
      </c>
      <c r="Q13" s="15" cm="1">
        <f t="array" ref="Q13">+HLOOKUP($A$1,+[9]İcmal!$B$19:$AG$49,ROW(H11)+1,FALSE)</f>
        <v>0</v>
      </c>
      <c r="R13" s="15" cm="1">
        <f t="array" ref="R13">+HLOOKUP($A$1,+[10]İcmal!$B$19:$AG$49,ROW(I11)+1,FALSE)</f>
        <v>0</v>
      </c>
      <c r="S13" s="15" cm="1">
        <f t="array" ref="S13">+HLOOKUP($A$1,+[11]İcmal!$B$19:$AG$49,ROW(J11)+1,FALSE)</f>
        <v>0</v>
      </c>
      <c r="T13" s="15" cm="1">
        <f t="array" ref="T13">+HLOOKUP($A$1,+[12]İcmal!$B$19:$AG$49,ROW(K11)+1,FALSE)</f>
        <v>0</v>
      </c>
      <c r="U13" s="15" cm="1">
        <f t="array" ref="U13">+HLOOKUP($A$1,+[13]İcmal!$B$19:$AG$49,ROW(L11)+1,FALSE)</f>
        <v>0</v>
      </c>
      <c r="V13" s="15" cm="1">
        <f t="array" ref="V13">+HLOOKUP($A$1,+[14]İcmal!$B$19:$AG$49,ROW(M11)+1,FALSE)</f>
        <v>0</v>
      </c>
      <c r="W13" s="15" cm="1">
        <f t="array" ref="W13">+HLOOKUP($A$1,+[15]İcmal!$B$19:$AG$49,ROW(N11)+1,FALSE)</f>
        <v>0</v>
      </c>
      <c r="X13" s="15" cm="1">
        <f t="array" ref="X13">+HLOOKUP($A$1,+[16]İcmal!$B$19:$AG$49,ROW(O11)+1,FALSE)</f>
        <v>0</v>
      </c>
      <c r="Y13" s="15" cm="1">
        <f t="array" ref="Y13">+HLOOKUP($A$1,+[17]İcmal!$B$19:$AG$49,ROW(P11)+1,FALSE)</f>
        <v>0</v>
      </c>
      <c r="Z13" s="15" cm="1">
        <f t="array" ref="Z13">+HLOOKUP($A$1,+[18]İcmal!$B$19:$AG$49,ROW(Q11)+1,FALSE)</f>
        <v>0</v>
      </c>
      <c r="AA13" s="15" cm="1">
        <f t="array" ref="AA13">+HLOOKUP($A$1,+[19]İcmal!$B$19:$AG$49,ROW(R11)+1,FALSE)</f>
        <v>0</v>
      </c>
      <c r="AB13" s="15" cm="1">
        <f t="array" ref="AB13">+HLOOKUP($A$1,+[20]İcmal!$B$19:$AG$49,ROW(S11)+1,FALSE)</f>
        <v>0</v>
      </c>
      <c r="AC13" s="15" cm="1">
        <f t="array" ref="AC13">+HLOOKUP($A$1,+[21]İcmal!$B$19:$AG$49,ROW(T11)+1,FALSE)</f>
        <v>0</v>
      </c>
      <c r="AD13" s="15" cm="1">
        <f t="array" ref="AD13">+HLOOKUP($A$1,+[22]İcmal!$B$19:$AG$49,ROW(U11)+1,FALSE)</f>
        <v>0</v>
      </c>
      <c r="AE13" s="15" cm="1">
        <f t="array" ref="AE13">+HLOOKUP($A$1,+[23]İcmal!$B$19:$AG$49,ROW(V11)+1,FALSE)</f>
        <v>0</v>
      </c>
      <c r="AF13" s="15" cm="1">
        <f t="array" ref="AF13">+HLOOKUP($A$1,+[24]İcmal!$B$19:$AG$49,ROW(W11)+1,FALSE)</f>
        <v>0</v>
      </c>
      <c r="AG13" s="15" cm="1">
        <f t="array" ref="AG13">+HLOOKUP($A$1,+[25]İcmal!$B$19:$AG$49,ROW(X11)+1,FALSE)</f>
        <v>0</v>
      </c>
      <c r="AH13" s="15" cm="1">
        <f t="array" ref="AH13">+HLOOKUP($A$1,+[26]İcmal!$B$19:$AG$49,ROW(Y11)+1,FALSE)</f>
        <v>0</v>
      </c>
      <c r="AI13" s="15" cm="1">
        <f t="array" ref="AI13">+HLOOKUP($A$1,+[27]İcmal!$B$19:$AG$49,ROW(Z11)+1,FALSE)</f>
        <v>0</v>
      </c>
      <c r="AJ13" s="15" cm="1">
        <f t="array" ref="AJ13">+HLOOKUP($A$1,+[28]İcmal!$B$19:$AG$49,ROW(AA11)+1,FALSE)</f>
        <v>0</v>
      </c>
      <c r="AK13" s="15" cm="1">
        <f t="array" ref="AK13">+HLOOKUP($A$1,+[29]İcmal!$B$19:$AG$49,ROW(AB11)+1,FALSE)</f>
        <v>0</v>
      </c>
      <c r="AL13" s="15"/>
      <c r="AM13" s="15"/>
      <c r="AN13" s="15"/>
      <c r="AO13" s="15"/>
      <c r="AP13" s="15"/>
      <c r="AQ13" s="15"/>
      <c r="AR13" s="15"/>
      <c r="AS13" s="15"/>
      <c r="AT13" s="13"/>
    </row>
    <row r="14" spans="1:46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0</v>
      </c>
      <c r="I14" s="9">
        <f t="shared" si="2"/>
        <v>0</v>
      </c>
      <c r="J14" s="15" cm="1">
        <f t="array" ref="J14">+HLOOKUP($A$1,+[2]İcmal!$B$19:$AG$49,ROW(A12)+1,FALSE)</f>
        <v>0</v>
      </c>
      <c r="K14" s="15" cm="1">
        <f t="array" ref="K14">+HLOOKUP($A$1,+[3]İcmal!$B$19:$AG$49,ROW(B12)+1,FALSE)</f>
        <v>0</v>
      </c>
      <c r="L14" s="15" cm="1">
        <f t="array" ref="L14">+HLOOKUP($A$1,+[4]İcmal!$B$19:$AG$49,ROW(C12)+1,FALSE)</f>
        <v>0</v>
      </c>
      <c r="M14" s="15" cm="1">
        <f t="array" ref="M14">+HLOOKUP($A$1,+[5]İcmal!$B$19:$AG$49,ROW(D12)+1,FALSE)</f>
        <v>0</v>
      </c>
      <c r="N14" s="15" cm="1">
        <f t="array" ref="N14">+HLOOKUP($A$1,+[6]İcmal!$B$19:$AG$49,ROW(E12)+1,FALSE)</f>
        <v>0</v>
      </c>
      <c r="O14" s="15" cm="1">
        <f t="array" ref="O14">+HLOOKUP($A$1,+[7]İcmal!$B$19:$AG$49,ROW(F12)+1,FALSE)</f>
        <v>0</v>
      </c>
      <c r="P14" s="15" cm="1">
        <f t="array" ref="P14">+HLOOKUP($A$1,+[8]İcmal!$B$19:$AG$49,ROW(G12)+1,FALSE)</f>
        <v>0</v>
      </c>
      <c r="Q14" s="15" cm="1">
        <f t="array" ref="Q14">+HLOOKUP($A$1,+[9]İcmal!$B$19:$AG$49,ROW(H12)+1,FALSE)</f>
        <v>0</v>
      </c>
      <c r="R14" s="15" cm="1">
        <f t="array" ref="R14">+HLOOKUP($A$1,+[10]İcmal!$B$19:$AG$49,ROW(I12)+1,FALSE)</f>
        <v>0</v>
      </c>
      <c r="S14" s="15" cm="1">
        <f t="array" ref="S14">+HLOOKUP($A$1,+[11]İcmal!$B$19:$AG$49,ROW(J12)+1,FALSE)</f>
        <v>0</v>
      </c>
      <c r="T14" s="15" cm="1">
        <f t="array" ref="T14">+HLOOKUP($A$1,+[12]İcmal!$B$19:$AG$49,ROW(K12)+1,FALSE)</f>
        <v>0</v>
      </c>
      <c r="U14" s="15" cm="1">
        <f t="array" ref="U14">+HLOOKUP($A$1,+[13]İcmal!$B$19:$AG$49,ROW(L12)+1,FALSE)</f>
        <v>0</v>
      </c>
      <c r="V14" s="15" cm="1">
        <f t="array" ref="V14">+HLOOKUP($A$1,+[14]İcmal!$B$19:$AG$49,ROW(M12)+1,FALSE)</f>
        <v>0</v>
      </c>
      <c r="W14" s="15" cm="1">
        <f t="array" ref="W14">+HLOOKUP($A$1,+[15]İcmal!$B$19:$AG$49,ROW(N12)+1,FALSE)</f>
        <v>0</v>
      </c>
      <c r="X14" s="15" cm="1">
        <f t="array" ref="X14">+HLOOKUP($A$1,+[16]İcmal!$B$19:$AG$49,ROW(O12)+1,FALSE)</f>
        <v>0</v>
      </c>
      <c r="Y14" s="15" cm="1">
        <f t="array" ref="Y14">+HLOOKUP($A$1,+[17]İcmal!$B$19:$AG$49,ROW(P12)+1,FALSE)</f>
        <v>0</v>
      </c>
      <c r="Z14" s="15" cm="1">
        <f t="array" ref="Z14">+HLOOKUP($A$1,+[18]İcmal!$B$19:$AG$49,ROW(Q12)+1,FALSE)</f>
        <v>0</v>
      </c>
      <c r="AA14" s="15" cm="1">
        <f t="array" ref="AA14">+HLOOKUP($A$1,+[19]İcmal!$B$19:$AG$49,ROW(R12)+1,FALSE)</f>
        <v>0</v>
      </c>
      <c r="AB14" s="15" cm="1">
        <f t="array" ref="AB14">+HLOOKUP($A$1,+[20]İcmal!$B$19:$AG$49,ROW(S12)+1,FALSE)</f>
        <v>0</v>
      </c>
      <c r="AC14" s="15" cm="1">
        <f t="array" ref="AC14">+HLOOKUP($A$1,+[21]İcmal!$B$19:$AG$49,ROW(T12)+1,FALSE)</f>
        <v>0</v>
      </c>
      <c r="AD14" s="15" cm="1">
        <f t="array" ref="AD14">+HLOOKUP($A$1,+[22]İcmal!$B$19:$AG$49,ROW(U12)+1,FALSE)</f>
        <v>0</v>
      </c>
      <c r="AE14" s="15" cm="1">
        <f t="array" ref="AE14">+HLOOKUP($A$1,+[23]İcmal!$B$19:$AG$49,ROW(V12)+1,FALSE)</f>
        <v>0</v>
      </c>
      <c r="AF14" s="15" cm="1">
        <f t="array" ref="AF14">+HLOOKUP($A$1,+[24]İcmal!$B$19:$AG$49,ROW(W12)+1,FALSE)</f>
        <v>0</v>
      </c>
      <c r="AG14" s="15" cm="1">
        <f t="array" ref="AG14">+HLOOKUP($A$1,+[25]İcmal!$B$19:$AG$49,ROW(X12)+1,FALSE)</f>
        <v>0</v>
      </c>
      <c r="AH14" s="15" cm="1">
        <f t="array" ref="AH14">+HLOOKUP($A$1,+[26]İcmal!$B$19:$AG$49,ROW(Y12)+1,FALSE)</f>
        <v>0</v>
      </c>
      <c r="AI14" s="15" cm="1">
        <f t="array" ref="AI14">+HLOOKUP($A$1,+[27]İcmal!$B$19:$AG$49,ROW(Z12)+1,FALSE)</f>
        <v>0</v>
      </c>
      <c r="AJ14" s="15" cm="1">
        <f t="array" ref="AJ14">+HLOOKUP($A$1,+[28]İcmal!$B$19:$AG$49,ROW(AA12)+1,FALSE)</f>
        <v>0</v>
      </c>
      <c r="AK14" s="15" cm="1">
        <f t="array" ref="AK14">+HLOOKUP($A$1,+[29]İcmal!$B$19:$AG$49,ROW(AB12)+1,FALSE)</f>
        <v>0</v>
      </c>
      <c r="AL14" s="15"/>
      <c r="AM14" s="15"/>
      <c r="AN14" s="15"/>
      <c r="AO14" s="15"/>
      <c r="AP14" s="15"/>
      <c r="AQ14" s="15"/>
      <c r="AR14" s="15"/>
      <c r="AS14" s="15"/>
      <c r="AT14" s="13"/>
    </row>
    <row r="15" spans="1:46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+HLOOKUP($A$1,+[2]İcmal!$B$19:$AG$49,ROW(A13)+1,FALSE)</f>
        <v>0</v>
      </c>
      <c r="K15" s="15" cm="1">
        <f t="array" ref="K15">+HLOOKUP($A$1,+[3]İcmal!$B$19:$AG$49,ROW(B13)+1,FALSE)</f>
        <v>0</v>
      </c>
      <c r="L15" s="15" cm="1">
        <f t="array" ref="L15">+HLOOKUP($A$1,+[4]İcmal!$B$19:$AG$49,ROW(C13)+1,FALSE)</f>
        <v>0</v>
      </c>
      <c r="M15" s="15" cm="1">
        <f t="array" ref="M15">+HLOOKUP($A$1,+[5]İcmal!$B$19:$AG$49,ROW(D13)+1,FALSE)</f>
        <v>0</v>
      </c>
      <c r="N15" s="15" cm="1">
        <f t="array" ref="N15">+HLOOKUP($A$1,+[6]İcmal!$B$19:$AG$49,ROW(E13)+1,FALSE)</f>
        <v>0</v>
      </c>
      <c r="O15" s="15" cm="1">
        <f t="array" ref="O15">+HLOOKUP($A$1,+[7]İcmal!$B$19:$AG$49,ROW(F13)+1,FALSE)</f>
        <v>0</v>
      </c>
      <c r="P15" s="15" cm="1">
        <f t="array" ref="P15">+HLOOKUP($A$1,+[8]İcmal!$B$19:$AG$49,ROW(G13)+1,FALSE)</f>
        <v>0</v>
      </c>
      <c r="Q15" s="15" cm="1">
        <f t="array" ref="Q15">+HLOOKUP($A$1,+[9]İcmal!$B$19:$AG$49,ROW(H13)+1,FALSE)</f>
        <v>0</v>
      </c>
      <c r="R15" s="15" cm="1">
        <f t="array" ref="R15">+HLOOKUP($A$1,+[10]İcmal!$B$19:$AG$49,ROW(I13)+1,FALSE)</f>
        <v>0</v>
      </c>
      <c r="S15" s="15" cm="1">
        <f t="array" ref="S15">+HLOOKUP($A$1,+[11]İcmal!$B$19:$AG$49,ROW(J13)+1,FALSE)</f>
        <v>0</v>
      </c>
      <c r="T15" s="15" cm="1">
        <f t="array" ref="T15">+HLOOKUP($A$1,+[12]İcmal!$B$19:$AG$49,ROW(K13)+1,FALSE)</f>
        <v>0</v>
      </c>
      <c r="U15" s="15" cm="1">
        <f t="array" ref="U15">+HLOOKUP($A$1,+[13]İcmal!$B$19:$AG$49,ROW(L13)+1,FALSE)</f>
        <v>0</v>
      </c>
      <c r="V15" s="15" cm="1">
        <f t="array" ref="V15">+HLOOKUP($A$1,+[14]İcmal!$B$19:$AG$49,ROW(M13)+1,FALSE)</f>
        <v>0</v>
      </c>
      <c r="W15" s="15" cm="1">
        <f t="array" ref="W15">+HLOOKUP($A$1,+[15]İcmal!$B$19:$AG$49,ROW(N13)+1,FALSE)</f>
        <v>0</v>
      </c>
      <c r="X15" s="15" cm="1">
        <f t="array" ref="X15">+HLOOKUP($A$1,+[16]İcmal!$B$19:$AG$49,ROW(O13)+1,FALSE)</f>
        <v>0</v>
      </c>
      <c r="Y15" s="15" cm="1">
        <f t="array" ref="Y15">+HLOOKUP($A$1,+[17]İcmal!$B$19:$AG$49,ROW(P13)+1,FALSE)</f>
        <v>0</v>
      </c>
      <c r="Z15" s="15" cm="1">
        <f t="array" ref="Z15">+HLOOKUP($A$1,+[18]İcmal!$B$19:$AG$49,ROW(Q13)+1,FALSE)</f>
        <v>0</v>
      </c>
      <c r="AA15" s="15" cm="1">
        <f t="array" ref="AA15">+HLOOKUP($A$1,+[19]İcmal!$B$19:$AG$49,ROW(R13)+1,FALSE)</f>
        <v>0</v>
      </c>
      <c r="AB15" s="15" cm="1">
        <f t="array" ref="AB15">+HLOOKUP($A$1,+[20]İcmal!$B$19:$AG$49,ROW(S13)+1,FALSE)</f>
        <v>0</v>
      </c>
      <c r="AC15" s="15" cm="1">
        <f t="array" ref="AC15">+HLOOKUP($A$1,+[21]İcmal!$B$19:$AG$49,ROW(T13)+1,FALSE)</f>
        <v>0</v>
      </c>
      <c r="AD15" s="15" cm="1">
        <f t="array" ref="AD15">+HLOOKUP($A$1,+[22]İcmal!$B$19:$AG$49,ROW(U13)+1,FALSE)</f>
        <v>0</v>
      </c>
      <c r="AE15" s="15" cm="1">
        <f t="array" ref="AE15">+HLOOKUP($A$1,+[23]İcmal!$B$19:$AG$49,ROW(V13)+1,FALSE)</f>
        <v>0</v>
      </c>
      <c r="AF15" s="15" cm="1">
        <f t="array" ref="AF15">+HLOOKUP($A$1,+[24]İcmal!$B$19:$AG$49,ROW(W13)+1,FALSE)</f>
        <v>0</v>
      </c>
      <c r="AG15" s="15" cm="1">
        <f t="array" ref="AG15">+HLOOKUP($A$1,+[25]İcmal!$B$19:$AG$49,ROW(X13)+1,FALSE)</f>
        <v>0</v>
      </c>
      <c r="AH15" s="15" cm="1">
        <f t="array" ref="AH15">+HLOOKUP($A$1,+[26]İcmal!$B$19:$AG$49,ROW(Y13)+1,FALSE)</f>
        <v>0</v>
      </c>
      <c r="AI15" s="15" cm="1">
        <f t="array" ref="AI15">+HLOOKUP($A$1,+[27]İcmal!$B$19:$AG$49,ROW(Z13)+1,FALSE)</f>
        <v>0</v>
      </c>
      <c r="AJ15" s="15" cm="1">
        <f t="array" ref="AJ15">+HLOOKUP($A$1,+[28]İcmal!$B$19:$AG$49,ROW(AA13)+1,FALSE)</f>
        <v>0</v>
      </c>
      <c r="AK15" s="15" cm="1">
        <f t="array" ref="AK15">+HLOOKUP($A$1,+[29]İcmal!$B$19:$AG$49,ROW(AB13)+1,FALSE)</f>
        <v>0</v>
      </c>
      <c r="AL15" s="15"/>
      <c r="AM15" s="15"/>
      <c r="AN15" s="15"/>
      <c r="AO15" s="15"/>
      <c r="AP15" s="15"/>
      <c r="AQ15" s="15"/>
      <c r="AR15" s="15"/>
      <c r="AS15" s="15"/>
      <c r="AT15" s="13"/>
    </row>
    <row r="16" spans="1:46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0</v>
      </c>
      <c r="I16" s="9">
        <f t="shared" si="2"/>
        <v>0</v>
      </c>
      <c r="J16" s="15" cm="1">
        <f t="array" ref="J16">+HLOOKUP($A$1,+[2]İcmal!$B$19:$AG$49,ROW(A14)+1,FALSE)</f>
        <v>0</v>
      </c>
      <c r="K16" s="15" cm="1">
        <f t="array" ref="K16">+HLOOKUP($A$1,+[3]İcmal!$B$19:$AG$49,ROW(B14)+1,FALSE)</f>
        <v>0</v>
      </c>
      <c r="L16" s="15" cm="1">
        <f t="array" ref="L16">+HLOOKUP($A$1,+[4]İcmal!$B$19:$AG$49,ROW(C14)+1,FALSE)</f>
        <v>0</v>
      </c>
      <c r="M16" s="15" cm="1">
        <f t="array" ref="M16">+HLOOKUP($A$1,+[5]İcmal!$B$19:$AG$49,ROW(D14)+1,FALSE)</f>
        <v>0</v>
      </c>
      <c r="N16" s="15" cm="1">
        <f t="array" ref="N16">+HLOOKUP($A$1,+[6]İcmal!$B$19:$AG$49,ROW(E14)+1,FALSE)</f>
        <v>0</v>
      </c>
      <c r="O16" s="15" cm="1">
        <f t="array" ref="O16">+HLOOKUP($A$1,+[7]İcmal!$B$19:$AG$49,ROW(F14)+1,FALSE)</f>
        <v>0</v>
      </c>
      <c r="P16" s="15" cm="1">
        <f t="array" ref="P16">+HLOOKUP($A$1,+[8]İcmal!$B$19:$AG$49,ROW(G14)+1,FALSE)</f>
        <v>0</v>
      </c>
      <c r="Q16" s="15" cm="1">
        <f t="array" ref="Q16">+HLOOKUP($A$1,+[9]İcmal!$B$19:$AG$49,ROW(H14)+1,FALSE)</f>
        <v>0</v>
      </c>
      <c r="R16" s="15" cm="1">
        <f t="array" ref="R16">+HLOOKUP($A$1,+[10]İcmal!$B$19:$AG$49,ROW(I14)+1,FALSE)</f>
        <v>0</v>
      </c>
      <c r="S16" s="15" cm="1">
        <f t="array" ref="S16">+HLOOKUP($A$1,+[11]İcmal!$B$19:$AG$49,ROW(J14)+1,FALSE)</f>
        <v>0</v>
      </c>
      <c r="T16" s="15" cm="1">
        <f t="array" ref="T16">+HLOOKUP($A$1,+[12]İcmal!$B$19:$AG$49,ROW(K14)+1,FALSE)</f>
        <v>0</v>
      </c>
      <c r="U16" s="15" cm="1">
        <f t="array" ref="U16">+HLOOKUP($A$1,+[13]İcmal!$B$19:$AG$49,ROW(L14)+1,FALSE)</f>
        <v>0</v>
      </c>
      <c r="V16" s="15" cm="1">
        <f t="array" ref="V16">+HLOOKUP($A$1,+[14]İcmal!$B$19:$AG$49,ROW(M14)+1,FALSE)</f>
        <v>0</v>
      </c>
      <c r="W16" s="15" cm="1">
        <f t="array" ref="W16">+HLOOKUP($A$1,+[15]İcmal!$B$19:$AG$49,ROW(N14)+1,FALSE)</f>
        <v>0</v>
      </c>
      <c r="X16" s="15" cm="1">
        <f t="array" ref="X16">+HLOOKUP($A$1,+[16]İcmal!$B$19:$AG$49,ROW(O14)+1,FALSE)</f>
        <v>0</v>
      </c>
      <c r="Y16" s="15" cm="1">
        <f t="array" ref="Y16">+HLOOKUP($A$1,+[17]İcmal!$B$19:$AG$49,ROW(P14)+1,FALSE)</f>
        <v>0</v>
      </c>
      <c r="Z16" s="15" cm="1">
        <f t="array" ref="Z16">+HLOOKUP($A$1,+[18]İcmal!$B$19:$AG$49,ROW(Q14)+1,FALSE)</f>
        <v>0</v>
      </c>
      <c r="AA16" s="15" cm="1">
        <f t="array" ref="AA16">+HLOOKUP($A$1,+[19]İcmal!$B$19:$AG$49,ROW(R14)+1,FALSE)</f>
        <v>0</v>
      </c>
      <c r="AB16" s="15" cm="1">
        <f t="array" ref="AB16">+HLOOKUP($A$1,+[20]İcmal!$B$19:$AG$49,ROW(S14)+1,FALSE)</f>
        <v>0</v>
      </c>
      <c r="AC16" s="15" cm="1">
        <f t="array" ref="AC16">+HLOOKUP($A$1,+[21]İcmal!$B$19:$AG$49,ROW(T14)+1,FALSE)</f>
        <v>0</v>
      </c>
      <c r="AD16" s="15" cm="1">
        <f t="array" ref="AD16">+HLOOKUP($A$1,+[22]İcmal!$B$19:$AG$49,ROW(U14)+1,FALSE)</f>
        <v>0</v>
      </c>
      <c r="AE16" s="15" cm="1">
        <f t="array" ref="AE16">+HLOOKUP($A$1,+[23]İcmal!$B$19:$AG$49,ROW(V14)+1,FALSE)</f>
        <v>0</v>
      </c>
      <c r="AF16" s="15" cm="1">
        <f t="array" ref="AF16">+HLOOKUP($A$1,+[24]İcmal!$B$19:$AG$49,ROW(W14)+1,FALSE)</f>
        <v>0</v>
      </c>
      <c r="AG16" s="15" cm="1">
        <f t="array" ref="AG16">+HLOOKUP($A$1,+[25]İcmal!$B$19:$AG$49,ROW(X14)+1,FALSE)</f>
        <v>0</v>
      </c>
      <c r="AH16" s="15" cm="1">
        <f t="array" ref="AH16">+HLOOKUP($A$1,+[26]İcmal!$B$19:$AG$49,ROW(Y14)+1,FALSE)</f>
        <v>0</v>
      </c>
      <c r="AI16" s="15" cm="1">
        <f t="array" ref="AI16">+HLOOKUP($A$1,+[27]İcmal!$B$19:$AG$49,ROW(Z14)+1,FALSE)</f>
        <v>0</v>
      </c>
      <c r="AJ16" s="15" cm="1">
        <f t="array" ref="AJ16">+HLOOKUP($A$1,+[28]İcmal!$B$19:$AG$49,ROW(AA14)+1,FALSE)</f>
        <v>0</v>
      </c>
      <c r="AK16" s="15" cm="1">
        <f t="array" ref="AK16">+HLOOKUP($A$1,+[29]İcmal!$B$19:$AG$49,ROW(AB14)+1,FALSE)</f>
        <v>0</v>
      </c>
      <c r="AL16" s="15"/>
      <c r="AM16" s="15"/>
      <c r="AN16" s="15"/>
      <c r="AO16" s="15"/>
      <c r="AP16" s="15"/>
      <c r="AQ16" s="15"/>
      <c r="AR16" s="15"/>
      <c r="AS16" s="15"/>
      <c r="AT16" s="13"/>
    </row>
    <row r="17" spans="1:46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0</v>
      </c>
      <c r="I17" s="9">
        <f t="shared" si="2"/>
        <v>0</v>
      </c>
      <c r="J17" s="15" cm="1">
        <f t="array" ref="J17">+HLOOKUP($A$1,+[2]İcmal!$B$19:$AG$49,ROW(A15)+1,FALSE)</f>
        <v>0</v>
      </c>
      <c r="K17" s="15" cm="1">
        <f t="array" ref="K17">+HLOOKUP($A$1,+[3]İcmal!$B$19:$AG$49,ROW(B15)+1,FALSE)</f>
        <v>0</v>
      </c>
      <c r="L17" s="15" cm="1">
        <f t="array" ref="L17">+HLOOKUP($A$1,+[4]İcmal!$B$19:$AG$49,ROW(C15)+1,FALSE)</f>
        <v>0</v>
      </c>
      <c r="M17" s="15" cm="1">
        <f t="array" ref="M17">+HLOOKUP($A$1,+[5]İcmal!$B$19:$AG$49,ROW(D15)+1,FALSE)</f>
        <v>0</v>
      </c>
      <c r="N17" s="15" cm="1">
        <f t="array" ref="N17">+HLOOKUP($A$1,+[6]İcmal!$B$19:$AG$49,ROW(E15)+1,FALSE)</f>
        <v>0</v>
      </c>
      <c r="O17" s="15" cm="1">
        <f t="array" ref="O17">+HLOOKUP($A$1,+[7]İcmal!$B$19:$AG$49,ROW(F15)+1,FALSE)</f>
        <v>0</v>
      </c>
      <c r="P17" s="15" cm="1">
        <f t="array" ref="P17">+HLOOKUP($A$1,+[8]İcmal!$B$19:$AG$49,ROW(G15)+1,FALSE)</f>
        <v>0</v>
      </c>
      <c r="Q17" s="15" cm="1">
        <f t="array" ref="Q17">+HLOOKUP($A$1,+[9]İcmal!$B$19:$AG$49,ROW(H15)+1,FALSE)</f>
        <v>0</v>
      </c>
      <c r="R17" s="15" cm="1">
        <f t="array" ref="R17">+HLOOKUP($A$1,+[10]İcmal!$B$19:$AG$49,ROW(I15)+1,FALSE)</f>
        <v>0</v>
      </c>
      <c r="S17" s="15" cm="1">
        <f t="array" ref="S17">+HLOOKUP($A$1,+[11]İcmal!$B$19:$AG$49,ROW(J15)+1,FALSE)</f>
        <v>0</v>
      </c>
      <c r="T17" s="15" cm="1">
        <f t="array" ref="T17">+HLOOKUP($A$1,+[12]İcmal!$B$19:$AG$49,ROW(K15)+1,FALSE)</f>
        <v>0</v>
      </c>
      <c r="U17" s="15" cm="1">
        <f t="array" ref="U17">+HLOOKUP($A$1,+[13]İcmal!$B$19:$AG$49,ROW(L15)+1,FALSE)</f>
        <v>0</v>
      </c>
      <c r="V17" s="15" cm="1">
        <f t="array" ref="V17">+HLOOKUP($A$1,+[14]İcmal!$B$19:$AG$49,ROW(M15)+1,FALSE)</f>
        <v>0</v>
      </c>
      <c r="W17" s="15" cm="1">
        <f t="array" ref="W17">+HLOOKUP($A$1,+[15]İcmal!$B$19:$AG$49,ROW(N15)+1,FALSE)</f>
        <v>0</v>
      </c>
      <c r="X17" s="15" cm="1">
        <f t="array" ref="X17">+HLOOKUP($A$1,+[16]İcmal!$B$19:$AG$49,ROW(O15)+1,FALSE)</f>
        <v>0</v>
      </c>
      <c r="Y17" s="15" cm="1">
        <f t="array" ref="Y17">+HLOOKUP($A$1,+[17]İcmal!$B$19:$AG$49,ROW(P15)+1,FALSE)</f>
        <v>0</v>
      </c>
      <c r="Z17" s="15" cm="1">
        <f t="array" ref="Z17">+HLOOKUP($A$1,+[18]İcmal!$B$19:$AG$49,ROW(Q15)+1,FALSE)</f>
        <v>0</v>
      </c>
      <c r="AA17" s="15" cm="1">
        <f t="array" ref="AA17">+HLOOKUP($A$1,+[19]İcmal!$B$19:$AG$49,ROW(R15)+1,FALSE)</f>
        <v>0</v>
      </c>
      <c r="AB17" s="15" cm="1">
        <f t="array" ref="AB17">+HLOOKUP($A$1,+[20]İcmal!$B$19:$AG$49,ROW(S15)+1,FALSE)</f>
        <v>0</v>
      </c>
      <c r="AC17" s="15" cm="1">
        <f t="array" ref="AC17">+HLOOKUP($A$1,+[21]İcmal!$B$19:$AG$49,ROW(T15)+1,FALSE)</f>
        <v>0</v>
      </c>
      <c r="AD17" s="15" cm="1">
        <f t="array" ref="AD17">+HLOOKUP($A$1,+[22]İcmal!$B$19:$AG$49,ROW(U15)+1,FALSE)</f>
        <v>0</v>
      </c>
      <c r="AE17" s="15" cm="1">
        <f t="array" ref="AE17">+HLOOKUP($A$1,+[23]İcmal!$B$19:$AG$49,ROW(V15)+1,FALSE)</f>
        <v>0</v>
      </c>
      <c r="AF17" s="15" cm="1">
        <f t="array" ref="AF17">+HLOOKUP($A$1,+[24]İcmal!$B$19:$AG$49,ROW(W15)+1,FALSE)</f>
        <v>0</v>
      </c>
      <c r="AG17" s="15" cm="1">
        <f t="array" ref="AG17">+HLOOKUP($A$1,+[25]İcmal!$B$19:$AG$49,ROW(X15)+1,FALSE)</f>
        <v>0</v>
      </c>
      <c r="AH17" s="15" cm="1">
        <f t="array" ref="AH17">+HLOOKUP($A$1,+[26]İcmal!$B$19:$AG$49,ROW(Y15)+1,FALSE)</f>
        <v>0</v>
      </c>
      <c r="AI17" s="15" cm="1">
        <f t="array" ref="AI17">+HLOOKUP($A$1,+[27]İcmal!$B$19:$AG$49,ROW(Z15)+1,FALSE)</f>
        <v>0</v>
      </c>
      <c r="AJ17" s="15" cm="1">
        <f t="array" ref="AJ17">+HLOOKUP($A$1,+[28]İcmal!$B$19:$AG$49,ROW(AA15)+1,FALSE)</f>
        <v>0</v>
      </c>
      <c r="AK17" s="15" cm="1">
        <f t="array" ref="AK17">+HLOOKUP($A$1,+[29]İcmal!$B$19:$AG$49,ROW(AB15)+1,FALSE)</f>
        <v>0</v>
      </c>
      <c r="AL17" s="15"/>
      <c r="AM17" s="15"/>
      <c r="AN17" s="15"/>
      <c r="AO17" s="15"/>
      <c r="AP17" s="15"/>
      <c r="AQ17" s="15"/>
      <c r="AR17" s="15"/>
      <c r="AS17" s="15"/>
      <c r="AT17" s="13"/>
    </row>
    <row r="18" spans="1:46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+HLOOKUP($A$1,+[2]İcmal!$B$19:$AG$49,ROW(A16)+1,FALSE)</f>
        <v>0</v>
      </c>
      <c r="K18" s="15" cm="1">
        <f t="array" ref="K18">+HLOOKUP($A$1,+[3]İcmal!$B$19:$AG$49,ROW(B16)+1,FALSE)</f>
        <v>0</v>
      </c>
      <c r="L18" s="15" cm="1">
        <f t="array" ref="L18">+HLOOKUP($A$1,+[4]İcmal!$B$19:$AG$49,ROW(C16)+1,FALSE)</f>
        <v>0</v>
      </c>
      <c r="M18" s="15" cm="1">
        <f t="array" ref="M18">+HLOOKUP($A$1,+[5]İcmal!$B$19:$AG$49,ROW(D16)+1,FALSE)</f>
        <v>0</v>
      </c>
      <c r="N18" s="15" cm="1">
        <f t="array" ref="N18">+HLOOKUP($A$1,+[6]İcmal!$B$19:$AG$49,ROW(E16)+1,FALSE)</f>
        <v>0</v>
      </c>
      <c r="O18" s="15" cm="1">
        <f t="array" ref="O18">+HLOOKUP($A$1,+[7]İcmal!$B$19:$AG$49,ROW(F16)+1,FALSE)</f>
        <v>0</v>
      </c>
      <c r="P18" s="15" cm="1">
        <f t="array" ref="P18">+HLOOKUP($A$1,+[8]İcmal!$B$19:$AG$49,ROW(G16)+1,FALSE)</f>
        <v>0</v>
      </c>
      <c r="Q18" s="15" cm="1">
        <f t="array" ref="Q18">+HLOOKUP($A$1,+[9]İcmal!$B$19:$AG$49,ROW(H16)+1,FALSE)</f>
        <v>0</v>
      </c>
      <c r="R18" s="15" cm="1">
        <f t="array" ref="R18">+HLOOKUP($A$1,+[10]İcmal!$B$19:$AG$49,ROW(I16)+1,FALSE)</f>
        <v>0</v>
      </c>
      <c r="S18" s="15" cm="1">
        <f t="array" ref="S18">+HLOOKUP($A$1,+[11]İcmal!$B$19:$AG$49,ROW(J16)+1,FALSE)</f>
        <v>0</v>
      </c>
      <c r="T18" s="15" cm="1">
        <f t="array" ref="T18">+HLOOKUP($A$1,+[12]İcmal!$B$19:$AG$49,ROW(K16)+1,FALSE)</f>
        <v>0</v>
      </c>
      <c r="U18" s="15" cm="1">
        <f t="array" ref="U18">+HLOOKUP($A$1,+[13]İcmal!$B$19:$AG$49,ROW(L16)+1,FALSE)</f>
        <v>0</v>
      </c>
      <c r="V18" s="15" cm="1">
        <f t="array" ref="V18">+HLOOKUP($A$1,+[14]İcmal!$B$19:$AG$49,ROW(M16)+1,FALSE)</f>
        <v>0</v>
      </c>
      <c r="W18" s="15" cm="1">
        <f t="array" ref="W18">+HLOOKUP($A$1,+[15]İcmal!$B$19:$AG$49,ROW(N16)+1,FALSE)</f>
        <v>0</v>
      </c>
      <c r="X18" s="15" cm="1">
        <f t="array" ref="X18">+HLOOKUP($A$1,+[16]İcmal!$B$19:$AG$49,ROW(O16)+1,FALSE)</f>
        <v>0</v>
      </c>
      <c r="Y18" s="15" cm="1">
        <f t="array" ref="Y18">+HLOOKUP($A$1,+[17]İcmal!$B$19:$AG$49,ROW(P16)+1,FALSE)</f>
        <v>0</v>
      </c>
      <c r="Z18" s="15" cm="1">
        <f t="array" ref="Z18">+HLOOKUP($A$1,+[18]İcmal!$B$19:$AG$49,ROW(Q16)+1,FALSE)</f>
        <v>0</v>
      </c>
      <c r="AA18" s="15" cm="1">
        <f t="array" ref="AA18">+HLOOKUP($A$1,+[19]İcmal!$B$19:$AG$49,ROW(R16)+1,FALSE)</f>
        <v>0</v>
      </c>
      <c r="AB18" s="15" cm="1">
        <f t="array" ref="AB18">+HLOOKUP($A$1,+[20]İcmal!$B$19:$AG$49,ROW(S16)+1,FALSE)</f>
        <v>0</v>
      </c>
      <c r="AC18" s="15" cm="1">
        <f t="array" ref="AC18">+HLOOKUP($A$1,+[21]İcmal!$B$19:$AG$49,ROW(T16)+1,FALSE)</f>
        <v>0</v>
      </c>
      <c r="AD18" s="15" cm="1">
        <f t="array" ref="AD18">+HLOOKUP($A$1,+[22]İcmal!$B$19:$AG$49,ROW(U16)+1,FALSE)</f>
        <v>0</v>
      </c>
      <c r="AE18" s="15" cm="1">
        <f t="array" ref="AE18">+HLOOKUP($A$1,+[23]İcmal!$B$19:$AG$49,ROW(V16)+1,FALSE)</f>
        <v>0</v>
      </c>
      <c r="AF18" s="15" cm="1">
        <f t="array" ref="AF18">+HLOOKUP($A$1,+[24]İcmal!$B$19:$AG$49,ROW(W16)+1,FALSE)</f>
        <v>0</v>
      </c>
      <c r="AG18" s="15" cm="1">
        <f t="array" ref="AG18">+HLOOKUP($A$1,+[25]İcmal!$B$19:$AG$49,ROW(X16)+1,FALSE)</f>
        <v>0</v>
      </c>
      <c r="AH18" s="15" cm="1">
        <f t="array" ref="AH18">+HLOOKUP($A$1,+[26]İcmal!$B$19:$AG$49,ROW(Y16)+1,FALSE)</f>
        <v>0</v>
      </c>
      <c r="AI18" s="15" cm="1">
        <f t="array" ref="AI18">+HLOOKUP($A$1,+[27]İcmal!$B$19:$AG$49,ROW(Z16)+1,FALSE)</f>
        <v>0</v>
      </c>
      <c r="AJ18" s="15" cm="1">
        <f t="array" ref="AJ18">+HLOOKUP($A$1,+[28]İcmal!$B$19:$AG$49,ROW(AA16)+1,FALSE)</f>
        <v>0</v>
      </c>
      <c r="AK18" s="15" cm="1">
        <f t="array" ref="AK18">+HLOOKUP($A$1,+[29]İcmal!$B$19:$AG$49,ROW(AB16)+1,FALSE)</f>
        <v>0</v>
      </c>
      <c r="AL18" s="15"/>
      <c r="AM18" s="15"/>
      <c r="AN18" s="15"/>
      <c r="AO18" s="15"/>
      <c r="AP18" s="15"/>
      <c r="AQ18" s="15"/>
      <c r="AR18" s="15"/>
      <c r="AS18" s="15"/>
      <c r="AT18" s="13"/>
    </row>
    <row r="19" spans="1:46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+HLOOKUP($A$1,+[2]İcmal!$B$19:$AG$49,ROW(A17)+1,FALSE)</f>
        <v>0</v>
      </c>
      <c r="K19" s="15" cm="1">
        <f t="array" ref="K19">+HLOOKUP($A$1,+[3]İcmal!$B$19:$AG$49,ROW(B17)+1,FALSE)</f>
        <v>0</v>
      </c>
      <c r="L19" s="15" cm="1">
        <f t="array" ref="L19">+HLOOKUP($A$1,+[4]İcmal!$B$19:$AG$49,ROW(C17)+1,FALSE)</f>
        <v>0</v>
      </c>
      <c r="M19" s="15" cm="1">
        <f t="array" ref="M19">+HLOOKUP($A$1,+[5]İcmal!$B$19:$AG$49,ROW(D17)+1,FALSE)</f>
        <v>0</v>
      </c>
      <c r="N19" s="15" cm="1">
        <f t="array" ref="N19">+HLOOKUP($A$1,+[6]İcmal!$B$19:$AG$49,ROW(E17)+1,FALSE)</f>
        <v>0</v>
      </c>
      <c r="O19" s="15" cm="1">
        <f t="array" ref="O19">+HLOOKUP($A$1,+[7]İcmal!$B$19:$AG$49,ROW(F17)+1,FALSE)</f>
        <v>0</v>
      </c>
      <c r="P19" s="15" cm="1">
        <f t="array" ref="P19">+HLOOKUP($A$1,+[8]İcmal!$B$19:$AG$49,ROW(G17)+1,FALSE)</f>
        <v>0</v>
      </c>
      <c r="Q19" s="15" cm="1">
        <f t="array" ref="Q19">+HLOOKUP($A$1,+[9]İcmal!$B$19:$AG$49,ROW(H17)+1,FALSE)</f>
        <v>0</v>
      </c>
      <c r="R19" s="15" cm="1">
        <f t="array" ref="R19">+HLOOKUP($A$1,+[10]İcmal!$B$19:$AG$49,ROW(I17)+1,FALSE)</f>
        <v>0</v>
      </c>
      <c r="S19" s="15" cm="1">
        <f t="array" ref="S19">+HLOOKUP($A$1,+[11]İcmal!$B$19:$AG$49,ROW(J17)+1,FALSE)</f>
        <v>0</v>
      </c>
      <c r="T19" s="15" cm="1">
        <f t="array" ref="T19">+HLOOKUP($A$1,+[12]İcmal!$B$19:$AG$49,ROW(K17)+1,FALSE)</f>
        <v>0</v>
      </c>
      <c r="U19" s="15" cm="1">
        <f t="array" ref="U19">+HLOOKUP($A$1,+[13]İcmal!$B$19:$AG$49,ROW(L17)+1,FALSE)</f>
        <v>0</v>
      </c>
      <c r="V19" s="15" cm="1">
        <f t="array" ref="V19">+HLOOKUP($A$1,+[14]İcmal!$B$19:$AG$49,ROW(M17)+1,FALSE)</f>
        <v>0</v>
      </c>
      <c r="W19" s="15" cm="1">
        <f t="array" ref="W19">+HLOOKUP($A$1,+[15]İcmal!$B$19:$AG$49,ROW(N17)+1,FALSE)</f>
        <v>0</v>
      </c>
      <c r="X19" s="15" cm="1">
        <f t="array" ref="X19">+HLOOKUP($A$1,+[16]İcmal!$B$19:$AG$49,ROW(O17)+1,FALSE)</f>
        <v>0</v>
      </c>
      <c r="Y19" s="15" cm="1">
        <f t="array" ref="Y19">+HLOOKUP($A$1,+[17]İcmal!$B$19:$AG$49,ROW(P17)+1,FALSE)</f>
        <v>0</v>
      </c>
      <c r="Z19" s="15" cm="1">
        <f t="array" ref="Z19">+HLOOKUP($A$1,+[18]İcmal!$B$19:$AG$49,ROW(Q17)+1,FALSE)</f>
        <v>0</v>
      </c>
      <c r="AA19" s="15" cm="1">
        <f t="array" ref="AA19">+HLOOKUP($A$1,+[19]İcmal!$B$19:$AG$49,ROW(R17)+1,FALSE)</f>
        <v>0</v>
      </c>
      <c r="AB19" s="15" cm="1">
        <f t="array" ref="AB19">+HLOOKUP($A$1,+[20]İcmal!$B$19:$AG$49,ROW(S17)+1,FALSE)</f>
        <v>0</v>
      </c>
      <c r="AC19" s="15" cm="1">
        <f t="array" ref="AC19">+HLOOKUP($A$1,+[21]İcmal!$B$19:$AG$49,ROW(T17)+1,FALSE)</f>
        <v>0</v>
      </c>
      <c r="AD19" s="15" cm="1">
        <f t="array" ref="AD19">+HLOOKUP($A$1,+[22]İcmal!$B$19:$AG$49,ROW(U17)+1,FALSE)</f>
        <v>0</v>
      </c>
      <c r="AE19" s="15" cm="1">
        <f t="array" ref="AE19">+HLOOKUP($A$1,+[23]İcmal!$B$19:$AG$49,ROW(V17)+1,FALSE)</f>
        <v>0</v>
      </c>
      <c r="AF19" s="15" cm="1">
        <f t="array" ref="AF19">+HLOOKUP($A$1,+[24]İcmal!$B$19:$AG$49,ROW(W17)+1,FALSE)</f>
        <v>0</v>
      </c>
      <c r="AG19" s="15" cm="1">
        <f t="array" ref="AG19">+HLOOKUP($A$1,+[25]İcmal!$B$19:$AG$49,ROW(X17)+1,FALSE)</f>
        <v>0</v>
      </c>
      <c r="AH19" s="15" cm="1">
        <f t="array" ref="AH19">+HLOOKUP($A$1,+[26]İcmal!$B$19:$AG$49,ROW(Y17)+1,FALSE)</f>
        <v>0</v>
      </c>
      <c r="AI19" s="15" cm="1">
        <f t="array" ref="AI19">+HLOOKUP($A$1,+[27]İcmal!$B$19:$AG$49,ROW(Z17)+1,FALSE)</f>
        <v>0</v>
      </c>
      <c r="AJ19" s="15" cm="1">
        <f t="array" ref="AJ19">+HLOOKUP($A$1,+[28]İcmal!$B$19:$AG$49,ROW(AA17)+1,FALSE)</f>
        <v>0</v>
      </c>
      <c r="AK19" s="15" cm="1">
        <f t="array" ref="AK19">+HLOOKUP($A$1,+[29]İcmal!$B$19:$AG$49,ROW(AB17)+1,FALSE)</f>
        <v>0</v>
      </c>
      <c r="AL19" s="15"/>
      <c r="AM19" s="15"/>
      <c r="AN19" s="15"/>
      <c r="AO19" s="15"/>
      <c r="AP19" s="15"/>
      <c r="AQ19" s="15"/>
      <c r="AR19" s="15"/>
      <c r="AS19" s="15"/>
      <c r="AT19" s="13"/>
    </row>
    <row r="20" spans="1:46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+HLOOKUP($A$1,+[2]İcmal!$B$19:$AG$49,ROW(A18)+1,FALSE)</f>
        <v>0</v>
      </c>
      <c r="K20" s="15" cm="1">
        <f t="array" ref="K20">+HLOOKUP($A$1,+[3]İcmal!$B$19:$AG$49,ROW(B18)+1,FALSE)</f>
        <v>0</v>
      </c>
      <c r="L20" s="15" cm="1">
        <f t="array" ref="L20">+HLOOKUP($A$1,+[4]İcmal!$B$19:$AG$49,ROW(C18)+1,FALSE)</f>
        <v>0</v>
      </c>
      <c r="M20" s="15" cm="1">
        <f t="array" ref="M20">+HLOOKUP($A$1,+[5]İcmal!$B$19:$AG$49,ROW(D18)+1,FALSE)</f>
        <v>0</v>
      </c>
      <c r="N20" s="15" cm="1">
        <f t="array" ref="N20">+HLOOKUP($A$1,+[6]İcmal!$B$19:$AG$49,ROW(E18)+1,FALSE)</f>
        <v>0</v>
      </c>
      <c r="O20" s="15" cm="1">
        <f t="array" ref="O20">+HLOOKUP($A$1,+[7]İcmal!$B$19:$AG$49,ROW(F18)+1,FALSE)</f>
        <v>0</v>
      </c>
      <c r="P20" s="15" cm="1">
        <f t="array" ref="P20">+HLOOKUP($A$1,+[8]İcmal!$B$19:$AG$49,ROW(G18)+1,FALSE)</f>
        <v>0</v>
      </c>
      <c r="Q20" s="15" cm="1">
        <f t="array" ref="Q20">+HLOOKUP($A$1,+[9]İcmal!$B$19:$AG$49,ROW(H18)+1,FALSE)</f>
        <v>0</v>
      </c>
      <c r="R20" s="15" cm="1">
        <f t="array" ref="R20">+HLOOKUP($A$1,+[10]İcmal!$B$19:$AG$49,ROW(I18)+1,FALSE)</f>
        <v>0</v>
      </c>
      <c r="S20" s="15" cm="1">
        <f t="array" ref="S20">+HLOOKUP($A$1,+[11]İcmal!$B$19:$AG$49,ROW(J18)+1,FALSE)</f>
        <v>0</v>
      </c>
      <c r="T20" s="15" cm="1">
        <f t="array" ref="T20">+HLOOKUP($A$1,+[12]İcmal!$B$19:$AG$49,ROW(K18)+1,FALSE)</f>
        <v>0</v>
      </c>
      <c r="U20" s="15" cm="1">
        <f t="array" ref="U20">+HLOOKUP($A$1,+[13]İcmal!$B$19:$AG$49,ROW(L18)+1,FALSE)</f>
        <v>0</v>
      </c>
      <c r="V20" s="15" cm="1">
        <f t="array" ref="V20">+HLOOKUP($A$1,+[14]İcmal!$B$19:$AG$49,ROW(M18)+1,FALSE)</f>
        <v>0</v>
      </c>
      <c r="W20" s="15" cm="1">
        <f t="array" ref="W20">+HLOOKUP($A$1,+[15]İcmal!$B$19:$AG$49,ROW(N18)+1,FALSE)</f>
        <v>0</v>
      </c>
      <c r="X20" s="15" cm="1">
        <f t="array" ref="X20">+HLOOKUP($A$1,+[16]İcmal!$B$19:$AG$49,ROW(O18)+1,FALSE)</f>
        <v>0</v>
      </c>
      <c r="Y20" s="15" cm="1">
        <f t="array" ref="Y20">+HLOOKUP($A$1,+[17]İcmal!$B$19:$AG$49,ROW(P18)+1,FALSE)</f>
        <v>0</v>
      </c>
      <c r="Z20" s="15" cm="1">
        <f t="array" ref="Z20">+HLOOKUP($A$1,+[18]İcmal!$B$19:$AG$49,ROW(Q18)+1,FALSE)</f>
        <v>0</v>
      </c>
      <c r="AA20" s="15" cm="1">
        <f t="array" ref="AA20">+HLOOKUP($A$1,+[19]İcmal!$B$19:$AG$49,ROW(R18)+1,FALSE)</f>
        <v>0</v>
      </c>
      <c r="AB20" s="15" cm="1">
        <f t="array" ref="AB20">+HLOOKUP($A$1,+[20]İcmal!$B$19:$AG$49,ROW(S18)+1,FALSE)</f>
        <v>0</v>
      </c>
      <c r="AC20" s="15" cm="1">
        <f t="array" ref="AC20">+HLOOKUP($A$1,+[21]İcmal!$B$19:$AG$49,ROW(T18)+1,FALSE)</f>
        <v>0</v>
      </c>
      <c r="AD20" s="15" cm="1">
        <f t="array" ref="AD20">+HLOOKUP($A$1,+[22]İcmal!$B$19:$AG$49,ROW(U18)+1,FALSE)</f>
        <v>0</v>
      </c>
      <c r="AE20" s="15" cm="1">
        <f t="array" ref="AE20">+HLOOKUP($A$1,+[23]İcmal!$B$19:$AG$49,ROW(V18)+1,FALSE)</f>
        <v>0</v>
      </c>
      <c r="AF20" s="15" cm="1">
        <f t="array" ref="AF20">+HLOOKUP($A$1,+[24]İcmal!$B$19:$AG$49,ROW(W18)+1,FALSE)</f>
        <v>0</v>
      </c>
      <c r="AG20" s="15" cm="1">
        <f t="array" ref="AG20">+HLOOKUP($A$1,+[25]İcmal!$B$19:$AG$49,ROW(X18)+1,FALSE)</f>
        <v>0</v>
      </c>
      <c r="AH20" s="15" cm="1">
        <f t="array" ref="AH20">+HLOOKUP($A$1,+[26]İcmal!$B$19:$AG$49,ROW(Y18)+1,FALSE)</f>
        <v>0</v>
      </c>
      <c r="AI20" s="15" cm="1">
        <f t="array" ref="AI20">+HLOOKUP($A$1,+[27]İcmal!$B$19:$AG$49,ROW(Z18)+1,FALSE)</f>
        <v>0</v>
      </c>
      <c r="AJ20" s="15" cm="1">
        <f t="array" ref="AJ20">+HLOOKUP($A$1,+[28]İcmal!$B$19:$AG$49,ROW(AA18)+1,FALSE)</f>
        <v>0</v>
      </c>
      <c r="AK20" s="15" cm="1">
        <f t="array" ref="AK20">+HLOOKUP($A$1,+[29]İcmal!$B$19:$AG$49,ROW(AB18)+1,FALSE)</f>
        <v>0</v>
      </c>
      <c r="AL20" s="15"/>
      <c r="AM20" s="15"/>
      <c r="AN20" s="15"/>
      <c r="AO20" s="15"/>
      <c r="AP20" s="15"/>
      <c r="AQ20" s="15"/>
      <c r="AR20" s="15"/>
      <c r="AS20" s="15"/>
      <c r="AT20" s="13"/>
    </row>
    <row r="21" spans="1:46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+HLOOKUP($A$1,+[2]İcmal!$B$19:$AG$49,ROW(A19)+1,FALSE)</f>
        <v>0</v>
      </c>
      <c r="K21" s="15" cm="1">
        <f t="array" ref="K21">+HLOOKUP($A$1,+[3]İcmal!$B$19:$AG$49,ROW(B19)+1,FALSE)</f>
        <v>0</v>
      </c>
      <c r="L21" s="15" cm="1">
        <f t="array" ref="L21">+HLOOKUP($A$1,+[4]İcmal!$B$19:$AG$49,ROW(C19)+1,FALSE)</f>
        <v>0</v>
      </c>
      <c r="M21" s="15" cm="1">
        <f t="array" ref="M21">+HLOOKUP($A$1,+[5]İcmal!$B$19:$AG$49,ROW(D19)+1,FALSE)</f>
        <v>0</v>
      </c>
      <c r="N21" s="15" cm="1">
        <f t="array" ref="N21">+HLOOKUP($A$1,+[6]İcmal!$B$19:$AG$49,ROW(E19)+1,FALSE)</f>
        <v>0</v>
      </c>
      <c r="O21" s="15" cm="1">
        <f t="array" ref="O21">+HLOOKUP($A$1,+[7]İcmal!$B$19:$AG$49,ROW(F19)+1,FALSE)</f>
        <v>0</v>
      </c>
      <c r="P21" s="15" cm="1">
        <f t="array" ref="P21">+HLOOKUP($A$1,+[8]İcmal!$B$19:$AG$49,ROW(G19)+1,FALSE)</f>
        <v>0</v>
      </c>
      <c r="Q21" s="15" cm="1">
        <f t="array" ref="Q21">+HLOOKUP($A$1,+[9]İcmal!$B$19:$AG$49,ROW(H19)+1,FALSE)</f>
        <v>0</v>
      </c>
      <c r="R21" s="15" cm="1">
        <f t="array" ref="R21">+HLOOKUP($A$1,+[10]İcmal!$B$19:$AG$49,ROW(I19)+1,FALSE)</f>
        <v>0</v>
      </c>
      <c r="S21" s="15" cm="1">
        <f t="array" ref="S21">+HLOOKUP($A$1,+[11]İcmal!$B$19:$AG$49,ROW(J19)+1,FALSE)</f>
        <v>0</v>
      </c>
      <c r="T21" s="15" cm="1">
        <f t="array" ref="T21">+HLOOKUP($A$1,+[12]İcmal!$B$19:$AG$49,ROW(K19)+1,FALSE)</f>
        <v>0</v>
      </c>
      <c r="U21" s="15" cm="1">
        <f t="array" ref="U21">+HLOOKUP($A$1,+[13]İcmal!$B$19:$AG$49,ROW(L19)+1,FALSE)</f>
        <v>0</v>
      </c>
      <c r="V21" s="15" cm="1">
        <f t="array" ref="V21">+HLOOKUP($A$1,+[14]İcmal!$B$19:$AG$49,ROW(M19)+1,FALSE)</f>
        <v>0</v>
      </c>
      <c r="W21" s="15" cm="1">
        <f t="array" ref="W21">+HLOOKUP($A$1,+[15]İcmal!$B$19:$AG$49,ROW(N19)+1,FALSE)</f>
        <v>0</v>
      </c>
      <c r="X21" s="15" cm="1">
        <f t="array" ref="X21">+HLOOKUP($A$1,+[16]İcmal!$B$19:$AG$49,ROW(O19)+1,FALSE)</f>
        <v>0</v>
      </c>
      <c r="Y21" s="15" cm="1">
        <f t="array" ref="Y21">+HLOOKUP($A$1,+[17]İcmal!$B$19:$AG$49,ROW(P19)+1,FALSE)</f>
        <v>0</v>
      </c>
      <c r="Z21" s="15" cm="1">
        <f t="array" ref="Z21">+HLOOKUP($A$1,+[18]İcmal!$B$19:$AG$49,ROW(Q19)+1,FALSE)</f>
        <v>0</v>
      </c>
      <c r="AA21" s="15" cm="1">
        <f t="array" ref="AA21">+HLOOKUP($A$1,+[19]İcmal!$B$19:$AG$49,ROW(R19)+1,FALSE)</f>
        <v>0</v>
      </c>
      <c r="AB21" s="15" cm="1">
        <f t="array" ref="AB21">+HLOOKUP($A$1,+[20]İcmal!$B$19:$AG$49,ROW(S19)+1,FALSE)</f>
        <v>0</v>
      </c>
      <c r="AC21" s="15" cm="1">
        <f t="array" ref="AC21">+HLOOKUP($A$1,+[21]İcmal!$B$19:$AG$49,ROW(T19)+1,FALSE)</f>
        <v>0</v>
      </c>
      <c r="AD21" s="15" cm="1">
        <f t="array" ref="AD21">+HLOOKUP($A$1,+[22]İcmal!$B$19:$AG$49,ROW(U19)+1,FALSE)</f>
        <v>0</v>
      </c>
      <c r="AE21" s="15" cm="1">
        <f t="array" ref="AE21">+HLOOKUP($A$1,+[23]İcmal!$B$19:$AG$49,ROW(V19)+1,FALSE)</f>
        <v>0</v>
      </c>
      <c r="AF21" s="15" cm="1">
        <f t="array" ref="AF21">+HLOOKUP($A$1,+[24]İcmal!$B$19:$AG$49,ROW(W19)+1,FALSE)</f>
        <v>0</v>
      </c>
      <c r="AG21" s="15" cm="1">
        <f t="array" ref="AG21">+HLOOKUP($A$1,+[25]İcmal!$B$19:$AG$49,ROW(X19)+1,FALSE)</f>
        <v>0</v>
      </c>
      <c r="AH21" s="15" cm="1">
        <f t="array" ref="AH21">+HLOOKUP($A$1,+[26]İcmal!$B$19:$AG$49,ROW(Y19)+1,FALSE)</f>
        <v>0</v>
      </c>
      <c r="AI21" s="15" cm="1">
        <f t="array" ref="AI21">+HLOOKUP($A$1,+[27]İcmal!$B$19:$AG$49,ROW(Z19)+1,FALSE)</f>
        <v>0</v>
      </c>
      <c r="AJ21" s="15" cm="1">
        <f t="array" ref="AJ21">+HLOOKUP($A$1,+[28]İcmal!$B$19:$AG$49,ROW(AA19)+1,FALSE)</f>
        <v>0</v>
      </c>
      <c r="AK21" s="15" cm="1">
        <f t="array" ref="AK21">+HLOOKUP($A$1,+[29]İcmal!$B$19:$AG$49,ROW(AB19)+1,FALSE)</f>
        <v>0</v>
      </c>
      <c r="AL21" s="15"/>
      <c r="AM21" s="15"/>
      <c r="AN21" s="15"/>
      <c r="AO21" s="15"/>
      <c r="AP21" s="15"/>
      <c r="AQ21" s="15"/>
      <c r="AR21" s="15"/>
      <c r="AS21" s="15"/>
      <c r="AT21" s="13"/>
    </row>
    <row r="22" spans="1:46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+HLOOKUP($A$1,+[2]İcmal!$B$19:$AG$49,ROW(A20)+1,FALSE)</f>
        <v>0</v>
      </c>
      <c r="K22" s="15" cm="1">
        <f t="array" ref="K22">+HLOOKUP($A$1,+[3]İcmal!$B$19:$AG$49,ROW(B20)+1,FALSE)</f>
        <v>0</v>
      </c>
      <c r="L22" s="15" cm="1">
        <f t="array" ref="L22">+HLOOKUP($A$1,+[4]İcmal!$B$19:$AG$49,ROW(C20)+1,FALSE)</f>
        <v>0</v>
      </c>
      <c r="M22" s="15" cm="1">
        <f t="array" ref="M22">+HLOOKUP($A$1,+[5]İcmal!$B$19:$AG$49,ROW(D20)+1,FALSE)</f>
        <v>0</v>
      </c>
      <c r="N22" s="15" cm="1">
        <f t="array" ref="N22">+HLOOKUP($A$1,+[6]İcmal!$B$19:$AG$49,ROW(E20)+1,FALSE)</f>
        <v>0</v>
      </c>
      <c r="O22" s="15" cm="1">
        <f t="array" ref="O22">+HLOOKUP($A$1,+[7]İcmal!$B$19:$AG$49,ROW(F20)+1,FALSE)</f>
        <v>0</v>
      </c>
      <c r="P22" s="15" cm="1">
        <f t="array" ref="P22">+HLOOKUP($A$1,+[8]İcmal!$B$19:$AG$49,ROW(G20)+1,FALSE)</f>
        <v>0</v>
      </c>
      <c r="Q22" s="15" cm="1">
        <f t="array" ref="Q22">+HLOOKUP($A$1,+[9]İcmal!$B$19:$AG$49,ROW(H20)+1,FALSE)</f>
        <v>0</v>
      </c>
      <c r="R22" s="15" cm="1">
        <f t="array" ref="R22">+HLOOKUP($A$1,+[10]İcmal!$B$19:$AG$49,ROW(I20)+1,FALSE)</f>
        <v>0</v>
      </c>
      <c r="S22" s="15" cm="1">
        <f t="array" ref="S22">+HLOOKUP($A$1,+[11]İcmal!$B$19:$AG$49,ROW(J20)+1,FALSE)</f>
        <v>0</v>
      </c>
      <c r="T22" s="15" cm="1">
        <f t="array" ref="T22">+HLOOKUP($A$1,+[12]İcmal!$B$19:$AG$49,ROW(K20)+1,FALSE)</f>
        <v>0</v>
      </c>
      <c r="U22" s="15" cm="1">
        <f t="array" ref="U22">+HLOOKUP($A$1,+[13]İcmal!$B$19:$AG$49,ROW(L20)+1,FALSE)</f>
        <v>0</v>
      </c>
      <c r="V22" s="15" cm="1">
        <f t="array" ref="V22">+HLOOKUP($A$1,+[14]İcmal!$B$19:$AG$49,ROW(M20)+1,FALSE)</f>
        <v>0</v>
      </c>
      <c r="W22" s="15" cm="1">
        <f t="array" ref="W22">+HLOOKUP($A$1,+[15]İcmal!$B$19:$AG$49,ROW(N20)+1,FALSE)</f>
        <v>0</v>
      </c>
      <c r="X22" s="15" cm="1">
        <f t="array" ref="X22">+HLOOKUP($A$1,+[16]İcmal!$B$19:$AG$49,ROW(O20)+1,FALSE)</f>
        <v>0</v>
      </c>
      <c r="Y22" s="15" cm="1">
        <f t="array" ref="Y22">+HLOOKUP($A$1,+[17]İcmal!$B$19:$AG$49,ROW(P20)+1,FALSE)</f>
        <v>0</v>
      </c>
      <c r="Z22" s="15" cm="1">
        <f t="array" ref="Z22">+HLOOKUP($A$1,+[18]İcmal!$B$19:$AG$49,ROW(Q20)+1,FALSE)</f>
        <v>0</v>
      </c>
      <c r="AA22" s="15" cm="1">
        <f t="array" ref="AA22">+HLOOKUP($A$1,+[19]İcmal!$B$19:$AG$49,ROW(R20)+1,FALSE)</f>
        <v>0</v>
      </c>
      <c r="AB22" s="15" cm="1">
        <f t="array" ref="AB22">+HLOOKUP($A$1,+[20]İcmal!$B$19:$AG$49,ROW(S20)+1,FALSE)</f>
        <v>0</v>
      </c>
      <c r="AC22" s="15" cm="1">
        <f t="array" ref="AC22">+HLOOKUP($A$1,+[21]İcmal!$B$19:$AG$49,ROW(T20)+1,FALSE)</f>
        <v>0</v>
      </c>
      <c r="AD22" s="15" cm="1">
        <f t="array" ref="AD22">+HLOOKUP($A$1,+[22]İcmal!$B$19:$AG$49,ROW(U20)+1,FALSE)</f>
        <v>0</v>
      </c>
      <c r="AE22" s="15" cm="1">
        <f t="array" ref="AE22">+HLOOKUP($A$1,+[23]İcmal!$B$19:$AG$49,ROW(V20)+1,FALSE)</f>
        <v>0</v>
      </c>
      <c r="AF22" s="15" cm="1">
        <f t="array" ref="AF22">+HLOOKUP($A$1,+[24]İcmal!$B$19:$AG$49,ROW(W20)+1,FALSE)</f>
        <v>0</v>
      </c>
      <c r="AG22" s="15" cm="1">
        <f t="array" ref="AG22">+HLOOKUP($A$1,+[25]İcmal!$B$19:$AG$49,ROW(X20)+1,FALSE)</f>
        <v>0</v>
      </c>
      <c r="AH22" s="15" cm="1">
        <f t="array" ref="AH22">+HLOOKUP($A$1,+[26]İcmal!$B$19:$AG$49,ROW(Y20)+1,FALSE)</f>
        <v>0</v>
      </c>
      <c r="AI22" s="15" cm="1">
        <f t="array" ref="AI22">+HLOOKUP($A$1,+[27]İcmal!$B$19:$AG$49,ROW(Z20)+1,FALSE)</f>
        <v>0</v>
      </c>
      <c r="AJ22" s="15" cm="1">
        <f t="array" ref="AJ22">+HLOOKUP($A$1,+[28]İcmal!$B$19:$AG$49,ROW(AA20)+1,FALSE)</f>
        <v>0</v>
      </c>
      <c r="AK22" s="15" cm="1">
        <f t="array" ref="AK22">+HLOOKUP($A$1,+[29]İcmal!$B$19:$AG$49,ROW(AB20)+1,FALSE)</f>
        <v>0</v>
      </c>
      <c r="AL22" s="15"/>
      <c r="AM22" s="15"/>
      <c r="AN22" s="15"/>
      <c r="AO22" s="15"/>
      <c r="AP22" s="15"/>
      <c r="AQ22" s="15"/>
      <c r="AR22" s="15"/>
      <c r="AS22" s="15"/>
      <c r="AT22" s="13"/>
    </row>
    <row r="23" spans="1:46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+HLOOKUP($A$1,+[2]İcmal!$B$19:$AG$49,ROW(A21)+1,FALSE)</f>
        <v>0</v>
      </c>
      <c r="K23" s="15" cm="1">
        <f t="array" ref="K23">+HLOOKUP($A$1,+[3]İcmal!$B$19:$AG$49,ROW(B21)+1,FALSE)</f>
        <v>0</v>
      </c>
      <c r="L23" s="15" cm="1">
        <f t="array" ref="L23">+HLOOKUP($A$1,+[4]İcmal!$B$19:$AG$49,ROW(C21)+1,FALSE)</f>
        <v>0</v>
      </c>
      <c r="M23" s="15" cm="1">
        <f t="array" ref="M23">+HLOOKUP($A$1,+[5]İcmal!$B$19:$AG$49,ROW(D21)+1,FALSE)</f>
        <v>0</v>
      </c>
      <c r="N23" s="15" cm="1">
        <f t="array" ref="N23">+HLOOKUP($A$1,+[6]İcmal!$B$19:$AG$49,ROW(E21)+1,FALSE)</f>
        <v>0</v>
      </c>
      <c r="O23" s="15" cm="1">
        <f t="array" ref="O23">+HLOOKUP($A$1,+[7]İcmal!$B$19:$AG$49,ROW(F21)+1,FALSE)</f>
        <v>0</v>
      </c>
      <c r="P23" s="15" cm="1">
        <f t="array" ref="P23">+HLOOKUP($A$1,+[8]İcmal!$B$19:$AG$49,ROW(G21)+1,FALSE)</f>
        <v>0</v>
      </c>
      <c r="Q23" s="15" cm="1">
        <f t="array" ref="Q23">+HLOOKUP($A$1,+[9]İcmal!$B$19:$AG$49,ROW(H21)+1,FALSE)</f>
        <v>0</v>
      </c>
      <c r="R23" s="15" cm="1">
        <f t="array" ref="R23">+HLOOKUP($A$1,+[10]İcmal!$B$19:$AG$49,ROW(I21)+1,FALSE)</f>
        <v>0</v>
      </c>
      <c r="S23" s="15" cm="1">
        <f t="array" ref="S23">+HLOOKUP($A$1,+[11]İcmal!$B$19:$AG$49,ROW(J21)+1,FALSE)</f>
        <v>0</v>
      </c>
      <c r="T23" s="15" cm="1">
        <f t="array" ref="T23">+HLOOKUP($A$1,+[12]İcmal!$B$19:$AG$49,ROW(K21)+1,FALSE)</f>
        <v>0</v>
      </c>
      <c r="U23" s="15" cm="1">
        <f t="array" ref="U23">+HLOOKUP($A$1,+[13]İcmal!$B$19:$AG$49,ROW(L21)+1,FALSE)</f>
        <v>0</v>
      </c>
      <c r="V23" s="15" cm="1">
        <f t="array" ref="V23">+HLOOKUP($A$1,+[14]İcmal!$B$19:$AG$49,ROW(M21)+1,FALSE)</f>
        <v>0</v>
      </c>
      <c r="W23" s="15" cm="1">
        <f t="array" ref="W23">+HLOOKUP($A$1,+[15]İcmal!$B$19:$AG$49,ROW(N21)+1,FALSE)</f>
        <v>0</v>
      </c>
      <c r="X23" s="15" cm="1">
        <f t="array" ref="X23">+HLOOKUP($A$1,+[16]İcmal!$B$19:$AG$49,ROW(O21)+1,FALSE)</f>
        <v>0</v>
      </c>
      <c r="Y23" s="15" cm="1">
        <f t="array" ref="Y23">+HLOOKUP($A$1,+[17]İcmal!$B$19:$AG$49,ROW(P21)+1,FALSE)</f>
        <v>0</v>
      </c>
      <c r="Z23" s="15" cm="1">
        <f t="array" ref="Z23">+HLOOKUP($A$1,+[18]İcmal!$B$19:$AG$49,ROW(Q21)+1,FALSE)</f>
        <v>0</v>
      </c>
      <c r="AA23" s="15" cm="1">
        <f t="array" ref="AA23">+HLOOKUP($A$1,+[19]İcmal!$B$19:$AG$49,ROW(R21)+1,FALSE)</f>
        <v>0</v>
      </c>
      <c r="AB23" s="15" cm="1">
        <f t="array" ref="AB23">+HLOOKUP($A$1,+[20]İcmal!$B$19:$AG$49,ROW(S21)+1,FALSE)</f>
        <v>0</v>
      </c>
      <c r="AC23" s="15" cm="1">
        <f t="array" ref="AC23">+HLOOKUP($A$1,+[21]İcmal!$B$19:$AG$49,ROW(T21)+1,FALSE)</f>
        <v>0</v>
      </c>
      <c r="AD23" s="15" cm="1">
        <f t="array" ref="AD23">+HLOOKUP($A$1,+[22]İcmal!$B$19:$AG$49,ROW(U21)+1,FALSE)</f>
        <v>0</v>
      </c>
      <c r="AE23" s="15" cm="1">
        <f t="array" ref="AE23">+HLOOKUP($A$1,+[23]İcmal!$B$19:$AG$49,ROW(V21)+1,FALSE)</f>
        <v>0</v>
      </c>
      <c r="AF23" s="15" cm="1">
        <f t="array" ref="AF23">+HLOOKUP($A$1,+[24]İcmal!$B$19:$AG$49,ROW(W21)+1,FALSE)</f>
        <v>0</v>
      </c>
      <c r="AG23" s="15" cm="1">
        <f t="array" ref="AG23">+HLOOKUP($A$1,+[25]İcmal!$B$19:$AG$49,ROW(X21)+1,FALSE)</f>
        <v>0</v>
      </c>
      <c r="AH23" s="15" cm="1">
        <f t="array" ref="AH23">+HLOOKUP($A$1,+[26]İcmal!$B$19:$AG$49,ROW(Y21)+1,FALSE)</f>
        <v>0</v>
      </c>
      <c r="AI23" s="15" cm="1">
        <f t="array" ref="AI23">+HLOOKUP($A$1,+[27]İcmal!$B$19:$AG$49,ROW(Z21)+1,FALSE)</f>
        <v>0</v>
      </c>
      <c r="AJ23" s="15" cm="1">
        <f t="array" ref="AJ23">+HLOOKUP($A$1,+[28]İcmal!$B$19:$AG$49,ROW(AA21)+1,FALSE)</f>
        <v>0</v>
      </c>
      <c r="AK23" s="15" cm="1">
        <f t="array" ref="AK23">+HLOOKUP($A$1,+[29]İcmal!$B$19:$AG$49,ROW(AB21)+1,FALSE)</f>
        <v>0</v>
      </c>
      <c r="AL23" s="15"/>
      <c r="AM23" s="15"/>
      <c r="AN23" s="15"/>
      <c r="AO23" s="15"/>
      <c r="AP23" s="15"/>
      <c r="AQ23" s="15"/>
      <c r="AR23" s="15"/>
      <c r="AS23" s="15"/>
      <c r="AT23" s="13"/>
    </row>
    <row r="24" spans="1:46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+HLOOKUP($A$1,+[2]İcmal!$B$19:$AG$49,ROW(A22)+1,FALSE)</f>
        <v>0</v>
      </c>
      <c r="K24" s="15" cm="1">
        <f t="array" ref="K24">+HLOOKUP($A$1,+[3]İcmal!$B$19:$AG$49,ROW(B22)+1,FALSE)</f>
        <v>0</v>
      </c>
      <c r="L24" s="15" cm="1">
        <f t="array" ref="L24">+HLOOKUP($A$1,+[4]İcmal!$B$19:$AG$49,ROW(C22)+1,FALSE)</f>
        <v>0</v>
      </c>
      <c r="M24" s="15" cm="1">
        <f t="array" ref="M24">+HLOOKUP($A$1,+[5]İcmal!$B$19:$AG$49,ROW(D22)+1,FALSE)</f>
        <v>0</v>
      </c>
      <c r="N24" s="15" cm="1">
        <f t="array" ref="N24">+HLOOKUP($A$1,+[6]İcmal!$B$19:$AG$49,ROW(E22)+1,FALSE)</f>
        <v>0</v>
      </c>
      <c r="O24" s="15" cm="1">
        <f t="array" ref="O24">+HLOOKUP($A$1,+[7]İcmal!$B$19:$AG$49,ROW(F22)+1,FALSE)</f>
        <v>0</v>
      </c>
      <c r="P24" s="15" cm="1">
        <f t="array" ref="P24">+HLOOKUP($A$1,+[8]İcmal!$B$19:$AG$49,ROW(G22)+1,FALSE)</f>
        <v>0</v>
      </c>
      <c r="Q24" s="15" cm="1">
        <f t="array" ref="Q24">+HLOOKUP($A$1,+[9]İcmal!$B$19:$AG$49,ROW(H22)+1,FALSE)</f>
        <v>0</v>
      </c>
      <c r="R24" s="15" cm="1">
        <f t="array" ref="R24">+HLOOKUP($A$1,+[10]İcmal!$B$19:$AG$49,ROW(I22)+1,FALSE)</f>
        <v>0</v>
      </c>
      <c r="S24" s="15" cm="1">
        <f t="array" ref="S24">+HLOOKUP($A$1,+[11]İcmal!$B$19:$AG$49,ROW(J22)+1,FALSE)</f>
        <v>0</v>
      </c>
      <c r="T24" s="15" cm="1">
        <f t="array" ref="T24">+HLOOKUP($A$1,+[12]İcmal!$B$19:$AG$49,ROW(K22)+1,FALSE)</f>
        <v>0</v>
      </c>
      <c r="U24" s="15" cm="1">
        <f t="array" ref="U24">+HLOOKUP($A$1,+[13]İcmal!$B$19:$AG$49,ROW(L22)+1,FALSE)</f>
        <v>0</v>
      </c>
      <c r="V24" s="15" cm="1">
        <f t="array" ref="V24">+HLOOKUP($A$1,+[14]İcmal!$B$19:$AG$49,ROW(M22)+1,FALSE)</f>
        <v>0</v>
      </c>
      <c r="W24" s="15" cm="1">
        <f t="array" ref="W24">+HLOOKUP($A$1,+[15]İcmal!$B$19:$AG$49,ROW(N22)+1,FALSE)</f>
        <v>0</v>
      </c>
      <c r="X24" s="15" cm="1">
        <f t="array" ref="X24">+HLOOKUP($A$1,+[16]İcmal!$B$19:$AG$49,ROW(O22)+1,FALSE)</f>
        <v>0</v>
      </c>
      <c r="Y24" s="15" cm="1">
        <f t="array" ref="Y24">+HLOOKUP($A$1,+[17]İcmal!$B$19:$AG$49,ROW(P22)+1,FALSE)</f>
        <v>0</v>
      </c>
      <c r="Z24" s="15" cm="1">
        <f t="array" ref="Z24">+HLOOKUP($A$1,+[18]İcmal!$B$19:$AG$49,ROW(Q22)+1,FALSE)</f>
        <v>0</v>
      </c>
      <c r="AA24" s="15" cm="1">
        <f t="array" ref="AA24">+HLOOKUP($A$1,+[19]İcmal!$B$19:$AG$49,ROW(R22)+1,FALSE)</f>
        <v>0</v>
      </c>
      <c r="AB24" s="15" cm="1">
        <f t="array" ref="AB24">+HLOOKUP($A$1,+[20]İcmal!$B$19:$AG$49,ROW(S22)+1,FALSE)</f>
        <v>0</v>
      </c>
      <c r="AC24" s="15" cm="1">
        <f t="array" ref="AC24">+HLOOKUP($A$1,+[21]İcmal!$B$19:$AG$49,ROW(T22)+1,FALSE)</f>
        <v>0</v>
      </c>
      <c r="AD24" s="15" cm="1">
        <f t="array" ref="AD24">+HLOOKUP($A$1,+[22]İcmal!$B$19:$AG$49,ROW(U22)+1,FALSE)</f>
        <v>0</v>
      </c>
      <c r="AE24" s="15" cm="1">
        <f t="array" ref="AE24">+HLOOKUP($A$1,+[23]İcmal!$B$19:$AG$49,ROW(V22)+1,FALSE)</f>
        <v>0</v>
      </c>
      <c r="AF24" s="15" cm="1">
        <f t="array" ref="AF24">+HLOOKUP($A$1,+[24]İcmal!$B$19:$AG$49,ROW(W22)+1,FALSE)</f>
        <v>0</v>
      </c>
      <c r="AG24" s="15" cm="1">
        <f t="array" ref="AG24">+HLOOKUP($A$1,+[25]İcmal!$B$19:$AG$49,ROW(X22)+1,FALSE)</f>
        <v>0</v>
      </c>
      <c r="AH24" s="15" cm="1">
        <f t="array" ref="AH24">+HLOOKUP($A$1,+[26]İcmal!$B$19:$AG$49,ROW(Y22)+1,FALSE)</f>
        <v>0</v>
      </c>
      <c r="AI24" s="15" cm="1">
        <f t="array" ref="AI24">+HLOOKUP($A$1,+[27]İcmal!$B$19:$AG$49,ROW(Z22)+1,FALSE)</f>
        <v>0</v>
      </c>
      <c r="AJ24" s="15" cm="1">
        <f t="array" ref="AJ24">+HLOOKUP($A$1,+[28]İcmal!$B$19:$AG$49,ROW(AA22)+1,FALSE)</f>
        <v>0</v>
      </c>
      <c r="AK24" s="15" cm="1">
        <f t="array" ref="AK24">+HLOOKUP($A$1,+[29]İcmal!$B$19:$AG$49,ROW(AB22)+1,FALSE)</f>
        <v>0</v>
      </c>
      <c r="AL24" s="15"/>
      <c r="AM24" s="15"/>
      <c r="AN24" s="15"/>
      <c r="AO24" s="15"/>
      <c r="AP24" s="15"/>
      <c r="AQ24" s="15"/>
      <c r="AR24" s="15"/>
      <c r="AS24" s="15"/>
      <c r="AT24" s="13"/>
    </row>
    <row r="25" spans="1:46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+HLOOKUP($A$1,+[2]İcmal!$B$19:$AG$49,ROW(A23)+1,FALSE)</f>
        <v>0</v>
      </c>
      <c r="K25" s="15" cm="1">
        <f t="array" ref="K25">+HLOOKUP($A$1,+[3]İcmal!$B$19:$AG$49,ROW(B23)+1,FALSE)</f>
        <v>0</v>
      </c>
      <c r="L25" s="15" cm="1">
        <f t="array" ref="L25">+HLOOKUP($A$1,+[4]İcmal!$B$19:$AG$49,ROW(C23)+1,FALSE)</f>
        <v>0</v>
      </c>
      <c r="M25" s="15" cm="1">
        <f t="array" ref="M25">+HLOOKUP($A$1,+[5]İcmal!$B$19:$AG$49,ROW(D23)+1,FALSE)</f>
        <v>0</v>
      </c>
      <c r="N25" s="15" cm="1">
        <f t="array" ref="N25">+HLOOKUP($A$1,+[6]İcmal!$B$19:$AG$49,ROW(E23)+1,FALSE)</f>
        <v>0</v>
      </c>
      <c r="O25" s="15" cm="1">
        <f t="array" ref="O25">+HLOOKUP($A$1,+[7]İcmal!$B$19:$AG$49,ROW(F23)+1,FALSE)</f>
        <v>0</v>
      </c>
      <c r="P25" s="15" cm="1">
        <f t="array" ref="P25">+HLOOKUP($A$1,+[8]İcmal!$B$19:$AG$49,ROW(G23)+1,FALSE)</f>
        <v>0</v>
      </c>
      <c r="Q25" s="15" cm="1">
        <f t="array" ref="Q25">+HLOOKUP($A$1,+[9]İcmal!$B$19:$AG$49,ROW(H23)+1,FALSE)</f>
        <v>0</v>
      </c>
      <c r="R25" s="15" cm="1">
        <f t="array" ref="R25">+HLOOKUP($A$1,+[10]İcmal!$B$19:$AG$49,ROW(I23)+1,FALSE)</f>
        <v>0</v>
      </c>
      <c r="S25" s="15" cm="1">
        <f t="array" ref="S25">+HLOOKUP($A$1,+[11]İcmal!$B$19:$AG$49,ROW(J23)+1,FALSE)</f>
        <v>0</v>
      </c>
      <c r="T25" s="15" cm="1">
        <f t="array" ref="T25">+HLOOKUP($A$1,+[12]İcmal!$B$19:$AG$49,ROW(K23)+1,FALSE)</f>
        <v>0</v>
      </c>
      <c r="U25" s="15" cm="1">
        <f t="array" ref="U25">+HLOOKUP($A$1,+[13]İcmal!$B$19:$AG$49,ROW(L23)+1,FALSE)</f>
        <v>0</v>
      </c>
      <c r="V25" s="15" cm="1">
        <f t="array" ref="V25">+HLOOKUP($A$1,+[14]İcmal!$B$19:$AG$49,ROW(M23)+1,FALSE)</f>
        <v>0</v>
      </c>
      <c r="W25" s="15" cm="1">
        <f t="array" ref="W25">+HLOOKUP($A$1,+[15]İcmal!$B$19:$AG$49,ROW(N23)+1,FALSE)</f>
        <v>0</v>
      </c>
      <c r="X25" s="15" cm="1">
        <f t="array" ref="X25">+HLOOKUP($A$1,+[16]İcmal!$B$19:$AG$49,ROW(O23)+1,FALSE)</f>
        <v>0</v>
      </c>
      <c r="Y25" s="15" cm="1">
        <f t="array" ref="Y25">+HLOOKUP($A$1,+[17]İcmal!$B$19:$AG$49,ROW(P23)+1,FALSE)</f>
        <v>0</v>
      </c>
      <c r="Z25" s="15" cm="1">
        <f t="array" ref="Z25">+HLOOKUP($A$1,+[18]İcmal!$B$19:$AG$49,ROW(Q23)+1,FALSE)</f>
        <v>0</v>
      </c>
      <c r="AA25" s="15" cm="1">
        <f t="array" ref="AA25">+HLOOKUP($A$1,+[19]İcmal!$B$19:$AG$49,ROW(R23)+1,FALSE)</f>
        <v>0</v>
      </c>
      <c r="AB25" s="15" cm="1">
        <f t="array" ref="AB25">+HLOOKUP($A$1,+[20]İcmal!$B$19:$AG$49,ROW(S23)+1,FALSE)</f>
        <v>0</v>
      </c>
      <c r="AC25" s="15" cm="1">
        <f t="array" ref="AC25">+HLOOKUP($A$1,+[21]İcmal!$B$19:$AG$49,ROW(T23)+1,FALSE)</f>
        <v>0</v>
      </c>
      <c r="AD25" s="15" cm="1">
        <f t="array" ref="AD25">+HLOOKUP($A$1,+[22]İcmal!$B$19:$AG$49,ROW(U23)+1,FALSE)</f>
        <v>0</v>
      </c>
      <c r="AE25" s="15" cm="1">
        <f t="array" ref="AE25">+HLOOKUP($A$1,+[23]İcmal!$B$19:$AG$49,ROW(V23)+1,FALSE)</f>
        <v>0</v>
      </c>
      <c r="AF25" s="15" cm="1">
        <f t="array" ref="AF25">+HLOOKUP($A$1,+[24]İcmal!$B$19:$AG$49,ROW(W23)+1,FALSE)</f>
        <v>0</v>
      </c>
      <c r="AG25" s="15" cm="1">
        <f t="array" ref="AG25">+HLOOKUP($A$1,+[25]İcmal!$B$19:$AG$49,ROW(X23)+1,FALSE)</f>
        <v>0</v>
      </c>
      <c r="AH25" s="15" cm="1">
        <f t="array" ref="AH25">+HLOOKUP($A$1,+[26]İcmal!$B$19:$AG$49,ROW(Y23)+1,FALSE)</f>
        <v>0</v>
      </c>
      <c r="AI25" s="15" cm="1">
        <f t="array" ref="AI25">+HLOOKUP($A$1,+[27]İcmal!$B$19:$AG$49,ROW(Z23)+1,FALSE)</f>
        <v>0</v>
      </c>
      <c r="AJ25" s="15" cm="1">
        <f t="array" ref="AJ25">+HLOOKUP($A$1,+[28]İcmal!$B$19:$AG$49,ROW(AA23)+1,FALSE)</f>
        <v>0</v>
      </c>
      <c r="AK25" s="15" cm="1">
        <f t="array" ref="AK25">+HLOOKUP($A$1,+[29]İcmal!$B$19:$AG$49,ROW(AB23)+1,FALSE)</f>
        <v>0</v>
      </c>
      <c r="AL25" s="15"/>
      <c r="AM25" s="15"/>
      <c r="AN25" s="15"/>
      <c r="AO25" s="15"/>
      <c r="AP25" s="15"/>
      <c r="AQ25" s="15"/>
      <c r="AR25" s="15"/>
      <c r="AS25" s="15"/>
      <c r="AT25" s="13"/>
    </row>
    <row r="26" spans="1:46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+HLOOKUP($A$1,+[2]İcmal!$B$19:$AG$49,ROW(A24)+1,FALSE)</f>
        <v>0</v>
      </c>
      <c r="K26" s="15" cm="1">
        <f t="array" ref="K26">+HLOOKUP($A$1,+[3]İcmal!$B$19:$AG$49,ROW(B24)+1,FALSE)</f>
        <v>0</v>
      </c>
      <c r="L26" s="15" cm="1">
        <f t="array" ref="L26">+HLOOKUP($A$1,+[4]İcmal!$B$19:$AG$49,ROW(C24)+1,FALSE)</f>
        <v>0</v>
      </c>
      <c r="M26" s="15" cm="1">
        <f t="array" ref="M26">+HLOOKUP($A$1,+[5]İcmal!$B$19:$AG$49,ROW(D24)+1,FALSE)</f>
        <v>0</v>
      </c>
      <c r="N26" s="15" cm="1">
        <f t="array" ref="N26">+HLOOKUP($A$1,+[6]İcmal!$B$19:$AG$49,ROW(E24)+1,FALSE)</f>
        <v>0</v>
      </c>
      <c r="O26" s="15" cm="1">
        <f t="array" ref="O26">+HLOOKUP($A$1,+[7]İcmal!$B$19:$AG$49,ROW(F24)+1,FALSE)</f>
        <v>0</v>
      </c>
      <c r="P26" s="15" cm="1">
        <f t="array" ref="P26">+HLOOKUP($A$1,+[8]İcmal!$B$19:$AG$49,ROW(G24)+1,FALSE)</f>
        <v>0</v>
      </c>
      <c r="Q26" s="15" cm="1">
        <f t="array" ref="Q26">+HLOOKUP($A$1,+[9]İcmal!$B$19:$AG$49,ROW(H24)+1,FALSE)</f>
        <v>0</v>
      </c>
      <c r="R26" s="15" cm="1">
        <f t="array" ref="R26">+HLOOKUP($A$1,+[10]İcmal!$B$19:$AG$49,ROW(I24)+1,FALSE)</f>
        <v>0</v>
      </c>
      <c r="S26" s="15" cm="1">
        <f t="array" ref="S26">+HLOOKUP($A$1,+[11]İcmal!$B$19:$AG$49,ROW(J24)+1,FALSE)</f>
        <v>0</v>
      </c>
      <c r="T26" s="15" cm="1">
        <f t="array" ref="T26">+HLOOKUP($A$1,+[12]İcmal!$B$19:$AG$49,ROW(K24)+1,FALSE)</f>
        <v>0</v>
      </c>
      <c r="U26" s="15" cm="1">
        <f t="array" ref="U26">+HLOOKUP($A$1,+[13]İcmal!$B$19:$AG$49,ROW(L24)+1,FALSE)</f>
        <v>0</v>
      </c>
      <c r="V26" s="15" cm="1">
        <f t="array" ref="V26">+HLOOKUP($A$1,+[14]İcmal!$B$19:$AG$49,ROW(M24)+1,FALSE)</f>
        <v>0</v>
      </c>
      <c r="W26" s="15" cm="1">
        <f t="array" ref="W26">+HLOOKUP($A$1,+[15]İcmal!$B$19:$AG$49,ROW(N24)+1,FALSE)</f>
        <v>0</v>
      </c>
      <c r="X26" s="15" cm="1">
        <f t="array" ref="X26">+HLOOKUP($A$1,+[16]İcmal!$B$19:$AG$49,ROW(O24)+1,FALSE)</f>
        <v>0</v>
      </c>
      <c r="Y26" s="15" cm="1">
        <f t="array" ref="Y26">+HLOOKUP($A$1,+[17]İcmal!$B$19:$AG$49,ROW(P24)+1,FALSE)</f>
        <v>0</v>
      </c>
      <c r="Z26" s="15" cm="1">
        <f t="array" ref="Z26">+HLOOKUP($A$1,+[18]İcmal!$B$19:$AG$49,ROW(Q24)+1,FALSE)</f>
        <v>0</v>
      </c>
      <c r="AA26" s="15" cm="1">
        <f t="array" ref="AA26">+HLOOKUP($A$1,+[19]İcmal!$B$19:$AG$49,ROW(R24)+1,FALSE)</f>
        <v>0</v>
      </c>
      <c r="AB26" s="15" cm="1">
        <f t="array" ref="AB26">+HLOOKUP($A$1,+[20]İcmal!$B$19:$AG$49,ROW(S24)+1,FALSE)</f>
        <v>0</v>
      </c>
      <c r="AC26" s="15" cm="1">
        <f t="array" ref="AC26">+HLOOKUP($A$1,+[21]İcmal!$B$19:$AG$49,ROW(T24)+1,FALSE)</f>
        <v>0</v>
      </c>
      <c r="AD26" s="15" cm="1">
        <f t="array" ref="AD26">+HLOOKUP($A$1,+[22]İcmal!$B$19:$AG$49,ROW(U24)+1,FALSE)</f>
        <v>0</v>
      </c>
      <c r="AE26" s="15" cm="1">
        <f t="array" ref="AE26">+HLOOKUP($A$1,+[23]İcmal!$B$19:$AG$49,ROW(V24)+1,FALSE)</f>
        <v>0</v>
      </c>
      <c r="AF26" s="15" cm="1">
        <f t="array" ref="AF26">+HLOOKUP($A$1,+[24]İcmal!$B$19:$AG$49,ROW(W24)+1,FALSE)</f>
        <v>0</v>
      </c>
      <c r="AG26" s="15" cm="1">
        <f t="array" ref="AG26">+HLOOKUP($A$1,+[25]İcmal!$B$19:$AG$49,ROW(X24)+1,FALSE)</f>
        <v>0</v>
      </c>
      <c r="AH26" s="15" cm="1">
        <f t="array" ref="AH26">+HLOOKUP($A$1,+[26]İcmal!$B$19:$AG$49,ROW(Y24)+1,FALSE)</f>
        <v>0</v>
      </c>
      <c r="AI26" s="15" cm="1">
        <f t="array" ref="AI26">+HLOOKUP($A$1,+[27]İcmal!$B$19:$AG$49,ROW(Z24)+1,FALSE)</f>
        <v>0</v>
      </c>
      <c r="AJ26" s="15" cm="1">
        <f t="array" ref="AJ26">+HLOOKUP($A$1,+[28]İcmal!$B$19:$AG$49,ROW(AA24)+1,FALSE)</f>
        <v>0</v>
      </c>
      <c r="AK26" s="15" cm="1">
        <f t="array" ref="AK26">+HLOOKUP($A$1,+[29]İcmal!$B$19:$AG$49,ROW(AB24)+1,FALSE)</f>
        <v>0</v>
      </c>
      <c r="AL26" s="15"/>
      <c r="AM26" s="15"/>
      <c r="AN26" s="15"/>
      <c r="AO26" s="15"/>
      <c r="AP26" s="15"/>
      <c r="AQ26" s="15"/>
      <c r="AR26" s="15"/>
      <c r="AS26" s="15"/>
      <c r="AT26" s="13"/>
    </row>
    <row r="27" spans="1:46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+HLOOKUP($A$1,+[2]İcmal!$B$19:$AG$49,ROW(A25)+1,FALSE)</f>
        <v>0</v>
      </c>
      <c r="K27" s="15" cm="1">
        <f t="array" ref="K27">+HLOOKUP($A$1,+[3]İcmal!$B$19:$AG$49,ROW(B25)+1,FALSE)</f>
        <v>0</v>
      </c>
      <c r="L27" s="15" cm="1">
        <f t="array" ref="L27">+HLOOKUP($A$1,+[4]İcmal!$B$19:$AG$49,ROW(C25)+1,FALSE)</f>
        <v>0</v>
      </c>
      <c r="M27" s="15" cm="1">
        <f t="array" ref="M27">+HLOOKUP($A$1,+[5]İcmal!$B$19:$AG$49,ROW(D25)+1,FALSE)</f>
        <v>0</v>
      </c>
      <c r="N27" s="15" cm="1">
        <f t="array" ref="N27">+HLOOKUP($A$1,+[6]İcmal!$B$19:$AG$49,ROW(E25)+1,FALSE)</f>
        <v>0</v>
      </c>
      <c r="O27" s="15" cm="1">
        <f t="array" ref="O27">+HLOOKUP($A$1,+[7]İcmal!$B$19:$AG$49,ROW(F25)+1,FALSE)</f>
        <v>0</v>
      </c>
      <c r="P27" s="15" cm="1">
        <f t="array" ref="P27">+HLOOKUP($A$1,+[8]İcmal!$B$19:$AG$49,ROW(G25)+1,FALSE)</f>
        <v>0</v>
      </c>
      <c r="Q27" s="15" cm="1">
        <f t="array" ref="Q27">+HLOOKUP($A$1,+[9]İcmal!$B$19:$AG$49,ROW(H25)+1,FALSE)</f>
        <v>0</v>
      </c>
      <c r="R27" s="15" cm="1">
        <f t="array" ref="R27">+HLOOKUP($A$1,+[10]İcmal!$B$19:$AG$49,ROW(I25)+1,FALSE)</f>
        <v>0</v>
      </c>
      <c r="S27" s="15" cm="1">
        <f t="array" ref="S27">+HLOOKUP($A$1,+[11]İcmal!$B$19:$AG$49,ROW(J25)+1,FALSE)</f>
        <v>0</v>
      </c>
      <c r="T27" s="15" cm="1">
        <f t="array" ref="T27">+HLOOKUP($A$1,+[12]İcmal!$B$19:$AG$49,ROW(K25)+1,FALSE)</f>
        <v>0</v>
      </c>
      <c r="U27" s="15" cm="1">
        <f t="array" ref="U27">+HLOOKUP($A$1,+[13]İcmal!$B$19:$AG$49,ROW(L25)+1,FALSE)</f>
        <v>0</v>
      </c>
      <c r="V27" s="15" cm="1">
        <f t="array" ref="V27">+HLOOKUP($A$1,+[14]İcmal!$B$19:$AG$49,ROW(M25)+1,FALSE)</f>
        <v>0</v>
      </c>
      <c r="W27" s="15" cm="1">
        <f t="array" ref="W27">+HLOOKUP($A$1,+[15]İcmal!$B$19:$AG$49,ROW(N25)+1,FALSE)</f>
        <v>0</v>
      </c>
      <c r="X27" s="15" cm="1">
        <f t="array" ref="X27">+HLOOKUP($A$1,+[16]İcmal!$B$19:$AG$49,ROW(O25)+1,FALSE)</f>
        <v>0</v>
      </c>
      <c r="Y27" s="15" cm="1">
        <f t="array" ref="Y27">+HLOOKUP($A$1,+[17]İcmal!$B$19:$AG$49,ROW(P25)+1,FALSE)</f>
        <v>0</v>
      </c>
      <c r="Z27" s="15" cm="1">
        <f t="array" ref="Z27">+HLOOKUP($A$1,+[18]İcmal!$B$19:$AG$49,ROW(Q25)+1,FALSE)</f>
        <v>0</v>
      </c>
      <c r="AA27" s="15" cm="1">
        <f t="array" ref="AA27">+HLOOKUP($A$1,+[19]İcmal!$B$19:$AG$49,ROW(R25)+1,FALSE)</f>
        <v>0</v>
      </c>
      <c r="AB27" s="15" cm="1">
        <f t="array" ref="AB27">+HLOOKUP($A$1,+[20]İcmal!$B$19:$AG$49,ROW(S25)+1,FALSE)</f>
        <v>0</v>
      </c>
      <c r="AC27" s="15" cm="1">
        <f t="array" ref="AC27">+HLOOKUP($A$1,+[21]İcmal!$B$19:$AG$49,ROW(T25)+1,FALSE)</f>
        <v>0</v>
      </c>
      <c r="AD27" s="15" cm="1">
        <f t="array" ref="AD27">+HLOOKUP($A$1,+[22]İcmal!$B$19:$AG$49,ROW(U25)+1,FALSE)</f>
        <v>0</v>
      </c>
      <c r="AE27" s="15" cm="1">
        <f t="array" ref="AE27">+HLOOKUP($A$1,+[23]İcmal!$B$19:$AG$49,ROW(V25)+1,FALSE)</f>
        <v>0</v>
      </c>
      <c r="AF27" s="15" cm="1">
        <f t="array" ref="AF27">+HLOOKUP($A$1,+[24]İcmal!$B$19:$AG$49,ROW(W25)+1,FALSE)</f>
        <v>0</v>
      </c>
      <c r="AG27" s="15" cm="1">
        <f t="array" ref="AG27">+HLOOKUP($A$1,+[25]İcmal!$B$19:$AG$49,ROW(X25)+1,FALSE)</f>
        <v>0</v>
      </c>
      <c r="AH27" s="15" cm="1">
        <f t="array" ref="AH27">+HLOOKUP($A$1,+[26]İcmal!$B$19:$AG$49,ROW(Y25)+1,FALSE)</f>
        <v>0</v>
      </c>
      <c r="AI27" s="15" cm="1">
        <f t="array" ref="AI27">+HLOOKUP($A$1,+[27]İcmal!$B$19:$AG$49,ROW(Z25)+1,FALSE)</f>
        <v>0</v>
      </c>
      <c r="AJ27" s="15" cm="1">
        <f t="array" ref="AJ27">+HLOOKUP($A$1,+[28]İcmal!$B$19:$AG$49,ROW(AA25)+1,FALSE)</f>
        <v>0</v>
      </c>
      <c r="AK27" s="15" cm="1">
        <f t="array" ref="AK27">+HLOOKUP($A$1,+[29]İcmal!$B$19:$AG$49,ROW(AB25)+1,FALSE)</f>
        <v>0</v>
      </c>
      <c r="AL27" s="15"/>
      <c r="AM27" s="15"/>
      <c r="AN27" s="15"/>
      <c r="AO27" s="15"/>
      <c r="AP27" s="15"/>
      <c r="AQ27" s="15"/>
      <c r="AR27" s="15"/>
      <c r="AS27" s="15"/>
      <c r="AT27" s="13"/>
    </row>
    <row r="28" spans="1:46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0</v>
      </c>
      <c r="I28" s="9">
        <f t="shared" si="2"/>
        <v>0</v>
      </c>
      <c r="J28" s="15" cm="1">
        <f t="array" ref="J28">+HLOOKUP($A$1,+[2]İcmal!$B$19:$AG$49,ROW(A26)+1,FALSE)</f>
        <v>0</v>
      </c>
      <c r="K28" s="15" cm="1">
        <f t="array" ref="K28">+HLOOKUP($A$1,+[3]İcmal!$B$19:$AG$49,ROW(B26)+1,FALSE)</f>
        <v>0</v>
      </c>
      <c r="L28" s="15" cm="1">
        <f t="array" ref="L28">+HLOOKUP($A$1,+[4]İcmal!$B$19:$AG$49,ROW(C26)+1,FALSE)</f>
        <v>0</v>
      </c>
      <c r="M28" s="15" cm="1">
        <f t="array" ref="M28">+HLOOKUP($A$1,+[5]İcmal!$B$19:$AG$49,ROW(D26)+1,FALSE)</f>
        <v>0</v>
      </c>
      <c r="N28" s="15" cm="1">
        <f t="array" ref="N28">+HLOOKUP($A$1,+[6]İcmal!$B$19:$AG$49,ROW(E26)+1,FALSE)</f>
        <v>0</v>
      </c>
      <c r="O28" s="15" cm="1">
        <f t="array" ref="O28">+HLOOKUP($A$1,+[7]İcmal!$B$19:$AG$49,ROW(F26)+1,FALSE)</f>
        <v>0</v>
      </c>
      <c r="P28" s="15" cm="1">
        <f t="array" ref="P28">+HLOOKUP($A$1,+[8]İcmal!$B$19:$AG$49,ROW(G26)+1,FALSE)</f>
        <v>0</v>
      </c>
      <c r="Q28" s="15" cm="1">
        <f t="array" ref="Q28">+HLOOKUP($A$1,+[9]İcmal!$B$19:$AG$49,ROW(H26)+1,FALSE)</f>
        <v>0</v>
      </c>
      <c r="R28" s="15" cm="1">
        <f t="array" ref="R28">+HLOOKUP($A$1,+[10]İcmal!$B$19:$AG$49,ROW(I26)+1,FALSE)</f>
        <v>0</v>
      </c>
      <c r="S28" s="15" cm="1">
        <f t="array" ref="S28">+HLOOKUP($A$1,+[11]İcmal!$B$19:$AG$49,ROW(J26)+1,FALSE)</f>
        <v>0</v>
      </c>
      <c r="T28" s="15" cm="1">
        <f t="array" ref="T28">+HLOOKUP($A$1,+[12]İcmal!$B$19:$AG$49,ROW(K26)+1,FALSE)</f>
        <v>0</v>
      </c>
      <c r="U28" s="15" cm="1">
        <f t="array" ref="U28">+HLOOKUP($A$1,+[13]İcmal!$B$19:$AG$49,ROW(L26)+1,FALSE)</f>
        <v>0</v>
      </c>
      <c r="V28" s="15" cm="1">
        <f t="array" ref="V28">+HLOOKUP($A$1,+[14]İcmal!$B$19:$AG$49,ROW(M26)+1,FALSE)</f>
        <v>0</v>
      </c>
      <c r="W28" s="15" cm="1">
        <f t="array" ref="W28">+HLOOKUP($A$1,+[15]İcmal!$B$19:$AG$49,ROW(N26)+1,FALSE)</f>
        <v>0</v>
      </c>
      <c r="X28" s="15" cm="1">
        <f t="array" ref="X28">+HLOOKUP($A$1,+[16]İcmal!$B$19:$AG$49,ROW(O26)+1,FALSE)</f>
        <v>0</v>
      </c>
      <c r="Y28" s="15" cm="1">
        <f t="array" ref="Y28">+HLOOKUP($A$1,+[17]İcmal!$B$19:$AG$49,ROW(P26)+1,FALSE)</f>
        <v>0</v>
      </c>
      <c r="Z28" s="15" cm="1">
        <f t="array" ref="Z28">+HLOOKUP($A$1,+[18]İcmal!$B$19:$AG$49,ROW(Q26)+1,FALSE)</f>
        <v>0</v>
      </c>
      <c r="AA28" s="15" cm="1">
        <f t="array" ref="AA28">+HLOOKUP($A$1,+[19]İcmal!$B$19:$AG$49,ROW(R26)+1,FALSE)</f>
        <v>0</v>
      </c>
      <c r="AB28" s="15" cm="1">
        <f t="array" ref="AB28">+HLOOKUP($A$1,+[20]İcmal!$B$19:$AG$49,ROW(S26)+1,FALSE)</f>
        <v>0</v>
      </c>
      <c r="AC28" s="15" cm="1">
        <f t="array" ref="AC28">+HLOOKUP($A$1,+[21]İcmal!$B$19:$AG$49,ROW(T26)+1,FALSE)</f>
        <v>0</v>
      </c>
      <c r="AD28" s="15" cm="1">
        <f t="array" ref="AD28">+HLOOKUP($A$1,+[22]İcmal!$B$19:$AG$49,ROW(U26)+1,FALSE)</f>
        <v>0</v>
      </c>
      <c r="AE28" s="15" cm="1">
        <f t="array" ref="AE28">+HLOOKUP($A$1,+[23]İcmal!$B$19:$AG$49,ROW(V26)+1,FALSE)</f>
        <v>0</v>
      </c>
      <c r="AF28" s="15" cm="1">
        <f t="array" ref="AF28">+HLOOKUP($A$1,+[24]İcmal!$B$19:$AG$49,ROW(W26)+1,FALSE)</f>
        <v>0</v>
      </c>
      <c r="AG28" s="15" cm="1">
        <f t="array" ref="AG28">+HLOOKUP($A$1,+[25]İcmal!$B$19:$AG$49,ROW(X26)+1,FALSE)</f>
        <v>0</v>
      </c>
      <c r="AH28" s="15" cm="1">
        <f t="array" ref="AH28">+HLOOKUP($A$1,+[26]İcmal!$B$19:$AG$49,ROW(Y26)+1,FALSE)</f>
        <v>0</v>
      </c>
      <c r="AI28" s="15" cm="1">
        <f t="array" ref="AI28">+HLOOKUP($A$1,+[27]İcmal!$B$19:$AG$49,ROW(Z26)+1,FALSE)</f>
        <v>0</v>
      </c>
      <c r="AJ28" s="15" cm="1">
        <f t="array" ref="AJ28">+HLOOKUP($A$1,+[28]İcmal!$B$19:$AG$49,ROW(AA26)+1,FALSE)</f>
        <v>0</v>
      </c>
      <c r="AK28" s="15" cm="1">
        <f t="array" ref="AK28">+HLOOKUP($A$1,+[29]İcmal!$B$19:$AG$49,ROW(AB26)+1,FALSE)</f>
        <v>0</v>
      </c>
      <c r="AL28" s="15"/>
      <c r="AM28" s="15"/>
      <c r="AN28" s="15"/>
      <c r="AO28" s="15"/>
      <c r="AP28" s="15"/>
      <c r="AQ28" s="15"/>
      <c r="AR28" s="15"/>
      <c r="AS28" s="15"/>
      <c r="AT28" s="13"/>
    </row>
    <row r="29" spans="1:46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+HLOOKUP($A$1,+[2]İcmal!$B$19:$AG$49,ROW(A27)+1,FALSE)</f>
        <v>0</v>
      </c>
      <c r="K29" s="15" cm="1">
        <f t="array" ref="K29">+HLOOKUP($A$1,+[3]İcmal!$B$19:$AG$49,ROW(B27)+1,FALSE)</f>
        <v>0</v>
      </c>
      <c r="L29" s="15" cm="1">
        <f t="array" ref="L29">+HLOOKUP($A$1,+[4]İcmal!$B$19:$AG$49,ROW(C27)+1,FALSE)</f>
        <v>0</v>
      </c>
      <c r="M29" s="15" cm="1">
        <f t="array" ref="M29">+HLOOKUP($A$1,+[5]İcmal!$B$19:$AG$49,ROW(D27)+1,FALSE)</f>
        <v>0</v>
      </c>
      <c r="N29" s="15" cm="1">
        <f t="array" ref="N29">+HLOOKUP($A$1,+[6]İcmal!$B$19:$AG$49,ROW(E27)+1,FALSE)</f>
        <v>0</v>
      </c>
      <c r="O29" s="15" cm="1">
        <f t="array" ref="O29">+HLOOKUP($A$1,+[7]İcmal!$B$19:$AG$49,ROW(F27)+1,FALSE)</f>
        <v>0</v>
      </c>
      <c r="P29" s="15" cm="1">
        <f t="array" ref="P29">+HLOOKUP($A$1,+[8]İcmal!$B$19:$AG$49,ROW(G27)+1,FALSE)</f>
        <v>0</v>
      </c>
      <c r="Q29" s="15" cm="1">
        <f t="array" ref="Q29">+HLOOKUP($A$1,+[9]İcmal!$B$19:$AG$49,ROW(H27)+1,FALSE)</f>
        <v>0</v>
      </c>
      <c r="R29" s="15" cm="1">
        <f t="array" ref="R29">+HLOOKUP($A$1,+[10]İcmal!$B$19:$AG$49,ROW(I27)+1,FALSE)</f>
        <v>0</v>
      </c>
      <c r="S29" s="15" cm="1">
        <f t="array" ref="S29">+HLOOKUP($A$1,+[11]İcmal!$B$19:$AG$49,ROW(J27)+1,FALSE)</f>
        <v>0</v>
      </c>
      <c r="T29" s="15" cm="1">
        <f t="array" ref="T29">+HLOOKUP($A$1,+[12]İcmal!$B$19:$AG$49,ROW(K27)+1,FALSE)</f>
        <v>0</v>
      </c>
      <c r="U29" s="15" cm="1">
        <f t="array" ref="U29">+HLOOKUP($A$1,+[13]İcmal!$B$19:$AG$49,ROW(L27)+1,FALSE)</f>
        <v>0</v>
      </c>
      <c r="V29" s="15" cm="1">
        <f t="array" ref="V29">+HLOOKUP($A$1,+[14]İcmal!$B$19:$AG$49,ROW(M27)+1,FALSE)</f>
        <v>0</v>
      </c>
      <c r="W29" s="15" cm="1">
        <f t="array" ref="W29">+HLOOKUP($A$1,+[15]İcmal!$B$19:$AG$49,ROW(N27)+1,FALSE)</f>
        <v>0</v>
      </c>
      <c r="X29" s="15" cm="1">
        <f t="array" ref="X29">+HLOOKUP($A$1,+[16]İcmal!$B$19:$AG$49,ROW(O27)+1,FALSE)</f>
        <v>0</v>
      </c>
      <c r="Y29" s="15" cm="1">
        <f t="array" ref="Y29">+HLOOKUP($A$1,+[17]İcmal!$B$19:$AG$49,ROW(P27)+1,FALSE)</f>
        <v>0</v>
      </c>
      <c r="Z29" s="15" cm="1">
        <f t="array" ref="Z29">+HLOOKUP($A$1,+[18]İcmal!$B$19:$AG$49,ROW(Q27)+1,FALSE)</f>
        <v>0</v>
      </c>
      <c r="AA29" s="15" cm="1">
        <f t="array" ref="AA29">+HLOOKUP($A$1,+[19]İcmal!$B$19:$AG$49,ROW(R27)+1,FALSE)</f>
        <v>0</v>
      </c>
      <c r="AB29" s="15" cm="1">
        <f t="array" ref="AB29">+HLOOKUP($A$1,+[20]İcmal!$B$19:$AG$49,ROW(S27)+1,FALSE)</f>
        <v>0</v>
      </c>
      <c r="AC29" s="15" cm="1">
        <f t="array" ref="AC29">+HLOOKUP($A$1,+[21]İcmal!$B$19:$AG$49,ROW(T27)+1,FALSE)</f>
        <v>0</v>
      </c>
      <c r="AD29" s="15" cm="1">
        <f t="array" ref="AD29">+HLOOKUP($A$1,+[22]İcmal!$B$19:$AG$49,ROW(U27)+1,FALSE)</f>
        <v>0</v>
      </c>
      <c r="AE29" s="15" cm="1">
        <f t="array" ref="AE29">+HLOOKUP($A$1,+[23]İcmal!$B$19:$AG$49,ROW(V27)+1,FALSE)</f>
        <v>0</v>
      </c>
      <c r="AF29" s="15" cm="1">
        <f t="array" ref="AF29">+HLOOKUP($A$1,+[24]İcmal!$B$19:$AG$49,ROW(W27)+1,FALSE)</f>
        <v>0</v>
      </c>
      <c r="AG29" s="15" cm="1">
        <f t="array" ref="AG29">+HLOOKUP($A$1,+[25]İcmal!$B$19:$AG$49,ROW(X27)+1,FALSE)</f>
        <v>0</v>
      </c>
      <c r="AH29" s="15" cm="1">
        <f t="array" ref="AH29">+HLOOKUP($A$1,+[26]İcmal!$B$19:$AG$49,ROW(Y27)+1,FALSE)</f>
        <v>0</v>
      </c>
      <c r="AI29" s="15" cm="1">
        <f t="array" ref="AI29">+HLOOKUP($A$1,+[27]İcmal!$B$19:$AG$49,ROW(Z27)+1,FALSE)</f>
        <v>0</v>
      </c>
      <c r="AJ29" s="15" cm="1">
        <f t="array" ref="AJ29">+HLOOKUP($A$1,+[28]İcmal!$B$19:$AG$49,ROW(AA27)+1,FALSE)</f>
        <v>0</v>
      </c>
      <c r="AK29" s="15" cm="1">
        <f t="array" ref="AK29">+HLOOKUP($A$1,+[29]İcmal!$B$19:$AG$49,ROW(AB27)+1,FALSE)</f>
        <v>0</v>
      </c>
      <c r="AL29" s="15"/>
      <c r="AM29" s="15"/>
      <c r="AN29" s="15"/>
      <c r="AO29" s="15"/>
      <c r="AP29" s="15"/>
      <c r="AQ29" s="15"/>
      <c r="AR29" s="15"/>
      <c r="AS29" s="15"/>
      <c r="AT29" s="13"/>
    </row>
    <row r="30" spans="1:46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0</v>
      </c>
      <c r="I30" s="9">
        <f t="shared" si="2"/>
        <v>0</v>
      </c>
      <c r="J30" s="15" cm="1">
        <f t="array" ref="J30">+HLOOKUP($A$1,+[2]İcmal!$B$19:$AG$49,ROW(A28)+1,FALSE)</f>
        <v>0</v>
      </c>
      <c r="K30" s="15" cm="1">
        <f t="array" ref="K30">+HLOOKUP($A$1,+[3]İcmal!$B$19:$AG$49,ROW(B28)+1,FALSE)</f>
        <v>0</v>
      </c>
      <c r="L30" s="15" cm="1">
        <f t="array" ref="L30">+HLOOKUP($A$1,+[4]İcmal!$B$19:$AG$49,ROW(C28)+1,FALSE)</f>
        <v>0</v>
      </c>
      <c r="M30" s="15" cm="1">
        <f t="array" ref="M30">+HLOOKUP($A$1,+[5]İcmal!$B$19:$AG$49,ROW(D28)+1,FALSE)</f>
        <v>0</v>
      </c>
      <c r="N30" s="15" cm="1">
        <f t="array" ref="N30">+HLOOKUP($A$1,+[6]İcmal!$B$19:$AG$49,ROW(E28)+1,FALSE)</f>
        <v>0</v>
      </c>
      <c r="O30" s="15" cm="1">
        <f t="array" ref="O30">+HLOOKUP($A$1,+[7]İcmal!$B$19:$AG$49,ROW(F28)+1,FALSE)</f>
        <v>0</v>
      </c>
      <c r="P30" s="15" cm="1">
        <f t="array" ref="P30">+HLOOKUP($A$1,+[8]İcmal!$B$19:$AG$49,ROW(G28)+1,FALSE)</f>
        <v>0</v>
      </c>
      <c r="Q30" s="15" cm="1">
        <f t="array" ref="Q30">+HLOOKUP($A$1,+[9]İcmal!$B$19:$AG$49,ROW(H28)+1,FALSE)</f>
        <v>0</v>
      </c>
      <c r="R30" s="15" cm="1">
        <f t="array" ref="R30">+HLOOKUP($A$1,+[10]İcmal!$B$19:$AG$49,ROW(I28)+1,FALSE)</f>
        <v>0</v>
      </c>
      <c r="S30" s="15" cm="1">
        <f t="array" ref="S30">+HLOOKUP($A$1,+[11]İcmal!$B$19:$AG$49,ROW(J28)+1,FALSE)</f>
        <v>0</v>
      </c>
      <c r="T30" s="15" cm="1">
        <f t="array" ref="T30">+HLOOKUP($A$1,+[12]İcmal!$B$19:$AG$49,ROW(K28)+1,FALSE)</f>
        <v>0</v>
      </c>
      <c r="U30" s="15" cm="1">
        <f t="array" ref="U30">+HLOOKUP($A$1,+[13]İcmal!$B$19:$AG$49,ROW(L28)+1,FALSE)</f>
        <v>0</v>
      </c>
      <c r="V30" s="15" cm="1">
        <f t="array" ref="V30">+HLOOKUP($A$1,+[14]İcmal!$B$19:$AG$49,ROW(M28)+1,FALSE)</f>
        <v>0</v>
      </c>
      <c r="W30" s="15" cm="1">
        <f t="array" ref="W30">+HLOOKUP($A$1,+[15]İcmal!$B$19:$AG$49,ROW(N28)+1,FALSE)</f>
        <v>0</v>
      </c>
      <c r="X30" s="15" cm="1">
        <f t="array" ref="X30">+HLOOKUP($A$1,+[16]İcmal!$B$19:$AG$49,ROW(O28)+1,FALSE)</f>
        <v>0</v>
      </c>
      <c r="Y30" s="15" cm="1">
        <f t="array" ref="Y30">+HLOOKUP($A$1,+[17]İcmal!$B$19:$AG$49,ROW(P28)+1,FALSE)</f>
        <v>0</v>
      </c>
      <c r="Z30" s="15" cm="1">
        <f t="array" ref="Z30">+HLOOKUP($A$1,+[18]İcmal!$B$19:$AG$49,ROW(Q28)+1,FALSE)</f>
        <v>0</v>
      </c>
      <c r="AA30" s="15" cm="1">
        <f t="array" ref="AA30">+HLOOKUP($A$1,+[19]İcmal!$B$19:$AG$49,ROW(R28)+1,FALSE)</f>
        <v>0</v>
      </c>
      <c r="AB30" s="15" cm="1">
        <f t="array" ref="AB30">+HLOOKUP($A$1,+[20]İcmal!$B$19:$AG$49,ROW(S28)+1,FALSE)</f>
        <v>0</v>
      </c>
      <c r="AC30" s="15" cm="1">
        <f t="array" ref="AC30">+HLOOKUP($A$1,+[21]İcmal!$B$19:$AG$49,ROW(T28)+1,FALSE)</f>
        <v>0</v>
      </c>
      <c r="AD30" s="15" cm="1">
        <f t="array" ref="AD30">+HLOOKUP($A$1,+[22]İcmal!$B$19:$AG$49,ROW(U28)+1,FALSE)</f>
        <v>0</v>
      </c>
      <c r="AE30" s="15" cm="1">
        <f t="array" ref="AE30">+HLOOKUP($A$1,+[23]İcmal!$B$19:$AG$49,ROW(V28)+1,FALSE)</f>
        <v>0</v>
      </c>
      <c r="AF30" s="15" cm="1">
        <f t="array" ref="AF30">+HLOOKUP($A$1,+[24]İcmal!$B$19:$AG$49,ROW(W28)+1,FALSE)</f>
        <v>0</v>
      </c>
      <c r="AG30" s="15" cm="1">
        <f t="array" ref="AG30">+HLOOKUP($A$1,+[25]İcmal!$B$19:$AG$49,ROW(X28)+1,FALSE)</f>
        <v>0</v>
      </c>
      <c r="AH30" s="15" cm="1">
        <f t="array" ref="AH30">+HLOOKUP($A$1,+[26]İcmal!$B$19:$AG$49,ROW(Y28)+1,FALSE)</f>
        <v>0</v>
      </c>
      <c r="AI30" s="15" cm="1">
        <f t="array" ref="AI30">+HLOOKUP($A$1,+[27]İcmal!$B$19:$AG$49,ROW(Z28)+1,FALSE)</f>
        <v>0</v>
      </c>
      <c r="AJ30" s="15" cm="1">
        <f t="array" ref="AJ30">+HLOOKUP($A$1,+[28]İcmal!$B$19:$AG$49,ROW(AA28)+1,FALSE)</f>
        <v>0</v>
      </c>
      <c r="AK30" s="15" cm="1">
        <f t="array" ref="AK30">+HLOOKUP($A$1,+[29]İcmal!$B$19:$AG$49,ROW(AB28)+1,FALSE)</f>
        <v>0</v>
      </c>
      <c r="AL30" s="15"/>
      <c r="AM30" s="15"/>
      <c r="AN30" s="15"/>
      <c r="AO30" s="15"/>
      <c r="AP30" s="15"/>
      <c r="AQ30" s="15"/>
      <c r="AR30" s="15"/>
      <c r="AS30" s="15"/>
      <c r="AT30" s="13"/>
    </row>
    <row r="31" spans="1:46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+HLOOKUP($A$1,+[2]İcmal!$B$19:$AG$49,ROW(A29)+1,FALSE)</f>
        <v>0</v>
      </c>
      <c r="K31" s="15" cm="1">
        <f t="array" ref="K31">+HLOOKUP($A$1,+[3]İcmal!$B$19:$AG$49,ROW(B29)+1,FALSE)</f>
        <v>0</v>
      </c>
      <c r="L31" s="15" cm="1">
        <f t="array" ref="L31">+HLOOKUP($A$1,+[4]İcmal!$B$19:$AG$49,ROW(C29)+1,FALSE)</f>
        <v>0</v>
      </c>
      <c r="M31" s="15" cm="1">
        <f t="array" ref="M31">+HLOOKUP($A$1,+[5]İcmal!$B$19:$AG$49,ROW(D29)+1,FALSE)</f>
        <v>0</v>
      </c>
      <c r="N31" s="15" cm="1">
        <f t="array" ref="N31">+HLOOKUP($A$1,+[6]İcmal!$B$19:$AG$49,ROW(E29)+1,FALSE)</f>
        <v>0</v>
      </c>
      <c r="O31" s="15" cm="1">
        <f t="array" ref="O31">+HLOOKUP($A$1,+[7]İcmal!$B$19:$AG$49,ROW(F29)+1,FALSE)</f>
        <v>0</v>
      </c>
      <c r="P31" s="15" cm="1">
        <f t="array" ref="P31">+HLOOKUP($A$1,+[8]İcmal!$B$19:$AG$49,ROW(G29)+1,FALSE)</f>
        <v>0</v>
      </c>
      <c r="Q31" s="15" cm="1">
        <f t="array" ref="Q31">+HLOOKUP($A$1,+[9]İcmal!$B$19:$AG$49,ROW(H29)+1,FALSE)</f>
        <v>0</v>
      </c>
      <c r="R31" s="15" cm="1">
        <f t="array" ref="R31">+HLOOKUP($A$1,+[10]İcmal!$B$19:$AG$49,ROW(I29)+1,FALSE)</f>
        <v>0</v>
      </c>
      <c r="S31" s="15" cm="1">
        <f t="array" ref="S31">+HLOOKUP($A$1,+[11]İcmal!$B$19:$AG$49,ROW(J29)+1,FALSE)</f>
        <v>0</v>
      </c>
      <c r="T31" s="15" cm="1">
        <f t="array" ref="T31">+HLOOKUP($A$1,+[12]İcmal!$B$19:$AG$49,ROW(K29)+1,FALSE)</f>
        <v>0</v>
      </c>
      <c r="U31" s="15" cm="1">
        <f t="array" ref="U31">+HLOOKUP($A$1,+[13]İcmal!$B$19:$AG$49,ROW(L29)+1,FALSE)</f>
        <v>0</v>
      </c>
      <c r="V31" s="15" cm="1">
        <f t="array" ref="V31">+HLOOKUP($A$1,+[14]İcmal!$B$19:$AG$49,ROW(M29)+1,FALSE)</f>
        <v>0</v>
      </c>
      <c r="W31" s="15" cm="1">
        <f t="array" ref="W31">+HLOOKUP($A$1,+[15]İcmal!$B$19:$AG$49,ROW(N29)+1,FALSE)</f>
        <v>0</v>
      </c>
      <c r="X31" s="15" cm="1">
        <f t="array" ref="X31">+HLOOKUP($A$1,+[16]İcmal!$B$19:$AG$49,ROW(O29)+1,FALSE)</f>
        <v>0</v>
      </c>
      <c r="Y31" s="15" cm="1">
        <f t="array" ref="Y31">+HLOOKUP($A$1,+[17]İcmal!$B$19:$AG$49,ROW(P29)+1,FALSE)</f>
        <v>0</v>
      </c>
      <c r="Z31" s="15" cm="1">
        <f t="array" ref="Z31">+HLOOKUP($A$1,+[18]İcmal!$B$19:$AG$49,ROW(Q29)+1,FALSE)</f>
        <v>0</v>
      </c>
      <c r="AA31" s="15" cm="1">
        <f t="array" ref="AA31">+HLOOKUP($A$1,+[19]İcmal!$B$19:$AG$49,ROW(R29)+1,FALSE)</f>
        <v>0</v>
      </c>
      <c r="AB31" s="15" cm="1">
        <f t="array" ref="AB31">+HLOOKUP($A$1,+[20]İcmal!$B$19:$AG$49,ROW(S29)+1,FALSE)</f>
        <v>0</v>
      </c>
      <c r="AC31" s="15" cm="1">
        <f t="array" ref="AC31">+HLOOKUP($A$1,+[21]İcmal!$B$19:$AG$49,ROW(T29)+1,FALSE)</f>
        <v>0</v>
      </c>
      <c r="AD31" s="15" cm="1">
        <f t="array" ref="AD31">+HLOOKUP($A$1,+[22]İcmal!$B$19:$AG$49,ROW(U29)+1,FALSE)</f>
        <v>0</v>
      </c>
      <c r="AE31" s="15" cm="1">
        <f t="array" ref="AE31">+HLOOKUP($A$1,+[23]İcmal!$B$19:$AG$49,ROW(V29)+1,FALSE)</f>
        <v>0</v>
      </c>
      <c r="AF31" s="15" cm="1">
        <f t="array" ref="AF31">+HLOOKUP($A$1,+[24]İcmal!$B$19:$AG$49,ROW(W29)+1,FALSE)</f>
        <v>0</v>
      </c>
      <c r="AG31" s="15" cm="1">
        <f t="array" ref="AG31">+HLOOKUP($A$1,+[25]İcmal!$B$19:$AG$49,ROW(X29)+1,FALSE)</f>
        <v>0</v>
      </c>
      <c r="AH31" s="15" cm="1">
        <f t="array" ref="AH31">+HLOOKUP($A$1,+[26]İcmal!$B$19:$AG$49,ROW(Y29)+1,FALSE)</f>
        <v>0</v>
      </c>
      <c r="AI31" s="15" cm="1">
        <f t="array" ref="AI31">+HLOOKUP($A$1,+[27]İcmal!$B$19:$AG$49,ROW(Z29)+1,FALSE)</f>
        <v>0</v>
      </c>
      <c r="AJ31" s="15" cm="1">
        <f t="array" ref="AJ31">+HLOOKUP($A$1,+[28]İcmal!$B$19:$AG$49,ROW(AA29)+1,FALSE)</f>
        <v>0</v>
      </c>
      <c r="AK31" s="15" cm="1">
        <f t="array" ref="AK31">+HLOOKUP($A$1,+[29]İcmal!$B$19:$AG$49,ROW(AB29)+1,FALSE)</f>
        <v>0</v>
      </c>
      <c r="AL31" s="15"/>
      <c r="AM31" s="15"/>
      <c r="AN31" s="15"/>
      <c r="AO31" s="15"/>
      <c r="AP31" s="15"/>
      <c r="AQ31" s="15"/>
      <c r="AR31" s="15"/>
      <c r="AS31" s="15"/>
      <c r="AT31" s="13"/>
    </row>
    <row r="32" spans="1:46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+HLOOKUP($A$1,+[2]İcmal!$B$19:$AG$49,ROW(A30)+1,FALSE)</f>
        <v>0</v>
      </c>
      <c r="K32" s="15" cm="1">
        <f t="array" ref="K32">+HLOOKUP($A$1,+[3]İcmal!$B$19:$AG$49,ROW(B30)+1,FALSE)</f>
        <v>0</v>
      </c>
      <c r="L32" s="15" cm="1">
        <f t="array" ref="L32">+HLOOKUP($A$1,+[4]İcmal!$B$19:$AG$49,ROW(C30)+1,FALSE)</f>
        <v>0</v>
      </c>
      <c r="M32" s="15" cm="1">
        <f t="array" ref="M32">+HLOOKUP($A$1,+[5]İcmal!$B$19:$AG$49,ROW(D30)+1,FALSE)</f>
        <v>0</v>
      </c>
      <c r="N32" s="15" cm="1">
        <f t="array" ref="N32">+HLOOKUP($A$1,+[6]İcmal!$B$19:$AG$49,ROW(E30)+1,FALSE)</f>
        <v>0</v>
      </c>
      <c r="O32" s="15" cm="1">
        <f t="array" ref="O32">+HLOOKUP($A$1,+[7]İcmal!$B$19:$AG$49,ROW(F30)+1,FALSE)</f>
        <v>0</v>
      </c>
      <c r="P32" s="15" cm="1">
        <f t="array" ref="P32">+HLOOKUP($A$1,+[8]İcmal!$B$19:$AG$49,ROW(G30)+1,FALSE)</f>
        <v>0</v>
      </c>
      <c r="Q32" s="15" cm="1">
        <f t="array" ref="Q32">+HLOOKUP($A$1,+[9]İcmal!$B$19:$AG$49,ROW(H30)+1,FALSE)</f>
        <v>0</v>
      </c>
      <c r="R32" s="15" cm="1">
        <f t="array" ref="R32">+HLOOKUP($A$1,+[10]İcmal!$B$19:$AG$49,ROW(I30)+1,FALSE)</f>
        <v>0</v>
      </c>
      <c r="S32" s="15" cm="1">
        <f t="array" ref="S32">+HLOOKUP($A$1,+[11]İcmal!$B$19:$AG$49,ROW(J30)+1,FALSE)</f>
        <v>0</v>
      </c>
      <c r="T32" s="15" cm="1">
        <f t="array" ref="T32">+HLOOKUP($A$1,+[12]İcmal!$B$19:$AG$49,ROW(K30)+1,FALSE)</f>
        <v>0</v>
      </c>
      <c r="U32" s="15" cm="1">
        <f t="array" ref="U32">+HLOOKUP($A$1,+[13]İcmal!$B$19:$AG$49,ROW(L30)+1,FALSE)</f>
        <v>0</v>
      </c>
      <c r="V32" s="15" cm="1">
        <f t="array" ref="V32">+HLOOKUP($A$1,+[14]İcmal!$B$19:$AG$49,ROW(M30)+1,FALSE)</f>
        <v>0</v>
      </c>
      <c r="W32" s="15" cm="1">
        <f t="array" ref="W32">+HLOOKUP($A$1,+[15]İcmal!$B$19:$AG$49,ROW(N30)+1,FALSE)</f>
        <v>0</v>
      </c>
      <c r="X32" s="15" cm="1">
        <f t="array" ref="X32">+HLOOKUP($A$1,+[16]İcmal!$B$19:$AG$49,ROW(O30)+1,FALSE)</f>
        <v>0</v>
      </c>
      <c r="Y32" s="15" cm="1">
        <f t="array" ref="Y32">+HLOOKUP($A$1,+[17]İcmal!$B$19:$AG$49,ROW(P30)+1,FALSE)</f>
        <v>0</v>
      </c>
      <c r="Z32" s="15" cm="1">
        <f t="array" ref="Z32">+HLOOKUP($A$1,+[18]İcmal!$B$19:$AG$49,ROW(Q30)+1,FALSE)</f>
        <v>0</v>
      </c>
      <c r="AA32" s="15" cm="1">
        <f t="array" ref="AA32">+HLOOKUP($A$1,+[19]İcmal!$B$19:$AG$49,ROW(R30)+1,FALSE)</f>
        <v>0</v>
      </c>
      <c r="AB32" s="15" cm="1">
        <f t="array" ref="AB32">+HLOOKUP($A$1,+[20]İcmal!$B$19:$AG$49,ROW(S30)+1,FALSE)</f>
        <v>0</v>
      </c>
      <c r="AC32" s="15" cm="1">
        <f t="array" ref="AC32">+HLOOKUP($A$1,+[21]İcmal!$B$19:$AG$49,ROW(T30)+1,FALSE)</f>
        <v>0</v>
      </c>
      <c r="AD32" s="15" cm="1">
        <f t="array" ref="AD32">+HLOOKUP($A$1,+[22]İcmal!$B$19:$AG$49,ROW(U30)+1,FALSE)</f>
        <v>0</v>
      </c>
      <c r="AE32" s="15" cm="1">
        <f t="array" ref="AE32">+HLOOKUP($A$1,+[23]İcmal!$B$19:$AG$49,ROW(V30)+1,FALSE)</f>
        <v>0</v>
      </c>
      <c r="AF32" s="15" cm="1">
        <f t="array" ref="AF32">+HLOOKUP($A$1,+[24]İcmal!$B$19:$AG$49,ROW(W30)+1,FALSE)</f>
        <v>0</v>
      </c>
      <c r="AG32" s="15" cm="1">
        <f t="array" ref="AG32">+HLOOKUP($A$1,+[25]İcmal!$B$19:$AG$49,ROW(X30)+1,FALSE)</f>
        <v>0</v>
      </c>
      <c r="AH32" s="15" cm="1">
        <f t="array" ref="AH32">+HLOOKUP($A$1,+[26]İcmal!$B$19:$AG$49,ROW(Y30)+1,FALSE)</f>
        <v>0</v>
      </c>
      <c r="AI32" s="15" cm="1">
        <f t="array" ref="AI32">+HLOOKUP($A$1,+[27]İcmal!$B$19:$AG$49,ROW(Z30)+1,FALSE)</f>
        <v>0</v>
      </c>
      <c r="AJ32" s="15" cm="1">
        <f t="array" ref="AJ32">+HLOOKUP($A$1,+[28]İcmal!$B$19:$AG$49,ROW(AA30)+1,FALSE)</f>
        <v>0</v>
      </c>
      <c r="AK32" s="15" cm="1">
        <f t="array" ref="AK32">+HLOOKUP($A$1,+[29]İcmal!$B$19:$AG$49,ROW(AB30)+1,FALSE)</f>
        <v>0</v>
      </c>
      <c r="AL32" s="15"/>
      <c r="AM32" s="15"/>
      <c r="AN32" s="15"/>
      <c r="AO32" s="15"/>
      <c r="AP32" s="15"/>
      <c r="AQ32" s="15"/>
      <c r="AR32" s="15"/>
      <c r="AS32" s="15"/>
      <c r="AT32" s="14"/>
    </row>
    <row r="33" spans="7:45" x14ac:dyDescent="0.3">
      <c r="I33" s="16">
        <f>SUM(I3:I32)</f>
        <v>0</v>
      </c>
      <c r="J33" s="16">
        <f t="shared" ref="J33:AS33" si="3">+SUMPRODUCT(J3:J32,$F$3:$F$32)</f>
        <v>0</v>
      </c>
      <c r="K33" s="16">
        <f t="shared" si="3"/>
        <v>0</v>
      </c>
      <c r="L33" s="16">
        <f t="shared" si="3"/>
        <v>0</v>
      </c>
      <c r="M33" s="16">
        <f t="shared" si="3"/>
        <v>0</v>
      </c>
      <c r="N33" s="16">
        <f t="shared" si="3"/>
        <v>0</v>
      </c>
      <c r="O33" s="16">
        <f t="shared" si="3"/>
        <v>0</v>
      </c>
      <c r="P33" s="16">
        <f t="shared" si="3"/>
        <v>0</v>
      </c>
      <c r="Q33" s="16">
        <f t="shared" si="3"/>
        <v>0</v>
      </c>
      <c r="R33" s="16">
        <f t="shared" si="3"/>
        <v>0</v>
      </c>
      <c r="S33" s="16">
        <f t="shared" si="3"/>
        <v>0</v>
      </c>
      <c r="T33" s="16">
        <f t="shared" si="3"/>
        <v>0</v>
      </c>
      <c r="U33" s="16">
        <f t="shared" si="3"/>
        <v>0</v>
      </c>
      <c r="V33" s="16">
        <f t="shared" si="3"/>
        <v>0</v>
      </c>
      <c r="W33" s="16">
        <f t="shared" si="3"/>
        <v>0</v>
      </c>
      <c r="X33" s="16">
        <f t="shared" si="3"/>
        <v>0</v>
      </c>
      <c r="Y33" s="16">
        <f t="shared" si="3"/>
        <v>0</v>
      </c>
      <c r="Z33" s="16">
        <f t="shared" si="3"/>
        <v>0</v>
      </c>
      <c r="AA33" s="16">
        <f t="shared" si="3"/>
        <v>0</v>
      </c>
      <c r="AB33" s="16">
        <f t="shared" si="3"/>
        <v>0</v>
      </c>
      <c r="AC33" s="16">
        <f t="shared" si="3"/>
        <v>0</v>
      </c>
      <c r="AD33" s="16">
        <f t="shared" si="3"/>
        <v>0</v>
      </c>
      <c r="AE33" s="16">
        <f t="shared" si="3"/>
        <v>0</v>
      </c>
      <c r="AF33" s="16">
        <f t="shared" si="3"/>
        <v>0</v>
      </c>
      <c r="AG33" s="16">
        <f t="shared" si="3"/>
        <v>0</v>
      </c>
      <c r="AH33" s="16">
        <f t="shared" si="3"/>
        <v>0</v>
      </c>
      <c r="AI33" s="16">
        <f t="shared" si="3"/>
        <v>0</v>
      </c>
      <c r="AJ33" s="16">
        <f t="shared" si="3"/>
        <v>0</v>
      </c>
      <c r="AK33" s="16">
        <f t="shared" si="3"/>
        <v>0</v>
      </c>
      <c r="AL33" s="16"/>
      <c r="AM33" s="16"/>
      <c r="AN33" s="16"/>
      <c r="AO33" s="16"/>
      <c r="AP33" s="16"/>
      <c r="AQ33" s="16"/>
      <c r="AR33" s="16"/>
      <c r="AS33" s="16">
        <f t="shared" si="3"/>
        <v>0</v>
      </c>
    </row>
    <row r="34" spans="7:45" x14ac:dyDescent="0.3">
      <c r="H34" s="52"/>
    </row>
    <row r="35" spans="7:45" x14ac:dyDescent="0.3">
      <c r="G35" s="16"/>
      <c r="H35" s="16"/>
      <c r="I35" s="16"/>
    </row>
    <row r="36" spans="7:45" x14ac:dyDescent="0.3">
      <c r="I36" s="16"/>
      <c r="K36" s="49"/>
      <c r="N36" s="49"/>
      <c r="O36" s="49"/>
      <c r="P36" s="49"/>
      <c r="Q36" s="49"/>
    </row>
    <row r="37" spans="7:45" x14ac:dyDescent="0.3"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7:45" x14ac:dyDescent="0.3">
      <c r="I38" s="16"/>
    </row>
    <row r="39" spans="7:45" x14ac:dyDescent="0.3">
      <c r="I39" s="16"/>
    </row>
    <row r="40" spans="7:45" x14ac:dyDescent="0.3">
      <c r="I40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5B85-E447-4D85-9035-F00616DD4809}">
  <sheetPr>
    <tabColor rgb="FF00B050"/>
    <pageSetUpPr fitToPage="1"/>
  </sheetPr>
  <dimension ref="A1:J55"/>
  <sheetViews>
    <sheetView view="pageBreakPreview" topLeftCell="A3" zoomScale="40" zoomScaleNormal="100" zoomScaleSheetLayoutView="40" workbookViewId="0">
      <selection activeCell="AB94" sqref="AB94"/>
    </sheetView>
  </sheetViews>
  <sheetFormatPr defaultRowHeight="15" customHeight="1" x14ac:dyDescent="0.3"/>
  <cols>
    <col min="1" max="10" width="30.109375" style="31" customWidth="1"/>
    <col min="11" max="16384" width="8.88671875" style="31"/>
  </cols>
  <sheetData>
    <row r="1" spans="1:10" ht="15" customHeight="1" thickBot="1" x14ac:dyDescent="0.35"/>
    <row r="2" spans="1:10" s="32" customFormat="1" ht="37.200000000000003" thickTop="1" x14ac:dyDescent="0.7">
      <c r="A2" s="71" t="s">
        <v>78</v>
      </c>
      <c r="B2" s="72"/>
      <c r="C2" s="72"/>
      <c r="D2" s="72"/>
      <c r="E2" s="72"/>
      <c r="F2" s="72"/>
      <c r="G2" s="72"/>
      <c r="H2" s="72"/>
      <c r="I2" s="72"/>
      <c r="J2" s="73"/>
    </row>
    <row r="3" spans="1:10" s="32" customFormat="1" ht="36.6" x14ac:dyDescent="0.7">
      <c r="A3" s="74" t="s">
        <v>79</v>
      </c>
      <c r="B3" s="75"/>
      <c r="C3" s="75"/>
      <c r="D3" s="75"/>
      <c r="E3" s="75"/>
      <c r="F3" s="75"/>
      <c r="G3" s="75"/>
      <c r="H3" s="75"/>
      <c r="I3" s="75"/>
      <c r="J3" s="76"/>
    </row>
    <row r="4" spans="1:10" s="32" customFormat="1" ht="29.4" customHeight="1" x14ac:dyDescent="0.7">
      <c r="A4" s="77" t="s">
        <v>86</v>
      </c>
      <c r="B4" s="78"/>
      <c r="C4" s="78"/>
      <c r="D4" s="78"/>
      <c r="E4" s="78"/>
      <c r="F4" s="78"/>
      <c r="G4" s="78"/>
      <c r="H4" s="78"/>
      <c r="I4" s="78"/>
      <c r="J4" s="79"/>
    </row>
    <row r="5" spans="1:10" s="32" customFormat="1" ht="29.4" customHeight="1" x14ac:dyDescent="0.7">
      <c r="A5" s="77" t="s">
        <v>87</v>
      </c>
      <c r="B5" s="78"/>
      <c r="C5" s="78"/>
      <c r="D5" s="78"/>
      <c r="E5" s="78"/>
      <c r="F5" s="78"/>
      <c r="G5" s="78"/>
      <c r="H5" s="78"/>
      <c r="I5" s="78"/>
      <c r="J5" s="79"/>
    </row>
    <row r="6" spans="1:10" s="32" customFormat="1" ht="13.2" customHeight="1" x14ac:dyDescent="0.35">
      <c r="A6" s="77" t="s">
        <v>81</v>
      </c>
      <c r="B6" s="78"/>
      <c r="C6" s="78"/>
      <c r="D6" s="78"/>
      <c r="E6" s="78"/>
      <c r="F6" s="78"/>
      <c r="G6" s="78"/>
      <c r="H6" s="78"/>
      <c r="I6" s="78"/>
      <c r="J6" s="79"/>
    </row>
    <row r="7" spans="1:10" s="36" customFormat="1" ht="22.95" customHeight="1" thickBot="1" x14ac:dyDescent="0.35">
      <c r="A7" s="80"/>
      <c r="B7" s="81"/>
      <c r="C7" s="81"/>
      <c r="D7" s="81"/>
      <c r="E7" s="81"/>
      <c r="F7" s="81"/>
      <c r="G7" s="81"/>
      <c r="H7" s="81"/>
      <c r="I7" s="81"/>
      <c r="J7" s="82"/>
    </row>
    <row r="8" spans="1:10" s="36" customFormat="1" ht="22.95" customHeight="1" x14ac:dyDescent="0.7">
      <c r="A8" s="37"/>
      <c r="B8" s="38"/>
      <c r="C8" s="38"/>
      <c r="D8" s="38"/>
      <c r="E8" s="38"/>
      <c r="F8" s="38"/>
      <c r="G8" s="38"/>
      <c r="H8" s="38"/>
      <c r="I8" s="38"/>
      <c r="J8" s="39"/>
    </row>
    <row r="9" spans="1:10" s="36" customFormat="1" ht="22.95" customHeight="1" x14ac:dyDescent="0.7">
      <c r="A9" s="33"/>
      <c r="B9" s="34"/>
      <c r="C9" s="34"/>
      <c r="D9" s="34"/>
      <c r="E9" s="34"/>
      <c r="F9" s="34"/>
      <c r="G9" s="34"/>
      <c r="H9" s="34"/>
      <c r="I9" s="34"/>
      <c r="J9" s="35"/>
    </row>
    <row r="10" spans="1:10" s="36" customFormat="1" ht="22.95" customHeight="1" x14ac:dyDescent="0.7">
      <c r="A10" s="33"/>
      <c r="B10" s="34"/>
      <c r="C10" s="34"/>
      <c r="D10" s="34"/>
      <c r="E10" s="34"/>
      <c r="F10" s="34"/>
      <c r="G10" s="34"/>
      <c r="H10" s="34"/>
      <c r="I10" s="34"/>
      <c r="J10" s="35"/>
    </row>
    <row r="11" spans="1:10" s="36" customFormat="1" ht="22.95" customHeight="1" x14ac:dyDescent="0.7">
      <c r="A11" s="33"/>
      <c r="B11" s="34"/>
      <c r="C11" s="34"/>
      <c r="D11" s="34"/>
      <c r="E11" s="34"/>
      <c r="F11" s="34"/>
      <c r="G11" s="34"/>
      <c r="H11" s="34"/>
      <c r="I11" s="34"/>
      <c r="J11" s="35"/>
    </row>
    <row r="12" spans="1:10" s="36" customFormat="1" ht="22.95" customHeight="1" x14ac:dyDescent="0.7">
      <c r="A12" s="33"/>
      <c r="B12" s="34"/>
      <c r="C12" s="34"/>
      <c r="D12" s="34"/>
      <c r="E12" s="34"/>
      <c r="F12" s="34"/>
      <c r="G12" s="34"/>
      <c r="H12" s="34"/>
      <c r="I12" s="34"/>
      <c r="J12" s="35"/>
    </row>
    <row r="13" spans="1:10" s="36" customFormat="1" ht="22.95" customHeight="1" x14ac:dyDescent="0.7">
      <c r="A13" s="33"/>
      <c r="B13" s="34"/>
      <c r="C13" s="34"/>
      <c r="D13" s="34"/>
      <c r="E13" s="34"/>
      <c r="F13" s="34"/>
      <c r="G13" s="34"/>
      <c r="H13" s="34"/>
      <c r="I13" s="34"/>
      <c r="J13" s="35"/>
    </row>
    <row r="14" spans="1:10" s="36" customFormat="1" ht="22.95" customHeight="1" x14ac:dyDescent="0.7">
      <c r="A14" s="33"/>
      <c r="B14" s="34"/>
      <c r="C14" s="34"/>
      <c r="D14" s="34"/>
      <c r="E14" s="34"/>
      <c r="F14" s="34"/>
      <c r="G14" s="34"/>
      <c r="H14" s="34"/>
      <c r="I14" s="34"/>
      <c r="J14" s="35"/>
    </row>
    <row r="15" spans="1:10" s="36" customFormat="1" ht="22.95" customHeight="1" x14ac:dyDescent="0.7">
      <c r="A15" s="33"/>
      <c r="B15" s="34"/>
      <c r="C15" s="34"/>
      <c r="D15" s="34"/>
      <c r="E15" s="34"/>
      <c r="F15" s="34"/>
      <c r="G15" s="34"/>
      <c r="H15" s="34"/>
      <c r="I15" s="34"/>
      <c r="J15" s="35"/>
    </row>
    <row r="16" spans="1:10" s="36" customFormat="1" ht="22.95" customHeight="1" x14ac:dyDescent="0.7">
      <c r="A16" s="33"/>
      <c r="B16" s="34"/>
      <c r="C16" s="34"/>
      <c r="D16" s="34"/>
      <c r="E16" s="34"/>
      <c r="F16" s="34"/>
      <c r="G16" s="34"/>
      <c r="H16" s="34"/>
      <c r="I16" s="34"/>
      <c r="J16" s="35"/>
    </row>
    <row r="17" spans="1:10" s="36" customFormat="1" ht="22.95" customHeight="1" x14ac:dyDescent="0.7">
      <c r="A17" s="33"/>
      <c r="B17" s="34"/>
      <c r="C17" s="34"/>
      <c r="D17" s="34"/>
      <c r="E17" s="34"/>
      <c r="F17" s="34"/>
      <c r="G17" s="34"/>
      <c r="H17" s="34"/>
      <c r="I17" s="34"/>
      <c r="J17" s="35"/>
    </row>
    <row r="18" spans="1:10" s="36" customFormat="1" ht="22.95" customHeight="1" x14ac:dyDescent="0.7">
      <c r="A18" s="33"/>
      <c r="B18" s="34"/>
      <c r="C18" s="34"/>
      <c r="D18" s="34"/>
      <c r="E18" s="34"/>
      <c r="F18" s="34"/>
      <c r="G18" s="34"/>
      <c r="H18" s="34"/>
      <c r="I18" s="34"/>
      <c r="J18" s="35"/>
    </row>
    <row r="19" spans="1:10" s="36" customFormat="1" ht="22.95" customHeight="1" x14ac:dyDescent="0.7">
      <c r="A19" s="33"/>
      <c r="B19" s="34"/>
      <c r="C19" s="34"/>
      <c r="D19" s="34"/>
      <c r="E19" s="34"/>
      <c r="F19" s="34"/>
      <c r="G19" s="34"/>
      <c r="H19" s="34"/>
      <c r="I19" s="34"/>
      <c r="J19" s="35"/>
    </row>
    <row r="20" spans="1:10" s="36" customFormat="1" ht="22.95" customHeight="1" x14ac:dyDescent="0.7">
      <c r="A20" s="33"/>
      <c r="B20" s="34"/>
      <c r="C20" s="34"/>
      <c r="D20" s="34"/>
      <c r="E20" s="34"/>
      <c r="F20" s="34"/>
      <c r="G20" s="34"/>
      <c r="H20" s="34"/>
      <c r="I20" s="34"/>
      <c r="J20" s="35"/>
    </row>
    <row r="21" spans="1:10" s="36" customFormat="1" ht="22.95" customHeight="1" x14ac:dyDescent="0.7">
      <c r="A21" s="33"/>
      <c r="B21" s="34"/>
      <c r="C21" s="34"/>
      <c r="D21" s="34"/>
      <c r="E21" s="34"/>
      <c r="F21" s="34"/>
      <c r="G21" s="34"/>
      <c r="H21" s="34"/>
      <c r="I21" s="34"/>
      <c r="J21" s="35"/>
    </row>
    <row r="22" spans="1:10" s="36" customFormat="1" ht="22.95" customHeight="1" x14ac:dyDescent="0.3">
      <c r="A22" s="83" t="s">
        <v>88</v>
      </c>
      <c r="B22" s="84"/>
      <c r="C22" s="84"/>
      <c r="D22" s="84"/>
      <c r="E22" s="84"/>
      <c r="F22" s="84"/>
      <c r="G22" s="84"/>
      <c r="H22" s="84"/>
      <c r="I22" s="84"/>
      <c r="J22" s="85"/>
    </row>
    <row r="23" spans="1:10" ht="15" customHeight="1" x14ac:dyDescent="0.3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 ht="15" customHeight="1" x14ac:dyDescent="0.3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 ht="15" customHeight="1" x14ac:dyDescent="0.7">
      <c r="A25" s="40"/>
      <c r="B25" s="41"/>
      <c r="C25" s="41"/>
      <c r="D25" s="41"/>
      <c r="E25" s="41"/>
      <c r="F25" s="41"/>
      <c r="G25" s="41"/>
      <c r="H25" s="41"/>
      <c r="I25" s="41"/>
      <c r="J25" s="42"/>
    </row>
    <row r="26" spans="1:10" ht="15" customHeight="1" x14ac:dyDescent="0.7">
      <c r="A26" s="40"/>
      <c r="B26" s="41"/>
      <c r="C26" s="41"/>
      <c r="D26" s="41"/>
      <c r="E26" s="41"/>
      <c r="F26" s="41"/>
      <c r="G26" s="41"/>
      <c r="H26" s="41"/>
      <c r="I26" s="41"/>
      <c r="J26" s="42"/>
    </row>
    <row r="27" spans="1:10" ht="24" customHeight="1" x14ac:dyDescent="0.3">
      <c r="A27" s="86">
        <v>6</v>
      </c>
      <c r="B27" s="87"/>
      <c r="C27" s="87"/>
      <c r="D27" s="87"/>
      <c r="E27" s="87"/>
      <c r="F27" s="87"/>
      <c r="G27" s="87"/>
      <c r="H27" s="87"/>
      <c r="I27" s="87"/>
      <c r="J27" s="88"/>
    </row>
    <row r="28" spans="1:10" s="43" customFormat="1" ht="24" customHeight="1" x14ac:dyDescent="0.3">
      <c r="A28" s="86"/>
      <c r="B28" s="87"/>
      <c r="C28" s="87"/>
      <c r="D28" s="87"/>
      <c r="E28" s="87"/>
      <c r="F28" s="87"/>
      <c r="G28" s="87"/>
      <c r="H28" s="87"/>
      <c r="I28" s="87"/>
      <c r="J28" s="88"/>
    </row>
    <row r="29" spans="1:10" s="43" customFormat="1" ht="24" customHeight="1" x14ac:dyDescent="0.7">
      <c r="A29" s="89"/>
      <c r="B29" s="90"/>
      <c r="C29" s="90"/>
      <c r="D29" s="90"/>
      <c r="E29" s="90"/>
      <c r="F29" s="90"/>
      <c r="G29" s="90"/>
      <c r="H29" s="90"/>
      <c r="I29" s="90"/>
      <c r="J29" s="91"/>
    </row>
    <row r="30" spans="1:10" s="43" customFormat="1" ht="24" customHeight="1" x14ac:dyDescent="0.3">
      <c r="A30" s="92" t="str">
        <f>+[30]İcmal!B16</f>
        <v>Hakediş Tarihi:</v>
      </c>
      <c r="B30" s="93"/>
      <c r="C30" s="93"/>
      <c r="D30" s="93"/>
      <c r="E30" s="93"/>
      <c r="F30" s="94">
        <v>46142</v>
      </c>
      <c r="G30" s="94"/>
      <c r="H30" s="94"/>
      <c r="I30" s="94"/>
      <c r="J30" s="95"/>
    </row>
    <row r="31" spans="1:10" ht="24" customHeight="1" x14ac:dyDescent="0.3">
      <c r="A31" s="92"/>
      <c r="B31" s="93"/>
      <c r="C31" s="93"/>
      <c r="D31" s="93"/>
      <c r="E31" s="93"/>
      <c r="F31" s="94"/>
      <c r="G31" s="94"/>
      <c r="H31" s="94"/>
      <c r="I31" s="94"/>
      <c r="J31" s="95"/>
    </row>
    <row r="32" spans="1:10" ht="24" customHeight="1" x14ac:dyDescent="0.7">
      <c r="A32" s="40"/>
      <c r="B32" s="41"/>
      <c r="C32" s="41"/>
      <c r="D32" s="41"/>
      <c r="E32" s="41"/>
      <c r="F32" s="41"/>
      <c r="G32" s="41"/>
      <c r="H32" s="41"/>
      <c r="I32" s="41"/>
      <c r="J32" s="42"/>
    </row>
    <row r="33" spans="1:10" ht="24" customHeight="1" x14ac:dyDescent="0.7">
      <c r="A33" s="40"/>
      <c r="B33" s="41"/>
      <c r="C33" s="41"/>
      <c r="D33" s="41"/>
      <c r="E33" s="41"/>
      <c r="F33" s="41"/>
      <c r="G33" s="41"/>
      <c r="H33" s="41"/>
      <c r="I33" s="41"/>
      <c r="J33" s="42"/>
    </row>
    <row r="34" spans="1:10" ht="24" customHeight="1" x14ac:dyDescent="0.3">
      <c r="A34" s="65"/>
      <c r="B34" s="66"/>
      <c r="C34" s="66"/>
      <c r="D34" s="66"/>
      <c r="E34" s="66"/>
      <c r="F34" s="66"/>
      <c r="G34" s="66"/>
      <c r="H34" s="66"/>
      <c r="I34" s="66"/>
      <c r="J34" s="67"/>
    </row>
    <row r="35" spans="1:10" ht="24" customHeight="1" x14ac:dyDescent="0.3">
      <c r="A35" s="65"/>
      <c r="B35" s="66"/>
      <c r="C35" s="66"/>
      <c r="D35" s="66"/>
      <c r="E35" s="66"/>
      <c r="F35" s="66"/>
      <c r="G35" s="66"/>
      <c r="H35" s="66"/>
      <c r="I35" s="66"/>
      <c r="J35" s="67"/>
    </row>
    <row r="36" spans="1:10" ht="24" customHeight="1" x14ac:dyDescent="0.3">
      <c r="A36" s="44"/>
      <c r="B36" s="45"/>
      <c r="C36" s="45"/>
      <c r="D36" s="45"/>
      <c r="E36" s="45"/>
      <c r="F36" s="45"/>
      <c r="G36" s="45"/>
      <c r="H36" s="45"/>
      <c r="I36" s="45"/>
      <c r="J36" s="46"/>
    </row>
    <row r="37" spans="1:10" ht="24" customHeight="1" x14ac:dyDescent="0.3">
      <c r="A37" s="44"/>
      <c r="B37" s="45"/>
      <c r="C37" s="45"/>
      <c r="D37" s="45"/>
      <c r="E37" s="45"/>
      <c r="F37" s="45"/>
      <c r="G37" s="45"/>
      <c r="H37" s="45"/>
      <c r="I37" s="45"/>
      <c r="J37" s="46"/>
    </row>
    <row r="38" spans="1:10" ht="24" customHeight="1" x14ac:dyDescent="0.3">
      <c r="A38" s="44"/>
      <c r="B38" s="45"/>
      <c r="C38" s="45"/>
      <c r="D38" s="45"/>
      <c r="E38" s="45"/>
      <c r="F38" s="45"/>
      <c r="G38" s="45"/>
      <c r="H38" s="45"/>
      <c r="I38" s="45"/>
      <c r="J38" s="46"/>
    </row>
    <row r="39" spans="1:10" ht="24" customHeight="1" x14ac:dyDescent="0.3">
      <c r="A39" s="44"/>
      <c r="B39" s="45"/>
      <c r="C39" s="45"/>
      <c r="D39" s="45"/>
      <c r="E39" s="45"/>
      <c r="F39" s="45"/>
      <c r="G39" s="45"/>
      <c r="H39" s="45"/>
      <c r="I39" s="45"/>
      <c r="J39" s="46"/>
    </row>
    <row r="40" spans="1:10" ht="24" customHeight="1" x14ac:dyDescent="0.3">
      <c r="A40" s="44"/>
      <c r="B40" s="45"/>
      <c r="C40" s="45"/>
      <c r="D40" s="45"/>
      <c r="E40" s="45"/>
      <c r="F40" s="45"/>
      <c r="G40" s="45"/>
      <c r="H40" s="45"/>
      <c r="I40" s="45"/>
      <c r="J40" s="46"/>
    </row>
    <row r="41" spans="1:10" ht="24" customHeight="1" x14ac:dyDescent="0.3">
      <c r="A41" s="44"/>
      <c r="B41" s="45"/>
      <c r="C41" s="45"/>
      <c r="D41" s="45"/>
      <c r="E41" s="45"/>
      <c r="F41" s="45"/>
      <c r="G41" s="45"/>
      <c r="H41" s="45"/>
      <c r="I41" s="45"/>
      <c r="J41" s="46"/>
    </row>
    <row r="42" spans="1:10" ht="24" customHeight="1" x14ac:dyDescent="0.3">
      <c r="A42" s="44"/>
      <c r="B42" s="45"/>
      <c r="C42" s="45"/>
      <c r="D42" s="45"/>
      <c r="E42" s="45"/>
      <c r="F42" s="45"/>
      <c r="G42" s="45"/>
      <c r="H42" s="45"/>
      <c r="I42" s="45"/>
      <c r="J42" s="46"/>
    </row>
    <row r="43" spans="1:10" ht="24" customHeight="1" x14ac:dyDescent="0.3">
      <c r="A43" s="44"/>
      <c r="B43" s="45"/>
      <c r="C43" s="45"/>
      <c r="D43" s="45"/>
      <c r="E43" s="45"/>
      <c r="F43" s="45"/>
      <c r="G43" s="45"/>
      <c r="H43" s="45"/>
      <c r="I43" s="45"/>
      <c r="J43" s="46"/>
    </row>
    <row r="44" spans="1:10" ht="24" customHeight="1" x14ac:dyDescent="0.3">
      <c r="A44" s="44"/>
      <c r="B44" s="45"/>
      <c r="C44" s="45"/>
      <c r="D44" s="45"/>
      <c r="E44" s="45"/>
      <c r="F44" s="45"/>
      <c r="G44" s="45"/>
      <c r="H44" s="45"/>
      <c r="I44" s="45"/>
      <c r="J44" s="46"/>
    </row>
    <row r="45" spans="1:10" ht="24" customHeight="1" x14ac:dyDescent="0.3">
      <c r="A45" s="44"/>
      <c r="B45" s="45"/>
      <c r="C45" s="45"/>
      <c r="D45" s="45"/>
      <c r="E45" s="45"/>
      <c r="F45" s="45"/>
      <c r="G45" s="45"/>
      <c r="H45" s="45"/>
      <c r="I45" s="45"/>
      <c r="J45" s="46"/>
    </row>
    <row r="46" spans="1:10" ht="24" customHeight="1" x14ac:dyDescent="0.3">
      <c r="A46" s="44"/>
      <c r="B46" s="45"/>
      <c r="C46" s="45"/>
      <c r="D46" s="45"/>
      <c r="E46" s="45"/>
      <c r="F46" s="45"/>
      <c r="G46" s="45"/>
      <c r="H46" s="45"/>
      <c r="I46" s="45"/>
      <c r="J46" s="46"/>
    </row>
    <row r="47" spans="1:10" ht="24" customHeight="1" x14ac:dyDescent="0.3">
      <c r="A47" s="44"/>
      <c r="B47" s="45"/>
      <c r="C47" s="45"/>
      <c r="D47" s="45"/>
      <c r="E47" s="45"/>
      <c r="F47" s="45"/>
      <c r="G47" s="45"/>
      <c r="H47" s="45"/>
      <c r="I47" s="45"/>
      <c r="J47" s="46"/>
    </row>
    <row r="48" spans="1:10" ht="24" customHeight="1" x14ac:dyDescent="0.3">
      <c r="A48" s="44"/>
      <c r="B48" s="45"/>
      <c r="C48" s="45"/>
      <c r="D48" s="45"/>
      <c r="E48" s="45"/>
      <c r="F48" s="45"/>
      <c r="G48" s="45"/>
      <c r="H48" s="45"/>
      <c r="I48" s="45"/>
      <c r="J48" s="46"/>
    </row>
    <row r="49" spans="1:10" ht="24" customHeight="1" x14ac:dyDescent="0.3">
      <c r="A49" s="44"/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5" customHeight="1" x14ac:dyDescent="0.3">
      <c r="A50" s="44"/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5" customHeight="1" x14ac:dyDescent="0.7">
      <c r="A51" s="40"/>
      <c r="B51" s="41"/>
      <c r="C51" s="41"/>
      <c r="D51" s="41"/>
      <c r="E51" s="41"/>
      <c r="F51" s="41"/>
      <c r="G51" s="41"/>
      <c r="H51" s="41"/>
      <c r="I51" s="41"/>
      <c r="J51" s="42"/>
    </row>
    <row r="52" spans="1:10" ht="15" customHeight="1" x14ac:dyDescent="0.7">
      <c r="A52" s="40"/>
      <c r="B52" s="41"/>
      <c r="C52" s="41"/>
      <c r="D52" s="41"/>
      <c r="E52" s="41"/>
      <c r="F52" s="41"/>
      <c r="G52" s="41"/>
      <c r="H52" s="41"/>
      <c r="I52" s="41"/>
      <c r="J52" s="42"/>
    </row>
    <row r="53" spans="1:10" ht="15" customHeight="1" x14ac:dyDescent="0.3">
      <c r="A53" s="65"/>
      <c r="B53" s="66"/>
      <c r="C53" s="66"/>
      <c r="D53" s="66"/>
      <c r="E53" s="66"/>
      <c r="F53" s="66"/>
      <c r="G53" s="66"/>
      <c r="H53" s="66"/>
      <c r="I53" s="66"/>
      <c r="J53" s="67"/>
    </row>
    <row r="54" spans="1:10" ht="15" customHeight="1" thickBot="1" x14ac:dyDescent="0.35">
      <c r="A54" s="68"/>
      <c r="B54" s="69"/>
      <c r="C54" s="69"/>
      <c r="D54" s="69"/>
      <c r="E54" s="69"/>
      <c r="F54" s="69"/>
      <c r="G54" s="69"/>
      <c r="H54" s="69"/>
      <c r="I54" s="69"/>
      <c r="J54" s="70"/>
    </row>
    <row r="55" spans="1:10" ht="15" customHeight="1" thickTop="1" x14ac:dyDescent="0.3"/>
  </sheetData>
  <mergeCells count="12">
    <mergeCell ref="A53:J54"/>
    <mergeCell ref="A2:J2"/>
    <mergeCell ref="A3:J3"/>
    <mergeCell ref="A4:J4"/>
    <mergeCell ref="A5:J5"/>
    <mergeCell ref="A6:J7"/>
    <mergeCell ref="A22:J24"/>
    <mergeCell ref="A27:J28"/>
    <mergeCell ref="A29:J29"/>
    <mergeCell ref="A30:E31"/>
    <mergeCell ref="F30:J31"/>
    <mergeCell ref="A34:J35"/>
  </mergeCells>
  <printOptions horizontalCentered="1" verticalCentered="1"/>
  <pageMargins left="0.19685039370078741" right="0.19685039370078741" top="0.39370078740157483" bottom="0.19685039370078741" header="0.31496062992125984" footer="0.31496062992125984"/>
  <pageSetup paperSize="9" scale="4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A963-9861-44A7-BBC3-46F4E9CC722F}">
  <sheetPr>
    <tabColor rgb="FFFF0000"/>
    <pageSetUpPr fitToPage="1"/>
  </sheetPr>
  <dimension ref="A1:X64"/>
  <sheetViews>
    <sheetView tabSelected="1" view="pageBreakPreview" topLeftCell="C6" zoomScale="85" zoomScaleNormal="85" zoomScaleSheetLayoutView="85" workbookViewId="0">
      <selection activeCell="M11" sqref="M11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bestFit="1" customWidth="1"/>
    <col min="5" max="5" width="10" customWidth="1"/>
    <col min="6" max="6" width="11.33203125" customWidth="1"/>
    <col min="7" max="7" width="16.5546875" customWidth="1"/>
    <col min="8" max="8" width="21.5546875" hidden="1" customWidth="1"/>
    <col min="9" max="10" width="16.5546875" hidden="1" customWidth="1"/>
    <col min="11" max="11" width="21.5546875" bestFit="1" customWidth="1"/>
    <col min="12" max="12" width="17.77734375" bestFit="1" customWidth="1"/>
    <col min="13" max="13" width="15" bestFit="1" customWidth="1"/>
    <col min="14" max="14" width="21.33203125" customWidth="1"/>
    <col min="15" max="15" width="2.21875" customWidth="1"/>
    <col min="16" max="16" width="19.5546875" customWidth="1"/>
    <col min="18" max="18" width="15.77734375" customWidth="1"/>
    <col min="19" max="19" width="13.44140625" customWidth="1"/>
    <col min="22" max="22" width="10.6640625" bestFit="1" customWidth="1"/>
  </cols>
  <sheetData>
    <row r="1" spans="1:24" x14ac:dyDescent="0.3">
      <c r="A1" s="17" t="s">
        <v>76</v>
      </c>
    </row>
    <row r="2" spans="1:24" s="19" customFormat="1" ht="15" customHeight="1" x14ac:dyDescent="0.3">
      <c r="C2" s="30"/>
      <c r="O2" s="20"/>
      <c r="P2" s="20"/>
    </row>
    <row r="3" spans="1:24" s="21" customFormat="1" ht="15" customHeight="1" x14ac:dyDescent="0.3">
      <c r="A3" s="61" t="s">
        <v>78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22"/>
      <c r="P3" s="22"/>
    </row>
    <row r="4" spans="1:24" s="21" customFormat="1" ht="15" customHeight="1" x14ac:dyDescent="0.3">
      <c r="A4" s="61" t="s">
        <v>79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22"/>
      <c r="P4" s="22"/>
    </row>
    <row r="5" spans="1:24" s="21" customFormat="1" ht="15" customHeight="1" x14ac:dyDescent="0.3">
      <c r="A5" s="55" t="s">
        <v>80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 spans="1:24" s="21" customFormat="1" ht="15" customHeight="1" x14ac:dyDescent="0.3">
      <c r="C6" s="24"/>
    </row>
    <row r="7" spans="1:24" s="21" customFormat="1" ht="15" customHeight="1" x14ac:dyDescent="0.3">
      <c r="A7" s="55" t="s">
        <v>81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</row>
    <row r="8" spans="1:24" s="21" customFormat="1" ht="15" customHeight="1" x14ac:dyDescent="0.3">
      <c r="A8" s="62" t="s">
        <v>84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</row>
    <row r="9" spans="1:24" s="21" customFormat="1" ht="15" customHeight="1" thickBot="1" x14ac:dyDescent="0.35">
      <c r="A9" s="25"/>
      <c r="B9" s="26"/>
      <c r="C9" s="26"/>
      <c r="D9" s="26"/>
      <c r="E9" s="26"/>
      <c r="F9" s="26"/>
      <c r="G9" s="26"/>
      <c r="H9" s="58" t="s">
        <v>82</v>
      </c>
      <c r="I9" s="59"/>
      <c r="J9" s="60"/>
      <c r="K9" s="58" t="s">
        <v>83</v>
      </c>
      <c r="L9" s="59"/>
      <c r="M9" s="60"/>
      <c r="N9" s="63" t="s">
        <v>85</v>
      </c>
      <c r="O9" s="23"/>
      <c r="P9" s="23"/>
    </row>
    <row r="10" spans="1:24" ht="14.4" customHeight="1" x14ac:dyDescent="0.3">
      <c r="A10" s="27" t="s">
        <v>0</v>
      </c>
      <c r="B10" s="28" t="s">
        <v>1</v>
      </c>
      <c r="C10" s="28" t="s">
        <v>2</v>
      </c>
      <c r="D10" s="29" t="s">
        <v>3</v>
      </c>
      <c r="E10" s="29" t="s">
        <v>4</v>
      </c>
      <c r="F10" s="29" t="s">
        <v>5</v>
      </c>
      <c r="G10" s="29" t="s">
        <v>6</v>
      </c>
      <c r="H10" s="29" t="s">
        <v>89</v>
      </c>
      <c r="I10" s="29" t="s">
        <v>90</v>
      </c>
      <c r="J10" s="29" t="s">
        <v>91</v>
      </c>
      <c r="K10" s="29" t="s">
        <v>89</v>
      </c>
      <c r="L10" s="29" t="s">
        <v>90</v>
      </c>
      <c r="M10" s="29" t="s">
        <v>91</v>
      </c>
      <c r="N10" s="64"/>
      <c r="O10" s="12"/>
    </row>
    <row r="11" spans="1:24" ht="27.6" customHeight="1" x14ac:dyDescent="0.3">
      <c r="A11" s="4">
        <v>49</v>
      </c>
      <c r="B11" s="5" t="s">
        <v>7</v>
      </c>
      <c r="C11" s="4" t="s">
        <v>8</v>
      </c>
      <c r="D11" s="6" t="s">
        <v>9</v>
      </c>
      <c r="E11" s="7">
        <v>186392.65</v>
      </c>
      <c r="F11" s="8">
        <v>5075</v>
      </c>
      <c r="G11" s="9">
        <f t="shared" ref="G11:G40" si="0">+E11*F11</f>
        <v>945942698.75</v>
      </c>
      <c r="H11" s="15"/>
      <c r="I11" s="15"/>
      <c r="J11" s="15"/>
      <c r="K11" s="15"/>
      <c r="L11" s="15">
        <f>M11-K11</f>
        <v>1909.8839999999998</v>
      </c>
      <c r="M11" s="15">
        <f>+'Barbaros 0426'!H3</f>
        <v>1909.8839999999998</v>
      </c>
      <c r="N11" s="15">
        <f>+J11+M11</f>
        <v>1909.8839999999998</v>
      </c>
      <c r="O11" s="13"/>
      <c r="R11" s="16"/>
      <c r="S11" s="53"/>
      <c r="V11" s="52"/>
      <c r="X11" s="52"/>
    </row>
    <row r="12" spans="1:24" ht="27.6" customHeight="1" x14ac:dyDescent="0.3">
      <c r="A12" s="4">
        <v>50</v>
      </c>
      <c r="B12" s="4" t="s">
        <v>10</v>
      </c>
      <c r="C12" s="4" t="s">
        <v>11</v>
      </c>
      <c r="D12" s="6" t="s">
        <v>9</v>
      </c>
      <c r="E12" s="4">
        <v>910</v>
      </c>
      <c r="F12" s="8">
        <v>600</v>
      </c>
      <c r="G12" s="9">
        <f t="shared" si="0"/>
        <v>546000</v>
      </c>
      <c r="H12" s="15"/>
      <c r="I12" s="15"/>
      <c r="J12" s="15"/>
      <c r="K12" s="15"/>
      <c r="L12" s="15">
        <f t="shared" ref="L12:L40" si="1">M12-K12</f>
        <v>0</v>
      </c>
      <c r="M12" s="15">
        <f>+'Barbaros 0426'!H4</f>
        <v>0</v>
      </c>
      <c r="N12" s="15">
        <f t="shared" ref="N12:N40" si="2">+J12+M12</f>
        <v>0</v>
      </c>
      <c r="O12" s="13"/>
      <c r="R12" s="16"/>
      <c r="S12" s="53"/>
      <c r="V12" s="52"/>
      <c r="X12" s="52"/>
    </row>
    <row r="13" spans="1:24" ht="27.6" customHeight="1" x14ac:dyDescent="0.3">
      <c r="A13" s="4">
        <v>51</v>
      </c>
      <c r="B13" s="4" t="s">
        <v>12</v>
      </c>
      <c r="C13" s="4" t="s">
        <v>13</v>
      </c>
      <c r="D13" s="6" t="s">
        <v>9</v>
      </c>
      <c r="E13" s="10">
        <v>1785</v>
      </c>
      <c r="F13" s="8">
        <v>1500</v>
      </c>
      <c r="G13" s="9">
        <f t="shared" si="0"/>
        <v>2677500</v>
      </c>
      <c r="H13" s="15"/>
      <c r="I13" s="15"/>
      <c r="J13" s="15"/>
      <c r="K13" s="15"/>
      <c r="L13" s="15">
        <f t="shared" si="1"/>
        <v>0</v>
      </c>
      <c r="M13" s="15">
        <f>+'Barbaros 0426'!H5</f>
        <v>0</v>
      </c>
      <c r="N13" s="15">
        <f t="shared" si="2"/>
        <v>0</v>
      </c>
      <c r="O13" s="13"/>
      <c r="R13" s="16"/>
      <c r="S13" s="53"/>
      <c r="V13" s="52"/>
      <c r="X13" s="52"/>
    </row>
    <row r="14" spans="1:24" ht="27.6" customHeight="1" x14ac:dyDescent="0.3">
      <c r="A14" s="4">
        <v>52</v>
      </c>
      <c r="B14" s="5" t="s">
        <v>14</v>
      </c>
      <c r="C14" s="4" t="s">
        <v>15</v>
      </c>
      <c r="D14" s="6" t="s">
        <v>9</v>
      </c>
      <c r="E14" s="7">
        <v>38798.589999999997</v>
      </c>
      <c r="F14" s="8">
        <v>15334</v>
      </c>
      <c r="G14" s="9">
        <f t="shared" si="0"/>
        <v>594937579.05999994</v>
      </c>
      <c r="H14" s="15"/>
      <c r="I14" s="15"/>
      <c r="J14" s="15"/>
      <c r="K14" s="15"/>
      <c r="L14" s="15">
        <f t="shared" si="1"/>
        <v>298.29100000000005</v>
      </c>
      <c r="M14" s="15">
        <f>+'Barbaros 0426'!H6</f>
        <v>298.29100000000005</v>
      </c>
      <c r="N14" s="15">
        <f t="shared" si="2"/>
        <v>298.29100000000005</v>
      </c>
      <c r="O14" s="13"/>
      <c r="R14" s="16"/>
      <c r="S14" s="53"/>
      <c r="V14" s="52"/>
      <c r="X14" s="52"/>
    </row>
    <row r="15" spans="1:24" ht="27.6" customHeight="1" x14ac:dyDescent="0.3">
      <c r="A15" s="4">
        <v>53</v>
      </c>
      <c r="B15" s="4" t="s">
        <v>16</v>
      </c>
      <c r="C15" s="4" t="s">
        <v>17</v>
      </c>
      <c r="D15" s="6" t="s">
        <v>18</v>
      </c>
      <c r="E15" s="7">
        <v>19569.89</v>
      </c>
      <c r="F15" s="8">
        <v>248</v>
      </c>
      <c r="G15" s="9">
        <f t="shared" si="0"/>
        <v>4853332.72</v>
      </c>
      <c r="H15" s="15"/>
      <c r="I15" s="15"/>
      <c r="J15" s="15"/>
      <c r="K15" s="15"/>
      <c r="L15" s="15">
        <f t="shared" si="1"/>
        <v>0</v>
      </c>
      <c r="M15" s="15">
        <f>+'Barbaros 0426'!H7</f>
        <v>0</v>
      </c>
      <c r="N15" s="15">
        <f t="shared" si="2"/>
        <v>0</v>
      </c>
      <c r="O15" s="13"/>
      <c r="R15" s="16"/>
      <c r="S15" s="53"/>
      <c r="V15" s="52"/>
      <c r="X15" s="52"/>
    </row>
    <row r="16" spans="1:24" ht="27.6" customHeight="1" x14ac:dyDescent="0.3">
      <c r="A16" s="4">
        <v>54</v>
      </c>
      <c r="B16" s="4" t="s">
        <v>19</v>
      </c>
      <c r="C16" s="4" t="s">
        <v>20</v>
      </c>
      <c r="D16" s="6" t="s">
        <v>18</v>
      </c>
      <c r="E16" s="7">
        <v>10655.78</v>
      </c>
      <c r="F16" s="8">
        <v>371</v>
      </c>
      <c r="G16" s="9">
        <f t="shared" si="0"/>
        <v>3953294.3800000004</v>
      </c>
      <c r="H16" s="15"/>
      <c r="I16" s="15"/>
      <c r="J16" s="15"/>
      <c r="K16" s="15"/>
      <c r="L16" s="15">
        <f t="shared" si="1"/>
        <v>0</v>
      </c>
      <c r="M16" s="15">
        <f>+'Barbaros 0426'!H8</f>
        <v>0</v>
      </c>
      <c r="N16" s="15">
        <f t="shared" si="2"/>
        <v>0</v>
      </c>
      <c r="O16" s="13"/>
      <c r="R16" s="16"/>
      <c r="S16" s="53"/>
      <c r="V16" s="52"/>
      <c r="X16" s="52"/>
    </row>
    <row r="17" spans="1:24" ht="27.6" customHeight="1" x14ac:dyDescent="0.3">
      <c r="A17" s="4">
        <v>55</v>
      </c>
      <c r="B17" s="4" t="s">
        <v>21</v>
      </c>
      <c r="C17" s="4" t="s">
        <v>22</v>
      </c>
      <c r="D17" s="6" t="s">
        <v>23</v>
      </c>
      <c r="E17" s="4">
        <v>800</v>
      </c>
      <c r="F17" s="8">
        <v>2250</v>
      </c>
      <c r="G17" s="9">
        <f t="shared" si="0"/>
        <v>1800000</v>
      </c>
      <c r="H17" s="15"/>
      <c r="I17" s="15"/>
      <c r="J17" s="15"/>
      <c r="K17" s="15"/>
      <c r="L17" s="15">
        <f t="shared" si="1"/>
        <v>0</v>
      </c>
      <c r="M17" s="15">
        <f>+'Barbaros 0426'!H9</f>
        <v>0</v>
      </c>
      <c r="N17" s="15">
        <f t="shared" si="2"/>
        <v>0</v>
      </c>
      <c r="O17" s="13"/>
      <c r="R17" s="16"/>
      <c r="S17" s="53"/>
      <c r="V17" s="52"/>
      <c r="X17" s="52"/>
    </row>
    <row r="18" spans="1:24" ht="27.6" customHeight="1" x14ac:dyDescent="0.3">
      <c r="A18" s="4">
        <v>56</v>
      </c>
      <c r="B18" s="4" t="s">
        <v>24</v>
      </c>
      <c r="C18" s="4" t="s">
        <v>25</v>
      </c>
      <c r="D18" s="6" t="s">
        <v>23</v>
      </c>
      <c r="E18" s="7">
        <v>2466.42</v>
      </c>
      <c r="F18" s="8">
        <v>8000</v>
      </c>
      <c r="G18" s="9">
        <f t="shared" si="0"/>
        <v>19731360</v>
      </c>
      <c r="H18" s="15"/>
      <c r="I18" s="15"/>
      <c r="J18" s="15"/>
      <c r="K18" s="15"/>
      <c r="L18" s="15">
        <f t="shared" si="1"/>
        <v>0</v>
      </c>
      <c r="M18" s="15">
        <f>+'Barbaros 0426'!H10</f>
        <v>0</v>
      </c>
      <c r="N18" s="15">
        <f t="shared" si="2"/>
        <v>0</v>
      </c>
      <c r="O18" s="13"/>
      <c r="R18" s="16"/>
      <c r="S18" s="53"/>
      <c r="V18" s="52"/>
      <c r="X18" s="52"/>
    </row>
    <row r="19" spans="1:24" ht="27.6" customHeight="1" x14ac:dyDescent="0.3">
      <c r="A19" s="4">
        <v>57</v>
      </c>
      <c r="B19" s="4" t="s">
        <v>26</v>
      </c>
      <c r="C19" s="4" t="s">
        <v>27</v>
      </c>
      <c r="D19" s="6" t="s">
        <v>23</v>
      </c>
      <c r="E19" s="7">
        <v>2401.3000000000002</v>
      </c>
      <c r="F19" s="8">
        <v>8288</v>
      </c>
      <c r="G19" s="9">
        <f t="shared" si="0"/>
        <v>19901974.400000002</v>
      </c>
      <c r="H19" s="15"/>
      <c r="I19" s="15"/>
      <c r="J19" s="15"/>
      <c r="K19" s="15"/>
      <c r="L19" s="15">
        <f t="shared" si="1"/>
        <v>0</v>
      </c>
      <c r="M19" s="15">
        <f>+'Barbaros 0426'!H11</f>
        <v>0</v>
      </c>
      <c r="N19" s="15">
        <f t="shared" si="2"/>
        <v>0</v>
      </c>
      <c r="O19" s="13"/>
      <c r="R19" s="16"/>
      <c r="S19" s="53"/>
      <c r="V19" s="52"/>
      <c r="X19" s="52"/>
    </row>
    <row r="20" spans="1:24" ht="27.6" customHeight="1" x14ac:dyDescent="0.3">
      <c r="A20" s="4">
        <v>58</v>
      </c>
      <c r="B20" s="4" t="s">
        <v>28</v>
      </c>
      <c r="C20" s="4" t="s">
        <v>29</v>
      </c>
      <c r="D20" s="6" t="s">
        <v>23</v>
      </c>
      <c r="E20" s="10">
        <v>2970</v>
      </c>
      <c r="F20" s="8">
        <v>12000</v>
      </c>
      <c r="G20" s="9">
        <f t="shared" si="0"/>
        <v>35640000</v>
      </c>
      <c r="H20" s="15"/>
      <c r="I20" s="15"/>
      <c r="J20" s="15"/>
      <c r="K20" s="15"/>
      <c r="L20" s="15">
        <f t="shared" si="1"/>
        <v>0</v>
      </c>
      <c r="M20" s="15">
        <f>+'Barbaros 0426'!H12</f>
        <v>0</v>
      </c>
      <c r="N20" s="15">
        <f t="shared" si="2"/>
        <v>0</v>
      </c>
      <c r="O20" s="13"/>
      <c r="R20" s="16"/>
      <c r="S20" s="53"/>
      <c r="V20" s="52"/>
      <c r="X20" s="52"/>
    </row>
    <row r="21" spans="1:24" ht="27.6" customHeight="1" x14ac:dyDescent="0.3">
      <c r="A21" s="4">
        <v>59</v>
      </c>
      <c r="B21" s="4" t="s">
        <v>30</v>
      </c>
      <c r="C21" s="4" t="s">
        <v>31</v>
      </c>
      <c r="D21" s="6" t="s">
        <v>23</v>
      </c>
      <c r="E21" s="7">
        <v>7008.23</v>
      </c>
      <c r="F21" s="8">
        <v>28000</v>
      </c>
      <c r="G21" s="9">
        <f t="shared" si="0"/>
        <v>196230440</v>
      </c>
      <c r="H21" s="15"/>
      <c r="I21" s="15"/>
      <c r="J21" s="15"/>
      <c r="K21" s="15"/>
      <c r="L21" s="15">
        <f t="shared" si="1"/>
        <v>480</v>
      </c>
      <c r="M21" s="15">
        <f>+'Barbaros 0426'!H13</f>
        <v>480</v>
      </c>
      <c r="N21" s="15">
        <f t="shared" si="2"/>
        <v>480</v>
      </c>
      <c r="O21" s="13"/>
      <c r="R21" s="16"/>
      <c r="S21" s="53"/>
      <c r="V21" s="52"/>
      <c r="X21" s="52"/>
    </row>
    <row r="22" spans="1:24" ht="27.6" customHeight="1" x14ac:dyDescent="0.3">
      <c r="A22" s="4">
        <v>60</v>
      </c>
      <c r="B22" s="4" t="s">
        <v>32</v>
      </c>
      <c r="C22" s="4" t="s">
        <v>33</v>
      </c>
      <c r="D22" s="6" t="s">
        <v>18</v>
      </c>
      <c r="E22" s="7">
        <v>156606.89000000001</v>
      </c>
      <c r="F22" s="8">
        <v>375</v>
      </c>
      <c r="G22" s="9">
        <f t="shared" si="0"/>
        <v>58727583.750000007</v>
      </c>
      <c r="H22" s="15"/>
      <c r="I22" s="15"/>
      <c r="J22" s="15"/>
      <c r="K22" s="15"/>
      <c r="L22" s="15">
        <f t="shared" si="1"/>
        <v>0</v>
      </c>
      <c r="M22" s="15">
        <f>+'Barbaros 0426'!H14</f>
        <v>0</v>
      </c>
      <c r="N22" s="15">
        <f t="shared" si="2"/>
        <v>0</v>
      </c>
      <c r="O22" s="13"/>
      <c r="R22" s="16"/>
      <c r="S22" s="53"/>
      <c r="V22" s="52"/>
      <c r="X22" s="52"/>
    </row>
    <row r="23" spans="1:24" ht="27.6" customHeight="1" x14ac:dyDescent="0.3">
      <c r="A23" s="4">
        <v>61</v>
      </c>
      <c r="B23" s="4" t="s">
        <v>34</v>
      </c>
      <c r="C23" s="4" t="s">
        <v>35</v>
      </c>
      <c r="D23" s="6" t="s">
        <v>18</v>
      </c>
      <c r="E23" s="10">
        <v>145635</v>
      </c>
      <c r="F23" s="8">
        <v>388</v>
      </c>
      <c r="G23" s="9">
        <f t="shared" si="0"/>
        <v>56506380</v>
      </c>
      <c r="H23" s="15"/>
      <c r="I23" s="15"/>
      <c r="J23" s="15"/>
      <c r="K23" s="15"/>
      <c r="L23" s="15">
        <f t="shared" si="1"/>
        <v>0</v>
      </c>
      <c r="M23" s="15">
        <f>+'Barbaros 0426'!H15</f>
        <v>0</v>
      </c>
      <c r="N23" s="15">
        <f t="shared" si="2"/>
        <v>0</v>
      </c>
      <c r="O23" s="13"/>
      <c r="R23" s="16"/>
      <c r="S23" s="53"/>
      <c r="V23" s="52"/>
      <c r="X23" s="52"/>
    </row>
    <row r="24" spans="1:24" ht="27.6" customHeight="1" x14ac:dyDescent="0.3">
      <c r="A24" s="4">
        <v>62</v>
      </c>
      <c r="B24" s="5" t="s">
        <v>36</v>
      </c>
      <c r="C24" s="4" t="s">
        <v>37</v>
      </c>
      <c r="D24" s="6" t="s">
        <v>38</v>
      </c>
      <c r="E24" s="10">
        <v>8410</v>
      </c>
      <c r="F24" s="8">
        <v>102000</v>
      </c>
      <c r="G24" s="9">
        <f t="shared" si="0"/>
        <v>857820000</v>
      </c>
      <c r="H24" s="15"/>
      <c r="I24" s="15"/>
      <c r="J24" s="15"/>
      <c r="K24" s="15"/>
      <c r="L24" s="15">
        <f t="shared" si="1"/>
        <v>68.646000000000001</v>
      </c>
      <c r="M24" s="15">
        <f>+'Barbaros 0426'!H16</f>
        <v>68.646000000000001</v>
      </c>
      <c r="N24" s="15">
        <f t="shared" si="2"/>
        <v>68.646000000000001</v>
      </c>
      <c r="O24" s="13"/>
      <c r="R24" s="16"/>
      <c r="S24" s="53"/>
      <c r="V24" s="52"/>
      <c r="X24" s="52"/>
    </row>
    <row r="25" spans="1:24" ht="27.6" customHeight="1" x14ac:dyDescent="0.3">
      <c r="A25" s="4">
        <v>63</v>
      </c>
      <c r="B25" s="5" t="s">
        <v>39</v>
      </c>
      <c r="C25" s="4" t="s">
        <v>40</v>
      </c>
      <c r="D25" s="6" t="s">
        <v>18</v>
      </c>
      <c r="E25" s="7">
        <v>360205.7</v>
      </c>
      <c r="F25" s="8">
        <v>3400</v>
      </c>
      <c r="G25" s="9">
        <f t="shared" si="0"/>
        <v>1224699380</v>
      </c>
      <c r="H25" s="15"/>
      <c r="I25" s="15"/>
      <c r="J25" s="15"/>
      <c r="K25" s="15"/>
      <c r="L25" s="15">
        <f t="shared" si="1"/>
        <v>0</v>
      </c>
      <c r="M25" s="15">
        <f>+'Barbaros 0426'!H17</f>
        <v>0</v>
      </c>
      <c r="N25" s="15">
        <f t="shared" si="2"/>
        <v>0</v>
      </c>
      <c r="O25" s="13"/>
      <c r="R25" s="16"/>
      <c r="S25" s="53"/>
      <c r="V25" s="52"/>
      <c r="X25" s="52"/>
    </row>
    <row r="26" spans="1:24" ht="27.6" customHeight="1" x14ac:dyDescent="0.3">
      <c r="A26" s="4">
        <v>64</v>
      </c>
      <c r="B26" s="4" t="s">
        <v>41</v>
      </c>
      <c r="C26" s="4" t="s">
        <v>42</v>
      </c>
      <c r="D26" s="6" t="s">
        <v>43</v>
      </c>
      <c r="E26" s="7">
        <v>78502.509999999995</v>
      </c>
      <c r="F26" s="8">
        <v>510</v>
      </c>
      <c r="G26" s="9">
        <f t="shared" si="0"/>
        <v>40036280.099999994</v>
      </c>
      <c r="H26" s="15"/>
      <c r="I26" s="15"/>
      <c r="J26" s="15"/>
      <c r="K26" s="15"/>
      <c r="L26" s="15">
        <f t="shared" si="1"/>
        <v>0</v>
      </c>
      <c r="M26" s="15">
        <f>+'Barbaros 0426'!H18</f>
        <v>0</v>
      </c>
      <c r="N26" s="15">
        <f t="shared" si="2"/>
        <v>0</v>
      </c>
      <c r="O26" s="13"/>
      <c r="R26" s="16"/>
      <c r="S26" s="53"/>
      <c r="V26" s="52"/>
      <c r="X26" s="52"/>
    </row>
    <row r="27" spans="1:24" ht="27.6" customHeight="1" x14ac:dyDescent="0.3">
      <c r="A27" s="4">
        <v>65</v>
      </c>
      <c r="B27" s="4" t="s">
        <v>44</v>
      </c>
      <c r="C27" s="4" t="s">
        <v>45</v>
      </c>
      <c r="D27" s="6" t="s">
        <v>43</v>
      </c>
      <c r="E27" s="7">
        <v>67207.820000000007</v>
      </c>
      <c r="F27" s="8">
        <v>1200</v>
      </c>
      <c r="G27" s="9">
        <f t="shared" si="0"/>
        <v>80649384.000000015</v>
      </c>
      <c r="H27" s="15"/>
      <c r="I27" s="15"/>
      <c r="J27" s="15"/>
      <c r="K27" s="15"/>
      <c r="L27" s="15">
        <f t="shared" si="1"/>
        <v>0</v>
      </c>
      <c r="M27" s="15">
        <f>+'Barbaros 0426'!H19</f>
        <v>0</v>
      </c>
      <c r="N27" s="15">
        <f t="shared" si="2"/>
        <v>0</v>
      </c>
      <c r="O27" s="13"/>
      <c r="R27" s="16"/>
      <c r="S27" s="53"/>
      <c r="V27" s="52"/>
      <c r="X27" s="52"/>
    </row>
    <row r="28" spans="1:24" ht="27.6" customHeight="1" x14ac:dyDescent="0.3">
      <c r="A28" s="4">
        <v>66</v>
      </c>
      <c r="B28" s="5" t="s">
        <v>46</v>
      </c>
      <c r="C28" s="4" t="s">
        <v>47</v>
      </c>
      <c r="D28" s="6" t="s">
        <v>18</v>
      </c>
      <c r="E28" s="7">
        <v>11190.19</v>
      </c>
      <c r="F28" s="8">
        <v>2160</v>
      </c>
      <c r="G28" s="9">
        <f t="shared" si="0"/>
        <v>24170810.400000002</v>
      </c>
      <c r="H28" s="15"/>
      <c r="I28" s="15"/>
      <c r="J28" s="15"/>
      <c r="K28" s="15"/>
      <c r="L28" s="15">
        <f t="shared" si="1"/>
        <v>0</v>
      </c>
      <c r="M28" s="15">
        <f>+'Barbaros 0426'!H20</f>
        <v>0</v>
      </c>
      <c r="N28" s="15">
        <f t="shared" si="2"/>
        <v>0</v>
      </c>
      <c r="O28" s="13"/>
      <c r="R28" s="16"/>
      <c r="S28" s="53"/>
      <c r="V28" s="52"/>
      <c r="X28" s="52"/>
    </row>
    <row r="29" spans="1:24" ht="27.6" customHeight="1" x14ac:dyDescent="0.3">
      <c r="A29" s="4">
        <v>67</v>
      </c>
      <c r="B29" s="4" t="s">
        <v>48</v>
      </c>
      <c r="C29" s="4" t="s">
        <v>49</v>
      </c>
      <c r="D29" s="6" t="s">
        <v>43</v>
      </c>
      <c r="E29" s="7">
        <v>24185.25</v>
      </c>
      <c r="F29" s="8">
        <v>4150</v>
      </c>
      <c r="G29" s="9">
        <f t="shared" si="0"/>
        <v>100368787.5</v>
      </c>
      <c r="H29" s="15"/>
      <c r="I29" s="15"/>
      <c r="J29" s="15"/>
      <c r="K29" s="15"/>
      <c r="L29" s="15">
        <f t="shared" si="1"/>
        <v>0</v>
      </c>
      <c r="M29" s="15">
        <f>+'Barbaros 0426'!H21</f>
        <v>0</v>
      </c>
      <c r="N29" s="15">
        <f t="shared" si="2"/>
        <v>0</v>
      </c>
      <c r="O29" s="13"/>
      <c r="R29" s="16"/>
      <c r="S29" s="53"/>
      <c r="V29" s="52"/>
      <c r="X29" s="52"/>
    </row>
    <row r="30" spans="1:24" ht="27.6" customHeight="1" x14ac:dyDescent="0.3">
      <c r="A30" s="4">
        <v>68</v>
      </c>
      <c r="B30" s="4" t="s">
        <v>50</v>
      </c>
      <c r="C30" s="4" t="s">
        <v>51</v>
      </c>
      <c r="D30" s="6" t="s">
        <v>43</v>
      </c>
      <c r="E30" s="7">
        <v>59207.42</v>
      </c>
      <c r="F30" s="8">
        <v>1500</v>
      </c>
      <c r="G30" s="9">
        <f t="shared" si="0"/>
        <v>88811130</v>
      </c>
      <c r="H30" s="15"/>
      <c r="I30" s="15"/>
      <c r="J30" s="15"/>
      <c r="K30" s="15"/>
      <c r="L30" s="15">
        <f t="shared" si="1"/>
        <v>0</v>
      </c>
      <c r="M30" s="15">
        <f>+'Barbaros 0426'!H22</f>
        <v>0</v>
      </c>
      <c r="N30" s="15">
        <f t="shared" si="2"/>
        <v>0</v>
      </c>
      <c r="O30" s="13"/>
      <c r="R30" s="16"/>
      <c r="S30" s="53"/>
      <c r="V30" s="52"/>
      <c r="X30" s="52"/>
    </row>
    <row r="31" spans="1:24" ht="27.6" customHeight="1" x14ac:dyDescent="0.3">
      <c r="A31" s="4">
        <v>69</v>
      </c>
      <c r="B31" s="4" t="s">
        <v>52</v>
      </c>
      <c r="C31" s="4" t="s">
        <v>53</v>
      </c>
      <c r="D31" s="6" t="s">
        <v>43</v>
      </c>
      <c r="E31" s="7">
        <v>36357.33</v>
      </c>
      <c r="F31" s="8">
        <v>500</v>
      </c>
      <c r="G31" s="9">
        <f t="shared" si="0"/>
        <v>18178665</v>
      </c>
      <c r="H31" s="15"/>
      <c r="I31" s="15"/>
      <c r="J31" s="15"/>
      <c r="K31" s="15"/>
      <c r="L31" s="15">
        <f t="shared" si="1"/>
        <v>0</v>
      </c>
      <c r="M31" s="15">
        <f>+'Barbaros 0426'!H23</f>
        <v>0</v>
      </c>
      <c r="N31" s="15">
        <f t="shared" si="2"/>
        <v>0</v>
      </c>
      <c r="O31" s="13"/>
      <c r="R31" s="16"/>
      <c r="S31" s="53"/>
      <c r="V31" s="52"/>
      <c r="X31" s="52"/>
    </row>
    <row r="32" spans="1:24" ht="27.6" customHeight="1" x14ac:dyDescent="0.3">
      <c r="A32" s="4">
        <v>70</v>
      </c>
      <c r="B32" s="4" t="s">
        <v>54</v>
      </c>
      <c r="C32" s="4" t="s">
        <v>55</v>
      </c>
      <c r="D32" s="6" t="s">
        <v>9</v>
      </c>
      <c r="E32" s="7">
        <v>3898.42</v>
      </c>
      <c r="F32" s="8">
        <v>6030</v>
      </c>
      <c r="G32" s="9">
        <f t="shared" si="0"/>
        <v>23507472.600000001</v>
      </c>
      <c r="H32" s="15"/>
      <c r="I32" s="15"/>
      <c r="J32" s="15"/>
      <c r="K32" s="15"/>
      <c r="L32" s="15">
        <f t="shared" si="1"/>
        <v>0</v>
      </c>
      <c r="M32" s="15">
        <f>+'Barbaros 0426'!H24</f>
        <v>0</v>
      </c>
      <c r="N32" s="15">
        <f t="shared" si="2"/>
        <v>0</v>
      </c>
      <c r="O32" s="13"/>
      <c r="R32" s="16"/>
      <c r="S32" s="53"/>
      <c r="V32" s="52"/>
      <c r="X32" s="52"/>
    </row>
    <row r="33" spans="1:24" ht="27.6" customHeight="1" x14ac:dyDescent="0.3">
      <c r="A33" s="4">
        <v>71</v>
      </c>
      <c r="B33" s="4" t="s">
        <v>56</v>
      </c>
      <c r="C33" s="4" t="s">
        <v>57</v>
      </c>
      <c r="D33" s="6" t="s">
        <v>9</v>
      </c>
      <c r="E33" s="7">
        <v>14995.14</v>
      </c>
      <c r="F33" s="8">
        <v>10355</v>
      </c>
      <c r="G33" s="9">
        <f t="shared" si="0"/>
        <v>155274674.69999999</v>
      </c>
      <c r="H33" s="15"/>
      <c r="I33" s="15"/>
      <c r="J33" s="15"/>
      <c r="K33" s="15"/>
      <c r="L33" s="15">
        <f t="shared" si="1"/>
        <v>0</v>
      </c>
      <c r="M33" s="15">
        <f>+'Barbaros 0426'!H25</f>
        <v>0</v>
      </c>
      <c r="N33" s="15">
        <f t="shared" si="2"/>
        <v>0</v>
      </c>
      <c r="O33" s="13"/>
      <c r="R33" s="16"/>
      <c r="S33" s="53"/>
      <c r="V33" s="52"/>
      <c r="X33" s="52"/>
    </row>
    <row r="34" spans="1:24" ht="27.6" customHeight="1" x14ac:dyDescent="0.3">
      <c r="A34" s="4">
        <v>72</v>
      </c>
      <c r="B34" s="4" t="s">
        <v>58</v>
      </c>
      <c r="C34" s="4" t="s">
        <v>59</v>
      </c>
      <c r="D34" s="6" t="s">
        <v>9</v>
      </c>
      <c r="E34" s="7">
        <v>29458.35</v>
      </c>
      <c r="F34" s="8">
        <v>10355</v>
      </c>
      <c r="G34" s="9">
        <f t="shared" si="0"/>
        <v>305041214.25</v>
      </c>
      <c r="H34" s="15"/>
      <c r="I34" s="15"/>
      <c r="J34" s="15"/>
      <c r="K34" s="15"/>
      <c r="L34" s="15">
        <f t="shared" si="1"/>
        <v>0</v>
      </c>
      <c r="M34" s="15">
        <f>+'Barbaros 0426'!H26</f>
        <v>0</v>
      </c>
      <c r="N34" s="15">
        <f t="shared" si="2"/>
        <v>0</v>
      </c>
      <c r="O34" s="13"/>
      <c r="R34" s="16"/>
      <c r="S34" s="53"/>
      <c r="V34" s="52"/>
      <c r="X34" s="52"/>
    </row>
    <row r="35" spans="1:24" ht="27.6" customHeight="1" x14ac:dyDescent="0.3">
      <c r="A35" s="4">
        <v>73</v>
      </c>
      <c r="B35" s="4" t="s">
        <v>60</v>
      </c>
      <c r="C35" s="4" t="s">
        <v>61</v>
      </c>
      <c r="D35" s="6" t="s">
        <v>9</v>
      </c>
      <c r="E35" s="7">
        <v>3917.38</v>
      </c>
      <c r="F35" s="8">
        <v>10355</v>
      </c>
      <c r="G35" s="9">
        <f t="shared" si="0"/>
        <v>40564469.899999999</v>
      </c>
      <c r="H35" s="15"/>
      <c r="I35" s="15"/>
      <c r="J35" s="15"/>
      <c r="K35" s="15"/>
      <c r="L35" s="15">
        <f t="shared" si="1"/>
        <v>0</v>
      </c>
      <c r="M35" s="15">
        <f>+'Barbaros 0426'!H27</f>
        <v>0</v>
      </c>
      <c r="N35" s="15">
        <f t="shared" si="2"/>
        <v>0</v>
      </c>
      <c r="O35" s="13"/>
      <c r="R35" s="16"/>
      <c r="S35" s="53"/>
      <c r="V35" s="52"/>
      <c r="X35" s="52"/>
    </row>
    <row r="36" spans="1:24" ht="27.6" customHeight="1" x14ac:dyDescent="0.3">
      <c r="A36" s="4">
        <v>74</v>
      </c>
      <c r="B36" s="4" t="s">
        <v>62</v>
      </c>
      <c r="C36" s="4" t="s">
        <v>63</v>
      </c>
      <c r="D36" s="6" t="s">
        <v>38</v>
      </c>
      <c r="E36" s="4">
        <v>62.29</v>
      </c>
      <c r="F36" s="8">
        <v>46250</v>
      </c>
      <c r="G36" s="9">
        <f t="shared" si="0"/>
        <v>2880912.5</v>
      </c>
      <c r="H36" s="15"/>
      <c r="I36" s="15"/>
      <c r="J36" s="15"/>
      <c r="K36" s="15"/>
      <c r="L36" s="15">
        <f t="shared" si="1"/>
        <v>7.4200000000000008</v>
      </c>
      <c r="M36" s="15">
        <f>+'Barbaros 0426'!H28</f>
        <v>7.4200000000000008</v>
      </c>
      <c r="N36" s="15">
        <f t="shared" si="2"/>
        <v>7.4200000000000008</v>
      </c>
      <c r="O36" s="13"/>
      <c r="R36" s="16"/>
      <c r="S36" s="53"/>
      <c r="V36" s="52"/>
      <c r="X36" s="52"/>
    </row>
    <row r="37" spans="1:24" ht="27.6" customHeight="1" x14ac:dyDescent="0.3">
      <c r="A37" s="4">
        <v>75</v>
      </c>
      <c r="B37" s="4" t="s">
        <v>64</v>
      </c>
      <c r="C37" s="4" t="s">
        <v>65</v>
      </c>
      <c r="D37" s="6" t="s">
        <v>38</v>
      </c>
      <c r="E37" s="7">
        <v>4367.51</v>
      </c>
      <c r="F37" s="8">
        <v>92500</v>
      </c>
      <c r="G37" s="9">
        <f t="shared" si="0"/>
        <v>403994675</v>
      </c>
      <c r="H37" s="15"/>
      <c r="I37" s="15"/>
      <c r="J37" s="15"/>
      <c r="K37" s="15"/>
      <c r="L37" s="15">
        <f t="shared" si="1"/>
        <v>0</v>
      </c>
      <c r="M37" s="15">
        <f>+'Barbaros 0426'!H29</f>
        <v>0</v>
      </c>
      <c r="N37" s="15">
        <f t="shared" si="2"/>
        <v>0</v>
      </c>
      <c r="O37" s="13"/>
      <c r="R37" s="16"/>
      <c r="S37" s="53"/>
      <c r="V37" s="52"/>
      <c r="X37" s="52"/>
    </row>
    <row r="38" spans="1:24" ht="27.6" customHeight="1" x14ac:dyDescent="0.3">
      <c r="A38" s="4">
        <v>76</v>
      </c>
      <c r="B38" s="4" t="s">
        <v>66</v>
      </c>
      <c r="C38" s="4" t="s">
        <v>67</v>
      </c>
      <c r="D38" s="6" t="s">
        <v>38</v>
      </c>
      <c r="E38" s="7">
        <v>2581.33</v>
      </c>
      <c r="F38" s="8">
        <v>97333</v>
      </c>
      <c r="G38" s="9">
        <f t="shared" si="0"/>
        <v>251248592.88999999</v>
      </c>
      <c r="H38" s="15"/>
      <c r="I38" s="15"/>
      <c r="J38" s="15"/>
      <c r="K38" s="15"/>
      <c r="L38" s="15">
        <f t="shared" si="1"/>
        <v>22.183</v>
      </c>
      <c r="M38" s="15">
        <f>+'Barbaros 0426'!H30</f>
        <v>22.183</v>
      </c>
      <c r="N38" s="15">
        <f t="shared" si="2"/>
        <v>22.183</v>
      </c>
      <c r="O38" s="13"/>
      <c r="R38" s="16"/>
      <c r="S38" s="53"/>
      <c r="V38" s="52"/>
      <c r="X38" s="52"/>
    </row>
    <row r="39" spans="1:24" ht="27.6" customHeight="1" x14ac:dyDescent="0.3">
      <c r="A39" s="4">
        <v>77</v>
      </c>
      <c r="B39" s="4" t="s">
        <v>68</v>
      </c>
      <c r="C39" s="4" t="s">
        <v>69</v>
      </c>
      <c r="D39" s="6" t="s">
        <v>70</v>
      </c>
      <c r="E39" s="10">
        <v>3500</v>
      </c>
      <c r="F39" s="8">
        <v>150</v>
      </c>
      <c r="G39" s="9">
        <f t="shared" si="0"/>
        <v>525000</v>
      </c>
      <c r="H39" s="15"/>
      <c r="I39" s="15"/>
      <c r="J39" s="15"/>
      <c r="K39" s="15"/>
      <c r="L39" s="15">
        <f t="shared" si="1"/>
        <v>0</v>
      </c>
      <c r="M39" s="15">
        <f>+'Barbaros 0426'!H31</f>
        <v>0</v>
      </c>
      <c r="N39" s="15">
        <f t="shared" si="2"/>
        <v>0</v>
      </c>
      <c r="O39" s="13"/>
      <c r="R39" s="16"/>
      <c r="S39" s="53"/>
      <c r="V39" s="52"/>
      <c r="X39" s="52"/>
    </row>
    <row r="40" spans="1:24" ht="27.6" customHeight="1" thickBot="1" x14ac:dyDescent="0.35">
      <c r="A40" s="4">
        <v>78</v>
      </c>
      <c r="B40" s="4" t="s">
        <v>71</v>
      </c>
      <c r="C40" s="4" t="s">
        <v>72</v>
      </c>
      <c r="D40" s="6" t="s">
        <v>70</v>
      </c>
      <c r="E40" s="10">
        <v>4500</v>
      </c>
      <c r="F40" s="8">
        <v>180</v>
      </c>
      <c r="G40" s="9">
        <f t="shared" si="0"/>
        <v>810000</v>
      </c>
      <c r="H40" s="15"/>
      <c r="I40" s="15"/>
      <c r="J40" s="15"/>
      <c r="K40" s="15"/>
      <c r="L40" s="15">
        <f t="shared" si="1"/>
        <v>0</v>
      </c>
      <c r="M40" s="15">
        <f>+'Barbaros 0426'!H32</f>
        <v>0</v>
      </c>
      <c r="N40" s="15">
        <f t="shared" si="2"/>
        <v>0</v>
      </c>
      <c r="O40" s="14"/>
      <c r="R40" s="16"/>
      <c r="S40" s="53"/>
      <c r="V40" s="52"/>
      <c r="X40" s="52"/>
    </row>
    <row r="41" spans="1:24" s="19" customFormat="1" x14ac:dyDescent="0.3">
      <c r="P41" s="51">
        <f>+[1]ÖZET!$P$41</f>
        <v>1454267286.056</v>
      </c>
      <c r="R41" s="16"/>
      <c r="S41" s="53"/>
      <c r="U41"/>
      <c r="V41" s="52"/>
      <c r="X41" s="52"/>
    </row>
    <row r="42" spans="1:24" s="21" customFormat="1" ht="15.6" x14ac:dyDescent="0.3">
      <c r="A42" s="56" t="s">
        <v>92</v>
      </c>
      <c r="B42" s="56"/>
      <c r="C42" s="56"/>
      <c r="D42" s="56"/>
      <c r="E42" s="56"/>
      <c r="F42" s="56"/>
      <c r="G42" s="56"/>
      <c r="H42" s="56" t="s">
        <v>93</v>
      </c>
      <c r="I42" s="56"/>
      <c r="J42" s="56"/>
      <c r="K42" s="56" t="s">
        <v>94</v>
      </c>
      <c r="L42" s="56"/>
      <c r="M42" s="56"/>
      <c r="N42" s="56"/>
      <c r="O42" s="48"/>
      <c r="P42" s="48"/>
      <c r="U42"/>
      <c r="V42" s="52"/>
      <c r="X42" s="52"/>
    </row>
    <row r="43" spans="1:24" s="19" customFormat="1" ht="15.6" customHeight="1" x14ac:dyDescent="0.3">
      <c r="A43" s="55" t="s">
        <v>95</v>
      </c>
      <c r="B43" s="55"/>
      <c r="C43" s="55"/>
      <c r="D43" s="55"/>
      <c r="E43" s="55"/>
      <c r="F43" s="55"/>
      <c r="G43" s="55"/>
      <c r="H43" s="57" t="s">
        <v>96</v>
      </c>
      <c r="I43" s="57"/>
      <c r="J43" s="57"/>
      <c r="K43" s="57" t="s">
        <v>97</v>
      </c>
      <c r="L43" s="57"/>
      <c r="M43" s="57"/>
      <c r="N43" s="57"/>
      <c r="O43" s="47"/>
      <c r="P43" s="47"/>
    </row>
    <row r="44" spans="1:24" s="19" customFormat="1" ht="14.4" customHeight="1" x14ac:dyDescent="0.3">
      <c r="K44" s="57"/>
      <c r="L44" s="57"/>
      <c r="M44" s="57"/>
      <c r="N44" s="57"/>
      <c r="O44" s="47"/>
      <c r="P44" s="47"/>
    </row>
    <row r="45" spans="1:24" s="19" customFormat="1" ht="14.4" customHeight="1" x14ac:dyDescent="0.3">
      <c r="K45" s="57"/>
      <c r="L45" s="57"/>
      <c r="M45" s="57"/>
      <c r="N45" s="57"/>
      <c r="O45" s="47"/>
      <c r="P45" s="47"/>
    </row>
    <row r="46" spans="1:24" s="19" customFormat="1" x14ac:dyDescent="0.3"/>
    <row r="47" spans="1:24" s="19" customFormat="1" x14ac:dyDescent="0.3"/>
    <row r="48" spans="1:24" s="19" customFormat="1" ht="14.4" customHeight="1" x14ac:dyDescent="0.3">
      <c r="H48" s="47"/>
      <c r="I48" s="47"/>
      <c r="J48" s="47"/>
      <c r="K48" s="47"/>
      <c r="L48" s="47"/>
      <c r="M48" s="47"/>
    </row>
    <row r="49" spans="1:16" s="19" customFormat="1" ht="14.4" customHeight="1" x14ac:dyDescent="0.3">
      <c r="H49" s="47"/>
      <c r="I49" s="47"/>
      <c r="J49" s="47"/>
      <c r="K49" s="47"/>
      <c r="L49" s="47"/>
      <c r="M49" s="47"/>
    </row>
    <row r="50" spans="1:16" s="19" customFormat="1" ht="15.6" x14ac:dyDescent="0.3">
      <c r="H50" s="21" t="s">
        <v>99</v>
      </c>
      <c r="I50" s="21"/>
      <c r="J50" s="21" t="s">
        <v>100</v>
      </c>
      <c r="K50" s="21"/>
      <c r="L50" s="55" t="s">
        <v>98</v>
      </c>
      <c r="M50" s="55"/>
    </row>
    <row r="51" spans="1:16" s="19" customFormat="1" ht="15.6" x14ac:dyDescent="0.3">
      <c r="H51" s="21" t="s">
        <v>101</v>
      </c>
      <c r="I51" s="21"/>
      <c r="J51" s="21" t="s">
        <v>102</v>
      </c>
      <c r="K51" s="21"/>
      <c r="L51" s="55" t="s">
        <v>108</v>
      </c>
      <c r="M51" s="55"/>
    </row>
    <row r="52" spans="1:16" s="19" customFormat="1" x14ac:dyDescent="0.3"/>
    <row r="53" spans="1:16" s="19" customFormat="1" x14ac:dyDescent="0.3"/>
    <row r="54" spans="1:16" s="19" customFormat="1" x14ac:dyDescent="0.3"/>
    <row r="55" spans="1:16" s="19" customFormat="1" x14ac:dyDescent="0.3"/>
    <row r="56" spans="1:16" s="19" customFormat="1" x14ac:dyDescent="0.3"/>
    <row r="57" spans="1:16" s="19" customFormat="1" x14ac:dyDescent="0.3"/>
    <row r="58" spans="1:16" s="21" customFormat="1" ht="15.6" x14ac:dyDescent="0.3">
      <c r="A58" s="55" t="s">
        <v>103</v>
      </c>
      <c r="B58" s="55"/>
      <c r="C58" s="55"/>
      <c r="D58" s="55"/>
      <c r="E58" s="55"/>
      <c r="F58" s="55"/>
      <c r="G58" s="55"/>
      <c r="H58" s="55" t="s">
        <v>104</v>
      </c>
      <c r="I58" s="55"/>
      <c r="J58" s="55"/>
      <c r="L58" s="21" t="s">
        <v>105</v>
      </c>
      <c r="P58" s="24"/>
    </row>
    <row r="59" spans="1:16" s="21" customFormat="1" ht="15.6" x14ac:dyDescent="0.3">
      <c r="A59" s="55" t="s">
        <v>106</v>
      </c>
      <c r="B59" s="55"/>
      <c r="C59" s="55"/>
      <c r="D59" s="55"/>
      <c r="E59" s="55"/>
      <c r="F59" s="55"/>
      <c r="G59" s="55"/>
      <c r="H59" s="55" t="s">
        <v>106</v>
      </c>
      <c r="I59" s="55"/>
      <c r="J59" s="55"/>
      <c r="L59" s="21" t="s">
        <v>107</v>
      </c>
      <c r="P59" s="24"/>
    </row>
    <row r="60" spans="1:16" x14ac:dyDescent="0.3">
      <c r="I60" s="16">
        <f>+SUMPRODUCT(I11:I40,$F$11:$F$40)</f>
        <v>0</v>
      </c>
      <c r="J60" s="16">
        <f t="shared" ref="J60:N60" si="3">+SUMPRODUCT(J11:J40,$F$11:$F$40)</f>
        <v>0</v>
      </c>
      <c r="K60" s="16">
        <f t="shared" si="3"/>
        <v>0</v>
      </c>
      <c r="L60" s="16">
        <f t="shared" si="3"/>
        <v>37210860.433000006</v>
      </c>
      <c r="M60" s="16">
        <f t="shared" si="3"/>
        <v>37210860.433000006</v>
      </c>
      <c r="N60" s="16">
        <f t="shared" si="3"/>
        <v>37210860.433000006</v>
      </c>
    </row>
    <row r="62" spans="1:16" x14ac:dyDescent="0.3">
      <c r="I62" s="18"/>
    </row>
    <row r="64" spans="1:16" x14ac:dyDescent="0.3">
      <c r="J64" s="16"/>
    </row>
  </sheetData>
  <mergeCells count="20">
    <mergeCell ref="H9:J9"/>
    <mergeCell ref="K9:M9"/>
    <mergeCell ref="A3:N3"/>
    <mergeCell ref="A4:N4"/>
    <mergeCell ref="A5:N5"/>
    <mergeCell ref="A7:N7"/>
    <mergeCell ref="A8:N8"/>
    <mergeCell ref="N9:N10"/>
    <mergeCell ref="A42:G42"/>
    <mergeCell ref="A43:G43"/>
    <mergeCell ref="H42:J42"/>
    <mergeCell ref="H43:J43"/>
    <mergeCell ref="K42:N42"/>
    <mergeCell ref="K43:N45"/>
    <mergeCell ref="L50:M50"/>
    <mergeCell ref="L51:M51"/>
    <mergeCell ref="H58:J58"/>
    <mergeCell ref="H59:J59"/>
    <mergeCell ref="A58:G58"/>
    <mergeCell ref="A59:G59"/>
  </mergeCells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FF57-C727-424C-B1BE-38DA9C93FCCF}">
  <sheetPr>
    <tabColor rgb="FFFF0000"/>
  </sheetPr>
  <dimension ref="A1:AO37"/>
  <sheetViews>
    <sheetView zoomScale="85" zoomScaleNormal="85" workbookViewId="0">
      <selection activeCell="K3" sqref="K3:K3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1" width="19.33203125" customWidth="1"/>
    <col min="12" max="13" width="21.109375" customWidth="1"/>
    <col min="14" max="15" width="19.21875" customWidth="1"/>
    <col min="16" max="16" width="19.33203125" customWidth="1"/>
    <col min="17" max="19" width="19.21875" customWidth="1"/>
    <col min="20" max="20" width="19.33203125" customWidth="1"/>
    <col min="21" max="21" width="19.21875" customWidth="1"/>
    <col min="22" max="24" width="46.77734375" customWidth="1"/>
    <col min="25" max="25" width="46.33203125" customWidth="1"/>
    <col min="26" max="32" width="46.77734375" customWidth="1"/>
    <col min="33" max="33" width="46.33203125" bestFit="1" customWidth="1"/>
    <col min="34" max="37" width="46.77734375" bestFit="1" customWidth="1"/>
    <col min="38" max="39" width="59.109375" customWidth="1"/>
    <col min="40" max="40" width="12.33203125" bestFit="1" customWidth="1"/>
    <col min="41" max="41" width="2.21875" customWidth="1"/>
  </cols>
  <sheetData>
    <row r="1" spans="1:41" ht="15" thickBot="1" x14ac:dyDescent="0.35">
      <c r="A1" s="17" t="s">
        <v>75</v>
      </c>
    </row>
    <row r="2" spans="1:4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3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11" t="s">
        <v>126</v>
      </c>
      <c r="AG2" s="3" t="s">
        <v>143</v>
      </c>
      <c r="AH2" s="11" t="s">
        <v>144</v>
      </c>
      <c r="AI2" s="3" t="s">
        <v>138</v>
      </c>
      <c r="AJ2" s="11" t="s">
        <v>125</v>
      </c>
      <c r="AK2" s="3" t="s">
        <v>133</v>
      </c>
      <c r="AL2" s="11"/>
      <c r="AM2" s="11"/>
      <c r="AN2" s="11"/>
      <c r="AO2" s="12"/>
    </row>
    <row r="3" spans="1:41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SUM(J3:AO3)</f>
        <v>758.02300000000014</v>
      </c>
      <c r="I3" s="9">
        <f>+F3*H3</f>
        <v>3846966.7250000006</v>
      </c>
      <c r="J3" s="15" cm="1">
        <f t="array" ref="J3">+HLOOKUP($A$1,+[31]İcmal!$B$19:$AG$49,ROW(A1)+1,FALSE)</f>
        <v>225.137</v>
      </c>
      <c r="K3" s="15" cm="1">
        <f t="array" ref="K3">+HLOOKUP($A$1,+[32]İcmal!$B$19:$AG$49,ROW(B1)+1,FALSE)</f>
        <v>0</v>
      </c>
      <c r="L3" s="15" cm="1">
        <f t="array" ref="L3">+HLOOKUP($A$1,+[33]İcmal!$B$19:$AG$49,ROW(C1)+1,FALSE)</f>
        <v>0</v>
      </c>
      <c r="M3" s="15" cm="1">
        <f t="array" ref="M3">+HLOOKUP($A$1,+[34]İcmal!$B$19:$AG$49,ROW(D1)+1,FALSE)</f>
        <v>0</v>
      </c>
      <c r="N3" s="15" cm="1">
        <f t="array" ref="N3">+HLOOKUP($A$1,+[35]İcmal!$B$19:$AG$49,ROW(A1)+1,FALSE)</f>
        <v>191.59200000000001</v>
      </c>
      <c r="O3" s="15" cm="1">
        <f t="array" ref="O3">+HLOOKUP($A$1,+[36]İcmal!$B$19:$AG$49,ROW(B1)+1,FALSE)</f>
        <v>0</v>
      </c>
      <c r="P3" s="15" cm="1">
        <f t="array" ref="P3">+HLOOKUP($A$1,+[37]İcmal!$B$19:$AG$49,ROW(C1)+1,FALSE)</f>
        <v>0</v>
      </c>
      <c r="Q3" s="15" cm="1">
        <f t="array" ref="Q3">+HLOOKUP($A$1,+[38]İcmal!$B$19:$AG$49,ROW(D1)+1,FALSE)</f>
        <v>0</v>
      </c>
      <c r="R3" s="15" cm="1">
        <f t="array" ref="R3">+HLOOKUP($A$1,+[39]İcmal!$B$19:$AG$49,ROW(A1)+1,FALSE)</f>
        <v>197.63300000000001</v>
      </c>
      <c r="S3" s="15" cm="1">
        <f t="array" ref="S3">+HLOOKUP($A$1,+[40]İcmal!$B$19:$AG$49,ROW(B1)+1,FALSE)</f>
        <v>0</v>
      </c>
      <c r="T3" s="15" cm="1">
        <f t="array" ref="T3">+HLOOKUP($A$1,+[41]İcmal!$B$19:$AG$49,ROW(C1)+1,FALSE)</f>
        <v>0</v>
      </c>
      <c r="U3" s="15" cm="1">
        <f t="array" ref="U3">+HLOOKUP($A$1,+[42]İcmal!$B$19:$AG$49,ROW(D1)+1,FALSE)</f>
        <v>0</v>
      </c>
      <c r="V3" s="15" cm="1">
        <f t="array" ref="V3">+HLOOKUP($A$1,+[43]İcmal!$B$19:$AG$49,ROW(A1)+1,FALSE)</f>
        <v>0</v>
      </c>
      <c r="W3" s="15" cm="1">
        <f t="array" ref="W3">+HLOOKUP($A$1,+[44]İcmal!$B$19:$AG$49,ROW(B1)+1,FALSE)</f>
        <v>143.661</v>
      </c>
      <c r="X3" s="15" cm="1">
        <f t="array" ref="X3">+HLOOKUP($A$1,+[45]İcmal!$B$19:$AG$49,ROW(C1)+1,FALSE)</f>
        <v>0</v>
      </c>
      <c r="Y3" s="15" cm="1">
        <f t="array" ref="Y3">+HLOOKUP($A$1,+[46]İcmal!$B$19:$AG$49,ROW(D1)+1,FALSE)</f>
        <v>0</v>
      </c>
      <c r="Z3" s="15" cm="1">
        <f t="array" ref="Z3">+HLOOKUP($A$1,+[47]İcmal!$B$19:$AG$49,ROW(A1)+1,FALSE)</f>
        <v>0</v>
      </c>
      <c r="AA3" s="15" cm="1">
        <f t="array" ref="AA3">+HLOOKUP($A$1,+[48]İcmal!$B$19:$AG$49,ROW(B1)+1,FALSE)</f>
        <v>0</v>
      </c>
      <c r="AB3" s="15" cm="1">
        <f t="array" ref="AB3">+HLOOKUP($A$1,+[49]İcmal!$B$19:$AG$49,ROW(A1)+1,FALSE)</f>
        <v>0</v>
      </c>
      <c r="AC3" s="15" cm="1">
        <f t="array" ref="AC3">+HLOOKUP($A$1,+[50]İcmal!$B$19:$AG$49,ROW(A1)+1,FALSE)</f>
        <v>0</v>
      </c>
      <c r="AD3" s="15" cm="1">
        <f t="array" ref="AD3">+HLOOKUP($A$1,+[51]İcmal!$B$19:$AG$49,ROW(A1)+1,FALSE)</f>
        <v>0</v>
      </c>
      <c r="AE3" s="15" cm="1">
        <f t="array" ref="AE3">+HLOOKUP($A$1,+[52]İcmal!$B$19:$AG$49,ROW(A1)+1,FALSE)</f>
        <v>0</v>
      </c>
      <c r="AF3" s="50" cm="1">
        <f t="array" ref="AF3">+HLOOKUP($A$1,+[53]İcmal!$B$19:$AG$49,ROW(A1)+1,FALSE)</f>
        <v>0</v>
      </c>
      <c r="AG3" s="15" cm="1">
        <f t="array" ref="AG3">+HLOOKUP($A$1,+[54]İcmal!$B$19:$AG$49,ROW(A1)+1,FALSE)</f>
        <v>0</v>
      </c>
      <c r="AH3" s="15" cm="1">
        <f t="array" ref="AH3">+HLOOKUP($A$1,+[55]İcmal!$B$19:$AG$49,ROW(A1)+1,FALSE)</f>
        <v>0</v>
      </c>
      <c r="AI3" s="15" cm="1">
        <f t="array" ref="AI3">+HLOOKUP($A$1,+[56]İcmal!$B$19:$AG$49,ROW(A1)+1,FALSE)</f>
        <v>0</v>
      </c>
      <c r="AJ3" s="15" cm="1">
        <f t="array" ref="AJ3">+HLOOKUP($A$1,+[57]İcmal!$B$19:$AG$49,ROW(A1)+1,FALSE)</f>
        <v>0</v>
      </c>
      <c r="AK3" s="15" cm="1">
        <f t="array" ref="AK3">+HLOOKUP($A$1,+[58]İcmal!$B$19:$AG$49,ROW(B1)+1,FALSE)</f>
        <v>0</v>
      </c>
      <c r="AL3" s="15"/>
      <c r="AM3" s="15"/>
      <c r="AN3" s="15"/>
      <c r="AO3" s="13"/>
    </row>
    <row r="4" spans="1:41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+HLOOKUP($A$1,+[31]İcmal!$B$19:$AG$49,ROW(A2)+1,FALSE)</f>
        <v>0</v>
      </c>
      <c r="K4" s="15" cm="1">
        <f t="array" ref="K4">+HLOOKUP($A$1,+[32]İcmal!$B$19:$AG$49,ROW(B2)+1,FALSE)</f>
        <v>0</v>
      </c>
      <c r="L4" s="15" cm="1">
        <f t="array" ref="L4">+HLOOKUP($A$1,+[33]İcmal!$B$19:$AG$49,ROW(C2)+1,FALSE)</f>
        <v>0</v>
      </c>
      <c r="M4" s="15" cm="1">
        <f t="array" ref="M4">+HLOOKUP($A$1,+[34]İcmal!$B$19:$AG$49,ROW(D2)+1,FALSE)</f>
        <v>0</v>
      </c>
      <c r="N4" s="15" cm="1">
        <f t="array" ref="N4">+HLOOKUP($A$1,+[35]İcmal!$B$19:$AG$49,ROW(A2)+1,FALSE)</f>
        <v>0</v>
      </c>
      <c r="O4" s="15" cm="1">
        <f t="array" ref="O4">+HLOOKUP($A$1,+[36]İcmal!$B$19:$AG$49,ROW(B2)+1,FALSE)</f>
        <v>0</v>
      </c>
      <c r="P4" s="15" cm="1">
        <f t="array" ref="P4">+HLOOKUP($A$1,+[37]İcmal!$B$19:$AG$49,ROW(C2)+1,FALSE)</f>
        <v>0</v>
      </c>
      <c r="Q4" s="15" cm="1">
        <f t="array" ref="Q4">+HLOOKUP($A$1,+[38]İcmal!$B$19:$AG$49,ROW(D2)+1,FALSE)</f>
        <v>0</v>
      </c>
      <c r="R4" s="15" cm="1">
        <f t="array" ref="R4">+HLOOKUP($A$1,+[39]İcmal!$B$19:$AG$49,ROW(A2)+1,FALSE)</f>
        <v>0</v>
      </c>
      <c r="S4" s="15" cm="1">
        <f t="array" ref="S4">+HLOOKUP($A$1,+[40]İcmal!$B$19:$AG$49,ROW(B2)+1,FALSE)</f>
        <v>0</v>
      </c>
      <c r="T4" s="15" cm="1">
        <f t="array" ref="T4">+HLOOKUP($A$1,+[41]İcmal!$B$19:$AG$49,ROW(C2)+1,FALSE)</f>
        <v>0</v>
      </c>
      <c r="U4" s="15" cm="1">
        <f t="array" ref="U4">+HLOOKUP($A$1,+[42]İcmal!$B$19:$AG$49,ROW(D2)+1,FALSE)</f>
        <v>0</v>
      </c>
      <c r="V4" s="15" cm="1">
        <f t="array" ref="V4">+HLOOKUP($A$1,+[43]İcmal!$B$19:$AG$49,ROW(A2)+1,FALSE)</f>
        <v>0</v>
      </c>
      <c r="W4" s="15" cm="1">
        <f t="array" ref="W4">+HLOOKUP($A$1,+[44]İcmal!$B$19:$AG$49,ROW(B2)+1,FALSE)</f>
        <v>0</v>
      </c>
      <c r="X4" s="15" cm="1">
        <f t="array" ref="X4">+HLOOKUP($A$1,+[45]İcmal!$B$19:$AG$49,ROW(C2)+1,FALSE)</f>
        <v>0</v>
      </c>
      <c r="Y4" s="15" cm="1">
        <f t="array" ref="Y4">+HLOOKUP($A$1,+[46]İcmal!$B$19:$AG$49,ROW(D2)+1,FALSE)</f>
        <v>0</v>
      </c>
      <c r="Z4" s="15" cm="1">
        <f t="array" ref="Z4">+HLOOKUP($A$1,+[47]İcmal!$B$19:$AG$49,ROW(A2)+1,FALSE)</f>
        <v>0</v>
      </c>
      <c r="AA4" s="15" cm="1">
        <f t="array" ref="AA4">+HLOOKUP($A$1,+[48]İcmal!$B$19:$AG$49,ROW(B2)+1,FALSE)</f>
        <v>0</v>
      </c>
      <c r="AB4" s="15" cm="1">
        <f t="array" ref="AB4">+HLOOKUP($A$1,+[49]İcmal!$B$19:$AG$49,ROW(A2)+1,FALSE)</f>
        <v>0</v>
      </c>
      <c r="AC4" s="15" cm="1">
        <f t="array" ref="AC4">+HLOOKUP($A$1,+[50]İcmal!$B$19:$AG$49,ROW(A2)+1,FALSE)</f>
        <v>0</v>
      </c>
      <c r="AD4" s="15" cm="1">
        <f t="array" ref="AD4">+HLOOKUP($A$1,+[51]İcmal!$B$19:$AG$49,ROW(A2)+1,FALSE)</f>
        <v>0</v>
      </c>
      <c r="AE4" s="15" cm="1">
        <f t="array" ref="AE4">+HLOOKUP($A$1,+[52]İcmal!$B$19:$AG$49,ROW(A2)+1,FALSE)</f>
        <v>0</v>
      </c>
      <c r="AF4" s="50" cm="1">
        <f t="array" ref="AF4">+HLOOKUP($A$1,+[53]İcmal!$B$19:$AG$49,ROW(A2)+1,FALSE)</f>
        <v>0</v>
      </c>
      <c r="AG4" s="15" cm="1">
        <f t="array" ref="AG4">+HLOOKUP($A$1,+[54]İcmal!$B$19:$AG$49,ROW(A2)+1,FALSE)</f>
        <v>0</v>
      </c>
      <c r="AH4" s="15" cm="1">
        <f t="array" ref="AH4">+HLOOKUP($A$1,+[55]İcmal!$B$19:$AG$49,ROW(A2)+1,FALSE)</f>
        <v>0</v>
      </c>
      <c r="AI4" s="15" cm="1">
        <f t="array" ref="AI4">+HLOOKUP($A$1,+[56]İcmal!$B$19:$AG$49,ROW(A2)+1,FALSE)</f>
        <v>0</v>
      </c>
      <c r="AJ4" s="15" cm="1">
        <f t="array" ref="AJ4">+HLOOKUP($A$1,+[57]İcmal!$B$19:$AG$49,ROW(A2)+1,FALSE)</f>
        <v>0</v>
      </c>
      <c r="AK4" s="15" cm="1">
        <f t="array" ref="AK4">+HLOOKUP($A$1,+[58]İcmal!$B$19:$AG$49,ROW(B2)+1,FALSE)</f>
        <v>0</v>
      </c>
      <c r="AL4" s="15"/>
      <c r="AM4" s="15"/>
      <c r="AN4" s="15"/>
      <c r="AO4" s="13"/>
    </row>
    <row r="5" spans="1:41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+HLOOKUP($A$1,+[31]İcmal!$B$19:$AG$49,ROW(A3)+1,FALSE)</f>
        <v>0</v>
      </c>
      <c r="K5" s="15" cm="1">
        <f t="array" ref="K5">+HLOOKUP($A$1,+[32]İcmal!$B$19:$AG$49,ROW(B3)+1,FALSE)</f>
        <v>0</v>
      </c>
      <c r="L5" s="15" cm="1">
        <f t="array" ref="L5">+HLOOKUP($A$1,+[33]İcmal!$B$19:$AG$49,ROW(C3)+1,FALSE)</f>
        <v>0</v>
      </c>
      <c r="M5" s="15" cm="1">
        <f t="array" ref="M5">+HLOOKUP($A$1,+[34]İcmal!$B$19:$AG$49,ROW(D3)+1,FALSE)</f>
        <v>0</v>
      </c>
      <c r="N5" s="15" cm="1">
        <f t="array" ref="N5">+HLOOKUP($A$1,+[35]İcmal!$B$19:$AG$49,ROW(A3)+1,FALSE)</f>
        <v>0</v>
      </c>
      <c r="O5" s="15" cm="1">
        <f t="array" ref="O5">+HLOOKUP($A$1,+[36]İcmal!$B$19:$AG$49,ROW(B3)+1,FALSE)</f>
        <v>0</v>
      </c>
      <c r="P5" s="15" cm="1">
        <f t="array" ref="P5">+HLOOKUP($A$1,+[37]İcmal!$B$19:$AG$49,ROW(C3)+1,FALSE)</f>
        <v>0</v>
      </c>
      <c r="Q5" s="15" cm="1">
        <f t="array" ref="Q5">+HLOOKUP($A$1,+[38]İcmal!$B$19:$AG$49,ROW(D3)+1,FALSE)</f>
        <v>0</v>
      </c>
      <c r="R5" s="15" cm="1">
        <f t="array" ref="R5">+HLOOKUP($A$1,+[39]İcmal!$B$19:$AG$49,ROW(A3)+1,FALSE)</f>
        <v>0</v>
      </c>
      <c r="S5" s="15" cm="1">
        <f t="array" ref="S5">+HLOOKUP($A$1,+[40]İcmal!$B$19:$AG$49,ROW(B3)+1,FALSE)</f>
        <v>0</v>
      </c>
      <c r="T5" s="15" cm="1">
        <f t="array" ref="T5">+HLOOKUP($A$1,+[41]İcmal!$B$19:$AG$49,ROW(C3)+1,FALSE)</f>
        <v>0</v>
      </c>
      <c r="U5" s="15" cm="1">
        <f t="array" ref="U5">+HLOOKUP($A$1,+[42]İcmal!$B$19:$AG$49,ROW(D3)+1,FALSE)</f>
        <v>0</v>
      </c>
      <c r="V5" s="15" cm="1">
        <f t="array" ref="V5">+HLOOKUP($A$1,+[43]İcmal!$B$19:$AG$49,ROW(A3)+1,FALSE)</f>
        <v>0</v>
      </c>
      <c r="W5" s="15" cm="1">
        <f t="array" ref="W5">+HLOOKUP($A$1,+[44]İcmal!$B$19:$AG$49,ROW(B3)+1,FALSE)</f>
        <v>0</v>
      </c>
      <c r="X5" s="15" cm="1">
        <f t="array" ref="X5">+HLOOKUP($A$1,+[45]İcmal!$B$19:$AG$49,ROW(C3)+1,FALSE)</f>
        <v>0</v>
      </c>
      <c r="Y5" s="15" cm="1">
        <f t="array" ref="Y5">+HLOOKUP($A$1,+[46]İcmal!$B$19:$AG$49,ROW(D3)+1,FALSE)</f>
        <v>0</v>
      </c>
      <c r="Z5" s="15" cm="1">
        <f t="array" ref="Z5">+HLOOKUP($A$1,+[47]İcmal!$B$19:$AG$49,ROW(A3)+1,FALSE)</f>
        <v>0</v>
      </c>
      <c r="AA5" s="15" cm="1">
        <f t="array" ref="AA5">+HLOOKUP($A$1,+[48]İcmal!$B$19:$AG$49,ROW(B3)+1,FALSE)</f>
        <v>0</v>
      </c>
      <c r="AB5" s="15" cm="1">
        <f t="array" ref="AB5">+HLOOKUP($A$1,+[49]İcmal!$B$19:$AG$49,ROW(A3)+1,FALSE)</f>
        <v>0</v>
      </c>
      <c r="AC5" s="15" cm="1">
        <f t="array" ref="AC5">+HLOOKUP($A$1,+[50]İcmal!$B$19:$AG$49,ROW(A3)+1,FALSE)</f>
        <v>0</v>
      </c>
      <c r="AD5" s="15" cm="1">
        <f t="array" ref="AD5">+HLOOKUP($A$1,+[51]İcmal!$B$19:$AG$49,ROW(A3)+1,FALSE)</f>
        <v>0</v>
      </c>
      <c r="AE5" s="15" cm="1">
        <f t="array" ref="AE5">+HLOOKUP($A$1,+[52]İcmal!$B$19:$AG$49,ROW(A3)+1,FALSE)</f>
        <v>0</v>
      </c>
      <c r="AF5" s="50" cm="1">
        <f t="array" ref="AF5">+HLOOKUP($A$1,+[53]İcmal!$B$19:$AG$49,ROW(A3)+1,FALSE)</f>
        <v>0</v>
      </c>
      <c r="AG5" s="15" cm="1">
        <f t="array" ref="AG5">+HLOOKUP($A$1,+[54]İcmal!$B$19:$AG$49,ROW(A3)+1,FALSE)</f>
        <v>0</v>
      </c>
      <c r="AH5" s="15" cm="1">
        <f t="array" ref="AH5">+HLOOKUP($A$1,+[55]İcmal!$B$19:$AG$49,ROW(A3)+1,FALSE)</f>
        <v>0</v>
      </c>
      <c r="AI5" s="15" cm="1">
        <f t="array" ref="AI5">+HLOOKUP($A$1,+[56]İcmal!$B$19:$AG$49,ROW(A3)+1,FALSE)</f>
        <v>0</v>
      </c>
      <c r="AJ5" s="15" cm="1">
        <f t="array" ref="AJ5">+HLOOKUP($A$1,+[57]İcmal!$B$19:$AG$49,ROW(A3)+1,FALSE)</f>
        <v>0</v>
      </c>
      <c r="AK5" s="15" cm="1">
        <f t="array" ref="AK5">+HLOOKUP($A$1,+[58]İcmal!$B$19:$AG$49,ROW(B3)+1,FALSE)</f>
        <v>0</v>
      </c>
      <c r="AL5" s="15"/>
      <c r="AM5" s="15"/>
      <c r="AN5" s="15"/>
      <c r="AO5" s="13"/>
    </row>
    <row r="6" spans="1:41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151.315</v>
      </c>
      <c r="I6" s="9">
        <f t="shared" si="2"/>
        <v>2320264.21</v>
      </c>
      <c r="J6" s="15" cm="1">
        <f t="array" ref="J6">+HLOOKUP($A$1,+[31]İcmal!$B$19:$AG$49,ROW(A4)+1,FALSE)</f>
        <v>47.170999999999999</v>
      </c>
      <c r="K6" s="15" cm="1">
        <f t="array" ref="K6">+HLOOKUP($A$1,+[32]İcmal!$B$19:$AG$49,ROW(B4)+1,FALSE)</f>
        <v>0</v>
      </c>
      <c r="L6" s="15" cm="1">
        <f t="array" ref="L6">+HLOOKUP($A$1,+[33]İcmal!$B$19:$AG$49,ROW(C4)+1,FALSE)</f>
        <v>0</v>
      </c>
      <c r="M6" s="15" cm="1">
        <f t="array" ref="M6">+HLOOKUP($A$1,+[34]İcmal!$B$19:$AG$49,ROW(D4)+1,FALSE)</f>
        <v>0</v>
      </c>
      <c r="N6" s="15" cm="1">
        <f t="array" ref="N6">+HLOOKUP($A$1,+[35]İcmal!$B$19:$AG$49,ROW(A4)+1,FALSE)</f>
        <v>36.689</v>
      </c>
      <c r="O6" s="15" cm="1">
        <f t="array" ref="O6">+HLOOKUP($A$1,+[36]İcmal!$B$19:$AG$49,ROW(B4)+1,FALSE)</f>
        <v>0</v>
      </c>
      <c r="P6" s="15" cm="1">
        <f t="array" ref="P6">+HLOOKUP($A$1,+[37]İcmal!$B$19:$AG$49,ROW(C4)+1,FALSE)</f>
        <v>0</v>
      </c>
      <c r="Q6" s="15" cm="1">
        <f t="array" ref="Q6">+HLOOKUP($A$1,+[38]İcmal!$B$19:$AG$49,ROW(D4)+1,FALSE)</f>
        <v>0</v>
      </c>
      <c r="R6" s="15" cm="1">
        <f t="array" ref="R6">+HLOOKUP($A$1,+[39]İcmal!$B$19:$AG$49,ROW(A4)+1,FALSE)</f>
        <v>42.73</v>
      </c>
      <c r="S6" s="15" cm="1">
        <f t="array" ref="S6">+HLOOKUP($A$1,+[40]İcmal!$B$19:$AG$49,ROW(B4)+1,FALSE)</f>
        <v>0</v>
      </c>
      <c r="T6" s="15" cm="1">
        <f t="array" ref="T6">+HLOOKUP($A$1,+[41]İcmal!$B$19:$AG$49,ROW(C4)+1,FALSE)</f>
        <v>0</v>
      </c>
      <c r="U6" s="15" cm="1">
        <f t="array" ref="U6">+HLOOKUP($A$1,+[42]İcmal!$B$19:$AG$49,ROW(D4)+1,FALSE)</f>
        <v>0</v>
      </c>
      <c r="V6" s="15" cm="1">
        <f t="array" ref="V6">+HLOOKUP($A$1,+[43]İcmal!$B$19:$AG$49,ROW(A4)+1,FALSE)</f>
        <v>0</v>
      </c>
      <c r="W6" s="15" cm="1">
        <f t="array" ref="W6">+HLOOKUP($A$1,+[44]İcmal!$B$19:$AG$49,ROW(B4)+1,FALSE)</f>
        <v>24.725000000000001</v>
      </c>
      <c r="X6" s="15" cm="1">
        <f t="array" ref="X6">+HLOOKUP($A$1,+[45]İcmal!$B$19:$AG$49,ROW(C4)+1,FALSE)</f>
        <v>0</v>
      </c>
      <c r="Y6" s="15" cm="1">
        <f t="array" ref="Y6">+HLOOKUP($A$1,+[46]İcmal!$B$19:$AG$49,ROW(D4)+1,FALSE)</f>
        <v>0</v>
      </c>
      <c r="Z6" s="15" cm="1">
        <f t="array" ref="Z6">+HLOOKUP($A$1,+[47]İcmal!$B$19:$AG$49,ROW(A4)+1,FALSE)</f>
        <v>0</v>
      </c>
      <c r="AA6" s="15" cm="1">
        <f t="array" ref="AA6">+HLOOKUP($A$1,+[48]İcmal!$B$19:$AG$49,ROW(B4)+1,FALSE)</f>
        <v>0</v>
      </c>
      <c r="AB6" s="15" cm="1">
        <f t="array" ref="AB6">+HLOOKUP($A$1,+[49]İcmal!$B$19:$AG$49,ROW(A4)+1,FALSE)</f>
        <v>0</v>
      </c>
      <c r="AC6" s="15" cm="1">
        <f t="array" ref="AC6">+HLOOKUP($A$1,+[50]İcmal!$B$19:$AG$49,ROW(A4)+1,FALSE)</f>
        <v>0</v>
      </c>
      <c r="AD6" s="15" cm="1">
        <f t="array" ref="AD6">+HLOOKUP($A$1,+[51]İcmal!$B$19:$AG$49,ROW(A4)+1,FALSE)</f>
        <v>0</v>
      </c>
      <c r="AE6" s="15" cm="1">
        <f t="array" ref="AE6">+HLOOKUP($A$1,+[52]İcmal!$B$19:$AG$49,ROW(A4)+1,FALSE)</f>
        <v>0</v>
      </c>
      <c r="AF6" s="50" cm="1">
        <f t="array" ref="AF6">+HLOOKUP($A$1,+[53]İcmal!$B$19:$AG$49,ROW(A4)+1,FALSE)</f>
        <v>0</v>
      </c>
      <c r="AG6" s="15" cm="1">
        <f t="array" ref="AG6">+HLOOKUP($A$1,+[54]İcmal!$B$19:$AG$49,ROW(A4)+1,FALSE)</f>
        <v>0</v>
      </c>
      <c r="AH6" s="15" cm="1">
        <f t="array" ref="AH6">+HLOOKUP($A$1,+[55]İcmal!$B$19:$AG$49,ROW(A4)+1,FALSE)</f>
        <v>0</v>
      </c>
      <c r="AI6" s="15" cm="1">
        <f t="array" ref="AI6">+HLOOKUP($A$1,+[56]İcmal!$B$19:$AG$49,ROW(A4)+1,FALSE)</f>
        <v>0</v>
      </c>
      <c r="AJ6" s="15" cm="1">
        <f t="array" ref="AJ6">+HLOOKUP($A$1,+[57]İcmal!$B$19:$AG$49,ROW(A4)+1,FALSE)</f>
        <v>0</v>
      </c>
      <c r="AK6" s="15" cm="1">
        <f t="array" ref="AK6">+HLOOKUP($A$1,+[58]İcmal!$B$19:$AG$49,ROW(B4)+1,FALSE)</f>
        <v>0</v>
      </c>
      <c r="AL6" s="15"/>
      <c r="AM6" s="15"/>
      <c r="AN6" s="15"/>
      <c r="AO6" s="13"/>
    </row>
    <row r="7" spans="1:41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+HLOOKUP($A$1,+[31]İcmal!$B$19:$AG$49,ROW(A5)+1,FALSE)</f>
        <v>0</v>
      </c>
      <c r="K7" s="15" cm="1">
        <f t="array" ref="K7">+HLOOKUP($A$1,+[32]İcmal!$B$19:$AG$49,ROW(B5)+1,FALSE)</f>
        <v>0</v>
      </c>
      <c r="L7" s="15" cm="1">
        <f t="array" ref="L7">+HLOOKUP($A$1,+[33]İcmal!$B$19:$AG$49,ROW(C5)+1,FALSE)</f>
        <v>0</v>
      </c>
      <c r="M7" s="15" cm="1">
        <f t="array" ref="M7">+HLOOKUP($A$1,+[34]İcmal!$B$19:$AG$49,ROW(D5)+1,FALSE)</f>
        <v>0</v>
      </c>
      <c r="N7" s="15" cm="1">
        <f t="array" ref="N7">+HLOOKUP($A$1,+[35]İcmal!$B$19:$AG$49,ROW(A5)+1,FALSE)</f>
        <v>0</v>
      </c>
      <c r="O7" s="15" cm="1">
        <f t="array" ref="O7">+HLOOKUP($A$1,+[36]İcmal!$B$19:$AG$49,ROW(B5)+1,FALSE)</f>
        <v>0</v>
      </c>
      <c r="P7" s="15" cm="1">
        <f t="array" ref="P7">+HLOOKUP($A$1,+[37]İcmal!$B$19:$AG$49,ROW(C5)+1,FALSE)</f>
        <v>0</v>
      </c>
      <c r="Q7" s="15" cm="1">
        <f t="array" ref="Q7">+HLOOKUP($A$1,+[38]İcmal!$B$19:$AG$49,ROW(D5)+1,FALSE)</f>
        <v>0</v>
      </c>
      <c r="R7" s="15" cm="1">
        <f t="array" ref="R7">+HLOOKUP($A$1,+[39]İcmal!$B$19:$AG$49,ROW(A5)+1,FALSE)</f>
        <v>0</v>
      </c>
      <c r="S7" s="15" cm="1">
        <f t="array" ref="S7">+HLOOKUP($A$1,+[40]İcmal!$B$19:$AG$49,ROW(B5)+1,FALSE)</f>
        <v>0</v>
      </c>
      <c r="T7" s="15" cm="1">
        <f t="array" ref="T7">+HLOOKUP($A$1,+[41]İcmal!$B$19:$AG$49,ROW(C5)+1,FALSE)</f>
        <v>0</v>
      </c>
      <c r="U7" s="15" cm="1">
        <f t="array" ref="U7">+HLOOKUP($A$1,+[42]İcmal!$B$19:$AG$49,ROW(D5)+1,FALSE)</f>
        <v>0</v>
      </c>
      <c r="V7" s="15" cm="1">
        <f t="array" ref="V7">+HLOOKUP($A$1,+[43]İcmal!$B$19:$AG$49,ROW(A5)+1,FALSE)</f>
        <v>0</v>
      </c>
      <c r="W7" s="15" cm="1">
        <f t="array" ref="W7">+HLOOKUP($A$1,+[44]İcmal!$B$19:$AG$49,ROW(B5)+1,FALSE)</f>
        <v>0</v>
      </c>
      <c r="X7" s="15" cm="1">
        <f t="array" ref="X7">+HLOOKUP($A$1,+[45]İcmal!$B$19:$AG$49,ROW(C5)+1,FALSE)</f>
        <v>0</v>
      </c>
      <c r="Y7" s="15" cm="1">
        <f t="array" ref="Y7">+HLOOKUP($A$1,+[46]İcmal!$B$19:$AG$49,ROW(D5)+1,FALSE)</f>
        <v>0</v>
      </c>
      <c r="Z7" s="15" cm="1">
        <f t="array" ref="Z7">+HLOOKUP($A$1,+[47]İcmal!$B$19:$AG$49,ROW(A5)+1,FALSE)</f>
        <v>0</v>
      </c>
      <c r="AA7" s="15" cm="1">
        <f t="array" ref="AA7">+HLOOKUP($A$1,+[48]İcmal!$B$19:$AG$49,ROW(B5)+1,FALSE)</f>
        <v>0</v>
      </c>
      <c r="AB7" s="15" cm="1">
        <f t="array" ref="AB7">+HLOOKUP($A$1,+[49]İcmal!$B$19:$AG$49,ROW(A5)+1,FALSE)</f>
        <v>0</v>
      </c>
      <c r="AC7" s="15" cm="1">
        <f t="array" ref="AC7">+HLOOKUP($A$1,+[50]İcmal!$B$19:$AG$49,ROW(A5)+1,FALSE)</f>
        <v>0</v>
      </c>
      <c r="AD7" s="15" cm="1">
        <f t="array" ref="AD7">+HLOOKUP($A$1,+[51]İcmal!$B$19:$AG$49,ROW(A5)+1,FALSE)</f>
        <v>0</v>
      </c>
      <c r="AE7" s="15" cm="1">
        <f t="array" ref="AE7">+HLOOKUP($A$1,+[52]İcmal!$B$19:$AG$49,ROW(A5)+1,FALSE)</f>
        <v>0</v>
      </c>
      <c r="AF7" s="50" cm="1">
        <f t="array" ref="AF7">+HLOOKUP($A$1,+[53]İcmal!$B$19:$AG$49,ROW(A5)+1,FALSE)</f>
        <v>0</v>
      </c>
      <c r="AG7" s="15" cm="1">
        <f t="array" ref="AG7">+HLOOKUP($A$1,+[54]İcmal!$B$19:$AG$49,ROW(A5)+1,FALSE)</f>
        <v>0</v>
      </c>
      <c r="AH7" s="15" cm="1">
        <f t="array" ref="AH7">+HLOOKUP($A$1,+[55]İcmal!$B$19:$AG$49,ROW(A5)+1,FALSE)</f>
        <v>0</v>
      </c>
      <c r="AI7" s="15" cm="1">
        <f t="array" ref="AI7">+HLOOKUP($A$1,+[56]İcmal!$B$19:$AG$49,ROW(A5)+1,FALSE)</f>
        <v>0</v>
      </c>
      <c r="AJ7" s="15" cm="1">
        <f t="array" ref="AJ7">+HLOOKUP($A$1,+[57]İcmal!$B$19:$AG$49,ROW(A5)+1,FALSE)</f>
        <v>0</v>
      </c>
      <c r="AK7" s="15" cm="1">
        <f t="array" ref="AK7">+HLOOKUP($A$1,+[58]İcmal!$B$19:$AG$49,ROW(B5)+1,FALSE)</f>
        <v>0</v>
      </c>
      <c r="AL7" s="15"/>
      <c r="AM7" s="15"/>
      <c r="AN7" s="15"/>
      <c r="AO7" s="13"/>
    </row>
    <row r="8" spans="1:41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+HLOOKUP($A$1,+[31]İcmal!$B$19:$AG$49,ROW(A6)+1,FALSE)</f>
        <v>0</v>
      </c>
      <c r="K8" s="15" cm="1">
        <f t="array" ref="K8">+HLOOKUP($A$1,+[32]İcmal!$B$19:$AG$49,ROW(B6)+1,FALSE)</f>
        <v>0</v>
      </c>
      <c r="L8" s="15" cm="1">
        <f t="array" ref="L8">+HLOOKUP($A$1,+[33]İcmal!$B$19:$AG$49,ROW(C6)+1,FALSE)</f>
        <v>0</v>
      </c>
      <c r="M8" s="15" cm="1">
        <f t="array" ref="M8">+HLOOKUP($A$1,+[34]İcmal!$B$19:$AG$49,ROW(D6)+1,FALSE)</f>
        <v>0</v>
      </c>
      <c r="N8" s="15" cm="1">
        <f t="array" ref="N8">+HLOOKUP($A$1,+[35]İcmal!$B$19:$AG$49,ROW(A6)+1,FALSE)</f>
        <v>0</v>
      </c>
      <c r="O8" s="15" cm="1">
        <f t="array" ref="O8">+HLOOKUP($A$1,+[36]İcmal!$B$19:$AG$49,ROW(B6)+1,FALSE)</f>
        <v>0</v>
      </c>
      <c r="P8" s="15" cm="1">
        <f t="array" ref="P8">+HLOOKUP($A$1,+[37]İcmal!$B$19:$AG$49,ROW(C6)+1,FALSE)</f>
        <v>0</v>
      </c>
      <c r="Q8" s="15" cm="1">
        <f t="array" ref="Q8">+HLOOKUP($A$1,+[38]İcmal!$B$19:$AG$49,ROW(D6)+1,FALSE)</f>
        <v>0</v>
      </c>
      <c r="R8" s="15" cm="1">
        <f t="array" ref="R8">+HLOOKUP($A$1,+[39]İcmal!$B$19:$AG$49,ROW(A6)+1,FALSE)</f>
        <v>0</v>
      </c>
      <c r="S8" s="15" cm="1">
        <f t="array" ref="S8">+HLOOKUP($A$1,+[40]İcmal!$B$19:$AG$49,ROW(B6)+1,FALSE)</f>
        <v>0</v>
      </c>
      <c r="T8" s="15" cm="1">
        <f t="array" ref="T8">+HLOOKUP($A$1,+[41]İcmal!$B$19:$AG$49,ROW(C6)+1,FALSE)</f>
        <v>0</v>
      </c>
      <c r="U8" s="15" cm="1">
        <f t="array" ref="U8">+HLOOKUP($A$1,+[42]İcmal!$B$19:$AG$49,ROW(D6)+1,FALSE)</f>
        <v>0</v>
      </c>
      <c r="V8" s="15" cm="1">
        <f t="array" ref="V8">+HLOOKUP($A$1,+[43]İcmal!$B$19:$AG$49,ROW(A6)+1,FALSE)</f>
        <v>0</v>
      </c>
      <c r="W8" s="15" cm="1">
        <f t="array" ref="W8">+HLOOKUP($A$1,+[44]İcmal!$B$19:$AG$49,ROW(B6)+1,FALSE)</f>
        <v>0</v>
      </c>
      <c r="X8" s="15" cm="1">
        <f t="array" ref="X8">+HLOOKUP($A$1,+[45]İcmal!$B$19:$AG$49,ROW(C6)+1,FALSE)</f>
        <v>0</v>
      </c>
      <c r="Y8" s="15" cm="1">
        <f t="array" ref="Y8">+HLOOKUP($A$1,+[46]İcmal!$B$19:$AG$49,ROW(D6)+1,FALSE)</f>
        <v>0</v>
      </c>
      <c r="Z8" s="15" cm="1">
        <f t="array" ref="Z8">+HLOOKUP($A$1,+[47]İcmal!$B$19:$AG$49,ROW(A6)+1,FALSE)</f>
        <v>0</v>
      </c>
      <c r="AA8" s="15" cm="1">
        <f t="array" ref="AA8">+HLOOKUP($A$1,+[48]İcmal!$B$19:$AG$49,ROW(B6)+1,FALSE)</f>
        <v>0</v>
      </c>
      <c r="AB8" s="15" cm="1">
        <f t="array" ref="AB8">+HLOOKUP($A$1,+[49]İcmal!$B$19:$AG$49,ROW(A6)+1,FALSE)</f>
        <v>0</v>
      </c>
      <c r="AC8" s="15" cm="1">
        <f t="array" ref="AC8">+HLOOKUP($A$1,+[50]İcmal!$B$19:$AG$49,ROW(A6)+1,FALSE)</f>
        <v>0</v>
      </c>
      <c r="AD8" s="15" cm="1">
        <f t="array" ref="AD8">+HLOOKUP($A$1,+[51]İcmal!$B$19:$AG$49,ROW(A6)+1,FALSE)</f>
        <v>0</v>
      </c>
      <c r="AE8" s="15" cm="1">
        <f t="array" ref="AE8">+HLOOKUP($A$1,+[52]İcmal!$B$19:$AG$49,ROW(A6)+1,FALSE)</f>
        <v>0</v>
      </c>
      <c r="AF8" s="50" cm="1">
        <f t="array" ref="AF8">+HLOOKUP($A$1,+[53]İcmal!$B$19:$AG$49,ROW(A6)+1,FALSE)</f>
        <v>0</v>
      </c>
      <c r="AG8" s="15" cm="1">
        <f t="array" ref="AG8">+HLOOKUP($A$1,+[54]İcmal!$B$19:$AG$49,ROW(A6)+1,FALSE)</f>
        <v>0</v>
      </c>
      <c r="AH8" s="15" cm="1">
        <f t="array" ref="AH8">+HLOOKUP($A$1,+[55]İcmal!$B$19:$AG$49,ROW(A6)+1,FALSE)</f>
        <v>0</v>
      </c>
      <c r="AI8" s="15" cm="1">
        <f t="array" ref="AI8">+HLOOKUP($A$1,+[56]İcmal!$B$19:$AG$49,ROW(A6)+1,FALSE)</f>
        <v>0</v>
      </c>
      <c r="AJ8" s="15" cm="1">
        <f t="array" ref="AJ8">+HLOOKUP($A$1,+[57]İcmal!$B$19:$AG$49,ROW(A6)+1,FALSE)</f>
        <v>0</v>
      </c>
      <c r="AK8" s="15" cm="1">
        <f t="array" ref="AK8">+HLOOKUP($A$1,+[58]İcmal!$B$19:$AG$49,ROW(B6)+1,FALSE)</f>
        <v>0</v>
      </c>
      <c r="AL8" s="15"/>
      <c r="AM8" s="15"/>
      <c r="AN8" s="15"/>
      <c r="AO8" s="13"/>
    </row>
    <row r="9" spans="1:41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+HLOOKUP($A$1,+[31]İcmal!$B$19:$AG$49,ROW(A7)+1,FALSE)</f>
        <v>0</v>
      </c>
      <c r="K9" s="15" cm="1">
        <f t="array" ref="K9">+HLOOKUP($A$1,+[32]İcmal!$B$19:$AG$49,ROW(B7)+1,FALSE)</f>
        <v>0</v>
      </c>
      <c r="L9" s="15" cm="1">
        <f t="array" ref="L9">+HLOOKUP($A$1,+[33]İcmal!$B$19:$AG$49,ROW(C7)+1,FALSE)</f>
        <v>0</v>
      </c>
      <c r="M9" s="15" cm="1">
        <f t="array" ref="M9">+HLOOKUP($A$1,+[34]İcmal!$B$19:$AG$49,ROW(D7)+1,FALSE)</f>
        <v>0</v>
      </c>
      <c r="N9" s="15" cm="1">
        <f t="array" ref="N9">+HLOOKUP($A$1,+[35]İcmal!$B$19:$AG$49,ROW(A7)+1,FALSE)</f>
        <v>0</v>
      </c>
      <c r="O9" s="15" cm="1">
        <f t="array" ref="O9">+HLOOKUP($A$1,+[36]İcmal!$B$19:$AG$49,ROW(B7)+1,FALSE)</f>
        <v>0</v>
      </c>
      <c r="P9" s="15" cm="1">
        <f t="array" ref="P9">+HLOOKUP($A$1,+[37]İcmal!$B$19:$AG$49,ROW(C7)+1,FALSE)</f>
        <v>0</v>
      </c>
      <c r="Q9" s="15" cm="1">
        <f t="array" ref="Q9">+HLOOKUP($A$1,+[38]İcmal!$B$19:$AG$49,ROW(D7)+1,FALSE)</f>
        <v>0</v>
      </c>
      <c r="R9" s="15" cm="1">
        <f t="array" ref="R9">+HLOOKUP($A$1,+[39]İcmal!$B$19:$AG$49,ROW(A7)+1,FALSE)</f>
        <v>0</v>
      </c>
      <c r="S9" s="15" cm="1">
        <f t="array" ref="S9">+HLOOKUP($A$1,+[40]İcmal!$B$19:$AG$49,ROW(B7)+1,FALSE)</f>
        <v>0</v>
      </c>
      <c r="T9" s="15" cm="1">
        <f t="array" ref="T9">+HLOOKUP($A$1,+[41]İcmal!$B$19:$AG$49,ROW(C7)+1,FALSE)</f>
        <v>0</v>
      </c>
      <c r="U9" s="15" cm="1">
        <f t="array" ref="U9">+HLOOKUP($A$1,+[42]İcmal!$B$19:$AG$49,ROW(D7)+1,FALSE)</f>
        <v>0</v>
      </c>
      <c r="V9" s="15" cm="1">
        <f t="array" ref="V9">+HLOOKUP($A$1,+[43]İcmal!$B$19:$AG$49,ROW(A7)+1,FALSE)</f>
        <v>0</v>
      </c>
      <c r="W9" s="15" cm="1">
        <f t="array" ref="W9">+HLOOKUP($A$1,+[44]İcmal!$B$19:$AG$49,ROW(B7)+1,FALSE)</f>
        <v>0</v>
      </c>
      <c r="X9" s="15" cm="1">
        <f t="array" ref="X9">+HLOOKUP($A$1,+[45]İcmal!$B$19:$AG$49,ROW(C7)+1,FALSE)</f>
        <v>0</v>
      </c>
      <c r="Y9" s="15" cm="1">
        <f t="array" ref="Y9">+HLOOKUP($A$1,+[46]İcmal!$B$19:$AG$49,ROW(D7)+1,FALSE)</f>
        <v>0</v>
      </c>
      <c r="Z9" s="15" cm="1">
        <f t="array" ref="Z9">+HLOOKUP($A$1,+[47]İcmal!$B$19:$AG$49,ROW(A7)+1,FALSE)</f>
        <v>0</v>
      </c>
      <c r="AA9" s="15" cm="1">
        <f t="array" ref="AA9">+HLOOKUP($A$1,+[48]İcmal!$B$19:$AG$49,ROW(B7)+1,FALSE)</f>
        <v>0</v>
      </c>
      <c r="AB9" s="15" cm="1">
        <f t="array" ref="AB9">+HLOOKUP($A$1,+[49]İcmal!$B$19:$AG$49,ROW(A7)+1,FALSE)</f>
        <v>0</v>
      </c>
      <c r="AC9" s="15" cm="1">
        <f t="array" ref="AC9">+HLOOKUP($A$1,+[50]İcmal!$B$19:$AG$49,ROW(A7)+1,FALSE)</f>
        <v>0</v>
      </c>
      <c r="AD9" s="15" cm="1">
        <f t="array" ref="AD9">+HLOOKUP($A$1,+[51]İcmal!$B$19:$AG$49,ROW(A7)+1,FALSE)</f>
        <v>0</v>
      </c>
      <c r="AE9" s="15" cm="1">
        <f t="array" ref="AE9">+HLOOKUP($A$1,+[52]İcmal!$B$19:$AG$49,ROW(A7)+1,FALSE)</f>
        <v>0</v>
      </c>
      <c r="AF9" s="50" cm="1">
        <f t="array" ref="AF9">+HLOOKUP($A$1,+[53]İcmal!$B$19:$AG$49,ROW(A7)+1,FALSE)</f>
        <v>0</v>
      </c>
      <c r="AG9" s="15" cm="1">
        <f t="array" ref="AG9">+HLOOKUP($A$1,+[54]İcmal!$B$19:$AG$49,ROW(A7)+1,FALSE)</f>
        <v>0</v>
      </c>
      <c r="AH9" s="15" cm="1">
        <f t="array" ref="AH9">+HLOOKUP($A$1,+[55]İcmal!$B$19:$AG$49,ROW(A7)+1,FALSE)</f>
        <v>0</v>
      </c>
      <c r="AI9" s="15" cm="1">
        <f t="array" ref="AI9">+HLOOKUP($A$1,+[56]İcmal!$B$19:$AG$49,ROW(A7)+1,FALSE)</f>
        <v>0</v>
      </c>
      <c r="AJ9" s="15" cm="1">
        <f t="array" ref="AJ9">+HLOOKUP($A$1,+[57]İcmal!$B$19:$AG$49,ROW(A7)+1,FALSE)</f>
        <v>0</v>
      </c>
      <c r="AK9" s="15" cm="1">
        <f t="array" ref="AK9">+HLOOKUP($A$1,+[58]İcmal!$B$19:$AG$49,ROW(B7)+1,FALSE)</f>
        <v>0</v>
      </c>
      <c r="AL9" s="15"/>
      <c r="AM9" s="15"/>
      <c r="AN9" s="15"/>
      <c r="AO9" s="13"/>
    </row>
    <row r="10" spans="1:41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0</v>
      </c>
      <c r="I10" s="9">
        <f t="shared" si="2"/>
        <v>0</v>
      </c>
      <c r="J10" s="15" cm="1">
        <f t="array" ref="J10">+HLOOKUP($A$1,+[31]İcmal!$B$19:$AG$49,ROW(A8)+1,FALSE)</f>
        <v>0</v>
      </c>
      <c r="K10" s="15" cm="1">
        <f t="array" ref="K10">+HLOOKUP($A$1,+[32]İcmal!$B$19:$AG$49,ROW(B8)+1,FALSE)</f>
        <v>0</v>
      </c>
      <c r="L10" s="15" cm="1">
        <f t="array" ref="L10">+HLOOKUP($A$1,+[33]İcmal!$B$19:$AG$49,ROW(C8)+1,FALSE)</f>
        <v>0</v>
      </c>
      <c r="M10" s="15" cm="1">
        <f t="array" ref="M10">+HLOOKUP($A$1,+[34]İcmal!$B$19:$AG$49,ROW(D8)+1,FALSE)</f>
        <v>0</v>
      </c>
      <c r="N10" s="15" cm="1">
        <f t="array" ref="N10">+HLOOKUP($A$1,+[35]İcmal!$B$19:$AG$49,ROW(A8)+1,FALSE)</f>
        <v>0</v>
      </c>
      <c r="O10" s="15" cm="1">
        <f t="array" ref="O10">+HLOOKUP($A$1,+[36]İcmal!$B$19:$AG$49,ROW(B8)+1,FALSE)</f>
        <v>0</v>
      </c>
      <c r="P10" s="15" cm="1">
        <f t="array" ref="P10">+HLOOKUP($A$1,+[37]İcmal!$B$19:$AG$49,ROW(C8)+1,FALSE)</f>
        <v>0</v>
      </c>
      <c r="Q10" s="15" cm="1">
        <f t="array" ref="Q10">+HLOOKUP($A$1,+[38]İcmal!$B$19:$AG$49,ROW(D8)+1,FALSE)</f>
        <v>0</v>
      </c>
      <c r="R10" s="15" cm="1">
        <f t="array" ref="R10">+HLOOKUP($A$1,+[39]İcmal!$B$19:$AG$49,ROW(A8)+1,FALSE)</f>
        <v>0</v>
      </c>
      <c r="S10" s="15" cm="1">
        <f t="array" ref="S10">+HLOOKUP($A$1,+[40]İcmal!$B$19:$AG$49,ROW(B8)+1,FALSE)</f>
        <v>0</v>
      </c>
      <c r="T10" s="15" cm="1">
        <f t="array" ref="T10">+HLOOKUP($A$1,+[41]İcmal!$B$19:$AG$49,ROW(C8)+1,FALSE)</f>
        <v>0</v>
      </c>
      <c r="U10" s="15" cm="1">
        <f t="array" ref="U10">+HLOOKUP($A$1,+[42]İcmal!$B$19:$AG$49,ROW(D8)+1,FALSE)</f>
        <v>0</v>
      </c>
      <c r="V10" s="15" cm="1">
        <f t="array" ref="V10">+HLOOKUP($A$1,+[43]İcmal!$B$19:$AG$49,ROW(A8)+1,FALSE)</f>
        <v>0</v>
      </c>
      <c r="W10" s="15" cm="1">
        <f t="array" ref="W10">+HLOOKUP($A$1,+[44]İcmal!$B$19:$AG$49,ROW(B8)+1,FALSE)</f>
        <v>0</v>
      </c>
      <c r="X10" s="15" cm="1">
        <f t="array" ref="X10">+HLOOKUP($A$1,+[45]İcmal!$B$19:$AG$49,ROW(C8)+1,FALSE)</f>
        <v>0</v>
      </c>
      <c r="Y10" s="15" cm="1">
        <f t="array" ref="Y10">+HLOOKUP($A$1,+[46]İcmal!$B$19:$AG$49,ROW(D8)+1,FALSE)</f>
        <v>0</v>
      </c>
      <c r="Z10" s="15" cm="1">
        <f t="array" ref="Z10">+HLOOKUP($A$1,+[47]İcmal!$B$19:$AG$49,ROW(A8)+1,FALSE)</f>
        <v>0</v>
      </c>
      <c r="AA10" s="15" cm="1">
        <f t="array" ref="AA10">+HLOOKUP($A$1,+[48]İcmal!$B$19:$AG$49,ROW(B8)+1,FALSE)</f>
        <v>0</v>
      </c>
      <c r="AB10" s="15" cm="1">
        <f t="array" ref="AB10">+HLOOKUP($A$1,+[49]İcmal!$B$19:$AG$49,ROW(A8)+1,FALSE)</f>
        <v>0</v>
      </c>
      <c r="AC10" s="15" cm="1">
        <f t="array" ref="AC10">+HLOOKUP($A$1,+[50]İcmal!$B$19:$AG$49,ROW(A8)+1,FALSE)</f>
        <v>0</v>
      </c>
      <c r="AD10" s="15" cm="1">
        <f t="array" ref="AD10">+HLOOKUP($A$1,+[51]İcmal!$B$19:$AG$49,ROW(A8)+1,FALSE)</f>
        <v>0</v>
      </c>
      <c r="AE10" s="15" cm="1">
        <f t="array" ref="AE10">+HLOOKUP($A$1,+[52]İcmal!$B$19:$AG$49,ROW(A8)+1,FALSE)</f>
        <v>0</v>
      </c>
      <c r="AF10" s="50" cm="1">
        <f t="array" ref="AF10">+HLOOKUP($A$1,+[53]İcmal!$B$19:$AG$49,ROW(A8)+1,FALSE)</f>
        <v>0</v>
      </c>
      <c r="AG10" s="15" cm="1">
        <f t="array" ref="AG10">+HLOOKUP($A$1,+[54]İcmal!$B$19:$AG$49,ROW(A8)+1,FALSE)</f>
        <v>0</v>
      </c>
      <c r="AH10" s="15" cm="1">
        <f t="array" ref="AH10">+HLOOKUP($A$1,+[55]İcmal!$B$19:$AG$49,ROW(A8)+1,FALSE)</f>
        <v>0</v>
      </c>
      <c r="AI10" s="15" cm="1">
        <f t="array" ref="AI10">+HLOOKUP($A$1,+[56]İcmal!$B$19:$AG$49,ROW(A8)+1,FALSE)</f>
        <v>0</v>
      </c>
      <c r="AJ10" s="15" cm="1">
        <f t="array" ref="AJ10">+HLOOKUP($A$1,+[57]İcmal!$B$19:$AG$49,ROW(A8)+1,FALSE)</f>
        <v>0</v>
      </c>
      <c r="AK10" s="15" cm="1">
        <f t="array" ref="AK10">+HLOOKUP($A$1,+[58]İcmal!$B$19:$AG$49,ROW(B8)+1,FALSE)</f>
        <v>0</v>
      </c>
      <c r="AL10" s="15"/>
      <c r="AM10" s="15"/>
      <c r="AN10" s="15"/>
      <c r="AO10" s="13"/>
    </row>
    <row r="11" spans="1:41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+HLOOKUP($A$1,+[31]İcmal!$B$19:$AG$49,ROW(A9)+1,FALSE)</f>
        <v>0</v>
      </c>
      <c r="K11" s="15" cm="1">
        <f t="array" ref="K11">+HLOOKUP($A$1,+[32]İcmal!$B$19:$AG$49,ROW(B9)+1,FALSE)</f>
        <v>0</v>
      </c>
      <c r="L11" s="15" cm="1">
        <f t="array" ref="L11">+HLOOKUP($A$1,+[33]İcmal!$B$19:$AG$49,ROW(C9)+1,FALSE)</f>
        <v>0</v>
      </c>
      <c r="M11" s="15" cm="1">
        <f t="array" ref="M11">+HLOOKUP($A$1,+[34]İcmal!$B$19:$AG$49,ROW(D9)+1,FALSE)</f>
        <v>0</v>
      </c>
      <c r="N11" s="15" cm="1">
        <f t="array" ref="N11">+HLOOKUP($A$1,+[35]İcmal!$B$19:$AG$49,ROW(A9)+1,FALSE)</f>
        <v>0</v>
      </c>
      <c r="O11" s="15" cm="1">
        <f t="array" ref="O11">+HLOOKUP($A$1,+[36]İcmal!$B$19:$AG$49,ROW(B9)+1,FALSE)</f>
        <v>0</v>
      </c>
      <c r="P11" s="15" cm="1">
        <f t="array" ref="P11">+HLOOKUP($A$1,+[37]İcmal!$B$19:$AG$49,ROW(C9)+1,FALSE)</f>
        <v>0</v>
      </c>
      <c r="Q11" s="15" cm="1">
        <f t="array" ref="Q11">+HLOOKUP($A$1,+[38]İcmal!$B$19:$AG$49,ROW(D9)+1,FALSE)</f>
        <v>0</v>
      </c>
      <c r="R11" s="15" cm="1">
        <f t="array" ref="R11">+HLOOKUP($A$1,+[39]İcmal!$B$19:$AG$49,ROW(A9)+1,FALSE)</f>
        <v>0</v>
      </c>
      <c r="S11" s="15" cm="1">
        <f t="array" ref="S11">+HLOOKUP($A$1,+[40]İcmal!$B$19:$AG$49,ROW(B9)+1,FALSE)</f>
        <v>0</v>
      </c>
      <c r="T11" s="15" cm="1">
        <f t="array" ref="T11">+HLOOKUP($A$1,+[41]İcmal!$B$19:$AG$49,ROW(C9)+1,FALSE)</f>
        <v>0</v>
      </c>
      <c r="U11" s="15" cm="1">
        <f t="array" ref="U11">+HLOOKUP($A$1,+[42]İcmal!$B$19:$AG$49,ROW(D9)+1,FALSE)</f>
        <v>0</v>
      </c>
      <c r="V11" s="15" cm="1">
        <f t="array" ref="V11">+HLOOKUP($A$1,+[43]İcmal!$B$19:$AG$49,ROW(A9)+1,FALSE)</f>
        <v>0</v>
      </c>
      <c r="W11" s="15" cm="1">
        <f t="array" ref="W11">+HLOOKUP($A$1,+[44]İcmal!$B$19:$AG$49,ROW(B9)+1,FALSE)</f>
        <v>0</v>
      </c>
      <c r="X11" s="15" cm="1">
        <f t="array" ref="X11">+HLOOKUP($A$1,+[45]İcmal!$B$19:$AG$49,ROW(C9)+1,FALSE)</f>
        <v>0</v>
      </c>
      <c r="Y11" s="15" cm="1">
        <f t="array" ref="Y11">+HLOOKUP($A$1,+[46]İcmal!$B$19:$AG$49,ROW(D9)+1,FALSE)</f>
        <v>0</v>
      </c>
      <c r="Z11" s="15" cm="1">
        <f t="array" ref="Z11">+HLOOKUP($A$1,+[47]İcmal!$B$19:$AG$49,ROW(A9)+1,FALSE)</f>
        <v>0</v>
      </c>
      <c r="AA11" s="15" cm="1">
        <f t="array" ref="AA11">+HLOOKUP($A$1,+[48]İcmal!$B$19:$AG$49,ROW(B9)+1,FALSE)</f>
        <v>0</v>
      </c>
      <c r="AB11" s="15" cm="1">
        <f t="array" ref="AB11">+HLOOKUP($A$1,+[49]İcmal!$B$19:$AG$49,ROW(A9)+1,FALSE)</f>
        <v>0</v>
      </c>
      <c r="AC11" s="15" cm="1">
        <f t="array" ref="AC11">+HLOOKUP($A$1,+[50]İcmal!$B$19:$AG$49,ROW(A9)+1,FALSE)</f>
        <v>0</v>
      </c>
      <c r="AD11" s="15" cm="1">
        <f t="array" ref="AD11">+HLOOKUP($A$1,+[51]İcmal!$B$19:$AG$49,ROW(A9)+1,FALSE)</f>
        <v>0</v>
      </c>
      <c r="AE11" s="15" cm="1">
        <f t="array" ref="AE11">+HLOOKUP($A$1,+[52]İcmal!$B$19:$AG$49,ROW(A9)+1,FALSE)</f>
        <v>0</v>
      </c>
      <c r="AF11" s="50" cm="1">
        <f t="array" ref="AF11">+HLOOKUP($A$1,+[53]İcmal!$B$19:$AG$49,ROW(A9)+1,FALSE)</f>
        <v>0</v>
      </c>
      <c r="AG11" s="15" cm="1">
        <f t="array" ref="AG11">+HLOOKUP($A$1,+[54]İcmal!$B$19:$AG$49,ROW(A9)+1,FALSE)</f>
        <v>0</v>
      </c>
      <c r="AH11" s="15" cm="1">
        <f t="array" ref="AH11">+HLOOKUP($A$1,+[55]İcmal!$B$19:$AG$49,ROW(A9)+1,FALSE)</f>
        <v>0</v>
      </c>
      <c r="AI11" s="15" cm="1">
        <f t="array" ref="AI11">+HLOOKUP($A$1,+[56]İcmal!$B$19:$AG$49,ROW(A9)+1,FALSE)</f>
        <v>0</v>
      </c>
      <c r="AJ11" s="15" cm="1">
        <f t="array" ref="AJ11">+HLOOKUP($A$1,+[57]İcmal!$B$19:$AG$49,ROW(A9)+1,FALSE)</f>
        <v>0</v>
      </c>
      <c r="AK11" s="15" cm="1">
        <f t="array" ref="AK11">+HLOOKUP($A$1,+[58]İcmal!$B$19:$AG$49,ROW(B9)+1,FALSE)</f>
        <v>0</v>
      </c>
      <c r="AL11" s="15"/>
      <c r="AM11" s="15"/>
      <c r="AN11" s="15"/>
      <c r="AO11" s="13"/>
    </row>
    <row r="12" spans="1:41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+HLOOKUP($A$1,+[31]İcmal!$B$19:$AG$49,ROW(A10)+1,FALSE)</f>
        <v>0</v>
      </c>
      <c r="K12" s="15" cm="1">
        <f t="array" ref="K12">+HLOOKUP($A$1,+[32]İcmal!$B$19:$AG$49,ROW(B10)+1,FALSE)</f>
        <v>0</v>
      </c>
      <c r="L12" s="15" cm="1">
        <f t="array" ref="L12">+HLOOKUP($A$1,+[33]İcmal!$B$19:$AG$49,ROW(C10)+1,FALSE)</f>
        <v>0</v>
      </c>
      <c r="M12" s="15" cm="1">
        <f t="array" ref="M12">+HLOOKUP($A$1,+[34]İcmal!$B$19:$AG$49,ROW(D10)+1,FALSE)</f>
        <v>0</v>
      </c>
      <c r="N12" s="15" cm="1">
        <f t="array" ref="N12">+HLOOKUP($A$1,+[35]İcmal!$B$19:$AG$49,ROW(A10)+1,FALSE)</f>
        <v>0</v>
      </c>
      <c r="O12" s="15" cm="1">
        <f t="array" ref="O12">+HLOOKUP($A$1,+[36]İcmal!$B$19:$AG$49,ROW(B10)+1,FALSE)</f>
        <v>0</v>
      </c>
      <c r="P12" s="15" cm="1">
        <f t="array" ref="P12">+HLOOKUP($A$1,+[37]İcmal!$B$19:$AG$49,ROW(C10)+1,FALSE)</f>
        <v>0</v>
      </c>
      <c r="Q12" s="15" cm="1">
        <f t="array" ref="Q12">+HLOOKUP($A$1,+[38]İcmal!$B$19:$AG$49,ROW(D10)+1,FALSE)</f>
        <v>0</v>
      </c>
      <c r="R12" s="15" cm="1">
        <f t="array" ref="R12">+HLOOKUP($A$1,+[39]İcmal!$B$19:$AG$49,ROW(A10)+1,FALSE)</f>
        <v>0</v>
      </c>
      <c r="S12" s="15" cm="1">
        <f t="array" ref="S12">+HLOOKUP($A$1,+[40]İcmal!$B$19:$AG$49,ROW(B10)+1,FALSE)</f>
        <v>0</v>
      </c>
      <c r="T12" s="15" cm="1">
        <f t="array" ref="T12">+HLOOKUP($A$1,+[41]İcmal!$B$19:$AG$49,ROW(C10)+1,FALSE)</f>
        <v>0</v>
      </c>
      <c r="U12" s="15" cm="1">
        <f t="array" ref="U12">+HLOOKUP($A$1,+[42]İcmal!$B$19:$AG$49,ROW(D10)+1,FALSE)</f>
        <v>0</v>
      </c>
      <c r="V12" s="15" cm="1">
        <f t="array" ref="V12">+HLOOKUP($A$1,+[43]İcmal!$B$19:$AG$49,ROW(A10)+1,FALSE)</f>
        <v>0</v>
      </c>
      <c r="W12" s="15" cm="1">
        <f t="array" ref="W12">+HLOOKUP($A$1,+[44]İcmal!$B$19:$AG$49,ROW(B10)+1,FALSE)</f>
        <v>0</v>
      </c>
      <c r="X12" s="15" cm="1">
        <f t="array" ref="X12">+HLOOKUP($A$1,+[45]İcmal!$B$19:$AG$49,ROW(C10)+1,FALSE)</f>
        <v>0</v>
      </c>
      <c r="Y12" s="15" cm="1">
        <f t="array" ref="Y12">+HLOOKUP($A$1,+[46]İcmal!$B$19:$AG$49,ROW(D10)+1,FALSE)</f>
        <v>0</v>
      </c>
      <c r="Z12" s="15" cm="1">
        <f t="array" ref="Z12">+HLOOKUP($A$1,+[47]İcmal!$B$19:$AG$49,ROW(A10)+1,FALSE)</f>
        <v>0</v>
      </c>
      <c r="AA12" s="15" cm="1">
        <f t="array" ref="AA12">+HLOOKUP($A$1,+[48]İcmal!$B$19:$AG$49,ROW(B10)+1,FALSE)</f>
        <v>0</v>
      </c>
      <c r="AB12" s="15" cm="1">
        <f t="array" ref="AB12">+HLOOKUP($A$1,+[49]İcmal!$B$19:$AG$49,ROW(A10)+1,FALSE)</f>
        <v>0</v>
      </c>
      <c r="AC12" s="15" cm="1">
        <f t="array" ref="AC12">+HLOOKUP($A$1,+[50]İcmal!$B$19:$AG$49,ROW(A10)+1,FALSE)</f>
        <v>0</v>
      </c>
      <c r="AD12" s="15" cm="1">
        <f t="array" ref="AD12">+HLOOKUP($A$1,+[51]İcmal!$B$19:$AG$49,ROW(A10)+1,FALSE)</f>
        <v>0</v>
      </c>
      <c r="AE12" s="15" cm="1">
        <f t="array" ref="AE12">+HLOOKUP($A$1,+[52]İcmal!$B$19:$AG$49,ROW(A10)+1,FALSE)</f>
        <v>0</v>
      </c>
      <c r="AF12" s="50" cm="1">
        <f t="array" ref="AF12">+HLOOKUP($A$1,+[53]İcmal!$B$19:$AG$49,ROW(A10)+1,FALSE)</f>
        <v>0</v>
      </c>
      <c r="AG12" s="15" cm="1">
        <f t="array" ref="AG12">+HLOOKUP($A$1,+[54]İcmal!$B$19:$AG$49,ROW(A10)+1,FALSE)</f>
        <v>0</v>
      </c>
      <c r="AH12" s="15" cm="1">
        <f t="array" ref="AH12">+HLOOKUP($A$1,+[55]İcmal!$B$19:$AG$49,ROW(A10)+1,FALSE)</f>
        <v>0</v>
      </c>
      <c r="AI12" s="15" cm="1">
        <f t="array" ref="AI12">+HLOOKUP($A$1,+[56]İcmal!$B$19:$AG$49,ROW(A10)+1,FALSE)</f>
        <v>0</v>
      </c>
      <c r="AJ12" s="15" cm="1">
        <f t="array" ref="AJ12">+HLOOKUP($A$1,+[57]İcmal!$B$19:$AG$49,ROW(A10)+1,FALSE)</f>
        <v>0</v>
      </c>
      <c r="AK12" s="15" cm="1">
        <f t="array" ref="AK12">+HLOOKUP($A$1,+[58]İcmal!$B$19:$AG$49,ROW(B10)+1,FALSE)</f>
        <v>0</v>
      </c>
      <c r="AL12" s="15"/>
      <c r="AM12" s="15"/>
      <c r="AN12" s="15"/>
      <c r="AO12" s="13"/>
    </row>
    <row r="13" spans="1:41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0</v>
      </c>
      <c r="I13" s="9">
        <f t="shared" si="2"/>
        <v>0</v>
      </c>
      <c r="J13" s="15" cm="1">
        <f t="array" ref="J13">+HLOOKUP($A$1,+[31]İcmal!$B$19:$AG$49,ROW(A11)+1,FALSE)</f>
        <v>0</v>
      </c>
      <c r="K13" s="15" cm="1">
        <f t="array" ref="K13">+HLOOKUP($A$1,+[32]İcmal!$B$19:$AG$49,ROW(B11)+1,FALSE)</f>
        <v>0</v>
      </c>
      <c r="L13" s="15" cm="1">
        <f t="array" ref="L13">+HLOOKUP($A$1,+[33]İcmal!$B$19:$AG$49,ROW(C11)+1,FALSE)</f>
        <v>0</v>
      </c>
      <c r="M13" s="15" cm="1">
        <f t="array" ref="M13">+HLOOKUP($A$1,+[34]İcmal!$B$19:$AG$49,ROW(D11)+1,FALSE)</f>
        <v>0</v>
      </c>
      <c r="N13" s="15" cm="1">
        <f t="array" ref="N13">+HLOOKUP($A$1,+[35]İcmal!$B$19:$AG$49,ROW(A11)+1,FALSE)</f>
        <v>0</v>
      </c>
      <c r="O13" s="15" cm="1">
        <f t="array" ref="O13">+HLOOKUP($A$1,+[36]İcmal!$B$19:$AG$49,ROW(B11)+1,FALSE)</f>
        <v>0</v>
      </c>
      <c r="P13" s="15" cm="1">
        <f t="array" ref="P13">+HLOOKUP($A$1,+[37]İcmal!$B$19:$AG$49,ROW(C11)+1,FALSE)</f>
        <v>0</v>
      </c>
      <c r="Q13" s="15" cm="1">
        <f t="array" ref="Q13">+HLOOKUP($A$1,+[38]İcmal!$B$19:$AG$49,ROW(D11)+1,FALSE)</f>
        <v>0</v>
      </c>
      <c r="R13" s="15" cm="1">
        <f t="array" ref="R13">+HLOOKUP($A$1,+[39]İcmal!$B$19:$AG$49,ROW(A11)+1,FALSE)</f>
        <v>0</v>
      </c>
      <c r="S13" s="15" cm="1">
        <f t="array" ref="S13">+HLOOKUP($A$1,+[40]İcmal!$B$19:$AG$49,ROW(B11)+1,FALSE)</f>
        <v>0</v>
      </c>
      <c r="T13" s="15" cm="1">
        <f t="array" ref="T13">+HLOOKUP($A$1,+[41]İcmal!$B$19:$AG$49,ROW(C11)+1,FALSE)</f>
        <v>0</v>
      </c>
      <c r="U13" s="15" cm="1">
        <f t="array" ref="U13">+HLOOKUP($A$1,+[42]İcmal!$B$19:$AG$49,ROW(D11)+1,FALSE)</f>
        <v>0</v>
      </c>
      <c r="V13" s="15" cm="1">
        <f t="array" ref="V13">+HLOOKUP($A$1,+[43]İcmal!$B$19:$AG$49,ROW(A11)+1,FALSE)</f>
        <v>0</v>
      </c>
      <c r="W13" s="15" cm="1">
        <f t="array" ref="W13">+HLOOKUP($A$1,+[44]İcmal!$B$19:$AG$49,ROW(B11)+1,FALSE)</f>
        <v>0</v>
      </c>
      <c r="X13" s="15" cm="1">
        <f t="array" ref="X13">+HLOOKUP($A$1,+[45]İcmal!$B$19:$AG$49,ROW(C11)+1,FALSE)</f>
        <v>0</v>
      </c>
      <c r="Y13" s="15" cm="1">
        <f t="array" ref="Y13">+HLOOKUP($A$1,+[46]İcmal!$B$19:$AG$49,ROW(D11)+1,FALSE)</f>
        <v>0</v>
      </c>
      <c r="Z13" s="15" cm="1">
        <f t="array" ref="Z13">+HLOOKUP($A$1,+[47]İcmal!$B$19:$AG$49,ROW(A11)+1,FALSE)</f>
        <v>0</v>
      </c>
      <c r="AA13" s="15" cm="1">
        <f t="array" ref="AA13">+HLOOKUP($A$1,+[48]İcmal!$B$19:$AG$49,ROW(B11)+1,FALSE)</f>
        <v>0</v>
      </c>
      <c r="AB13" s="15" cm="1">
        <f t="array" ref="AB13">+HLOOKUP($A$1,+[49]İcmal!$B$19:$AG$49,ROW(A11)+1,FALSE)</f>
        <v>0</v>
      </c>
      <c r="AC13" s="15" cm="1">
        <f t="array" ref="AC13">+HLOOKUP($A$1,+[50]İcmal!$B$19:$AG$49,ROW(A11)+1,FALSE)</f>
        <v>0</v>
      </c>
      <c r="AD13" s="15" cm="1">
        <f t="array" ref="AD13">+HLOOKUP($A$1,+[51]İcmal!$B$19:$AG$49,ROW(A11)+1,FALSE)</f>
        <v>0</v>
      </c>
      <c r="AE13" s="15" cm="1">
        <f t="array" ref="AE13">+HLOOKUP($A$1,+[52]İcmal!$B$19:$AG$49,ROW(A11)+1,FALSE)</f>
        <v>0</v>
      </c>
      <c r="AF13" s="50" cm="1">
        <f t="array" ref="AF13">+HLOOKUP($A$1,+[53]İcmal!$B$19:$AG$49,ROW(A11)+1,FALSE)</f>
        <v>0</v>
      </c>
      <c r="AG13" s="15" cm="1">
        <f t="array" ref="AG13">+HLOOKUP($A$1,+[54]İcmal!$B$19:$AG$49,ROW(A11)+1,FALSE)</f>
        <v>0</v>
      </c>
      <c r="AH13" s="15" cm="1">
        <f t="array" ref="AH13">+HLOOKUP($A$1,+[55]İcmal!$B$19:$AG$49,ROW(A11)+1,FALSE)</f>
        <v>0</v>
      </c>
      <c r="AI13" s="15" cm="1">
        <f t="array" ref="AI13">+HLOOKUP($A$1,+[56]İcmal!$B$19:$AG$49,ROW(A11)+1,FALSE)</f>
        <v>0</v>
      </c>
      <c r="AJ13" s="15" cm="1">
        <f t="array" ref="AJ13">+HLOOKUP($A$1,+[57]İcmal!$B$19:$AG$49,ROW(A11)+1,FALSE)</f>
        <v>0</v>
      </c>
      <c r="AK13" s="15" cm="1">
        <f t="array" ref="AK13">+HLOOKUP($A$1,+[58]İcmal!$B$19:$AG$49,ROW(B11)+1,FALSE)</f>
        <v>0</v>
      </c>
      <c r="AL13" s="15"/>
      <c r="AM13" s="15"/>
      <c r="AN13" s="15"/>
      <c r="AO13" s="13"/>
    </row>
    <row r="14" spans="1:41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1116</v>
      </c>
      <c r="I14" s="9">
        <f t="shared" si="2"/>
        <v>418500</v>
      </c>
      <c r="J14" s="15" cm="1">
        <f t="array" ref="J14">+HLOOKUP($A$1,+[31]İcmal!$B$19:$AG$49,ROW(A12)+1,FALSE)</f>
        <v>396</v>
      </c>
      <c r="K14" s="15" cm="1">
        <f t="array" ref="K14">+HLOOKUP($A$1,+[32]İcmal!$B$19:$AG$49,ROW(B12)+1,FALSE)</f>
        <v>162</v>
      </c>
      <c r="L14" s="15" cm="1">
        <f t="array" ref="L14">+HLOOKUP($A$1,+[33]İcmal!$B$19:$AG$49,ROW(C12)+1,FALSE)</f>
        <v>0</v>
      </c>
      <c r="M14" s="15" cm="1">
        <f t="array" ref="M14">+HLOOKUP($A$1,+[34]İcmal!$B$19:$AG$49,ROW(D12)+1,FALSE)</f>
        <v>0</v>
      </c>
      <c r="N14" s="15" cm="1">
        <f t="array" ref="N14">+HLOOKUP($A$1,+[35]İcmal!$B$19:$AG$49,ROW(A12)+1,FALSE)</f>
        <v>198</v>
      </c>
      <c r="O14" s="15" cm="1">
        <f t="array" ref="O14">+HLOOKUP($A$1,+[36]İcmal!$B$19:$AG$49,ROW(B12)+1,FALSE)</f>
        <v>0</v>
      </c>
      <c r="P14" s="15" cm="1">
        <f t="array" ref="P14">+HLOOKUP($A$1,+[37]İcmal!$B$19:$AG$49,ROW(C12)+1,FALSE)</f>
        <v>0</v>
      </c>
      <c r="Q14" s="15" cm="1">
        <f t="array" ref="Q14">+HLOOKUP($A$1,+[38]İcmal!$B$19:$AG$49,ROW(D12)+1,FALSE)</f>
        <v>0</v>
      </c>
      <c r="R14" s="15" cm="1">
        <f t="array" ref="R14">+HLOOKUP($A$1,+[39]İcmal!$B$19:$AG$49,ROW(A12)+1,FALSE)</f>
        <v>198</v>
      </c>
      <c r="S14" s="15" cm="1">
        <f t="array" ref="S14">+HLOOKUP($A$1,+[40]İcmal!$B$19:$AG$49,ROW(B12)+1,FALSE)</f>
        <v>0</v>
      </c>
      <c r="T14" s="15" cm="1">
        <f t="array" ref="T14">+HLOOKUP($A$1,+[41]İcmal!$B$19:$AG$49,ROW(C12)+1,FALSE)</f>
        <v>0</v>
      </c>
      <c r="U14" s="15" cm="1">
        <f t="array" ref="U14">+HLOOKUP($A$1,+[42]İcmal!$B$19:$AG$49,ROW(D12)+1,FALSE)</f>
        <v>0</v>
      </c>
      <c r="V14" s="15" cm="1">
        <f t="array" ref="V14">+HLOOKUP($A$1,+[43]İcmal!$B$19:$AG$49,ROW(A12)+1,FALSE)</f>
        <v>0</v>
      </c>
      <c r="W14" s="15" cm="1">
        <f t="array" ref="W14">+HLOOKUP($A$1,+[44]İcmal!$B$19:$AG$49,ROW(B12)+1,FALSE)</f>
        <v>162</v>
      </c>
      <c r="X14" s="15" cm="1">
        <f t="array" ref="X14">+HLOOKUP($A$1,+[45]İcmal!$B$19:$AG$49,ROW(C12)+1,FALSE)</f>
        <v>0</v>
      </c>
      <c r="Y14" s="15" cm="1">
        <f t="array" ref="Y14">+HLOOKUP($A$1,+[46]İcmal!$B$19:$AG$49,ROW(D12)+1,FALSE)</f>
        <v>0</v>
      </c>
      <c r="Z14" s="15" cm="1">
        <f t="array" ref="Z14">+HLOOKUP($A$1,+[47]İcmal!$B$19:$AG$49,ROW(A12)+1,FALSE)</f>
        <v>0</v>
      </c>
      <c r="AA14" s="15" cm="1">
        <f t="array" ref="AA14">+HLOOKUP($A$1,+[48]İcmal!$B$19:$AG$49,ROW(B12)+1,FALSE)</f>
        <v>0</v>
      </c>
      <c r="AB14" s="15" cm="1">
        <f t="array" ref="AB14">+HLOOKUP($A$1,+[49]İcmal!$B$19:$AG$49,ROW(A12)+1,FALSE)</f>
        <v>0</v>
      </c>
      <c r="AC14" s="15" cm="1">
        <f t="array" ref="AC14">+HLOOKUP($A$1,+[50]İcmal!$B$19:$AG$49,ROW(A12)+1,FALSE)</f>
        <v>0</v>
      </c>
      <c r="AD14" s="15" cm="1">
        <f t="array" ref="AD14">+HLOOKUP($A$1,+[51]İcmal!$B$19:$AG$49,ROW(A12)+1,FALSE)</f>
        <v>0</v>
      </c>
      <c r="AE14" s="15" cm="1">
        <f t="array" ref="AE14">+HLOOKUP($A$1,+[52]İcmal!$B$19:$AG$49,ROW(A12)+1,FALSE)</f>
        <v>0</v>
      </c>
      <c r="AF14" s="50" cm="1">
        <f t="array" ref="AF14">+HLOOKUP($A$1,+[53]İcmal!$B$19:$AG$49,ROW(A12)+1,FALSE)</f>
        <v>0</v>
      </c>
      <c r="AG14" s="15" cm="1">
        <f t="array" ref="AG14">+HLOOKUP($A$1,+[54]İcmal!$B$19:$AG$49,ROW(A12)+1,FALSE)</f>
        <v>0</v>
      </c>
      <c r="AH14" s="15" cm="1">
        <f t="array" ref="AH14">+HLOOKUP($A$1,+[55]İcmal!$B$19:$AG$49,ROW(A12)+1,FALSE)</f>
        <v>0</v>
      </c>
      <c r="AI14" s="15" cm="1">
        <f t="array" ref="AI14">+HLOOKUP($A$1,+[56]İcmal!$B$19:$AG$49,ROW(A12)+1,FALSE)</f>
        <v>0</v>
      </c>
      <c r="AJ14" s="15" cm="1">
        <f t="array" ref="AJ14">+HLOOKUP($A$1,+[57]İcmal!$B$19:$AG$49,ROW(A12)+1,FALSE)</f>
        <v>0</v>
      </c>
      <c r="AK14" s="15" cm="1">
        <f t="array" ref="AK14">+HLOOKUP($A$1,+[58]İcmal!$B$19:$AG$49,ROW(B12)+1,FALSE)</f>
        <v>0</v>
      </c>
      <c r="AL14" s="15"/>
      <c r="AM14" s="15"/>
      <c r="AN14" s="15"/>
      <c r="AO14" s="13"/>
    </row>
    <row r="15" spans="1:41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+HLOOKUP($A$1,+[31]İcmal!$B$19:$AG$49,ROW(A13)+1,FALSE)</f>
        <v>0</v>
      </c>
      <c r="K15" s="15" cm="1">
        <f t="array" ref="K15">+HLOOKUP($A$1,+[32]İcmal!$B$19:$AG$49,ROW(B13)+1,FALSE)</f>
        <v>0</v>
      </c>
      <c r="L15" s="15" cm="1">
        <f t="array" ref="L15">+HLOOKUP($A$1,+[33]İcmal!$B$19:$AG$49,ROW(C13)+1,FALSE)</f>
        <v>0</v>
      </c>
      <c r="M15" s="15" cm="1">
        <f t="array" ref="M15">+HLOOKUP($A$1,+[34]İcmal!$B$19:$AG$49,ROW(D13)+1,FALSE)</f>
        <v>0</v>
      </c>
      <c r="N15" s="15" cm="1">
        <f t="array" ref="N15">+HLOOKUP($A$1,+[35]İcmal!$B$19:$AG$49,ROW(A13)+1,FALSE)</f>
        <v>0</v>
      </c>
      <c r="O15" s="15" cm="1">
        <f t="array" ref="O15">+HLOOKUP($A$1,+[36]İcmal!$B$19:$AG$49,ROW(B13)+1,FALSE)</f>
        <v>0</v>
      </c>
      <c r="P15" s="15" cm="1">
        <f t="array" ref="P15">+HLOOKUP($A$1,+[37]İcmal!$B$19:$AG$49,ROW(C13)+1,FALSE)</f>
        <v>0</v>
      </c>
      <c r="Q15" s="15" cm="1">
        <f t="array" ref="Q15">+HLOOKUP($A$1,+[38]İcmal!$B$19:$AG$49,ROW(D13)+1,FALSE)</f>
        <v>0</v>
      </c>
      <c r="R15" s="15" cm="1">
        <f t="array" ref="R15">+HLOOKUP($A$1,+[39]İcmal!$B$19:$AG$49,ROW(A13)+1,FALSE)</f>
        <v>0</v>
      </c>
      <c r="S15" s="15" cm="1">
        <f t="array" ref="S15">+HLOOKUP($A$1,+[40]İcmal!$B$19:$AG$49,ROW(B13)+1,FALSE)</f>
        <v>0</v>
      </c>
      <c r="T15" s="15" cm="1">
        <f t="array" ref="T15">+HLOOKUP($A$1,+[41]İcmal!$B$19:$AG$49,ROW(C13)+1,FALSE)</f>
        <v>0</v>
      </c>
      <c r="U15" s="15" cm="1">
        <f t="array" ref="U15">+HLOOKUP($A$1,+[42]İcmal!$B$19:$AG$49,ROW(D13)+1,FALSE)</f>
        <v>0</v>
      </c>
      <c r="V15" s="15" cm="1">
        <f t="array" ref="V15">+HLOOKUP($A$1,+[43]İcmal!$B$19:$AG$49,ROW(A13)+1,FALSE)</f>
        <v>0</v>
      </c>
      <c r="W15" s="15" cm="1">
        <f t="array" ref="W15">+HLOOKUP($A$1,+[44]İcmal!$B$19:$AG$49,ROW(B13)+1,FALSE)</f>
        <v>0</v>
      </c>
      <c r="X15" s="15" cm="1">
        <f t="array" ref="X15">+HLOOKUP($A$1,+[45]İcmal!$B$19:$AG$49,ROW(C13)+1,FALSE)</f>
        <v>0</v>
      </c>
      <c r="Y15" s="15" cm="1">
        <f t="array" ref="Y15">+HLOOKUP($A$1,+[46]İcmal!$B$19:$AG$49,ROW(D13)+1,FALSE)</f>
        <v>0</v>
      </c>
      <c r="Z15" s="15" cm="1">
        <f t="array" ref="Z15">+HLOOKUP($A$1,+[47]İcmal!$B$19:$AG$49,ROW(A13)+1,FALSE)</f>
        <v>0</v>
      </c>
      <c r="AA15" s="15" cm="1">
        <f t="array" ref="AA15">+HLOOKUP($A$1,+[48]İcmal!$B$19:$AG$49,ROW(B13)+1,FALSE)</f>
        <v>0</v>
      </c>
      <c r="AB15" s="15" cm="1">
        <f t="array" ref="AB15">+HLOOKUP($A$1,+[49]İcmal!$B$19:$AG$49,ROW(A13)+1,FALSE)</f>
        <v>0</v>
      </c>
      <c r="AC15" s="15" cm="1">
        <f t="array" ref="AC15">+HLOOKUP($A$1,+[50]İcmal!$B$19:$AG$49,ROW(A13)+1,FALSE)</f>
        <v>0</v>
      </c>
      <c r="AD15" s="15" cm="1">
        <f t="array" ref="AD15">+HLOOKUP($A$1,+[51]İcmal!$B$19:$AG$49,ROW(A13)+1,FALSE)</f>
        <v>0</v>
      </c>
      <c r="AE15" s="15" cm="1">
        <f t="array" ref="AE15">+HLOOKUP($A$1,+[52]İcmal!$B$19:$AG$49,ROW(A13)+1,FALSE)</f>
        <v>0</v>
      </c>
      <c r="AF15" s="50" cm="1">
        <f t="array" ref="AF15">+HLOOKUP($A$1,+[53]İcmal!$B$19:$AG$49,ROW(A13)+1,FALSE)</f>
        <v>0</v>
      </c>
      <c r="AG15" s="15" cm="1">
        <f t="array" ref="AG15">+HLOOKUP($A$1,+[54]İcmal!$B$19:$AG$49,ROW(A13)+1,FALSE)</f>
        <v>0</v>
      </c>
      <c r="AH15" s="15" cm="1">
        <f t="array" ref="AH15">+HLOOKUP($A$1,+[55]İcmal!$B$19:$AG$49,ROW(A13)+1,FALSE)</f>
        <v>0</v>
      </c>
      <c r="AI15" s="15" cm="1">
        <f t="array" ref="AI15">+HLOOKUP($A$1,+[56]İcmal!$B$19:$AG$49,ROW(A13)+1,FALSE)</f>
        <v>0</v>
      </c>
      <c r="AJ15" s="15" cm="1">
        <f t="array" ref="AJ15">+HLOOKUP($A$1,+[57]İcmal!$B$19:$AG$49,ROW(A13)+1,FALSE)</f>
        <v>0</v>
      </c>
      <c r="AK15" s="15" cm="1">
        <f t="array" ref="AK15">+HLOOKUP($A$1,+[58]İcmal!$B$19:$AG$49,ROW(B13)+1,FALSE)</f>
        <v>0</v>
      </c>
      <c r="AL15" s="15"/>
      <c r="AM15" s="15"/>
      <c r="AN15" s="15"/>
      <c r="AO15" s="13"/>
    </row>
    <row r="16" spans="1:41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31.127000000000002</v>
      </c>
      <c r="I16" s="9">
        <f t="shared" si="2"/>
        <v>3174954.0000000005</v>
      </c>
      <c r="J16" s="15" cm="1">
        <f t="array" ref="J16">+HLOOKUP($A$1,+[31]İcmal!$B$19:$AG$49,ROW(A14)+1,FALSE)</f>
        <v>9.8320000000000007</v>
      </c>
      <c r="K16" s="15" cm="1">
        <f t="array" ref="K16">+HLOOKUP($A$1,+[32]İcmal!$B$19:$AG$49,ROW(B14)+1,FALSE)</f>
        <v>0</v>
      </c>
      <c r="L16" s="15" cm="1">
        <f t="array" ref="L16">+HLOOKUP($A$1,+[33]İcmal!$B$19:$AG$49,ROW(C14)+1,FALSE)</f>
        <v>0</v>
      </c>
      <c r="M16" s="15" cm="1">
        <f t="array" ref="M16">+HLOOKUP($A$1,+[34]İcmal!$B$19:$AG$49,ROW(D14)+1,FALSE)</f>
        <v>0</v>
      </c>
      <c r="N16" s="15" cm="1">
        <f t="array" ref="N16">+HLOOKUP($A$1,+[35]İcmal!$B$19:$AG$49,ROW(A14)+1,FALSE)</f>
        <v>7.2530000000000001</v>
      </c>
      <c r="O16" s="15" cm="1">
        <f t="array" ref="O16">+HLOOKUP($A$1,+[36]İcmal!$B$19:$AG$49,ROW(B14)+1,FALSE)</f>
        <v>0</v>
      </c>
      <c r="P16" s="15" cm="1">
        <f t="array" ref="P16">+HLOOKUP($A$1,+[37]İcmal!$B$19:$AG$49,ROW(C14)+1,FALSE)</f>
        <v>0</v>
      </c>
      <c r="Q16" s="15" cm="1">
        <f t="array" ref="Q16">+HLOOKUP($A$1,+[38]İcmal!$B$19:$AG$49,ROW(D14)+1,FALSE)</f>
        <v>0</v>
      </c>
      <c r="R16" s="15" cm="1">
        <f t="array" ref="R16">+HLOOKUP($A$1,+[39]İcmal!$B$19:$AG$49,ROW(A14)+1,FALSE)</f>
        <v>8.7460000000000004</v>
      </c>
      <c r="S16" s="15" cm="1">
        <f t="array" ref="S16">+HLOOKUP($A$1,+[40]İcmal!$B$19:$AG$49,ROW(B14)+1,FALSE)</f>
        <v>0</v>
      </c>
      <c r="T16" s="15" cm="1">
        <f t="array" ref="T16">+HLOOKUP($A$1,+[41]İcmal!$B$19:$AG$49,ROW(C14)+1,FALSE)</f>
        <v>0</v>
      </c>
      <c r="U16" s="15" cm="1">
        <f t="array" ref="U16">+HLOOKUP($A$1,+[42]İcmal!$B$19:$AG$49,ROW(D14)+1,FALSE)</f>
        <v>0</v>
      </c>
      <c r="V16" s="15" cm="1">
        <f t="array" ref="V16">+HLOOKUP($A$1,+[43]İcmal!$B$19:$AG$49,ROW(A14)+1,FALSE)</f>
        <v>0</v>
      </c>
      <c r="W16" s="15" cm="1">
        <f t="array" ref="W16">+HLOOKUP($A$1,+[44]İcmal!$B$19:$AG$49,ROW(B14)+1,FALSE)</f>
        <v>5.2960000000000003</v>
      </c>
      <c r="X16" s="15" cm="1">
        <f t="array" ref="X16">+HLOOKUP($A$1,+[45]İcmal!$B$19:$AG$49,ROW(C14)+1,FALSE)</f>
        <v>0</v>
      </c>
      <c r="Y16" s="15" cm="1">
        <f t="array" ref="Y16">+HLOOKUP($A$1,+[46]İcmal!$B$19:$AG$49,ROW(D14)+1,FALSE)</f>
        <v>0</v>
      </c>
      <c r="Z16" s="15" cm="1">
        <f t="array" ref="Z16">+HLOOKUP($A$1,+[47]İcmal!$B$19:$AG$49,ROW(A14)+1,FALSE)</f>
        <v>0</v>
      </c>
      <c r="AA16" s="15" cm="1">
        <f t="array" ref="AA16">+HLOOKUP($A$1,+[48]İcmal!$B$19:$AG$49,ROW(B14)+1,FALSE)</f>
        <v>0</v>
      </c>
      <c r="AB16" s="15" cm="1">
        <f t="array" ref="AB16">+HLOOKUP($A$1,+[49]İcmal!$B$19:$AG$49,ROW(A14)+1,FALSE)</f>
        <v>0</v>
      </c>
      <c r="AC16" s="15" cm="1">
        <f t="array" ref="AC16">+HLOOKUP($A$1,+[50]İcmal!$B$19:$AG$49,ROW(A14)+1,FALSE)</f>
        <v>0</v>
      </c>
      <c r="AD16" s="15" cm="1">
        <f t="array" ref="AD16">+HLOOKUP($A$1,+[51]İcmal!$B$19:$AG$49,ROW(A14)+1,FALSE)</f>
        <v>0</v>
      </c>
      <c r="AE16" s="15" cm="1">
        <f t="array" ref="AE16">+HLOOKUP($A$1,+[52]İcmal!$B$19:$AG$49,ROW(A14)+1,FALSE)</f>
        <v>0</v>
      </c>
      <c r="AF16" s="50" cm="1">
        <f t="array" ref="AF16">+HLOOKUP($A$1,+[53]İcmal!$B$19:$AG$49,ROW(A14)+1,FALSE)</f>
        <v>0</v>
      </c>
      <c r="AG16" s="15" cm="1">
        <f t="array" ref="AG16">+HLOOKUP($A$1,+[54]İcmal!$B$19:$AG$49,ROW(A14)+1,FALSE)</f>
        <v>0</v>
      </c>
      <c r="AH16" s="15" cm="1">
        <f t="array" ref="AH16">+HLOOKUP($A$1,+[55]İcmal!$B$19:$AG$49,ROW(A14)+1,FALSE)</f>
        <v>0</v>
      </c>
      <c r="AI16" s="15" cm="1">
        <f t="array" ref="AI16">+HLOOKUP($A$1,+[56]İcmal!$B$19:$AG$49,ROW(A14)+1,FALSE)</f>
        <v>0</v>
      </c>
      <c r="AJ16" s="15" cm="1">
        <f t="array" ref="AJ16">+HLOOKUP($A$1,+[57]İcmal!$B$19:$AG$49,ROW(A14)+1,FALSE)</f>
        <v>0</v>
      </c>
      <c r="AK16" s="15" cm="1">
        <f t="array" ref="AK16">+HLOOKUP($A$1,+[58]İcmal!$B$19:$AG$49,ROW(B14)+1,FALSE)</f>
        <v>0</v>
      </c>
      <c r="AL16" s="15"/>
      <c r="AM16" s="15"/>
      <c r="AN16" s="15"/>
      <c r="AO16" s="13"/>
    </row>
    <row r="17" spans="1:41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2871</v>
      </c>
      <c r="I17" s="9">
        <f t="shared" si="2"/>
        <v>9761400</v>
      </c>
      <c r="J17" s="15" cm="1">
        <f t="array" ref="J17">+HLOOKUP($A$1,+[31]İcmal!$B$19:$AG$49,ROW(A15)+1,FALSE)</f>
        <v>990</v>
      </c>
      <c r="K17" s="15" cm="1">
        <f t="array" ref="K17">+HLOOKUP($A$1,+[32]İcmal!$B$19:$AG$49,ROW(B15)+1,FALSE)</f>
        <v>414</v>
      </c>
      <c r="L17" s="15" cm="1">
        <f t="array" ref="L17">+HLOOKUP($A$1,+[33]İcmal!$B$19:$AG$49,ROW(C15)+1,FALSE)</f>
        <v>0</v>
      </c>
      <c r="M17" s="15" cm="1">
        <f t="array" ref="M17">+HLOOKUP($A$1,+[34]İcmal!$B$19:$AG$49,ROW(D15)+1,FALSE)</f>
        <v>0</v>
      </c>
      <c r="N17" s="15" cm="1">
        <f t="array" ref="N17">+HLOOKUP($A$1,+[35]İcmal!$B$19:$AG$49,ROW(A15)+1,FALSE)</f>
        <v>522</v>
      </c>
      <c r="O17" s="15" cm="1">
        <f t="array" ref="O17">+HLOOKUP($A$1,+[36]İcmal!$B$19:$AG$49,ROW(B15)+1,FALSE)</f>
        <v>0</v>
      </c>
      <c r="P17" s="15" cm="1">
        <f t="array" ref="P17">+HLOOKUP($A$1,+[37]İcmal!$B$19:$AG$49,ROW(C15)+1,FALSE)</f>
        <v>0</v>
      </c>
      <c r="Q17" s="15" cm="1">
        <f t="array" ref="Q17">+HLOOKUP($A$1,+[38]İcmal!$B$19:$AG$49,ROW(D15)+1,FALSE)</f>
        <v>0</v>
      </c>
      <c r="R17" s="15" cm="1">
        <f t="array" ref="R17">+HLOOKUP($A$1,+[39]İcmal!$B$19:$AG$49,ROW(A15)+1,FALSE)</f>
        <v>522</v>
      </c>
      <c r="S17" s="15" cm="1">
        <f t="array" ref="S17">+HLOOKUP($A$1,+[40]İcmal!$B$19:$AG$49,ROW(B15)+1,FALSE)</f>
        <v>0</v>
      </c>
      <c r="T17" s="15" cm="1">
        <f t="array" ref="T17">+HLOOKUP($A$1,+[41]İcmal!$B$19:$AG$49,ROW(C15)+1,FALSE)</f>
        <v>0</v>
      </c>
      <c r="U17" s="15" cm="1">
        <f t="array" ref="U17">+HLOOKUP($A$1,+[42]İcmal!$B$19:$AG$49,ROW(D15)+1,FALSE)</f>
        <v>0</v>
      </c>
      <c r="V17" s="15" cm="1">
        <f t="array" ref="V17">+HLOOKUP($A$1,+[43]İcmal!$B$19:$AG$49,ROW(A15)+1,FALSE)</f>
        <v>0</v>
      </c>
      <c r="W17" s="15" cm="1">
        <f t="array" ref="W17">+HLOOKUP($A$1,+[44]İcmal!$B$19:$AG$49,ROW(B15)+1,FALSE)</f>
        <v>423</v>
      </c>
      <c r="X17" s="15" cm="1">
        <f t="array" ref="X17">+HLOOKUP($A$1,+[45]İcmal!$B$19:$AG$49,ROW(C15)+1,FALSE)</f>
        <v>0</v>
      </c>
      <c r="Y17" s="15" cm="1">
        <f t="array" ref="Y17">+HLOOKUP($A$1,+[46]İcmal!$B$19:$AG$49,ROW(D15)+1,FALSE)</f>
        <v>0</v>
      </c>
      <c r="Z17" s="15" cm="1">
        <f t="array" ref="Z17">+HLOOKUP($A$1,+[47]İcmal!$B$19:$AG$49,ROW(A15)+1,FALSE)</f>
        <v>0</v>
      </c>
      <c r="AA17" s="15" cm="1">
        <f t="array" ref="AA17">+HLOOKUP($A$1,+[48]İcmal!$B$19:$AG$49,ROW(B15)+1,FALSE)</f>
        <v>0</v>
      </c>
      <c r="AB17" s="15" cm="1">
        <f t="array" ref="AB17">+HLOOKUP($A$1,+[49]İcmal!$B$19:$AG$49,ROW(A15)+1,FALSE)</f>
        <v>0</v>
      </c>
      <c r="AC17" s="15" cm="1">
        <f t="array" ref="AC17">+HLOOKUP($A$1,+[50]İcmal!$B$19:$AG$49,ROW(A15)+1,FALSE)</f>
        <v>0</v>
      </c>
      <c r="AD17" s="15" cm="1">
        <f t="array" ref="AD17">+HLOOKUP($A$1,+[51]İcmal!$B$19:$AG$49,ROW(A15)+1,FALSE)</f>
        <v>0</v>
      </c>
      <c r="AE17" s="15" cm="1">
        <f t="array" ref="AE17">+HLOOKUP($A$1,+[52]İcmal!$B$19:$AG$49,ROW(A15)+1,FALSE)</f>
        <v>0</v>
      </c>
      <c r="AF17" s="50" cm="1">
        <f t="array" ref="AF17">+HLOOKUP($A$1,+[53]İcmal!$B$19:$AG$49,ROW(A15)+1,FALSE)</f>
        <v>0</v>
      </c>
      <c r="AG17" s="15" cm="1">
        <f t="array" ref="AG17">+HLOOKUP($A$1,+[54]İcmal!$B$19:$AG$49,ROW(A15)+1,FALSE)</f>
        <v>0</v>
      </c>
      <c r="AH17" s="15" cm="1">
        <f t="array" ref="AH17">+HLOOKUP($A$1,+[55]İcmal!$B$19:$AG$49,ROW(A15)+1,FALSE)</f>
        <v>0</v>
      </c>
      <c r="AI17" s="15" cm="1">
        <f t="array" ref="AI17">+HLOOKUP($A$1,+[56]İcmal!$B$19:$AG$49,ROW(A15)+1,FALSE)</f>
        <v>0</v>
      </c>
      <c r="AJ17" s="15" cm="1">
        <f t="array" ref="AJ17">+HLOOKUP($A$1,+[57]İcmal!$B$19:$AG$49,ROW(A15)+1,FALSE)</f>
        <v>0</v>
      </c>
      <c r="AK17" s="15" cm="1">
        <f t="array" ref="AK17">+HLOOKUP($A$1,+[58]İcmal!$B$19:$AG$49,ROW(B15)+1,FALSE)</f>
        <v>0</v>
      </c>
      <c r="AL17" s="15"/>
      <c r="AM17" s="15"/>
      <c r="AN17" s="15"/>
      <c r="AO17" s="13"/>
    </row>
    <row r="18" spans="1:41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+HLOOKUP($A$1,+[31]İcmal!$B$19:$AG$49,ROW(A16)+1,FALSE)</f>
        <v>0</v>
      </c>
      <c r="K18" s="15" cm="1">
        <f t="array" ref="K18">+HLOOKUP($A$1,+[32]İcmal!$B$19:$AG$49,ROW(B16)+1,FALSE)</f>
        <v>0</v>
      </c>
      <c r="L18" s="15" cm="1">
        <f t="array" ref="L18">+HLOOKUP($A$1,+[33]İcmal!$B$19:$AG$49,ROW(C16)+1,FALSE)</f>
        <v>0</v>
      </c>
      <c r="M18" s="15" cm="1">
        <f t="array" ref="M18">+HLOOKUP($A$1,+[34]İcmal!$B$19:$AG$49,ROW(D16)+1,FALSE)</f>
        <v>0</v>
      </c>
      <c r="N18" s="15" cm="1">
        <f t="array" ref="N18">+HLOOKUP($A$1,+[35]İcmal!$B$19:$AG$49,ROW(A16)+1,FALSE)</f>
        <v>0</v>
      </c>
      <c r="O18" s="15" cm="1">
        <f t="array" ref="O18">+HLOOKUP($A$1,+[36]İcmal!$B$19:$AG$49,ROW(B16)+1,FALSE)</f>
        <v>0</v>
      </c>
      <c r="P18" s="15" cm="1">
        <f t="array" ref="P18">+HLOOKUP($A$1,+[37]İcmal!$B$19:$AG$49,ROW(C16)+1,FALSE)</f>
        <v>0</v>
      </c>
      <c r="Q18" s="15" cm="1">
        <f t="array" ref="Q18">+HLOOKUP($A$1,+[38]İcmal!$B$19:$AG$49,ROW(D16)+1,FALSE)</f>
        <v>0</v>
      </c>
      <c r="R18" s="15" cm="1">
        <f t="array" ref="R18">+HLOOKUP($A$1,+[39]İcmal!$B$19:$AG$49,ROW(A16)+1,FALSE)</f>
        <v>0</v>
      </c>
      <c r="S18" s="15" cm="1">
        <f t="array" ref="S18">+HLOOKUP($A$1,+[40]İcmal!$B$19:$AG$49,ROW(B16)+1,FALSE)</f>
        <v>0</v>
      </c>
      <c r="T18" s="15" cm="1">
        <f t="array" ref="T18">+HLOOKUP($A$1,+[41]İcmal!$B$19:$AG$49,ROW(C16)+1,FALSE)</f>
        <v>0</v>
      </c>
      <c r="U18" s="15" cm="1">
        <f t="array" ref="U18">+HLOOKUP($A$1,+[42]İcmal!$B$19:$AG$49,ROW(D16)+1,FALSE)</f>
        <v>0</v>
      </c>
      <c r="V18" s="15" cm="1">
        <f t="array" ref="V18">+HLOOKUP($A$1,+[43]İcmal!$B$19:$AG$49,ROW(A16)+1,FALSE)</f>
        <v>0</v>
      </c>
      <c r="W18" s="15" cm="1">
        <f t="array" ref="W18">+HLOOKUP($A$1,+[44]İcmal!$B$19:$AG$49,ROW(B16)+1,FALSE)</f>
        <v>0</v>
      </c>
      <c r="X18" s="15" cm="1">
        <f t="array" ref="X18">+HLOOKUP($A$1,+[45]İcmal!$B$19:$AG$49,ROW(C16)+1,FALSE)</f>
        <v>0</v>
      </c>
      <c r="Y18" s="15" cm="1">
        <f t="array" ref="Y18">+HLOOKUP($A$1,+[46]İcmal!$B$19:$AG$49,ROW(D16)+1,FALSE)</f>
        <v>0</v>
      </c>
      <c r="Z18" s="15" cm="1">
        <f t="array" ref="Z18">+HLOOKUP($A$1,+[47]İcmal!$B$19:$AG$49,ROW(A16)+1,FALSE)</f>
        <v>0</v>
      </c>
      <c r="AA18" s="15" cm="1">
        <f t="array" ref="AA18">+HLOOKUP($A$1,+[48]İcmal!$B$19:$AG$49,ROW(B16)+1,FALSE)</f>
        <v>0</v>
      </c>
      <c r="AB18" s="15" cm="1">
        <f t="array" ref="AB18">+HLOOKUP($A$1,+[49]İcmal!$B$19:$AG$49,ROW(A16)+1,FALSE)</f>
        <v>0</v>
      </c>
      <c r="AC18" s="15" cm="1">
        <f t="array" ref="AC18">+HLOOKUP($A$1,+[50]İcmal!$B$19:$AG$49,ROW(A16)+1,FALSE)</f>
        <v>0</v>
      </c>
      <c r="AD18" s="15" cm="1">
        <f t="array" ref="AD18">+HLOOKUP($A$1,+[51]İcmal!$B$19:$AG$49,ROW(A16)+1,FALSE)</f>
        <v>0</v>
      </c>
      <c r="AE18" s="15" cm="1">
        <f t="array" ref="AE18">+HLOOKUP($A$1,+[52]İcmal!$B$19:$AG$49,ROW(A16)+1,FALSE)</f>
        <v>0</v>
      </c>
      <c r="AF18" s="50" cm="1">
        <f t="array" ref="AF18">+HLOOKUP($A$1,+[53]İcmal!$B$19:$AG$49,ROW(A16)+1,FALSE)</f>
        <v>0</v>
      </c>
      <c r="AG18" s="15" cm="1">
        <f t="array" ref="AG18">+HLOOKUP($A$1,+[54]İcmal!$B$19:$AG$49,ROW(A16)+1,FALSE)</f>
        <v>0</v>
      </c>
      <c r="AH18" s="15" cm="1">
        <f t="array" ref="AH18">+HLOOKUP($A$1,+[55]İcmal!$B$19:$AG$49,ROW(A16)+1,FALSE)</f>
        <v>0</v>
      </c>
      <c r="AI18" s="15" cm="1">
        <f t="array" ref="AI18">+HLOOKUP($A$1,+[56]İcmal!$B$19:$AG$49,ROW(A16)+1,FALSE)</f>
        <v>0</v>
      </c>
      <c r="AJ18" s="15" cm="1">
        <f t="array" ref="AJ18">+HLOOKUP($A$1,+[57]İcmal!$B$19:$AG$49,ROW(A16)+1,FALSE)</f>
        <v>0</v>
      </c>
      <c r="AK18" s="15" cm="1">
        <f t="array" ref="AK18">+HLOOKUP($A$1,+[58]İcmal!$B$19:$AG$49,ROW(B16)+1,FALSE)</f>
        <v>0</v>
      </c>
      <c r="AL18" s="15"/>
      <c r="AM18" s="15"/>
      <c r="AN18" s="15"/>
      <c r="AO18" s="13"/>
    </row>
    <row r="19" spans="1:41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+HLOOKUP($A$1,+[31]İcmal!$B$19:$AG$49,ROW(A17)+1,FALSE)</f>
        <v>0</v>
      </c>
      <c r="K19" s="15" cm="1">
        <f t="array" ref="K19">+HLOOKUP($A$1,+[32]İcmal!$B$19:$AG$49,ROW(B17)+1,FALSE)</f>
        <v>0</v>
      </c>
      <c r="L19" s="15" cm="1">
        <f t="array" ref="L19">+HLOOKUP($A$1,+[33]İcmal!$B$19:$AG$49,ROW(C17)+1,FALSE)</f>
        <v>0</v>
      </c>
      <c r="M19" s="15" cm="1">
        <f t="array" ref="M19">+HLOOKUP($A$1,+[34]İcmal!$B$19:$AG$49,ROW(D17)+1,FALSE)</f>
        <v>0</v>
      </c>
      <c r="N19" s="15" cm="1">
        <f t="array" ref="N19">+HLOOKUP($A$1,+[35]İcmal!$B$19:$AG$49,ROW(A17)+1,FALSE)</f>
        <v>0</v>
      </c>
      <c r="O19" s="15" cm="1">
        <f t="array" ref="O19">+HLOOKUP($A$1,+[36]İcmal!$B$19:$AG$49,ROW(B17)+1,FALSE)</f>
        <v>0</v>
      </c>
      <c r="P19" s="15" cm="1">
        <f t="array" ref="P19">+HLOOKUP($A$1,+[37]İcmal!$B$19:$AG$49,ROW(C17)+1,FALSE)</f>
        <v>0</v>
      </c>
      <c r="Q19" s="15" cm="1">
        <f t="array" ref="Q19">+HLOOKUP($A$1,+[38]İcmal!$B$19:$AG$49,ROW(D17)+1,FALSE)</f>
        <v>0</v>
      </c>
      <c r="R19" s="15" cm="1">
        <f t="array" ref="R19">+HLOOKUP($A$1,+[39]İcmal!$B$19:$AG$49,ROW(A17)+1,FALSE)</f>
        <v>0</v>
      </c>
      <c r="S19" s="15" cm="1">
        <f t="array" ref="S19">+HLOOKUP($A$1,+[40]İcmal!$B$19:$AG$49,ROW(B17)+1,FALSE)</f>
        <v>0</v>
      </c>
      <c r="T19" s="15" cm="1">
        <f t="array" ref="T19">+HLOOKUP($A$1,+[41]İcmal!$B$19:$AG$49,ROW(C17)+1,FALSE)</f>
        <v>0</v>
      </c>
      <c r="U19" s="15" cm="1">
        <f t="array" ref="U19">+HLOOKUP($A$1,+[42]İcmal!$B$19:$AG$49,ROW(D17)+1,FALSE)</f>
        <v>0</v>
      </c>
      <c r="V19" s="15" cm="1">
        <f t="array" ref="V19">+HLOOKUP($A$1,+[43]İcmal!$B$19:$AG$49,ROW(A17)+1,FALSE)</f>
        <v>0</v>
      </c>
      <c r="W19" s="15" cm="1">
        <f t="array" ref="W19">+HLOOKUP($A$1,+[44]İcmal!$B$19:$AG$49,ROW(B17)+1,FALSE)</f>
        <v>0</v>
      </c>
      <c r="X19" s="15" cm="1">
        <f t="array" ref="X19">+HLOOKUP($A$1,+[45]İcmal!$B$19:$AG$49,ROW(C17)+1,FALSE)</f>
        <v>0</v>
      </c>
      <c r="Y19" s="15" cm="1">
        <f t="array" ref="Y19">+HLOOKUP($A$1,+[46]İcmal!$B$19:$AG$49,ROW(D17)+1,FALSE)</f>
        <v>0</v>
      </c>
      <c r="Z19" s="15" cm="1">
        <f t="array" ref="Z19">+HLOOKUP($A$1,+[47]İcmal!$B$19:$AG$49,ROW(A17)+1,FALSE)</f>
        <v>0</v>
      </c>
      <c r="AA19" s="15" cm="1">
        <f t="array" ref="AA19">+HLOOKUP($A$1,+[48]İcmal!$B$19:$AG$49,ROW(B17)+1,FALSE)</f>
        <v>0</v>
      </c>
      <c r="AB19" s="15" cm="1">
        <f t="array" ref="AB19">+HLOOKUP($A$1,+[49]İcmal!$B$19:$AG$49,ROW(A17)+1,FALSE)</f>
        <v>0</v>
      </c>
      <c r="AC19" s="15" cm="1">
        <f t="array" ref="AC19">+HLOOKUP($A$1,+[50]İcmal!$B$19:$AG$49,ROW(A17)+1,FALSE)</f>
        <v>0</v>
      </c>
      <c r="AD19" s="15" cm="1">
        <f t="array" ref="AD19">+HLOOKUP($A$1,+[51]İcmal!$B$19:$AG$49,ROW(A17)+1,FALSE)</f>
        <v>0</v>
      </c>
      <c r="AE19" s="15" cm="1">
        <f t="array" ref="AE19">+HLOOKUP($A$1,+[52]İcmal!$B$19:$AG$49,ROW(A17)+1,FALSE)</f>
        <v>0</v>
      </c>
      <c r="AF19" s="50" cm="1">
        <f t="array" ref="AF19">+HLOOKUP($A$1,+[53]İcmal!$B$19:$AG$49,ROW(A17)+1,FALSE)</f>
        <v>0</v>
      </c>
      <c r="AG19" s="15" cm="1">
        <f t="array" ref="AG19">+HLOOKUP($A$1,+[54]İcmal!$B$19:$AG$49,ROW(A17)+1,FALSE)</f>
        <v>0</v>
      </c>
      <c r="AH19" s="15" cm="1">
        <f t="array" ref="AH19">+HLOOKUP($A$1,+[55]İcmal!$B$19:$AG$49,ROW(A17)+1,FALSE)</f>
        <v>0</v>
      </c>
      <c r="AI19" s="15" cm="1">
        <f t="array" ref="AI19">+HLOOKUP($A$1,+[56]İcmal!$B$19:$AG$49,ROW(A17)+1,FALSE)</f>
        <v>0</v>
      </c>
      <c r="AJ19" s="15" cm="1">
        <f t="array" ref="AJ19">+HLOOKUP($A$1,+[57]İcmal!$B$19:$AG$49,ROW(A17)+1,FALSE)</f>
        <v>0</v>
      </c>
      <c r="AK19" s="15" cm="1">
        <f t="array" ref="AK19">+HLOOKUP($A$1,+[58]İcmal!$B$19:$AG$49,ROW(B17)+1,FALSE)</f>
        <v>0</v>
      </c>
      <c r="AL19" s="15"/>
      <c r="AM19" s="15"/>
      <c r="AN19" s="15"/>
      <c r="AO19" s="13"/>
    </row>
    <row r="20" spans="1:41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+HLOOKUP($A$1,+[31]İcmal!$B$19:$AG$49,ROW(A18)+1,FALSE)</f>
        <v>0</v>
      </c>
      <c r="K20" s="15" cm="1">
        <f t="array" ref="K20">+HLOOKUP($A$1,+[32]İcmal!$B$19:$AG$49,ROW(B18)+1,FALSE)</f>
        <v>0</v>
      </c>
      <c r="L20" s="15" cm="1">
        <f t="array" ref="L20">+HLOOKUP($A$1,+[33]İcmal!$B$19:$AG$49,ROW(C18)+1,FALSE)</f>
        <v>0</v>
      </c>
      <c r="M20" s="15" cm="1">
        <f t="array" ref="M20">+HLOOKUP($A$1,+[34]İcmal!$B$19:$AG$49,ROW(D18)+1,FALSE)</f>
        <v>0</v>
      </c>
      <c r="N20" s="15" cm="1">
        <f t="array" ref="N20">+HLOOKUP($A$1,+[35]İcmal!$B$19:$AG$49,ROW(A18)+1,FALSE)</f>
        <v>0</v>
      </c>
      <c r="O20" s="15" cm="1">
        <f t="array" ref="O20">+HLOOKUP($A$1,+[36]İcmal!$B$19:$AG$49,ROW(B18)+1,FALSE)</f>
        <v>0</v>
      </c>
      <c r="P20" s="15" cm="1">
        <f t="array" ref="P20">+HLOOKUP($A$1,+[37]İcmal!$B$19:$AG$49,ROW(C18)+1,FALSE)</f>
        <v>0</v>
      </c>
      <c r="Q20" s="15" cm="1">
        <f t="array" ref="Q20">+HLOOKUP($A$1,+[38]İcmal!$B$19:$AG$49,ROW(D18)+1,FALSE)</f>
        <v>0</v>
      </c>
      <c r="R20" s="15" cm="1">
        <f t="array" ref="R20">+HLOOKUP($A$1,+[39]İcmal!$B$19:$AG$49,ROW(A18)+1,FALSE)</f>
        <v>0</v>
      </c>
      <c r="S20" s="15" cm="1">
        <f t="array" ref="S20">+HLOOKUP($A$1,+[40]İcmal!$B$19:$AG$49,ROW(B18)+1,FALSE)</f>
        <v>0</v>
      </c>
      <c r="T20" s="15" cm="1">
        <f t="array" ref="T20">+HLOOKUP($A$1,+[41]İcmal!$B$19:$AG$49,ROW(C18)+1,FALSE)</f>
        <v>0</v>
      </c>
      <c r="U20" s="15" cm="1">
        <f t="array" ref="U20">+HLOOKUP($A$1,+[42]İcmal!$B$19:$AG$49,ROW(D18)+1,FALSE)</f>
        <v>0</v>
      </c>
      <c r="V20" s="15" cm="1">
        <f t="array" ref="V20">+HLOOKUP($A$1,+[43]İcmal!$B$19:$AG$49,ROW(A18)+1,FALSE)</f>
        <v>0</v>
      </c>
      <c r="W20" s="15" cm="1">
        <f t="array" ref="W20">+HLOOKUP($A$1,+[44]İcmal!$B$19:$AG$49,ROW(B18)+1,FALSE)</f>
        <v>0</v>
      </c>
      <c r="X20" s="15" cm="1">
        <f t="array" ref="X20">+HLOOKUP($A$1,+[45]İcmal!$B$19:$AG$49,ROW(C18)+1,FALSE)</f>
        <v>0</v>
      </c>
      <c r="Y20" s="15" cm="1">
        <f t="array" ref="Y20">+HLOOKUP($A$1,+[46]İcmal!$B$19:$AG$49,ROW(D18)+1,FALSE)</f>
        <v>0</v>
      </c>
      <c r="Z20" s="15" cm="1">
        <f t="array" ref="Z20">+HLOOKUP($A$1,+[47]İcmal!$B$19:$AG$49,ROW(A18)+1,FALSE)</f>
        <v>0</v>
      </c>
      <c r="AA20" s="15" cm="1">
        <f t="array" ref="AA20">+HLOOKUP($A$1,+[48]İcmal!$B$19:$AG$49,ROW(B18)+1,FALSE)</f>
        <v>0</v>
      </c>
      <c r="AB20" s="15" cm="1">
        <f t="array" ref="AB20">+HLOOKUP($A$1,+[49]İcmal!$B$19:$AG$49,ROW(A18)+1,FALSE)</f>
        <v>0</v>
      </c>
      <c r="AC20" s="15" cm="1">
        <f t="array" ref="AC20">+HLOOKUP($A$1,+[50]İcmal!$B$19:$AG$49,ROW(A18)+1,FALSE)</f>
        <v>0</v>
      </c>
      <c r="AD20" s="15" cm="1">
        <f t="array" ref="AD20">+HLOOKUP($A$1,+[51]İcmal!$B$19:$AG$49,ROW(A18)+1,FALSE)</f>
        <v>0</v>
      </c>
      <c r="AE20" s="15" cm="1">
        <f t="array" ref="AE20">+HLOOKUP($A$1,+[52]İcmal!$B$19:$AG$49,ROW(A18)+1,FALSE)</f>
        <v>0</v>
      </c>
      <c r="AF20" s="50" cm="1">
        <f t="array" ref="AF20">+HLOOKUP($A$1,+[53]İcmal!$B$19:$AG$49,ROW(A18)+1,FALSE)</f>
        <v>0</v>
      </c>
      <c r="AG20" s="15" cm="1">
        <f t="array" ref="AG20">+HLOOKUP($A$1,+[54]İcmal!$B$19:$AG$49,ROW(A18)+1,FALSE)</f>
        <v>0</v>
      </c>
      <c r="AH20" s="15" cm="1">
        <f t="array" ref="AH20">+HLOOKUP($A$1,+[55]İcmal!$B$19:$AG$49,ROW(A18)+1,FALSE)</f>
        <v>0</v>
      </c>
      <c r="AI20" s="15" cm="1">
        <f t="array" ref="AI20">+HLOOKUP($A$1,+[56]İcmal!$B$19:$AG$49,ROW(A18)+1,FALSE)</f>
        <v>0</v>
      </c>
      <c r="AJ20" s="15" cm="1">
        <f t="array" ref="AJ20">+HLOOKUP($A$1,+[57]İcmal!$B$19:$AG$49,ROW(A18)+1,FALSE)</f>
        <v>0</v>
      </c>
      <c r="AK20" s="15" cm="1">
        <f t="array" ref="AK20">+HLOOKUP($A$1,+[58]İcmal!$B$19:$AG$49,ROW(B18)+1,FALSE)</f>
        <v>0</v>
      </c>
      <c r="AL20" s="15"/>
      <c r="AM20" s="15"/>
      <c r="AN20" s="15"/>
      <c r="AO20" s="13"/>
    </row>
    <row r="21" spans="1:41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+HLOOKUP($A$1,+[31]İcmal!$B$19:$AG$49,ROW(A19)+1,FALSE)</f>
        <v>0</v>
      </c>
      <c r="K21" s="15" cm="1">
        <f t="array" ref="K21">+HLOOKUP($A$1,+[32]İcmal!$B$19:$AG$49,ROW(B19)+1,FALSE)</f>
        <v>0</v>
      </c>
      <c r="L21" s="15" cm="1">
        <f t="array" ref="L21">+HLOOKUP($A$1,+[33]İcmal!$B$19:$AG$49,ROW(C19)+1,FALSE)</f>
        <v>0</v>
      </c>
      <c r="M21" s="15" cm="1">
        <f t="array" ref="M21">+HLOOKUP($A$1,+[34]İcmal!$B$19:$AG$49,ROW(D19)+1,FALSE)</f>
        <v>0</v>
      </c>
      <c r="N21" s="15" cm="1">
        <f t="array" ref="N21">+HLOOKUP($A$1,+[35]İcmal!$B$19:$AG$49,ROW(A19)+1,FALSE)</f>
        <v>0</v>
      </c>
      <c r="O21" s="15" cm="1">
        <f t="array" ref="O21">+HLOOKUP($A$1,+[36]İcmal!$B$19:$AG$49,ROW(B19)+1,FALSE)</f>
        <v>0</v>
      </c>
      <c r="P21" s="15" cm="1">
        <f t="array" ref="P21">+HLOOKUP($A$1,+[37]İcmal!$B$19:$AG$49,ROW(C19)+1,FALSE)</f>
        <v>0</v>
      </c>
      <c r="Q21" s="15" cm="1">
        <f t="array" ref="Q21">+HLOOKUP($A$1,+[38]İcmal!$B$19:$AG$49,ROW(D19)+1,FALSE)</f>
        <v>0</v>
      </c>
      <c r="R21" s="15" cm="1">
        <f t="array" ref="R21">+HLOOKUP($A$1,+[39]İcmal!$B$19:$AG$49,ROW(A19)+1,FALSE)</f>
        <v>0</v>
      </c>
      <c r="S21" s="15" cm="1">
        <f t="array" ref="S21">+HLOOKUP($A$1,+[40]İcmal!$B$19:$AG$49,ROW(B19)+1,FALSE)</f>
        <v>0</v>
      </c>
      <c r="T21" s="15" cm="1">
        <f t="array" ref="T21">+HLOOKUP($A$1,+[41]İcmal!$B$19:$AG$49,ROW(C19)+1,FALSE)</f>
        <v>0</v>
      </c>
      <c r="U21" s="15" cm="1">
        <f t="array" ref="U21">+HLOOKUP($A$1,+[42]İcmal!$B$19:$AG$49,ROW(D19)+1,FALSE)</f>
        <v>0</v>
      </c>
      <c r="V21" s="15" cm="1">
        <f t="array" ref="V21">+HLOOKUP($A$1,+[43]İcmal!$B$19:$AG$49,ROW(A19)+1,FALSE)</f>
        <v>0</v>
      </c>
      <c r="W21" s="15" cm="1">
        <f t="array" ref="W21">+HLOOKUP($A$1,+[44]İcmal!$B$19:$AG$49,ROW(B19)+1,FALSE)</f>
        <v>0</v>
      </c>
      <c r="X21" s="15" cm="1">
        <f t="array" ref="X21">+HLOOKUP($A$1,+[45]İcmal!$B$19:$AG$49,ROW(C19)+1,FALSE)</f>
        <v>0</v>
      </c>
      <c r="Y21" s="15" cm="1">
        <f t="array" ref="Y21">+HLOOKUP($A$1,+[46]İcmal!$B$19:$AG$49,ROW(D19)+1,FALSE)</f>
        <v>0</v>
      </c>
      <c r="Z21" s="15" cm="1">
        <f t="array" ref="Z21">+HLOOKUP($A$1,+[47]İcmal!$B$19:$AG$49,ROW(A19)+1,FALSE)</f>
        <v>0</v>
      </c>
      <c r="AA21" s="15" cm="1">
        <f t="array" ref="AA21">+HLOOKUP($A$1,+[48]İcmal!$B$19:$AG$49,ROW(B19)+1,FALSE)</f>
        <v>0</v>
      </c>
      <c r="AB21" s="15" cm="1">
        <f t="array" ref="AB21">+HLOOKUP($A$1,+[49]İcmal!$B$19:$AG$49,ROW(A19)+1,FALSE)</f>
        <v>0</v>
      </c>
      <c r="AC21" s="15" cm="1">
        <f t="array" ref="AC21">+HLOOKUP($A$1,+[50]İcmal!$B$19:$AG$49,ROW(A19)+1,FALSE)</f>
        <v>0</v>
      </c>
      <c r="AD21" s="15" cm="1">
        <f t="array" ref="AD21">+HLOOKUP($A$1,+[51]İcmal!$B$19:$AG$49,ROW(A19)+1,FALSE)</f>
        <v>0</v>
      </c>
      <c r="AE21" s="15" cm="1">
        <f t="array" ref="AE21">+HLOOKUP($A$1,+[52]İcmal!$B$19:$AG$49,ROW(A19)+1,FALSE)</f>
        <v>0</v>
      </c>
      <c r="AF21" s="50" cm="1">
        <f t="array" ref="AF21">+HLOOKUP($A$1,+[53]İcmal!$B$19:$AG$49,ROW(A19)+1,FALSE)</f>
        <v>0</v>
      </c>
      <c r="AG21" s="15" cm="1">
        <f t="array" ref="AG21">+HLOOKUP($A$1,+[54]İcmal!$B$19:$AG$49,ROW(A19)+1,FALSE)</f>
        <v>0</v>
      </c>
      <c r="AH21" s="15" cm="1">
        <f t="array" ref="AH21">+HLOOKUP($A$1,+[55]İcmal!$B$19:$AG$49,ROW(A19)+1,FALSE)</f>
        <v>0</v>
      </c>
      <c r="AI21" s="15" cm="1">
        <f t="array" ref="AI21">+HLOOKUP($A$1,+[56]İcmal!$B$19:$AG$49,ROW(A19)+1,FALSE)</f>
        <v>0</v>
      </c>
      <c r="AJ21" s="15" cm="1">
        <f t="array" ref="AJ21">+HLOOKUP($A$1,+[57]İcmal!$B$19:$AG$49,ROW(A19)+1,FALSE)</f>
        <v>0</v>
      </c>
      <c r="AK21" s="15" cm="1">
        <f t="array" ref="AK21">+HLOOKUP($A$1,+[58]İcmal!$B$19:$AG$49,ROW(B19)+1,FALSE)</f>
        <v>0</v>
      </c>
      <c r="AL21" s="15"/>
      <c r="AM21" s="15"/>
      <c r="AN21" s="15"/>
      <c r="AO21" s="13"/>
    </row>
    <row r="22" spans="1:41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+HLOOKUP($A$1,+[31]İcmal!$B$19:$AG$49,ROW(A20)+1,FALSE)</f>
        <v>0</v>
      </c>
      <c r="K22" s="15" cm="1">
        <f t="array" ref="K22">+HLOOKUP($A$1,+[32]İcmal!$B$19:$AG$49,ROW(B20)+1,FALSE)</f>
        <v>0</v>
      </c>
      <c r="L22" s="15" cm="1">
        <f t="array" ref="L22">+HLOOKUP($A$1,+[33]İcmal!$B$19:$AG$49,ROW(C20)+1,FALSE)</f>
        <v>0</v>
      </c>
      <c r="M22" s="15" cm="1">
        <f t="array" ref="M22">+HLOOKUP($A$1,+[34]İcmal!$B$19:$AG$49,ROW(D20)+1,FALSE)</f>
        <v>0</v>
      </c>
      <c r="N22" s="15" cm="1">
        <f t="array" ref="N22">+HLOOKUP($A$1,+[35]İcmal!$B$19:$AG$49,ROW(A20)+1,FALSE)</f>
        <v>0</v>
      </c>
      <c r="O22" s="15" cm="1">
        <f t="array" ref="O22">+HLOOKUP($A$1,+[36]İcmal!$B$19:$AG$49,ROW(B20)+1,FALSE)</f>
        <v>0</v>
      </c>
      <c r="P22" s="15" cm="1">
        <f t="array" ref="P22">+HLOOKUP($A$1,+[37]İcmal!$B$19:$AG$49,ROW(C20)+1,FALSE)</f>
        <v>0</v>
      </c>
      <c r="Q22" s="15" cm="1">
        <f t="array" ref="Q22">+HLOOKUP($A$1,+[38]İcmal!$B$19:$AG$49,ROW(D20)+1,FALSE)</f>
        <v>0</v>
      </c>
      <c r="R22" s="15" cm="1">
        <f t="array" ref="R22">+HLOOKUP($A$1,+[39]İcmal!$B$19:$AG$49,ROW(A20)+1,FALSE)</f>
        <v>0</v>
      </c>
      <c r="S22" s="15" cm="1">
        <f t="array" ref="S22">+HLOOKUP($A$1,+[40]İcmal!$B$19:$AG$49,ROW(B20)+1,FALSE)</f>
        <v>0</v>
      </c>
      <c r="T22" s="15" cm="1">
        <f t="array" ref="T22">+HLOOKUP($A$1,+[41]İcmal!$B$19:$AG$49,ROW(C20)+1,FALSE)</f>
        <v>0</v>
      </c>
      <c r="U22" s="15" cm="1">
        <f t="array" ref="U22">+HLOOKUP($A$1,+[42]İcmal!$B$19:$AG$49,ROW(D20)+1,FALSE)</f>
        <v>0</v>
      </c>
      <c r="V22" s="15" cm="1">
        <f t="array" ref="V22">+HLOOKUP($A$1,+[43]İcmal!$B$19:$AG$49,ROW(A20)+1,FALSE)</f>
        <v>0</v>
      </c>
      <c r="W22" s="15" cm="1">
        <f t="array" ref="W22">+HLOOKUP($A$1,+[44]İcmal!$B$19:$AG$49,ROW(B20)+1,FALSE)</f>
        <v>0</v>
      </c>
      <c r="X22" s="15" cm="1">
        <f t="array" ref="X22">+HLOOKUP($A$1,+[45]İcmal!$B$19:$AG$49,ROW(C20)+1,FALSE)</f>
        <v>0</v>
      </c>
      <c r="Y22" s="15" cm="1">
        <f t="array" ref="Y22">+HLOOKUP($A$1,+[46]İcmal!$B$19:$AG$49,ROW(D20)+1,FALSE)</f>
        <v>0</v>
      </c>
      <c r="Z22" s="15" cm="1">
        <f t="array" ref="Z22">+HLOOKUP($A$1,+[47]İcmal!$B$19:$AG$49,ROW(A20)+1,FALSE)</f>
        <v>0</v>
      </c>
      <c r="AA22" s="15" cm="1">
        <f t="array" ref="AA22">+HLOOKUP($A$1,+[48]İcmal!$B$19:$AG$49,ROW(B20)+1,FALSE)</f>
        <v>0</v>
      </c>
      <c r="AB22" s="15" cm="1">
        <f t="array" ref="AB22">+HLOOKUP($A$1,+[49]İcmal!$B$19:$AG$49,ROW(A20)+1,FALSE)</f>
        <v>0</v>
      </c>
      <c r="AC22" s="15" cm="1">
        <f t="array" ref="AC22">+HLOOKUP($A$1,+[50]İcmal!$B$19:$AG$49,ROW(A20)+1,FALSE)</f>
        <v>0</v>
      </c>
      <c r="AD22" s="15" cm="1">
        <f t="array" ref="AD22">+HLOOKUP($A$1,+[51]İcmal!$B$19:$AG$49,ROW(A20)+1,FALSE)</f>
        <v>0</v>
      </c>
      <c r="AE22" s="15" cm="1">
        <f t="array" ref="AE22">+HLOOKUP($A$1,+[52]İcmal!$B$19:$AG$49,ROW(A20)+1,FALSE)</f>
        <v>0</v>
      </c>
      <c r="AF22" s="50" cm="1">
        <f t="array" ref="AF22">+HLOOKUP($A$1,+[53]İcmal!$B$19:$AG$49,ROW(A20)+1,FALSE)</f>
        <v>0</v>
      </c>
      <c r="AG22" s="15" cm="1">
        <f t="array" ref="AG22">+HLOOKUP($A$1,+[54]İcmal!$B$19:$AG$49,ROW(A20)+1,FALSE)</f>
        <v>0</v>
      </c>
      <c r="AH22" s="15" cm="1">
        <f t="array" ref="AH22">+HLOOKUP($A$1,+[55]İcmal!$B$19:$AG$49,ROW(A20)+1,FALSE)</f>
        <v>0</v>
      </c>
      <c r="AI22" s="15" cm="1">
        <f t="array" ref="AI22">+HLOOKUP($A$1,+[56]İcmal!$B$19:$AG$49,ROW(A20)+1,FALSE)</f>
        <v>0</v>
      </c>
      <c r="AJ22" s="15" cm="1">
        <f t="array" ref="AJ22">+HLOOKUP($A$1,+[57]İcmal!$B$19:$AG$49,ROW(A20)+1,FALSE)</f>
        <v>0</v>
      </c>
      <c r="AK22" s="15" cm="1">
        <f t="array" ref="AK22">+HLOOKUP($A$1,+[58]İcmal!$B$19:$AG$49,ROW(B20)+1,FALSE)</f>
        <v>0</v>
      </c>
      <c r="AL22" s="15"/>
      <c r="AM22" s="15"/>
      <c r="AN22" s="15"/>
      <c r="AO22" s="13"/>
    </row>
    <row r="23" spans="1:41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+HLOOKUP($A$1,+[31]İcmal!$B$19:$AG$49,ROW(A21)+1,FALSE)</f>
        <v>0</v>
      </c>
      <c r="K23" s="15" cm="1">
        <f t="array" ref="K23">+HLOOKUP($A$1,+[32]İcmal!$B$19:$AG$49,ROW(B21)+1,FALSE)</f>
        <v>0</v>
      </c>
      <c r="L23" s="15" cm="1">
        <f t="array" ref="L23">+HLOOKUP($A$1,+[33]İcmal!$B$19:$AG$49,ROW(C21)+1,FALSE)</f>
        <v>0</v>
      </c>
      <c r="M23" s="15" cm="1">
        <f t="array" ref="M23">+HLOOKUP($A$1,+[34]İcmal!$B$19:$AG$49,ROW(D21)+1,FALSE)</f>
        <v>0</v>
      </c>
      <c r="N23" s="15" cm="1">
        <f t="array" ref="N23">+HLOOKUP($A$1,+[35]İcmal!$B$19:$AG$49,ROW(A21)+1,FALSE)</f>
        <v>0</v>
      </c>
      <c r="O23" s="15" cm="1">
        <f t="array" ref="O23">+HLOOKUP($A$1,+[36]İcmal!$B$19:$AG$49,ROW(B21)+1,FALSE)</f>
        <v>0</v>
      </c>
      <c r="P23" s="15" cm="1">
        <f t="array" ref="P23">+HLOOKUP($A$1,+[37]İcmal!$B$19:$AG$49,ROW(C21)+1,FALSE)</f>
        <v>0</v>
      </c>
      <c r="Q23" s="15" cm="1">
        <f t="array" ref="Q23">+HLOOKUP($A$1,+[38]İcmal!$B$19:$AG$49,ROW(D21)+1,FALSE)</f>
        <v>0</v>
      </c>
      <c r="R23" s="15" cm="1">
        <f t="array" ref="R23">+HLOOKUP($A$1,+[39]İcmal!$B$19:$AG$49,ROW(A21)+1,FALSE)</f>
        <v>0</v>
      </c>
      <c r="S23" s="15" cm="1">
        <f t="array" ref="S23">+HLOOKUP($A$1,+[40]İcmal!$B$19:$AG$49,ROW(B21)+1,FALSE)</f>
        <v>0</v>
      </c>
      <c r="T23" s="15" cm="1">
        <f t="array" ref="T23">+HLOOKUP($A$1,+[41]İcmal!$B$19:$AG$49,ROW(C21)+1,FALSE)</f>
        <v>0</v>
      </c>
      <c r="U23" s="15" cm="1">
        <f t="array" ref="U23">+HLOOKUP($A$1,+[42]İcmal!$B$19:$AG$49,ROW(D21)+1,FALSE)</f>
        <v>0</v>
      </c>
      <c r="V23" s="15" cm="1">
        <f t="array" ref="V23">+HLOOKUP($A$1,+[43]İcmal!$B$19:$AG$49,ROW(A21)+1,FALSE)</f>
        <v>0</v>
      </c>
      <c r="W23" s="15" cm="1">
        <f t="array" ref="W23">+HLOOKUP($A$1,+[44]İcmal!$B$19:$AG$49,ROW(B21)+1,FALSE)</f>
        <v>0</v>
      </c>
      <c r="X23" s="15" cm="1">
        <f t="array" ref="X23">+HLOOKUP($A$1,+[45]İcmal!$B$19:$AG$49,ROW(C21)+1,FALSE)</f>
        <v>0</v>
      </c>
      <c r="Y23" s="15" cm="1">
        <f t="array" ref="Y23">+HLOOKUP($A$1,+[46]İcmal!$B$19:$AG$49,ROW(D21)+1,FALSE)</f>
        <v>0</v>
      </c>
      <c r="Z23" s="15" cm="1">
        <f t="array" ref="Z23">+HLOOKUP($A$1,+[47]İcmal!$B$19:$AG$49,ROW(A21)+1,FALSE)</f>
        <v>0</v>
      </c>
      <c r="AA23" s="15" cm="1">
        <f t="array" ref="AA23">+HLOOKUP($A$1,+[48]İcmal!$B$19:$AG$49,ROW(B21)+1,FALSE)</f>
        <v>0</v>
      </c>
      <c r="AB23" s="15" cm="1">
        <f t="array" ref="AB23">+HLOOKUP($A$1,+[49]İcmal!$B$19:$AG$49,ROW(A21)+1,FALSE)</f>
        <v>0</v>
      </c>
      <c r="AC23" s="15" cm="1">
        <f t="array" ref="AC23">+HLOOKUP($A$1,+[50]İcmal!$B$19:$AG$49,ROW(A21)+1,FALSE)</f>
        <v>0</v>
      </c>
      <c r="AD23" s="15" cm="1">
        <f t="array" ref="AD23">+HLOOKUP($A$1,+[51]İcmal!$B$19:$AG$49,ROW(A21)+1,FALSE)</f>
        <v>0</v>
      </c>
      <c r="AE23" s="15" cm="1">
        <f t="array" ref="AE23">+HLOOKUP($A$1,+[52]İcmal!$B$19:$AG$49,ROW(A21)+1,FALSE)</f>
        <v>0</v>
      </c>
      <c r="AF23" s="50" cm="1">
        <f t="array" ref="AF23">+HLOOKUP($A$1,+[53]İcmal!$B$19:$AG$49,ROW(A21)+1,FALSE)</f>
        <v>0</v>
      </c>
      <c r="AG23" s="15" cm="1">
        <f t="array" ref="AG23">+HLOOKUP($A$1,+[54]İcmal!$B$19:$AG$49,ROW(A21)+1,FALSE)</f>
        <v>0</v>
      </c>
      <c r="AH23" s="15" cm="1">
        <f t="array" ref="AH23">+HLOOKUP($A$1,+[55]İcmal!$B$19:$AG$49,ROW(A21)+1,FALSE)</f>
        <v>0</v>
      </c>
      <c r="AI23" s="15" cm="1">
        <f t="array" ref="AI23">+HLOOKUP($A$1,+[56]İcmal!$B$19:$AG$49,ROW(A21)+1,FALSE)</f>
        <v>0</v>
      </c>
      <c r="AJ23" s="15" cm="1">
        <f t="array" ref="AJ23">+HLOOKUP($A$1,+[57]İcmal!$B$19:$AG$49,ROW(A21)+1,FALSE)</f>
        <v>0</v>
      </c>
      <c r="AK23" s="15" cm="1">
        <f t="array" ref="AK23">+HLOOKUP($A$1,+[58]İcmal!$B$19:$AG$49,ROW(B21)+1,FALSE)</f>
        <v>0</v>
      </c>
      <c r="AL23" s="15"/>
      <c r="AM23" s="15"/>
      <c r="AN23" s="15"/>
      <c r="AO23" s="13"/>
    </row>
    <row r="24" spans="1:41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+HLOOKUP($A$1,+[31]İcmal!$B$19:$AG$49,ROW(A22)+1,FALSE)</f>
        <v>0</v>
      </c>
      <c r="K24" s="15" cm="1">
        <f t="array" ref="K24">+HLOOKUP($A$1,+[32]İcmal!$B$19:$AG$49,ROW(B22)+1,FALSE)</f>
        <v>0</v>
      </c>
      <c r="L24" s="15" cm="1">
        <f t="array" ref="L24">+HLOOKUP($A$1,+[33]İcmal!$B$19:$AG$49,ROW(C22)+1,FALSE)</f>
        <v>0</v>
      </c>
      <c r="M24" s="15" cm="1">
        <f t="array" ref="M24">+HLOOKUP($A$1,+[34]İcmal!$B$19:$AG$49,ROW(D22)+1,FALSE)</f>
        <v>0</v>
      </c>
      <c r="N24" s="15" cm="1">
        <f t="array" ref="N24">+HLOOKUP($A$1,+[35]İcmal!$B$19:$AG$49,ROW(A22)+1,FALSE)</f>
        <v>0</v>
      </c>
      <c r="O24" s="15" cm="1">
        <f t="array" ref="O24">+HLOOKUP($A$1,+[36]İcmal!$B$19:$AG$49,ROW(B22)+1,FALSE)</f>
        <v>0</v>
      </c>
      <c r="P24" s="15" cm="1">
        <f t="array" ref="P24">+HLOOKUP($A$1,+[37]İcmal!$B$19:$AG$49,ROW(C22)+1,FALSE)</f>
        <v>0</v>
      </c>
      <c r="Q24" s="15" cm="1">
        <f t="array" ref="Q24">+HLOOKUP($A$1,+[38]İcmal!$B$19:$AG$49,ROW(D22)+1,FALSE)</f>
        <v>0</v>
      </c>
      <c r="R24" s="15" cm="1">
        <f t="array" ref="R24">+HLOOKUP($A$1,+[39]İcmal!$B$19:$AG$49,ROW(A22)+1,FALSE)</f>
        <v>0</v>
      </c>
      <c r="S24" s="15" cm="1">
        <f t="array" ref="S24">+HLOOKUP($A$1,+[40]İcmal!$B$19:$AG$49,ROW(B22)+1,FALSE)</f>
        <v>0</v>
      </c>
      <c r="T24" s="15" cm="1">
        <f t="array" ref="T24">+HLOOKUP($A$1,+[41]İcmal!$B$19:$AG$49,ROW(C22)+1,FALSE)</f>
        <v>0</v>
      </c>
      <c r="U24" s="15" cm="1">
        <f t="array" ref="U24">+HLOOKUP($A$1,+[42]İcmal!$B$19:$AG$49,ROW(D22)+1,FALSE)</f>
        <v>0</v>
      </c>
      <c r="V24" s="15" cm="1">
        <f t="array" ref="V24">+HLOOKUP($A$1,+[43]İcmal!$B$19:$AG$49,ROW(A22)+1,FALSE)</f>
        <v>0</v>
      </c>
      <c r="W24" s="15" cm="1">
        <f t="array" ref="W24">+HLOOKUP($A$1,+[44]İcmal!$B$19:$AG$49,ROW(B22)+1,FALSE)</f>
        <v>0</v>
      </c>
      <c r="X24" s="15" cm="1">
        <f t="array" ref="X24">+HLOOKUP($A$1,+[45]İcmal!$B$19:$AG$49,ROW(C22)+1,FALSE)</f>
        <v>0</v>
      </c>
      <c r="Y24" s="15" cm="1">
        <f t="array" ref="Y24">+HLOOKUP($A$1,+[46]İcmal!$B$19:$AG$49,ROW(D22)+1,FALSE)</f>
        <v>0</v>
      </c>
      <c r="Z24" s="15" cm="1">
        <f t="array" ref="Z24">+HLOOKUP($A$1,+[47]İcmal!$B$19:$AG$49,ROW(A22)+1,FALSE)</f>
        <v>0</v>
      </c>
      <c r="AA24" s="15" cm="1">
        <f t="array" ref="AA24">+HLOOKUP($A$1,+[48]İcmal!$B$19:$AG$49,ROW(B22)+1,FALSE)</f>
        <v>0</v>
      </c>
      <c r="AB24" s="15" cm="1">
        <f t="array" ref="AB24">+HLOOKUP($A$1,+[49]İcmal!$B$19:$AG$49,ROW(A22)+1,FALSE)</f>
        <v>0</v>
      </c>
      <c r="AC24" s="15" cm="1">
        <f t="array" ref="AC24">+HLOOKUP($A$1,+[50]İcmal!$B$19:$AG$49,ROW(A22)+1,FALSE)</f>
        <v>0</v>
      </c>
      <c r="AD24" s="15" cm="1">
        <f t="array" ref="AD24">+HLOOKUP($A$1,+[51]İcmal!$B$19:$AG$49,ROW(A22)+1,FALSE)</f>
        <v>0</v>
      </c>
      <c r="AE24" s="15" cm="1">
        <f t="array" ref="AE24">+HLOOKUP($A$1,+[52]İcmal!$B$19:$AG$49,ROW(A22)+1,FALSE)</f>
        <v>0</v>
      </c>
      <c r="AF24" s="50" cm="1">
        <f t="array" ref="AF24">+HLOOKUP($A$1,+[53]İcmal!$B$19:$AG$49,ROW(A22)+1,FALSE)</f>
        <v>0</v>
      </c>
      <c r="AG24" s="15" cm="1">
        <f t="array" ref="AG24">+HLOOKUP($A$1,+[54]İcmal!$B$19:$AG$49,ROW(A22)+1,FALSE)</f>
        <v>0</v>
      </c>
      <c r="AH24" s="15" cm="1">
        <f t="array" ref="AH24">+HLOOKUP($A$1,+[55]İcmal!$B$19:$AG$49,ROW(A22)+1,FALSE)</f>
        <v>0</v>
      </c>
      <c r="AI24" s="15" cm="1">
        <f t="array" ref="AI24">+HLOOKUP($A$1,+[56]İcmal!$B$19:$AG$49,ROW(A22)+1,FALSE)</f>
        <v>0</v>
      </c>
      <c r="AJ24" s="15" cm="1">
        <f t="array" ref="AJ24">+HLOOKUP($A$1,+[57]İcmal!$B$19:$AG$49,ROW(A22)+1,FALSE)</f>
        <v>0</v>
      </c>
      <c r="AK24" s="15" cm="1">
        <f t="array" ref="AK24">+HLOOKUP($A$1,+[58]İcmal!$B$19:$AG$49,ROW(B22)+1,FALSE)</f>
        <v>0</v>
      </c>
      <c r="AL24" s="15"/>
      <c r="AM24" s="15"/>
      <c r="AN24" s="15"/>
      <c r="AO24" s="13"/>
    </row>
    <row r="25" spans="1:41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+HLOOKUP($A$1,+[31]İcmal!$B$19:$AG$49,ROW(A23)+1,FALSE)</f>
        <v>0</v>
      </c>
      <c r="K25" s="15" cm="1">
        <f t="array" ref="K25">+HLOOKUP($A$1,+[32]İcmal!$B$19:$AG$49,ROW(B23)+1,FALSE)</f>
        <v>0</v>
      </c>
      <c r="L25" s="15" cm="1">
        <f t="array" ref="L25">+HLOOKUP($A$1,+[33]İcmal!$B$19:$AG$49,ROW(C23)+1,FALSE)</f>
        <v>0</v>
      </c>
      <c r="M25" s="15" cm="1">
        <f t="array" ref="M25">+HLOOKUP($A$1,+[34]İcmal!$B$19:$AG$49,ROW(D23)+1,FALSE)</f>
        <v>0</v>
      </c>
      <c r="N25" s="15" cm="1">
        <f t="array" ref="N25">+HLOOKUP($A$1,+[35]İcmal!$B$19:$AG$49,ROW(A23)+1,FALSE)</f>
        <v>0</v>
      </c>
      <c r="O25" s="15" cm="1">
        <f t="array" ref="O25">+HLOOKUP($A$1,+[36]İcmal!$B$19:$AG$49,ROW(B23)+1,FALSE)</f>
        <v>0</v>
      </c>
      <c r="P25" s="15" cm="1">
        <f t="array" ref="P25">+HLOOKUP($A$1,+[37]İcmal!$B$19:$AG$49,ROW(C23)+1,FALSE)</f>
        <v>0</v>
      </c>
      <c r="Q25" s="15" cm="1">
        <f t="array" ref="Q25">+HLOOKUP($A$1,+[38]İcmal!$B$19:$AG$49,ROW(D23)+1,FALSE)</f>
        <v>0</v>
      </c>
      <c r="R25" s="15" cm="1">
        <f t="array" ref="R25">+HLOOKUP($A$1,+[39]İcmal!$B$19:$AG$49,ROW(A23)+1,FALSE)</f>
        <v>0</v>
      </c>
      <c r="S25" s="15" cm="1">
        <f t="array" ref="S25">+HLOOKUP($A$1,+[40]İcmal!$B$19:$AG$49,ROW(B23)+1,FALSE)</f>
        <v>0</v>
      </c>
      <c r="T25" s="15" cm="1">
        <f t="array" ref="T25">+HLOOKUP($A$1,+[41]İcmal!$B$19:$AG$49,ROW(C23)+1,FALSE)</f>
        <v>0</v>
      </c>
      <c r="U25" s="15" cm="1">
        <f t="array" ref="U25">+HLOOKUP($A$1,+[42]İcmal!$B$19:$AG$49,ROW(D23)+1,FALSE)</f>
        <v>0</v>
      </c>
      <c r="V25" s="15" cm="1">
        <f t="array" ref="V25">+HLOOKUP($A$1,+[43]İcmal!$B$19:$AG$49,ROW(A23)+1,FALSE)</f>
        <v>0</v>
      </c>
      <c r="W25" s="15" cm="1">
        <f t="array" ref="W25">+HLOOKUP($A$1,+[44]İcmal!$B$19:$AG$49,ROW(B23)+1,FALSE)</f>
        <v>0</v>
      </c>
      <c r="X25" s="15" cm="1">
        <f t="array" ref="X25">+HLOOKUP($A$1,+[45]İcmal!$B$19:$AG$49,ROW(C23)+1,FALSE)</f>
        <v>0</v>
      </c>
      <c r="Y25" s="15" cm="1">
        <f t="array" ref="Y25">+HLOOKUP($A$1,+[46]İcmal!$B$19:$AG$49,ROW(D23)+1,FALSE)</f>
        <v>0</v>
      </c>
      <c r="Z25" s="15" cm="1">
        <f t="array" ref="Z25">+HLOOKUP($A$1,+[47]İcmal!$B$19:$AG$49,ROW(A23)+1,FALSE)</f>
        <v>0</v>
      </c>
      <c r="AA25" s="15" cm="1">
        <f t="array" ref="AA25">+HLOOKUP($A$1,+[48]İcmal!$B$19:$AG$49,ROW(B23)+1,FALSE)</f>
        <v>0</v>
      </c>
      <c r="AB25" s="15" cm="1">
        <f t="array" ref="AB25">+HLOOKUP($A$1,+[49]İcmal!$B$19:$AG$49,ROW(A23)+1,FALSE)</f>
        <v>0</v>
      </c>
      <c r="AC25" s="15" cm="1">
        <f t="array" ref="AC25">+HLOOKUP($A$1,+[50]İcmal!$B$19:$AG$49,ROW(A23)+1,FALSE)</f>
        <v>0</v>
      </c>
      <c r="AD25" s="15" cm="1">
        <f t="array" ref="AD25">+HLOOKUP($A$1,+[51]İcmal!$B$19:$AG$49,ROW(A23)+1,FALSE)</f>
        <v>0</v>
      </c>
      <c r="AE25" s="15" cm="1">
        <f t="array" ref="AE25">+HLOOKUP($A$1,+[52]İcmal!$B$19:$AG$49,ROW(A23)+1,FALSE)</f>
        <v>0</v>
      </c>
      <c r="AF25" s="50" cm="1">
        <f t="array" ref="AF25">+HLOOKUP($A$1,+[53]İcmal!$B$19:$AG$49,ROW(A23)+1,FALSE)</f>
        <v>0</v>
      </c>
      <c r="AG25" s="15" cm="1">
        <f t="array" ref="AG25">+HLOOKUP($A$1,+[54]İcmal!$B$19:$AG$49,ROW(A23)+1,FALSE)</f>
        <v>0</v>
      </c>
      <c r="AH25" s="15" cm="1">
        <f t="array" ref="AH25">+HLOOKUP($A$1,+[55]İcmal!$B$19:$AG$49,ROW(A23)+1,FALSE)</f>
        <v>0</v>
      </c>
      <c r="AI25" s="15" cm="1">
        <f t="array" ref="AI25">+HLOOKUP($A$1,+[56]İcmal!$B$19:$AG$49,ROW(A23)+1,FALSE)</f>
        <v>0</v>
      </c>
      <c r="AJ25" s="15" cm="1">
        <f t="array" ref="AJ25">+HLOOKUP($A$1,+[57]İcmal!$B$19:$AG$49,ROW(A23)+1,FALSE)</f>
        <v>0</v>
      </c>
      <c r="AK25" s="15" cm="1">
        <f t="array" ref="AK25">+HLOOKUP($A$1,+[58]İcmal!$B$19:$AG$49,ROW(B23)+1,FALSE)</f>
        <v>0</v>
      </c>
      <c r="AL25" s="15"/>
      <c r="AM25" s="15"/>
      <c r="AN25" s="15"/>
      <c r="AO25" s="13"/>
    </row>
    <row r="26" spans="1:41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+HLOOKUP($A$1,+[31]İcmal!$B$19:$AG$49,ROW(A24)+1,FALSE)</f>
        <v>0</v>
      </c>
      <c r="K26" s="15" cm="1">
        <f t="array" ref="K26">+HLOOKUP($A$1,+[32]İcmal!$B$19:$AG$49,ROW(B24)+1,FALSE)</f>
        <v>0</v>
      </c>
      <c r="L26" s="15" cm="1">
        <f t="array" ref="L26">+HLOOKUP($A$1,+[33]İcmal!$B$19:$AG$49,ROW(C24)+1,FALSE)</f>
        <v>0</v>
      </c>
      <c r="M26" s="15" cm="1">
        <f t="array" ref="M26">+HLOOKUP($A$1,+[34]İcmal!$B$19:$AG$49,ROW(D24)+1,FALSE)</f>
        <v>0</v>
      </c>
      <c r="N26" s="15" cm="1">
        <f t="array" ref="N26">+HLOOKUP($A$1,+[35]İcmal!$B$19:$AG$49,ROW(A24)+1,FALSE)</f>
        <v>0</v>
      </c>
      <c r="O26" s="15" cm="1">
        <f t="array" ref="O26">+HLOOKUP($A$1,+[36]İcmal!$B$19:$AG$49,ROW(B24)+1,FALSE)</f>
        <v>0</v>
      </c>
      <c r="P26" s="15" cm="1">
        <f t="array" ref="P26">+HLOOKUP($A$1,+[37]İcmal!$B$19:$AG$49,ROW(C24)+1,FALSE)</f>
        <v>0</v>
      </c>
      <c r="Q26" s="15" cm="1">
        <f t="array" ref="Q26">+HLOOKUP($A$1,+[38]İcmal!$B$19:$AG$49,ROW(D24)+1,FALSE)</f>
        <v>0</v>
      </c>
      <c r="R26" s="15" cm="1">
        <f t="array" ref="R26">+HLOOKUP($A$1,+[39]İcmal!$B$19:$AG$49,ROW(A24)+1,FALSE)</f>
        <v>0</v>
      </c>
      <c r="S26" s="15" cm="1">
        <f t="array" ref="S26">+HLOOKUP($A$1,+[40]İcmal!$B$19:$AG$49,ROW(B24)+1,FALSE)</f>
        <v>0</v>
      </c>
      <c r="T26" s="15" cm="1">
        <f t="array" ref="T26">+HLOOKUP($A$1,+[41]İcmal!$B$19:$AG$49,ROW(C24)+1,FALSE)</f>
        <v>0</v>
      </c>
      <c r="U26" s="15" cm="1">
        <f t="array" ref="U26">+HLOOKUP($A$1,+[42]İcmal!$B$19:$AG$49,ROW(D24)+1,FALSE)</f>
        <v>0</v>
      </c>
      <c r="V26" s="15" cm="1">
        <f t="array" ref="V26">+HLOOKUP($A$1,+[43]İcmal!$B$19:$AG$49,ROW(A24)+1,FALSE)</f>
        <v>0</v>
      </c>
      <c r="W26" s="15" cm="1">
        <f t="array" ref="W26">+HLOOKUP($A$1,+[44]İcmal!$B$19:$AG$49,ROW(B24)+1,FALSE)</f>
        <v>0</v>
      </c>
      <c r="X26" s="15" cm="1">
        <f t="array" ref="X26">+HLOOKUP($A$1,+[45]İcmal!$B$19:$AG$49,ROW(C24)+1,FALSE)</f>
        <v>0</v>
      </c>
      <c r="Y26" s="15" cm="1">
        <f t="array" ref="Y26">+HLOOKUP($A$1,+[46]İcmal!$B$19:$AG$49,ROW(D24)+1,FALSE)</f>
        <v>0</v>
      </c>
      <c r="Z26" s="15" cm="1">
        <f t="array" ref="Z26">+HLOOKUP($A$1,+[47]İcmal!$B$19:$AG$49,ROW(A24)+1,FALSE)</f>
        <v>0</v>
      </c>
      <c r="AA26" s="15" cm="1">
        <f t="array" ref="AA26">+HLOOKUP($A$1,+[48]İcmal!$B$19:$AG$49,ROW(B24)+1,FALSE)</f>
        <v>0</v>
      </c>
      <c r="AB26" s="15" cm="1">
        <f t="array" ref="AB26">+HLOOKUP($A$1,+[49]İcmal!$B$19:$AG$49,ROW(A24)+1,FALSE)</f>
        <v>0</v>
      </c>
      <c r="AC26" s="15" cm="1">
        <f t="array" ref="AC26">+HLOOKUP($A$1,+[50]İcmal!$B$19:$AG$49,ROW(A24)+1,FALSE)</f>
        <v>0</v>
      </c>
      <c r="AD26" s="15" cm="1">
        <f t="array" ref="AD26">+HLOOKUP($A$1,+[51]İcmal!$B$19:$AG$49,ROW(A24)+1,FALSE)</f>
        <v>0</v>
      </c>
      <c r="AE26" s="15" cm="1">
        <f t="array" ref="AE26">+HLOOKUP($A$1,+[52]İcmal!$B$19:$AG$49,ROW(A24)+1,FALSE)</f>
        <v>0</v>
      </c>
      <c r="AF26" s="50" cm="1">
        <f t="array" ref="AF26">+HLOOKUP($A$1,+[53]İcmal!$B$19:$AG$49,ROW(A24)+1,FALSE)</f>
        <v>0</v>
      </c>
      <c r="AG26" s="15" cm="1">
        <f t="array" ref="AG26">+HLOOKUP($A$1,+[54]İcmal!$B$19:$AG$49,ROW(A24)+1,FALSE)</f>
        <v>0</v>
      </c>
      <c r="AH26" s="15" cm="1">
        <f t="array" ref="AH26">+HLOOKUP($A$1,+[55]İcmal!$B$19:$AG$49,ROW(A24)+1,FALSE)</f>
        <v>0</v>
      </c>
      <c r="AI26" s="15" cm="1">
        <f t="array" ref="AI26">+HLOOKUP($A$1,+[56]İcmal!$B$19:$AG$49,ROW(A24)+1,FALSE)</f>
        <v>0</v>
      </c>
      <c r="AJ26" s="15" cm="1">
        <f t="array" ref="AJ26">+HLOOKUP($A$1,+[57]İcmal!$B$19:$AG$49,ROW(A24)+1,FALSE)</f>
        <v>0</v>
      </c>
      <c r="AK26" s="15" cm="1">
        <f t="array" ref="AK26">+HLOOKUP($A$1,+[58]İcmal!$B$19:$AG$49,ROW(B24)+1,FALSE)</f>
        <v>0</v>
      </c>
      <c r="AL26" s="15"/>
      <c r="AM26" s="15"/>
      <c r="AN26" s="15"/>
      <c r="AO26" s="13"/>
    </row>
    <row r="27" spans="1:41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+HLOOKUP($A$1,+[31]İcmal!$B$19:$AG$49,ROW(A25)+1,FALSE)</f>
        <v>0</v>
      </c>
      <c r="K27" s="15" cm="1">
        <f t="array" ref="K27">+HLOOKUP($A$1,+[32]İcmal!$B$19:$AG$49,ROW(B25)+1,FALSE)</f>
        <v>0</v>
      </c>
      <c r="L27" s="15" cm="1">
        <f t="array" ref="L27">+HLOOKUP($A$1,+[33]İcmal!$B$19:$AG$49,ROW(C25)+1,FALSE)</f>
        <v>0</v>
      </c>
      <c r="M27" s="15" cm="1">
        <f t="array" ref="M27">+HLOOKUP($A$1,+[34]İcmal!$B$19:$AG$49,ROW(D25)+1,FALSE)</f>
        <v>0</v>
      </c>
      <c r="N27" s="15" cm="1">
        <f t="array" ref="N27">+HLOOKUP($A$1,+[35]İcmal!$B$19:$AG$49,ROW(A25)+1,FALSE)</f>
        <v>0</v>
      </c>
      <c r="O27" s="15" cm="1">
        <f t="array" ref="O27">+HLOOKUP($A$1,+[36]İcmal!$B$19:$AG$49,ROW(B25)+1,FALSE)</f>
        <v>0</v>
      </c>
      <c r="P27" s="15" cm="1">
        <f t="array" ref="P27">+HLOOKUP($A$1,+[37]İcmal!$B$19:$AG$49,ROW(C25)+1,FALSE)</f>
        <v>0</v>
      </c>
      <c r="Q27" s="15" cm="1">
        <f t="array" ref="Q27">+HLOOKUP($A$1,+[38]İcmal!$B$19:$AG$49,ROW(D25)+1,FALSE)</f>
        <v>0</v>
      </c>
      <c r="R27" s="15" cm="1">
        <f t="array" ref="R27">+HLOOKUP($A$1,+[39]İcmal!$B$19:$AG$49,ROW(A25)+1,FALSE)</f>
        <v>0</v>
      </c>
      <c r="S27" s="15" cm="1">
        <f t="array" ref="S27">+HLOOKUP($A$1,+[40]İcmal!$B$19:$AG$49,ROW(B25)+1,FALSE)</f>
        <v>0</v>
      </c>
      <c r="T27" s="15" cm="1">
        <f t="array" ref="T27">+HLOOKUP($A$1,+[41]İcmal!$B$19:$AG$49,ROW(C25)+1,FALSE)</f>
        <v>0</v>
      </c>
      <c r="U27" s="15" cm="1">
        <f t="array" ref="U27">+HLOOKUP($A$1,+[42]İcmal!$B$19:$AG$49,ROW(D25)+1,FALSE)</f>
        <v>0</v>
      </c>
      <c r="V27" s="15" cm="1">
        <f t="array" ref="V27">+HLOOKUP($A$1,+[43]İcmal!$B$19:$AG$49,ROW(A25)+1,FALSE)</f>
        <v>0</v>
      </c>
      <c r="W27" s="15" cm="1">
        <f t="array" ref="W27">+HLOOKUP($A$1,+[44]İcmal!$B$19:$AG$49,ROW(B25)+1,FALSE)</f>
        <v>0</v>
      </c>
      <c r="X27" s="15" cm="1">
        <f t="array" ref="X27">+HLOOKUP($A$1,+[45]İcmal!$B$19:$AG$49,ROW(C25)+1,FALSE)</f>
        <v>0</v>
      </c>
      <c r="Y27" s="15" cm="1">
        <f t="array" ref="Y27">+HLOOKUP($A$1,+[46]İcmal!$B$19:$AG$49,ROW(D25)+1,FALSE)</f>
        <v>0</v>
      </c>
      <c r="Z27" s="15" cm="1">
        <f t="array" ref="Z27">+HLOOKUP($A$1,+[47]İcmal!$B$19:$AG$49,ROW(A25)+1,FALSE)</f>
        <v>0</v>
      </c>
      <c r="AA27" s="15" cm="1">
        <f t="array" ref="AA27">+HLOOKUP($A$1,+[48]İcmal!$B$19:$AG$49,ROW(B25)+1,FALSE)</f>
        <v>0</v>
      </c>
      <c r="AB27" s="15" cm="1">
        <f t="array" ref="AB27">+HLOOKUP($A$1,+[49]İcmal!$B$19:$AG$49,ROW(A25)+1,FALSE)</f>
        <v>0</v>
      </c>
      <c r="AC27" s="15" cm="1">
        <f t="array" ref="AC27">+HLOOKUP($A$1,+[50]İcmal!$B$19:$AG$49,ROW(A25)+1,FALSE)</f>
        <v>0</v>
      </c>
      <c r="AD27" s="15" cm="1">
        <f t="array" ref="AD27">+HLOOKUP($A$1,+[51]İcmal!$B$19:$AG$49,ROW(A25)+1,FALSE)</f>
        <v>0</v>
      </c>
      <c r="AE27" s="15" cm="1">
        <f t="array" ref="AE27">+HLOOKUP($A$1,+[52]İcmal!$B$19:$AG$49,ROW(A25)+1,FALSE)</f>
        <v>0</v>
      </c>
      <c r="AF27" s="50" cm="1">
        <f t="array" ref="AF27">+HLOOKUP($A$1,+[53]İcmal!$B$19:$AG$49,ROW(A25)+1,FALSE)</f>
        <v>0</v>
      </c>
      <c r="AG27" s="15" cm="1">
        <f t="array" ref="AG27">+HLOOKUP($A$1,+[54]İcmal!$B$19:$AG$49,ROW(A25)+1,FALSE)</f>
        <v>0</v>
      </c>
      <c r="AH27" s="15" cm="1">
        <f t="array" ref="AH27">+HLOOKUP($A$1,+[55]İcmal!$B$19:$AG$49,ROW(A25)+1,FALSE)</f>
        <v>0</v>
      </c>
      <c r="AI27" s="15" cm="1">
        <f t="array" ref="AI27">+HLOOKUP($A$1,+[56]İcmal!$B$19:$AG$49,ROW(A25)+1,FALSE)</f>
        <v>0</v>
      </c>
      <c r="AJ27" s="15" cm="1">
        <f t="array" ref="AJ27">+HLOOKUP($A$1,+[57]İcmal!$B$19:$AG$49,ROW(A25)+1,FALSE)</f>
        <v>0</v>
      </c>
      <c r="AK27" s="15" cm="1">
        <f t="array" ref="AK27">+HLOOKUP($A$1,+[58]İcmal!$B$19:$AG$49,ROW(B25)+1,FALSE)</f>
        <v>0</v>
      </c>
      <c r="AL27" s="15"/>
      <c r="AM27" s="15"/>
      <c r="AN27" s="15"/>
      <c r="AO27" s="13"/>
    </row>
    <row r="28" spans="1:41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1.9370000000000001</v>
      </c>
      <c r="I28" s="9">
        <f t="shared" si="2"/>
        <v>89586.25</v>
      </c>
      <c r="J28" s="15" cm="1">
        <f t="array" ref="J28">+HLOOKUP($A$1,+[31]İcmal!$B$19:$AG$49,ROW(A26)+1,FALSE)</f>
        <v>0.63100000000000001</v>
      </c>
      <c r="K28" s="15" cm="1">
        <f t="array" ref="K28">+HLOOKUP($A$1,+[32]İcmal!$B$19:$AG$49,ROW(B26)+1,FALSE)</f>
        <v>0</v>
      </c>
      <c r="L28" s="15" cm="1">
        <f t="array" ref="L28">+HLOOKUP($A$1,+[33]İcmal!$B$19:$AG$49,ROW(C26)+1,FALSE)</f>
        <v>0</v>
      </c>
      <c r="M28" s="15" cm="1">
        <f t="array" ref="M28">+HLOOKUP($A$1,+[34]İcmal!$B$19:$AG$49,ROW(D26)+1,FALSE)</f>
        <v>0</v>
      </c>
      <c r="N28" s="15" cm="1">
        <f t="array" ref="N28">+HLOOKUP($A$1,+[35]İcmal!$B$19:$AG$49,ROW(A26)+1,FALSE)</f>
        <v>0.54200000000000004</v>
      </c>
      <c r="O28" s="15" cm="1">
        <f t="array" ref="O28">+HLOOKUP($A$1,+[36]İcmal!$B$19:$AG$49,ROW(B26)+1,FALSE)</f>
        <v>0</v>
      </c>
      <c r="P28" s="15" cm="1">
        <f t="array" ref="P28">+HLOOKUP($A$1,+[37]İcmal!$B$19:$AG$49,ROW(C26)+1,FALSE)</f>
        <v>0</v>
      </c>
      <c r="Q28" s="15" cm="1">
        <f t="array" ref="Q28">+HLOOKUP($A$1,+[38]İcmal!$B$19:$AG$49,ROW(D26)+1,FALSE)</f>
        <v>0</v>
      </c>
      <c r="R28" s="15" cm="1">
        <f t="array" ref="R28">+HLOOKUP($A$1,+[39]İcmal!$B$19:$AG$49,ROW(A26)+1,FALSE)</f>
        <v>0.54200000000000004</v>
      </c>
      <c r="S28" s="15" cm="1">
        <f t="array" ref="S28">+HLOOKUP($A$1,+[40]İcmal!$B$19:$AG$49,ROW(B26)+1,FALSE)</f>
        <v>0</v>
      </c>
      <c r="T28" s="15" cm="1">
        <f t="array" ref="T28">+HLOOKUP($A$1,+[41]İcmal!$B$19:$AG$49,ROW(C26)+1,FALSE)</f>
        <v>0</v>
      </c>
      <c r="U28" s="15" cm="1">
        <f t="array" ref="U28">+HLOOKUP($A$1,+[42]İcmal!$B$19:$AG$49,ROW(D26)+1,FALSE)</f>
        <v>0</v>
      </c>
      <c r="V28" s="15" cm="1">
        <f t="array" ref="V28">+HLOOKUP($A$1,+[43]İcmal!$B$19:$AG$49,ROW(A26)+1,FALSE)</f>
        <v>0</v>
      </c>
      <c r="W28" s="15" cm="1">
        <f t="array" ref="W28">+HLOOKUP($A$1,+[44]İcmal!$B$19:$AG$49,ROW(B26)+1,FALSE)</f>
        <v>0.222</v>
      </c>
      <c r="X28" s="15" cm="1">
        <f t="array" ref="X28">+HLOOKUP($A$1,+[45]İcmal!$B$19:$AG$49,ROW(C26)+1,FALSE)</f>
        <v>0</v>
      </c>
      <c r="Y28" s="15" cm="1">
        <f t="array" ref="Y28">+HLOOKUP($A$1,+[46]İcmal!$B$19:$AG$49,ROW(D26)+1,FALSE)</f>
        <v>0</v>
      </c>
      <c r="Z28" s="15" cm="1">
        <f t="array" ref="Z28">+HLOOKUP($A$1,+[47]İcmal!$B$19:$AG$49,ROW(A26)+1,FALSE)</f>
        <v>0</v>
      </c>
      <c r="AA28" s="15" cm="1">
        <f t="array" ref="AA28">+HLOOKUP($A$1,+[48]İcmal!$B$19:$AG$49,ROW(B26)+1,FALSE)</f>
        <v>0</v>
      </c>
      <c r="AB28" s="15" cm="1">
        <f t="array" ref="AB28">+HLOOKUP($A$1,+[49]İcmal!$B$19:$AG$49,ROW(A26)+1,FALSE)</f>
        <v>0</v>
      </c>
      <c r="AC28" s="15" cm="1">
        <f t="array" ref="AC28">+HLOOKUP($A$1,+[50]İcmal!$B$19:$AG$49,ROW(A26)+1,FALSE)</f>
        <v>0</v>
      </c>
      <c r="AD28" s="15" cm="1">
        <f t="array" ref="AD28">+HLOOKUP($A$1,+[51]İcmal!$B$19:$AG$49,ROW(A26)+1,FALSE)</f>
        <v>0</v>
      </c>
      <c r="AE28" s="15" cm="1">
        <f t="array" ref="AE28">+HLOOKUP($A$1,+[52]İcmal!$B$19:$AG$49,ROW(A26)+1,FALSE)</f>
        <v>0</v>
      </c>
      <c r="AF28" s="50" cm="1">
        <f t="array" ref="AF28">+HLOOKUP($A$1,+[53]İcmal!$B$19:$AG$49,ROW(A26)+1,FALSE)</f>
        <v>0</v>
      </c>
      <c r="AG28" s="15" cm="1">
        <f t="array" ref="AG28">+HLOOKUP($A$1,+[54]İcmal!$B$19:$AG$49,ROW(A26)+1,FALSE)</f>
        <v>0</v>
      </c>
      <c r="AH28" s="15" cm="1">
        <f t="array" ref="AH28">+HLOOKUP($A$1,+[55]İcmal!$B$19:$AG$49,ROW(A26)+1,FALSE)</f>
        <v>0</v>
      </c>
      <c r="AI28" s="15" cm="1">
        <f t="array" ref="AI28">+HLOOKUP($A$1,+[56]İcmal!$B$19:$AG$49,ROW(A26)+1,FALSE)</f>
        <v>0</v>
      </c>
      <c r="AJ28" s="15" cm="1">
        <f t="array" ref="AJ28">+HLOOKUP($A$1,+[57]İcmal!$B$19:$AG$49,ROW(A26)+1,FALSE)</f>
        <v>0</v>
      </c>
      <c r="AK28" s="15" cm="1">
        <f t="array" ref="AK28">+HLOOKUP($A$1,+[58]İcmal!$B$19:$AG$49,ROW(B26)+1,FALSE)</f>
        <v>0</v>
      </c>
      <c r="AL28" s="15"/>
      <c r="AM28" s="15"/>
      <c r="AN28" s="15"/>
      <c r="AO28" s="13"/>
    </row>
    <row r="29" spans="1:41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0.106</v>
      </c>
      <c r="I29" s="9">
        <f t="shared" si="2"/>
        <v>9805</v>
      </c>
      <c r="J29" s="15" cm="1">
        <f t="array" ref="J29">+HLOOKUP($A$1,+[31]İcmal!$B$19:$AG$49,ROW(A27)+1,FALSE)</f>
        <v>5.2999999999999999E-2</v>
      </c>
      <c r="K29" s="15" cm="1">
        <f t="array" ref="K29">+HLOOKUP($A$1,+[32]İcmal!$B$19:$AG$49,ROW(B27)+1,FALSE)</f>
        <v>0</v>
      </c>
      <c r="L29" s="15" cm="1">
        <f t="array" ref="L29">+HLOOKUP($A$1,+[33]İcmal!$B$19:$AG$49,ROW(C27)+1,FALSE)</f>
        <v>0</v>
      </c>
      <c r="M29" s="15" cm="1">
        <f t="array" ref="M29">+HLOOKUP($A$1,+[34]İcmal!$B$19:$AG$49,ROW(D27)+1,FALSE)</f>
        <v>0</v>
      </c>
      <c r="N29" s="15" cm="1">
        <f t="array" ref="N29">+HLOOKUP($A$1,+[35]İcmal!$B$19:$AG$49,ROW(A27)+1,FALSE)</f>
        <v>0</v>
      </c>
      <c r="O29" s="15" cm="1">
        <f t="array" ref="O29">+HLOOKUP($A$1,+[36]İcmal!$B$19:$AG$49,ROW(B27)+1,FALSE)</f>
        <v>0</v>
      </c>
      <c r="P29" s="15" cm="1">
        <f t="array" ref="P29">+HLOOKUP($A$1,+[37]İcmal!$B$19:$AG$49,ROW(C27)+1,FALSE)</f>
        <v>0</v>
      </c>
      <c r="Q29" s="15" cm="1">
        <f t="array" ref="Q29">+HLOOKUP($A$1,+[38]İcmal!$B$19:$AG$49,ROW(D27)+1,FALSE)</f>
        <v>0</v>
      </c>
      <c r="R29" s="15" cm="1">
        <f t="array" ref="R29">+HLOOKUP($A$1,+[39]İcmal!$B$19:$AG$49,ROW(A27)+1,FALSE)</f>
        <v>5.2999999999999999E-2</v>
      </c>
      <c r="S29" s="15" cm="1">
        <f t="array" ref="S29">+HLOOKUP($A$1,+[40]İcmal!$B$19:$AG$49,ROW(B27)+1,FALSE)</f>
        <v>0</v>
      </c>
      <c r="T29" s="15" cm="1">
        <f t="array" ref="T29">+HLOOKUP($A$1,+[41]İcmal!$B$19:$AG$49,ROW(C27)+1,FALSE)</f>
        <v>0</v>
      </c>
      <c r="U29" s="15" cm="1">
        <f t="array" ref="U29">+HLOOKUP($A$1,+[42]İcmal!$B$19:$AG$49,ROW(D27)+1,FALSE)</f>
        <v>0</v>
      </c>
      <c r="V29" s="15" cm="1">
        <f t="array" ref="V29">+HLOOKUP($A$1,+[43]İcmal!$B$19:$AG$49,ROW(A27)+1,FALSE)</f>
        <v>0</v>
      </c>
      <c r="W29" s="15" cm="1">
        <f t="array" ref="W29">+HLOOKUP($A$1,+[44]İcmal!$B$19:$AG$49,ROW(B27)+1,FALSE)</f>
        <v>0</v>
      </c>
      <c r="X29" s="15" cm="1">
        <f t="array" ref="X29">+HLOOKUP($A$1,+[45]İcmal!$B$19:$AG$49,ROW(C27)+1,FALSE)</f>
        <v>0</v>
      </c>
      <c r="Y29" s="15" cm="1">
        <f t="array" ref="Y29">+HLOOKUP($A$1,+[46]İcmal!$B$19:$AG$49,ROW(D27)+1,FALSE)</f>
        <v>0</v>
      </c>
      <c r="Z29" s="15" cm="1">
        <f t="array" ref="Z29">+HLOOKUP($A$1,+[47]İcmal!$B$19:$AG$49,ROW(A27)+1,FALSE)</f>
        <v>0</v>
      </c>
      <c r="AA29" s="15" cm="1">
        <f t="array" ref="AA29">+HLOOKUP($A$1,+[48]İcmal!$B$19:$AG$49,ROW(B27)+1,FALSE)</f>
        <v>0</v>
      </c>
      <c r="AB29" s="15" cm="1">
        <f t="array" ref="AB29">+HLOOKUP($A$1,+[49]İcmal!$B$19:$AG$49,ROW(A27)+1,FALSE)</f>
        <v>0</v>
      </c>
      <c r="AC29" s="15" cm="1">
        <f t="array" ref="AC29">+HLOOKUP($A$1,+[50]İcmal!$B$19:$AG$49,ROW(A27)+1,FALSE)</f>
        <v>0</v>
      </c>
      <c r="AD29" s="15" cm="1">
        <f t="array" ref="AD29">+HLOOKUP($A$1,+[51]İcmal!$B$19:$AG$49,ROW(A27)+1,FALSE)</f>
        <v>0</v>
      </c>
      <c r="AE29" s="15" cm="1">
        <f t="array" ref="AE29">+HLOOKUP($A$1,+[52]İcmal!$B$19:$AG$49,ROW(A27)+1,FALSE)</f>
        <v>0</v>
      </c>
      <c r="AF29" s="50" cm="1">
        <f t="array" ref="AF29">+HLOOKUP($A$1,+[53]İcmal!$B$19:$AG$49,ROW(A27)+1,FALSE)</f>
        <v>0</v>
      </c>
      <c r="AG29" s="15" cm="1">
        <f t="array" ref="AG29">+HLOOKUP($A$1,+[54]İcmal!$B$19:$AG$49,ROW(A27)+1,FALSE)</f>
        <v>0</v>
      </c>
      <c r="AH29" s="15" cm="1">
        <f t="array" ref="AH29">+HLOOKUP($A$1,+[55]İcmal!$B$19:$AG$49,ROW(A27)+1,FALSE)</f>
        <v>0</v>
      </c>
      <c r="AI29" s="15" cm="1">
        <f t="array" ref="AI29">+HLOOKUP($A$1,+[56]İcmal!$B$19:$AG$49,ROW(A27)+1,FALSE)</f>
        <v>0</v>
      </c>
      <c r="AJ29" s="15" cm="1">
        <f t="array" ref="AJ29">+HLOOKUP($A$1,+[57]İcmal!$B$19:$AG$49,ROW(A27)+1,FALSE)</f>
        <v>0</v>
      </c>
      <c r="AK29" s="15" cm="1">
        <f t="array" ref="AK29">+HLOOKUP($A$1,+[58]İcmal!$B$19:$AG$49,ROW(B27)+1,FALSE)</f>
        <v>0</v>
      </c>
      <c r="AL29" s="15"/>
      <c r="AM29" s="15"/>
      <c r="AN29" s="15"/>
      <c r="AO29" s="13"/>
    </row>
    <row r="30" spans="1:41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7.99</v>
      </c>
      <c r="I30" s="9">
        <f t="shared" si="2"/>
        <v>777690.67</v>
      </c>
      <c r="J30" s="15" cm="1">
        <f t="array" ref="J30">+HLOOKUP($A$1,+[31]İcmal!$B$19:$AG$49,ROW(A28)+1,FALSE)</f>
        <v>2.593</v>
      </c>
      <c r="K30" s="15" cm="1">
        <f t="array" ref="K30">+HLOOKUP($A$1,+[32]İcmal!$B$19:$AG$49,ROW(B28)+1,FALSE)</f>
        <v>0</v>
      </c>
      <c r="L30" s="15" cm="1">
        <f t="array" ref="L30">+HLOOKUP($A$1,+[33]İcmal!$B$19:$AG$49,ROW(C28)+1,FALSE)</f>
        <v>0</v>
      </c>
      <c r="M30" s="15" cm="1">
        <f t="array" ref="M30">+HLOOKUP($A$1,+[34]İcmal!$B$19:$AG$49,ROW(D28)+1,FALSE)</f>
        <v>0</v>
      </c>
      <c r="N30" s="15" cm="1">
        <f t="array" ref="N30">+HLOOKUP($A$1,+[35]İcmal!$B$19:$AG$49,ROW(A28)+1,FALSE)</f>
        <v>1.78</v>
      </c>
      <c r="O30" s="15" cm="1">
        <f t="array" ref="O30">+HLOOKUP($A$1,+[36]İcmal!$B$19:$AG$49,ROW(B28)+1,FALSE)</f>
        <v>0</v>
      </c>
      <c r="P30" s="15" cm="1">
        <f t="array" ref="P30">+HLOOKUP($A$1,+[37]İcmal!$B$19:$AG$49,ROW(C28)+1,FALSE)</f>
        <v>0</v>
      </c>
      <c r="Q30" s="15" cm="1">
        <f t="array" ref="Q30">+HLOOKUP($A$1,+[38]İcmal!$B$19:$AG$49,ROW(D28)+1,FALSE)</f>
        <v>0</v>
      </c>
      <c r="R30" s="15" cm="1">
        <f t="array" ref="R30">+HLOOKUP($A$1,+[39]İcmal!$B$19:$AG$49,ROW(A28)+1,FALSE)</f>
        <v>2.3730000000000002</v>
      </c>
      <c r="S30" s="15" cm="1">
        <f t="array" ref="S30">+HLOOKUP($A$1,+[40]İcmal!$B$19:$AG$49,ROW(B28)+1,FALSE)</f>
        <v>0</v>
      </c>
      <c r="T30" s="15" cm="1">
        <f t="array" ref="T30">+HLOOKUP($A$1,+[41]İcmal!$B$19:$AG$49,ROW(C28)+1,FALSE)</f>
        <v>0</v>
      </c>
      <c r="U30" s="15" cm="1">
        <f t="array" ref="U30">+HLOOKUP($A$1,+[42]İcmal!$B$19:$AG$49,ROW(D28)+1,FALSE)</f>
        <v>0</v>
      </c>
      <c r="V30" s="15" cm="1">
        <f t="array" ref="V30">+HLOOKUP($A$1,+[43]İcmal!$B$19:$AG$49,ROW(A28)+1,FALSE)</f>
        <v>0</v>
      </c>
      <c r="W30" s="15" cm="1">
        <f t="array" ref="W30">+HLOOKUP($A$1,+[44]İcmal!$B$19:$AG$49,ROW(B28)+1,FALSE)</f>
        <v>1.244</v>
      </c>
      <c r="X30" s="15" cm="1">
        <f t="array" ref="X30">+HLOOKUP($A$1,+[45]İcmal!$B$19:$AG$49,ROW(C28)+1,FALSE)</f>
        <v>0</v>
      </c>
      <c r="Y30" s="15" cm="1">
        <f t="array" ref="Y30">+HLOOKUP($A$1,+[46]İcmal!$B$19:$AG$49,ROW(D28)+1,FALSE)</f>
        <v>0</v>
      </c>
      <c r="Z30" s="15" cm="1">
        <f t="array" ref="Z30">+HLOOKUP($A$1,+[47]İcmal!$B$19:$AG$49,ROW(A28)+1,FALSE)</f>
        <v>0</v>
      </c>
      <c r="AA30" s="15" cm="1">
        <f t="array" ref="AA30">+HLOOKUP($A$1,+[48]İcmal!$B$19:$AG$49,ROW(B28)+1,FALSE)</f>
        <v>0</v>
      </c>
      <c r="AB30" s="15" cm="1">
        <f t="array" ref="AB30">+HLOOKUP($A$1,+[49]İcmal!$B$19:$AG$49,ROW(A28)+1,FALSE)</f>
        <v>0</v>
      </c>
      <c r="AC30" s="15" cm="1">
        <f t="array" ref="AC30">+HLOOKUP($A$1,+[50]İcmal!$B$19:$AG$49,ROW(A28)+1,FALSE)</f>
        <v>0</v>
      </c>
      <c r="AD30" s="15" cm="1">
        <f t="array" ref="AD30">+HLOOKUP($A$1,+[51]İcmal!$B$19:$AG$49,ROW(A28)+1,FALSE)</f>
        <v>0</v>
      </c>
      <c r="AE30" s="15" cm="1">
        <f t="array" ref="AE30">+HLOOKUP($A$1,+[52]İcmal!$B$19:$AG$49,ROW(A28)+1,FALSE)</f>
        <v>0</v>
      </c>
      <c r="AF30" s="50" cm="1">
        <f t="array" ref="AF30">+HLOOKUP($A$1,+[53]İcmal!$B$19:$AG$49,ROW(A28)+1,FALSE)</f>
        <v>0</v>
      </c>
      <c r="AG30" s="15" cm="1">
        <f t="array" ref="AG30">+HLOOKUP($A$1,+[54]İcmal!$B$19:$AG$49,ROW(A28)+1,FALSE)</f>
        <v>0</v>
      </c>
      <c r="AH30" s="15" cm="1">
        <f t="array" ref="AH30">+HLOOKUP($A$1,+[55]İcmal!$B$19:$AG$49,ROW(A28)+1,FALSE)</f>
        <v>0</v>
      </c>
      <c r="AI30" s="15" cm="1">
        <f t="array" ref="AI30">+HLOOKUP($A$1,+[56]İcmal!$B$19:$AG$49,ROW(A28)+1,FALSE)</f>
        <v>0</v>
      </c>
      <c r="AJ30" s="15" cm="1">
        <f t="array" ref="AJ30">+HLOOKUP($A$1,+[57]İcmal!$B$19:$AG$49,ROW(A28)+1,FALSE)</f>
        <v>0</v>
      </c>
      <c r="AK30" s="15" cm="1">
        <f t="array" ref="AK30">+HLOOKUP($A$1,+[58]İcmal!$B$19:$AG$49,ROW(B28)+1,FALSE)</f>
        <v>0</v>
      </c>
      <c r="AL30" s="15"/>
      <c r="AM30" s="15"/>
      <c r="AN30" s="15"/>
      <c r="AO30" s="13"/>
    </row>
    <row r="31" spans="1:41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+HLOOKUP($A$1,+[31]İcmal!$B$19:$AG$49,ROW(A29)+1,FALSE)</f>
        <v>0</v>
      </c>
      <c r="K31" s="15" cm="1">
        <f t="array" ref="K31">+HLOOKUP($A$1,+[32]İcmal!$B$19:$AG$49,ROW(B29)+1,FALSE)</f>
        <v>0</v>
      </c>
      <c r="L31" s="15" cm="1">
        <f t="array" ref="L31">+HLOOKUP($A$1,+[33]İcmal!$B$19:$AG$49,ROW(C29)+1,FALSE)</f>
        <v>0</v>
      </c>
      <c r="M31" s="15" cm="1">
        <f t="array" ref="M31">+HLOOKUP($A$1,+[34]İcmal!$B$19:$AG$49,ROW(D29)+1,FALSE)</f>
        <v>0</v>
      </c>
      <c r="N31" s="15" cm="1">
        <f t="array" ref="N31">+HLOOKUP($A$1,+[35]İcmal!$B$19:$AG$49,ROW(A29)+1,FALSE)</f>
        <v>0</v>
      </c>
      <c r="O31" s="15" cm="1">
        <f t="array" ref="O31">+HLOOKUP($A$1,+[36]İcmal!$B$19:$AG$49,ROW(B29)+1,FALSE)</f>
        <v>0</v>
      </c>
      <c r="P31" s="15" cm="1">
        <f t="array" ref="P31">+HLOOKUP($A$1,+[37]İcmal!$B$19:$AG$49,ROW(C29)+1,FALSE)</f>
        <v>0</v>
      </c>
      <c r="Q31" s="15" cm="1">
        <f t="array" ref="Q31">+HLOOKUP($A$1,+[38]İcmal!$B$19:$AG$49,ROW(D29)+1,FALSE)</f>
        <v>0</v>
      </c>
      <c r="R31" s="15" cm="1">
        <f t="array" ref="R31">+HLOOKUP($A$1,+[39]İcmal!$B$19:$AG$49,ROW(A29)+1,FALSE)</f>
        <v>0</v>
      </c>
      <c r="S31" s="15" cm="1">
        <f t="array" ref="S31">+HLOOKUP($A$1,+[40]İcmal!$B$19:$AG$49,ROW(B29)+1,FALSE)</f>
        <v>0</v>
      </c>
      <c r="T31" s="15" cm="1">
        <f t="array" ref="T31">+HLOOKUP($A$1,+[41]İcmal!$B$19:$AG$49,ROW(C29)+1,FALSE)</f>
        <v>0</v>
      </c>
      <c r="U31" s="15" cm="1">
        <f t="array" ref="U31">+HLOOKUP($A$1,+[42]İcmal!$B$19:$AG$49,ROW(D29)+1,FALSE)</f>
        <v>0</v>
      </c>
      <c r="V31" s="15" cm="1">
        <f t="array" ref="V31">+HLOOKUP($A$1,+[43]İcmal!$B$19:$AG$49,ROW(A29)+1,FALSE)</f>
        <v>0</v>
      </c>
      <c r="W31" s="15" cm="1">
        <f t="array" ref="W31">+HLOOKUP($A$1,+[44]İcmal!$B$19:$AG$49,ROW(B29)+1,FALSE)</f>
        <v>0</v>
      </c>
      <c r="X31" s="15" cm="1">
        <f t="array" ref="X31">+HLOOKUP($A$1,+[45]İcmal!$B$19:$AG$49,ROW(C29)+1,FALSE)</f>
        <v>0</v>
      </c>
      <c r="Y31" s="15" cm="1">
        <f t="array" ref="Y31">+HLOOKUP($A$1,+[46]İcmal!$B$19:$AG$49,ROW(D29)+1,FALSE)</f>
        <v>0</v>
      </c>
      <c r="Z31" s="15" cm="1">
        <f t="array" ref="Z31">+HLOOKUP($A$1,+[47]İcmal!$B$19:$AG$49,ROW(A29)+1,FALSE)</f>
        <v>0</v>
      </c>
      <c r="AA31" s="15" cm="1">
        <f t="array" ref="AA31">+HLOOKUP($A$1,+[48]İcmal!$B$19:$AG$49,ROW(B29)+1,FALSE)</f>
        <v>0</v>
      </c>
      <c r="AB31" s="15" cm="1">
        <f t="array" ref="AB31">+HLOOKUP($A$1,+[49]İcmal!$B$19:$AG$49,ROW(A29)+1,FALSE)</f>
        <v>0</v>
      </c>
      <c r="AC31" s="15" cm="1">
        <f t="array" ref="AC31">+HLOOKUP($A$1,+[50]İcmal!$B$19:$AG$49,ROW(A29)+1,FALSE)</f>
        <v>0</v>
      </c>
      <c r="AD31" s="15" cm="1">
        <f t="array" ref="AD31">+HLOOKUP($A$1,+[51]İcmal!$B$19:$AG$49,ROW(A29)+1,FALSE)</f>
        <v>0</v>
      </c>
      <c r="AE31" s="15" cm="1">
        <f t="array" ref="AE31">+HLOOKUP($A$1,+[52]İcmal!$B$19:$AG$49,ROW(A29)+1,FALSE)</f>
        <v>0</v>
      </c>
      <c r="AF31" s="50" cm="1">
        <f t="array" ref="AF31">+HLOOKUP($A$1,+[53]İcmal!$B$19:$AG$49,ROW(A29)+1,FALSE)</f>
        <v>0</v>
      </c>
      <c r="AG31" s="15" cm="1">
        <f t="array" ref="AG31">+HLOOKUP($A$1,+[54]İcmal!$B$19:$AG$49,ROW(A29)+1,FALSE)</f>
        <v>0</v>
      </c>
      <c r="AH31" s="15" cm="1">
        <f t="array" ref="AH31">+HLOOKUP($A$1,+[55]İcmal!$B$19:$AG$49,ROW(A29)+1,FALSE)</f>
        <v>0</v>
      </c>
      <c r="AI31" s="15" cm="1">
        <f t="array" ref="AI31">+HLOOKUP($A$1,+[56]İcmal!$B$19:$AG$49,ROW(A29)+1,FALSE)</f>
        <v>0</v>
      </c>
      <c r="AJ31" s="15" cm="1">
        <f t="array" ref="AJ31">+HLOOKUP($A$1,+[57]İcmal!$B$19:$AG$49,ROW(A29)+1,FALSE)</f>
        <v>0</v>
      </c>
      <c r="AK31" s="15" cm="1">
        <f t="array" ref="AK31">+HLOOKUP($A$1,+[58]İcmal!$B$19:$AG$49,ROW(B29)+1,FALSE)</f>
        <v>0</v>
      </c>
      <c r="AL31" s="15"/>
      <c r="AM31" s="15"/>
      <c r="AN31" s="15"/>
      <c r="AO31" s="13"/>
    </row>
    <row r="32" spans="1:41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+HLOOKUP($A$1,+[31]İcmal!$B$19:$AG$49,ROW(A30)+1,FALSE)</f>
        <v>0</v>
      </c>
      <c r="K32" s="15" cm="1">
        <f t="array" ref="K32">+HLOOKUP($A$1,+[32]İcmal!$B$19:$AG$49,ROW(B30)+1,FALSE)</f>
        <v>0</v>
      </c>
      <c r="L32" s="15" cm="1">
        <f t="array" ref="L32">+HLOOKUP($A$1,+[33]İcmal!$B$19:$AG$49,ROW(C30)+1,FALSE)</f>
        <v>0</v>
      </c>
      <c r="M32" s="15" cm="1">
        <f t="array" ref="M32">+HLOOKUP($A$1,+[34]İcmal!$B$19:$AG$49,ROW(D30)+1,FALSE)</f>
        <v>0</v>
      </c>
      <c r="N32" s="15" cm="1">
        <f t="array" ref="N32">+HLOOKUP($A$1,+[35]İcmal!$B$19:$AG$49,ROW(A30)+1,FALSE)</f>
        <v>0</v>
      </c>
      <c r="O32" s="15" cm="1">
        <f t="array" ref="O32">+HLOOKUP($A$1,+[36]İcmal!$B$19:$AG$49,ROW(B30)+1,FALSE)</f>
        <v>0</v>
      </c>
      <c r="P32" s="15" cm="1">
        <f t="array" ref="P32">+HLOOKUP($A$1,+[37]İcmal!$B$19:$AG$49,ROW(C30)+1,FALSE)</f>
        <v>0</v>
      </c>
      <c r="Q32" s="15" cm="1">
        <f t="array" ref="Q32">+HLOOKUP($A$1,+[38]İcmal!$B$19:$AG$49,ROW(D30)+1,FALSE)</f>
        <v>0</v>
      </c>
      <c r="R32" s="15" cm="1">
        <f t="array" ref="R32">+HLOOKUP($A$1,+[39]İcmal!$B$19:$AG$49,ROW(A30)+1,FALSE)</f>
        <v>0</v>
      </c>
      <c r="S32" s="15" cm="1">
        <f t="array" ref="S32">+HLOOKUP($A$1,+[40]İcmal!$B$19:$AG$49,ROW(B30)+1,FALSE)</f>
        <v>0</v>
      </c>
      <c r="T32" s="15" cm="1">
        <f t="array" ref="T32">+HLOOKUP($A$1,+[41]İcmal!$B$19:$AG$49,ROW(C30)+1,FALSE)</f>
        <v>0</v>
      </c>
      <c r="U32" s="15" cm="1">
        <f t="array" ref="U32">+HLOOKUP($A$1,+[42]İcmal!$B$19:$AG$49,ROW(D30)+1,FALSE)</f>
        <v>0</v>
      </c>
      <c r="V32" s="15" cm="1">
        <f t="array" ref="V32">+HLOOKUP($A$1,+[43]İcmal!$B$19:$AG$49,ROW(A30)+1,FALSE)</f>
        <v>0</v>
      </c>
      <c r="W32" s="15" cm="1">
        <f t="array" ref="W32">+HLOOKUP($A$1,+[44]İcmal!$B$19:$AG$49,ROW(B30)+1,FALSE)</f>
        <v>0</v>
      </c>
      <c r="X32" s="15" cm="1">
        <f t="array" ref="X32">+HLOOKUP($A$1,+[45]İcmal!$B$19:$AG$49,ROW(C30)+1,FALSE)</f>
        <v>0</v>
      </c>
      <c r="Y32" s="15" cm="1">
        <f t="array" ref="Y32">+HLOOKUP($A$1,+[46]İcmal!$B$19:$AG$49,ROW(D30)+1,FALSE)</f>
        <v>0</v>
      </c>
      <c r="Z32" s="15" cm="1">
        <f t="array" ref="Z32">+HLOOKUP($A$1,+[47]İcmal!$B$19:$AG$49,ROW(A30)+1,FALSE)</f>
        <v>0</v>
      </c>
      <c r="AA32" s="15" cm="1">
        <f t="array" ref="AA32">+HLOOKUP($A$1,+[48]İcmal!$B$19:$AG$49,ROW(B30)+1,FALSE)</f>
        <v>0</v>
      </c>
      <c r="AB32" s="15" cm="1">
        <f t="array" ref="AB32">+HLOOKUP($A$1,+[49]İcmal!$B$19:$AG$49,ROW(A30)+1,FALSE)</f>
        <v>0</v>
      </c>
      <c r="AC32" s="15" cm="1">
        <f t="array" ref="AC32">+HLOOKUP($A$1,+[50]İcmal!$B$19:$AG$49,ROW(A30)+1,FALSE)</f>
        <v>0</v>
      </c>
      <c r="AD32" s="15" cm="1">
        <f t="array" ref="AD32">+HLOOKUP($A$1,+[51]İcmal!$B$19:$AG$49,ROW(A30)+1,FALSE)</f>
        <v>0</v>
      </c>
      <c r="AE32" s="15" cm="1">
        <f t="array" ref="AE32">+HLOOKUP($A$1,+[52]İcmal!$B$19:$AG$49,ROW(A30)+1,FALSE)</f>
        <v>0</v>
      </c>
      <c r="AF32" s="50" cm="1">
        <f t="array" ref="AF32">+HLOOKUP($A$1,+[53]İcmal!$B$19:$AG$49,ROW(A30)+1,FALSE)</f>
        <v>0</v>
      </c>
      <c r="AG32" s="15" cm="1">
        <f t="array" ref="AG32">+HLOOKUP($A$1,+[54]İcmal!$B$19:$AG$49,ROW(A30)+1,FALSE)</f>
        <v>0</v>
      </c>
      <c r="AH32" s="15" cm="1">
        <f t="array" ref="AH32">+HLOOKUP($A$1,+[55]İcmal!$B$19:$AG$49,ROW(A30)+1,FALSE)</f>
        <v>0</v>
      </c>
      <c r="AI32" s="15" cm="1">
        <f t="array" ref="AI32">+HLOOKUP($A$1,+[56]İcmal!$B$19:$AG$49,ROW(A30)+1,FALSE)</f>
        <v>0</v>
      </c>
      <c r="AJ32" s="15" cm="1">
        <f t="array" ref="AJ32">+HLOOKUP($A$1,+[57]İcmal!$B$19:$AG$49,ROW(A30)+1,FALSE)</f>
        <v>0</v>
      </c>
      <c r="AK32" s="15" cm="1">
        <f t="array" ref="AK32">+HLOOKUP($A$1,+[58]İcmal!$B$19:$AG$49,ROW(B30)+1,FALSE)</f>
        <v>0</v>
      </c>
      <c r="AL32" s="15"/>
      <c r="AM32" s="15"/>
      <c r="AN32" s="15"/>
      <c r="AO32" s="14"/>
    </row>
    <row r="33" spans="8:40" x14ac:dyDescent="0.3">
      <c r="I33" s="16">
        <f>SUM(I3:I32)</f>
        <v>20399166.855000004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>
        <f t="shared" ref="AN33" si="3">+SUMPRODUCT(AN3:AN32,$F$3:$F$32)</f>
        <v>0</v>
      </c>
    </row>
    <row r="34" spans="8:40" x14ac:dyDescent="0.3">
      <c r="H34" s="52"/>
    </row>
    <row r="35" spans="8:40" x14ac:dyDescent="0.3">
      <c r="I35" s="16"/>
    </row>
    <row r="36" spans="8:40" x14ac:dyDescent="0.3">
      <c r="I36" s="16"/>
      <c r="K36" s="52"/>
    </row>
    <row r="37" spans="8:40" x14ac:dyDescent="0.3">
      <c r="J37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83EE-E24D-4936-A52B-DAA2159C671D}">
  <sheetPr>
    <tabColor rgb="FFFF0000"/>
  </sheetPr>
  <dimension ref="A1:AO37"/>
  <sheetViews>
    <sheetView zoomScale="85" zoomScaleNormal="85" workbookViewId="0">
      <selection activeCell="K3" sqref="K3:K3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1" width="19.33203125" customWidth="1"/>
    <col min="12" max="13" width="21.109375" customWidth="1"/>
    <col min="14" max="15" width="19.21875" customWidth="1"/>
    <col min="16" max="16" width="19.33203125" customWidth="1"/>
    <col min="17" max="19" width="19.21875" customWidth="1"/>
    <col min="20" max="20" width="19.33203125" customWidth="1"/>
    <col min="21" max="21" width="19.21875" customWidth="1"/>
    <col min="22" max="24" width="46.77734375" customWidth="1"/>
    <col min="25" max="25" width="46.33203125" customWidth="1"/>
    <col min="26" max="32" width="46.77734375" customWidth="1"/>
    <col min="33" max="33" width="46.33203125" bestFit="1" customWidth="1"/>
    <col min="34" max="37" width="46.77734375" bestFit="1" customWidth="1"/>
    <col min="38" max="39" width="59.109375" customWidth="1"/>
    <col min="40" max="40" width="12.33203125" bestFit="1" customWidth="1"/>
    <col min="41" max="41" width="2.21875" customWidth="1"/>
  </cols>
  <sheetData>
    <row r="1" spans="1:41" ht="15" thickBot="1" x14ac:dyDescent="0.35">
      <c r="A1" s="17" t="s">
        <v>112</v>
      </c>
    </row>
    <row r="2" spans="1:4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3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11" t="s">
        <v>126</v>
      </c>
      <c r="AG2" s="3" t="s">
        <v>143</v>
      </c>
      <c r="AH2" s="11" t="s">
        <v>144</v>
      </c>
      <c r="AI2" s="3" t="s">
        <v>138</v>
      </c>
      <c r="AJ2" s="11" t="s">
        <v>125</v>
      </c>
      <c r="AK2" s="3" t="s">
        <v>133</v>
      </c>
      <c r="AL2" s="11"/>
      <c r="AM2" s="11"/>
      <c r="AN2" s="11"/>
      <c r="AO2" s="12"/>
    </row>
    <row r="3" spans="1:41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SUM(J3:AO3)</f>
        <v>2634.3920000000003</v>
      </c>
      <c r="I3" s="9">
        <f>+F3*H3</f>
        <v>13369539.400000002</v>
      </c>
      <c r="J3" s="15" cm="1">
        <f t="array" ref="J3">+HLOOKUP($A$1,+[31]İcmal!$B$19:$AG$49,ROW(A1)+1,FALSE)</f>
        <v>206.76600000000008</v>
      </c>
      <c r="K3" s="15" cm="1">
        <f t="array" ref="K3">+HLOOKUP($A$1,+[32]İcmal!$B$19:$AG$49,ROW(B1)+1,FALSE)</f>
        <v>538.029</v>
      </c>
      <c r="L3" s="15" cm="1">
        <f t="array" ref="L3">+HLOOKUP($A$1,+[33]İcmal!$B$19:$AG$49,ROW(C1)+1,FALSE)</f>
        <v>0</v>
      </c>
      <c r="M3" s="15" cm="1">
        <f t="array" ref="M3">+HLOOKUP($A$1,+[34]İcmal!$B$19:$AG$49,ROW(D1)+1,FALSE)</f>
        <v>0</v>
      </c>
      <c r="N3" s="15" cm="1">
        <f t="array" ref="N3">+HLOOKUP($A$1,+[35]İcmal!$B$19:$AG$49,ROW(A1)+1,FALSE)</f>
        <v>599.23800000000017</v>
      </c>
      <c r="O3" s="15" cm="1">
        <f t="array" ref="O3">+HLOOKUP($A$1,+[36]İcmal!$B$19:$AG$49,ROW(B1)+1,FALSE)</f>
        <v>0</v>
      </c>
      <c r="P3" s="15" cm="1">
        <f t="array" ref="P3">+HLOOKUP($A$1,+[37]İcmal!$B$19:$AG$49,ROW(C1)+1,FALSE)</f>
        <v>0</v>
      </c>
      <c r="Q3" s="15" cm="1">
        <f t="array" ref="Q3">+HLOOKUP($A$1,+[38]İcmal!$B$19:$AG$49,ROW(D1)+1,FALSE)</f>
        <v>0</v>
      </c>
      <c r="R3" s="15" cm="1">
        <f t="array" ref="R3">+HLOOKUP($A$1,+[39]İcmal!$B$19:$AG$49,ROW(A1)+1,FALSE)</f>
        <v>693.16799999999989</v>
      </c>
      <c r="S3" s="15" cm="1">
        <f t="array" ref="S3">+HLOOKUP($A$1,+[40]İcmal!$B$19:$AG$49,ROW(B1)+1,FALSE)</f>
        <v>0</v>
      </c>
      <c r="T3" s="15" cm="1">
        <f t="array" ref="T3">+HLOOKUP($A$1,+[41]İcmal!$B$19:$AG$49,ROW(C1)+1,FALSE)</f>
        <v>0</v>
      </c>
      <c r="U3" s="15" cm="1">
        <f t="array" ref="U3">+HLOOKUP($A$1,+[42]İcmal!$B$19:$AG$49,ROW(D1)+1,FALSE)</f>
        <v>0</v>
      </c>
      <c r="V3" s="15" cm="1">
        <f t="array" ref="V3">+HLOOKUP($A$1,+[43]İcmal!$B$19:$AG$49,ROW(A1)+1,FALSE)</f>
        <v>0</v>
      </c>
      <c r="W3" s="15" cm="1">
        <f t="array" ref="W3">+HLOOKUP($A$1,+[44]İcmal!$B$19:$AG$49,ROW(B1)+1,FALSE)</f>
        <v>597.19100000000003</v>
      </c>
      <c r="X3" s="15" cm="1">
        <f t="array" ref="X3">+HLOOKUP($A$1,+[45]İcmal!$B$19:$AG$49,ROW(C1)+1,FALSE)</f>
        <v>0</v>
      </c>
      <c r="Y3" s="15" cm="1">
        <f t="array" ref="Y3">+HLOOKUP($A$1,+[46]İcmal!$B$19:$AG$49,ROW(D1)+1,FALSE)</f>
        <v>0</v>
      </c>
      <c r="Z3" s="15" cm="1">
        <f t="array" ref="Z3">+HLOOKUP($A$1,+[47]İcmal!$B$19:$AG$49,ROW(A1)+1,FALSE)</f>
        <v>0</v>
      </c>
      <c r="AA3" s="15" cm="1">
        <f t="array" ref="AA3">+HLOOKUP($A$1,+[48]İcmal!$B$19:$AG$49,ROW(B1)+1,FALSE)</f>
        <v>0</v>
      </c>
      <c r="AB3" s="15" cm="1">
        <f t="array" ref="AB3">+HLOOKUP($A$1,+[49]İcmal!$B$19:$AG$49,ROW(A1)+1,FALSE)</f>
        <v>0</v>
      </c>
      <c r="AC3" s="15" cm="1">
        <f t="array" ref="AC3">+HLOOKUP($A$1,+[50]İcmal!$B$19:$AG$49,ROW(A1)+1,FALSE)</f>
        <v>0</v>
      </c>
      <c r="AD3" s="15" cm="1">
        <f t="array" ref="AD3">+HLOOKUP($A$1,+[51]İcmal!$B$19:$AG$49,ROW(A1)+1,FALSE)</f>
        <v>0</v>
      </c>
      <c r="AE3" s="15" cm="1">
        <f t="array" ref="AE3">+HLOOKUP($A$1,+[52]İcmal!$B$19:$AG$49,ROW(A1)+1,FALSE)</f>
        <v>0</v>
      </c>
      <c r="AF3" s="50" cm="1">
        <f t="array" ref="AF3">+HLOOKUP($A$1,+[53]İcmal!$B$19:$AG$49,ROW(A1)+1,FALSE)</f>
        <v>0</v>
      </c>
      <c r="AG3" s="15" cm="1">
        <f t="array" ref="AG3">+HLOOKUP($A$1,+[54]İcmal!$B$19:$AG$49,ROW(A1)+1,FALSE)</f>
        <v>0</v>
      </c>
      <c r="AH3" s="15" cm="1">
        <f t="array" ref="AH3">+HLOOKUP($A$1,+[55]İcmal!$B$19:$AG$49,ROW(A1)+1,FALSE)</f>
        <v>0</v>
      </c>
      <c r="AI3" s="15" cm="1">
        <f t="array" ref="AI3">+HLOOKUP($A$1,+[56]İcmal!$B$19:$AG$49,ROW(A1)+1,FALSE)</f>
        <v>0</v>
      </c>
      <c r="AJ3" s="15" cm="1">
        <f t="array" ref="AJ3">+HLOOKUP($A$1,+[57]İcmal!$B$19:$AG$49,ROW(A1)+1,FALSE)</f>
        <v>0</v>
      </c>
      <c r="AK3" s="15" cm="1">
        <f t="array" ref="AK3">+HLOOKUP($A$1,+[58]İcmal!$B$19:$AG$49,ROW(B1)+1,FALSE)</f>
        <v>0</v>
      </c>
      <c r="AL3" s="15"/>
      <c r="AM3" s="15"/>
      <c r="AN3" s="15"/>
      <c r="AO3" s="13"/>
    </row>
    <row r="4" spans="1:41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+HLOOKUP($A$1,+[31]İcmal!$B$19:$AG$49,ROW(A2)+1,FALSE)</f>
        <v>0</v>
      </c>
      <c r="K4" s="15" cm="1">
        <f t="array" ref="K4">+HLOOKUP($A$1,+[32]İcmal!$B$19:$AG$49,ROW(B2)+1,FALSE)</f>
        <v>0</v>
      </c>
      <c r="L4" s="15" cm="1">
        <f t="array" ref="L4">+HLOOKUP($A$1,+[33]İcmal!$B$19:$AG$49,ROW(C2)+1,FALSE)</f>
        <v>0</v>
      </c>
      <c r="M4" s="15" cm="1">
        <f t="array" ref="M4">+HLOOKUP($A$1,+[34]İcmal!$B$19:$AG$49,ROW(D2)+1,FALSE)</f>
        <v>0</v>
      </c>
      <c r="N4" s="15" cm="1">
        <f t="array" ref="N4">+HLOOKUP($A$1,+[35]İcmal!$B$19:$AG$49,ROW(A2)+1,FALSE)</f>
        <v>0</v>
      </c>
      <c r="O4" s="15" cm="1">
        <f t="array" ref="O4">+HLOOKUP($A$1,+[36]İcmal!$B$19:$AG$49,ROW(B2)+1,FALSE)</f>
        <v>0</v>
      </c>
      <c r="P4" s="15" cm="1">
        <f t="array" ref="P4">+HLOOKUP($A$1,+[37]İcmal!$B$19:$AG$49,ROW(C2)+1,FALSE)</f>
        <v>0</v>
      </c>
      <c r="Q4" s="15" cm="1">
        <f t="array" ref="Q4">+HLOOKUP($A$1,+[38]İcmal!$B$19:$AG$49,ROW(D2)+1,FALSE)</f>
        <v>0</v>
      </c>
      <c r="R4" s="15" cm="1">
        <f t="array" ref="R4">+HLOOKUP($A$1,+[39]İcmal!$B$19:$AG$49,ROW(A2)+1,FALSE)</f>
        <v>0</v>
      </c>
      <c r="S4" s="15" cm="1">
        <f t="array" ref="S4">+HLOOKUP($A$1,+[40]İcmal!$B$19:$AG$49,ROW(B2)+1,FALSE)</f>
        <v>0</v>
      </c>
      <c r="T4" s="15" cm="1">
        <f t="array" ref="T4">+HLOOKUP($A$1,+[41]İcmal!$B$19:$AG$49,ROW(C2)+1,FALSE)</f>
        <v>0</v>
      </c>
      <c r="U4" s="15" cm="1">
        <f t="array" ref="U4">+HLOOKUP($A$1,+[42]İcmal!$B$19:$AG$49,ROW(D2)+1,FALSE)</f>
        <v>0</v>
      </c>
      <c r="V4" s="15" cm="1">
        <f t="array" ref="V4">+HLOOKUP($A$1,+[43]İcmal!$B$19:$AG$49,ROW(A2)+1,FALSE)</f>
        <v>0</v>
      </c>
      <c r="W4" s="15" cm="1">
        <f t="array" ref="W4">+HLOOKUP($A$1,+[44]İcmal!$B$19:$AG$49,ROW(B2)+1,FALSE)</f>
        <v>0</v>
      </c>
      <c r="X4" s="15" cm="1">
        <f t="array" ref="X4">+HLOOKUP($A$1,+[45]İcmal!$B$19:$AG$49,ROW(C2)+1,FALSE)</f>
        <v>0</v>
      </c>
      <c r="Y4" s="15" cm="1">
        <f t="array" ref="Y4">+HLOOKUP($A$1,+[46]İcmal!$B$19:$AG$49,ROW(D2)+1,FALSE)</f>
        <v>0</v>
      </c>
      <c r="Z4" s="15" cm="1">
        <f t="array" ref="Z4">+HLOOKUP($A$1,+[47]İcmal!$B$19:$AG$49,ROW(A2)+1,FALSE)</f>
        <v>0</v>
      </c>
      <c r="AA4" s="15" cm="1">
        <f t="array" ref="AA4">+HLOOKUP($A$1,+[48]İcmal!$B$19:$AG$49,ROW(B2)+1,FALSE)</f>
        <v>0</v>
      </c>
      <c r="AB4" s="15" cm="1">
        <f t="array" ref="AB4">+HLOOKUP($A$1,+[49]İcmal!$B$19:$AG$49,ROW(A2)+1,FALSE)</f>
        <v>0</v>
      </c>
      <c r="AC4" s="15" cm="1">
        <f t="array" ref="AC4">+HLOOKUP($A$1,+[50]İcmal!$B$19:$AG$49,ROW(A2)+1,FALSE)</f>
        <v>0</v>
      </c>
      <c r="AD4" s="15" cm="1">
        <f t="array" ref="AD4">+HLOOKUP($A$1,+[51]İcmal!$B$19:$AG$49,ROW(A2)+1,FALSE)</f>
        <v>0</v>
      </c>
      <c r="AE4" s="15" cm="1">
        <f t="array" ref="AE4">+HLOOKUP($A$1,+[52]İcmal!$B$19:$AG$49,ROW(A2)+1,FALSE)</f>
        <v>0</v>
      </c>
      <c r="AF4" s="50" cm="1">
        <f t="array" ref="AF4">+HLOOKUP($A$1,+[53]İcmal!$B$19:$AG$49,ROW(A2)+1,FALSE)</f>
        <v>0</v>
      </c>
      <c r="AG4" s="15" cm="1">
        <f t="array" ref="AG4">+HLOOKUP($A$1,+[54]İcmal!$B$19:$AG$49,ROW(A2)+1,FALSE)</f>
        <v>0</v>
      </c>
      <c r="AH4" s="15" cm="1">
        <f t="array" ref="AH4">+HLOOKUP($A$1,+[55]İcmal!$B$19:$AG$49,ROW(A2)+1,FALSE)</f>
        <v>0</v>
      </c>
      <c r="AI4" s="15" cm="1">
        <f t="array" ref="AI4">+HLOOKUP($A$1,+[56]İcmal!$B$19:$AG$49,ROW(A2)+1,FALSE)</f>
        <v>0</v>
      </c>
      <c r="AJ4" s="15" cm="1">
        <f t="array" ref="AJ4">+HLOOKUP($A$1,+[57]İcmal!$B$19:$AG$49,ROW(A2)+1,FALSE)</f>
        <v>0</v>
      </c>
      <c r="AK4" s="15" cm="1">
        <f t="array" ref="AK4">+HLOOKUP($A$1,+[58]İcmal!$B$19:$AG$49,ROW(B2)+1,FALSE)</f>
        <v>0</v>
      </c>
      <c r="AL4" s="15"/>
      <c r="AM4" s="15"/>
      <c r="AN4" s="15"/>
      <c r="AO4" s="13"/>
    </row>
    <row r="5" spans="1:41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+HLOOKUP($A$1,+[31]İcmal!$B$19:$AG$49,ROW(A3)+1,FALSE)</f>
        <v>0</v>
      </c>
      <c r="K5" s="15" cm="1">
        <f t="array" ref="K5">+HLOOKUP($A$1,+[32]İcmal!$B$19:$AG$49,ROW(B3)+1,FALSE)</f>
        <v>0</v>
      </c>
      <c r="L5" s="15" cm="1">
        <f t="array" ref="L5">+HLOOKUP($A$1,+[33]İcmal!$B$19:$AG$49,ROW(C3)+1,FALSE)</f>
        <v>0</v>
      </c>
      <c r="M5" s="15" cm="1">
        <f t="array" ref="M5">+HLOOKUP($A$1,+[34]İcmal!$B$19:$AG$49,ROW(D3)+1,FALSE)</f>
        <v>0</v>
      </c>
      <c r="N5" s="15" cm="1">
        <f t="array" ref="N5">+HLOOKUP($A$1,+[35]İcmal!$B$19:$AG$49,ROW(A3)+1,FALSE)</f>
        <v>0</v>
      </c>
      <c r="O5" s="15" cm="1">
        <f t="array" ref="O5">+HLOOKUP($A$1,+[36]İcmal!$B$19:$AG$49,ROW(B3)+1,FALSE)</f>
        <v>0</v>
      </c>
      <c r="P5" s="15" cm="1">
        <f t="array" ref="P5">+HLOOKUP($A$1,+[37]İcmal!$B$19:$AG$49,ROW(C3)+1,FALSE)</f>
        <v>0</v>
      </c>
      <c r="Q5" s="15" cm="1">
        <f t="array" ref="Q5">+HLOOKUP($A$1,+[38]İcmal!$B$19:$AG$49,ROW(D3)+1,FALSE)</f>
        <v>0</v>
      </c>
      <c r="R5" s="15" cm="1">
        <f t="array" ref="R5">+HLOOKUP($A$1,+[39]İcmal!$B$19:$AG$49,ROW(A3)+1,FALSE)</f>
        <v>0</v>
      </c>
      <c r="S5" s="15" cm="1">
        <f t="array" ref="S5">+HLOOKUP($A$1,+[40]İcmal!$B$19:$AG$49,ROW(B3)+1,FALSE)</f>
        <v>0</v>
      </c>
      <c r="T5" s="15" cm="1">
        <f t="array" ref="T5">+HLOOKUP($A$1,+[41]İcmal!$B$19:$AG$49,ROW(C3)+1,FALSE)</f>
        <v>0</v>
      </c>
      <c r="U5" s="15" cm="1">
        <f t="array" ref="U5">+HLOOKUP($A$1,+[42]İcmal!$B$19:$AG$49,ROW(D3)+1,FALSE)</f>
        <v>0</v>
      </c>
      <c r="V5" s="15" cm="1">
        <f t="array" ref="V5">+HLOOKUP($A$1,+[43]İcmal!$B$19:$AG$49,ROW(A3)+1,FALSE)</f>
        <v>0</v>
      </c>
      <c r="W5" s="15" cm="1">
        <f t="array" ref="W5">+HLOOKUP($A$1,+[44]İcmal!$B$19:$AG$49,ROW(B3)+1,FALSE)</f>
        <v>0</v>
      </c>
      <c r="X5" s="15" cm="1">
        <f t="array" ref="X5">+HLOOKUP($A$1,+[45]İcmal!$B$19:$AG$49,ROW(C3)+1,FALSE)</f>
        <v>0</v>
      </c>
      <c r="Y5" s="15" cm="1">
        <f t="array" ref="Y5">+HLOOKUP($A$1,+[46]İcmal!$B$19:$AG$49,ROW(D3)+1,FALSE)</f>
        <v>0</v>
      </c>
      <c r="Z5" s="15" cm="1">
        <f t="array" ref="Z5">+HLOOKUP($A$1,+[47]İcmal!$B$19:$AG$49,ROW(A3)+1,FALSE)</f>
        <v>0</v>
      </c>
      <c r="AA5" s="15" cm="1">
        <f t="array" ref="AA5">+HLOOKUP($A$1,+[48]İcmal!$B$19:$AG$49,ROW(B3)+1,FALSE)</f>
        <v>0</v>
      </c>
      <c r="AB5" s="15" cm="1">
        <f t="array" ref="AB5">+HLOOKUP($A$1,+[49]İcmal!$B$19:$AG$49,ROW(A3)+1,FALSE)</f>
        <v>0</v>
      </c>
      <c r="AC5" s="15" cm="1">
        <f t="array" ref="AC5">+HLOOKUP($A$1,+[50]İcmal!$B$19:$AG$49,ROW(A3)+1,FALSE)</f>
        <v>0</v>
      </c>
      <c r="AD5" s="15" cm="1">
        <f t="array" ref="AD5">+HLOOKUP($A$1,+[51]İcmal!$B$19:$AG$49,ROW(A3)+1,FALSE)</f>
        <v>0</v>
      </c>
      <c r="AE5" s="15" cm="1">
        <f t="array" ref="AE5">+HLOOKUP($A$1,+[52]İcmal!$B$19:$AG$49,ROW(A3)+1,FALSE)</f>
        <v>0</v>
      </c>
      <c r="AF5" s="50" cm="1">
        <f t="array" ref="AF5">+HLOOKUP($A$1,+[53]İcmal!$B$19:$AG$49,ROW(A3)+1,FALSE)</f>
        <v>0</v>
      </c>
      <c r="AG5" s="15" cm="1">
        <f t="array" ref="AG5">+HLOOKUP($A$1,+[54]İcmal!$B$19:$AG$49,ROW(A3)+1,FALSE)</f>
        <v>0</v>
      </c>
      <c r="AH5" s="15" cm="1">
        <f t="array" ref="AH5">+HLOOKUP($A$1,+[55]İcmal!$B$19:$AG$49,ROW(A3)+1,FALSE)</f>
        <v>0</v>
      </c>
      <c r="AI5" s="15" cm="1">
        <f t="array" ref="AI5">+HLOOKUP($A$1,+[56]İcmal!$B$19:$AG$49,ROW(A3)+1,FALSE)</f>
        <v>0</v>
      </c>
      <c r="AJ5" s="15" cm="1">
        <f t="array" ref="AJ5">+HLOOKUP($A$1,+[57]İcmal!$B$19:$AG$49,ROW(A3)+1,FALSE)</f>
        <v>0</v>
      </c>
      <c r="AK5" s="15" cm="1">
        <f t="array" ref="AK5">+HLOOKUP($A$1,+[58]İcmal!$B$19:$AG$49,ROW(B3)+1,FALSE)</f>
        <v>0</v>
      </c>
      <c r="AL5" s="15"/>
      <c r="AM5" s="15"/>
      <c r="AN5" s="15"/>
      <c r="AO5" s="13"/>
    </row>
    <row r="6" spans="1:41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570.85000000000014</v>
      </c>
      <c r="I6" s="9">
        <f t="shared" si="2"/>
        <v>8753413.9000000022</v>
      </c>
      <c r="J6" s="15" cm="1">
        <f t="array" ref="J6">+HLOOKUP($A$1,+[31]İcmal!$B$19:$AG$49,ROW(A4)+1,FALSE)</f>
        <v>42.300999999999995</v>
      </c>
      <c r="K6" s="15" cm="1">
        <f t="array" ref="K6">+HLOOKUP($A$1,+[32]İcmal!$B$19:$AG$49,ROW(B4)+1,FALSE)</f>
        <v>102.15200000000003</v>
      </c>
      <c r="L6" s="15" cm="1">
        <f t="array" ref="L6">+HLOOKUP($A$1,+[33]İcmal!$B$19:$AG$49,ROW(C4)+1,FALSE)</f>
        <v>0</v>
      </c>
      <c r="M6" s="15" cm="1">
        <f t="array" ref="M6">+HLOOKUP($A$1,+[34]İcmal!$B$19:$AG$49,ROW(D4)+1,FALSE)</f>
        <v>0</v>
      </c>
      <c r="N6" s="15" cm="1">
        <f t="array" ref="N6">+HLOOKUP($A$1,+[35]İcmal!$B$19:$AG$49,ROW(A4)+1,FALSE)</f>
        <v>134.50199999999998</v>
      </c>
      <c r="O6" s="15" cm="1">
        <f t="array" ref="O6">+HLOOKUP($A$1,+[36]İcmal!$B$19:$AG$49,ROW(B4)+1,FALSE)</f>
        <v>0</v>
      </c>
      <c r="P6" s="15" cm="1">
        <f t="array" ref="P6">+HLOOKUP($A$1,+[37]İcmal!$B$19:$AG$49,ROW(C4)+1,FALSE)</f>
        <v>0</v>
      </c>
      <c r="Q6" s="15" cm="1">
        <f t="array" ref="Q6">+HLOOKUP($A$1,+[38]İcmal!$B$19:$AG$49,ROW(D4)+1,FALSE)</f>
        <v>0</v>
      </c>
      <c r="R6" s="15" cm="1">
        <f t="array" ref="R6">+HLOOKUP($A$1,+[39]İcmal!$B$19:$AG$49,ROW(A4)+1,FALSE)</f>
        <v>170.49100000000004</v>
      </c>
      <c r="S6" s="15" cm="1">
        <f t="array" ref="S6">+HLOOKUP($A$1,+[40]İcmal!$B$19:$AG$49,ROW(B4)+1,FALSE)</f>
        <v>0</v>
      </c>
      <c r="T6" s="15" cm="1">
        <f t="array" ref="T6">+HLOOKUP($A$1,+[41]İcmal!$B$19:$AG$49,ROW(C4)+1,FALSE)</f>
        <v>0</v>
      </c>
      <c r="U6" s="15" cm="1">
        <f t="array" ref="U6">+HLOOKUP($A$1,+[42]İcmal!$B$19:$AG$49,ROW(D4)+1,FALSE)</f>
        <v>0</v>
      </c>
      <c r="V6" s="15" cm="1">
        <f t="array" ref="V6">+HLOOKUP($A$1,+[43]İcmal!$B$19:$AG$49,ROW(A4)+1,FALSE)</f>
        <v>0</v>
      </c>
      <c r="W6" s="15" cm="1">
        <f t="array" ref="W6">+HLOOKUP($A$1,+[44]İcmal!$B$19:$AG$49,ROW(B4)+1,FALSE)</f>
        <v>121.40400000000002</v>
      </c>
      <c r="X6" s="15" cm="1">
        <f t="array" ref="X6">+HLOOKUP($A$1,+[45]İcmal!$B$19:$AG$49,ROW(C4)+1,FALSE)</f>
        <v>0</v>
      </c>
      <c r="Y6" s="15" cm="1">
        <f t="array" ref="Y6">+HLOOKUP($A$1,+[46]İcmal!$B$19:$AG$49,ROW(D4)+1,FALSE)</f>
        <v>0</v>
      </c>
      <c r="Z6" s="15" cm="1">
        <f t="array" ref="Z6">+HLOOKUP($A$1,+[47]İcmal!$B$19:$AG$49,ROW(A4)+1,FALSE)</f>
        <v>0</v>
      </c>
      <c r="AA6" s="15" cm="1">
        <f t="array" ref="AA6">+HLOOKUP($A$1,+[48]İcmal!$B$19:$AG$49,ROW(B4)+1,FALSE)</f>
        <v>0</v>
      </c>
      <c r="AB6" s="15" cm="1">
        <f t="array" ref="AB6">+HLOOKUP($A$1,+[49]İcmal!$B$19:$AG$49,ROW(A4)+1,FALSE)</f>
        <v>0</v>
      </c>
      <c r="AC6" s="15" cm="1">
        <f t="array" ref="AC6">+HLOOKUP($A$1,+[50]İcmal!$B$19:$AG$49,ROW(A4)+1,FALSE)</f>
        <v>0</v>
      </c>
      <c r="AD6" s="15" cm="1">
        <f t="array" ref="AD6">+HLOOKUP($A$1,+[51]İcmal!$B$19:$AG$49,ROW(A4)+1,FALSE)</f>
        <v>0</v>
      </c>
      <c r="AE6" s="15" cm="1">
        <f t="array" ref="AE6">+HLOOKUP($A$1,+[52]İcmal!$B$19:$AG$49,ROW(A4)+1,FALSE)</f>
        <v>0</v>
      </c>
      <c r="AF6" s="50" cm="1">
        <f t="array" ref="AF6">+HLOOKUP($A$1,+[53]İcmal!$B$19:$AG$49,ROW(A4)+1,FALSE)</f>
        <v>0</v>
      </c>
      <c r="AG6" s="15" cm="1">
        <f t="array" ref="AG6">+HLOOKUP($A$1,+[54]İcmal!$B$19:$AG$49,ROW(A4)+1,FALSE)</f>
        <v>0</v>
      </c>
      <c r="AH6" s="15" cm="1">
        <f t="array" ref="AH6">+HLOOKUP($A$1,+[55]İcmal!$B$19:$AG$49,ROW(A4)+1,FALSE)</f>
        <v>0</v>
      </c>
      <c r="AI6" s="15" cm="1">
        <f t="array" ref="AI6">+HLOOKUP($A$1,+[56]İcmal!$B$19:$AG$49,ROW(A4)+1,FALSE)</f>
        <v>0</v>
      </c>
      <c r="AJ6" s="15" cm="1">
        <f t="array" ref="AJ6">+HLOOKUP($A$1,+[57]İcmal!$B$19:$AG$49,ROW(A4)+1,FALSE)</f>
        <v>0</v>
      </c>
      <c r="AK6" s="15" cm="1">
        <f t="array" ref="AK6">+HLOOKUP($A$1,+[58]İcmal!$B$19:$AG$49,ROW(B4)+1,FALSE)</f>
        <v>0</v>
      </c>
      <c r="AL6" s="15"/>
      <c r="AM6" s="15"/>
      <c r="AN6" s="15"/>
      <c r="AO6" s="13"/>
    </row>
    <row r="7" spans="1:41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+HLOOKUP($A$1,+[31]İcmal!$B$19:$AG$49,ROW(A5)+1,FALSE)</f>
        <v>0</v>
      </c>
      <c r="K7" s="15" cm="1">
        <f t="array" ref="K7">+HLOOKUP($A$1,+[32]İcmal!$B$19:$AG$49,ROW(B5)+1,FALSE)</f>
        <v>0</v>
      </c>
      <c r="L7" s="15" cm="1">
        <f t="array" ref="L7">+HLOOKUP($A$1,+[33]İcmal!$B$19:$AG$49,ROW(C5)+1,FALSE)</f>
        <v>0</v>
      </c>
      <c r="M7" s="15" cm="1">
        <f t="array" ref="M7">+HLOOKUP($A$1,+[34]İcmal!$B$19:$AG$49,ROW(D5)+1,FALSE)</f>
        <v>0</v>
      </c>
      <c r="N7" s="15" cm="1">
        <f t="array" ref="N7">+HLOOKUP($A$1,+[35]İcmal!$B$19:$AG$49,ROW(A5)+1,FALSE)</f>
        <v>0</v>
      </c>
      <c r="O7" s="15" cm="1">
        <f t="array" ref="O7">+HLOOKUP($A$1,+[36]İcmal!$B$19:$AG$49,ROW(B5)+1,FALSE)</f>
        <v>0</v>
      </c>
      <c r="P7" s="15" cm="1">
        <f t="array" ref="P7">+HLOOKUP($A$1,+[37]İcmal!$B$19:$AG$49,ROW(C5)+1,FALSE)</f>
        <v>0</v>
      </c>
      <c r="Q7" s="15" cm="1">
        <f t="array" ref="Q7">+HLOOKUP($A$1,+[38]İcmal!$B$19:$AG$49,ROW(D5)+1,FALSE)</f>
        <v>0</v>
      </c>
      <c r="R7" s="15" cm="1">
        <f t="array" ref="R7">+HLOOKUP($A$1,+[39]İcmal!$B$19:$AG$49,ROW(A5)+1,FALSE)</f>
        <v>0</v>
      </c>
      <c r="S7" s="15" cm="1">
        <f t="array" ref="S7">+HLOOKUP($A$1,+[40]İcmal!$B$19:$AG$49,ROW(B5)+1,FALSE)</f>
        <v>0</v>
      </c>
      <c r="T7" s="15" cm="1">
        <f t="array" ref="T7">+HLOOKUP($A$1,+[41]İcmal!$B$19:$AG$49,ROW(C5)+1,FALSE)</f>
        <v>0</v>
      </c>
      <c r="U7" s="15" cm="1">
        <f t="array" ref="U7">+HLOOKUP($A$1,+[42]İcmal!$B$19:$AG$49,ROW(D5)+1,FALSE)</f>
        <v>0</v>
      </c>
      <c r="V7" s="15" cm="1">
        <f t="array" ref="V7">+HLOOKUP($A$1,+[43]İcmal!$B$19:$AG$49,ROW(A5)+1,FALSE)</f>
        <v>0</v>
      </c>
      <c r="W7" s="15" cm="1">
        <f t="array" ref="W7">+HLOOKUP($A$1,+[44]İcmal!$B$19:$AG$49,ROW(B5)+1,FALSE)</f>
        <v>0</v>
      </c>
      <c r="X7" s="15" cm="1">
        <f t="array" ref="X7">+HLOOKUP($A$1,+[45]İcmal!$B$19:$AG$49,ROW(C5)+1,FALSE)</f>
        <v>0</v>
      </c>
      <c r="Y7" s="15" cm="1">
        <f t="array" ref="Y7">+HLOOKUP($A$1,+[46]İcmal!$B$19:$AG$49,ROW(D5)+1,FALSE)</f>
        <v>0</v>
      </c>
      <c r="Z7" s="15" cm="1">
        <f t="array" ref="Z7">+HLOOKUP($A$1,+[47]İcmal!$B$19:$AG$49,ROW(A5)+1,FALSE)</f>
        <v>0</v>
      </c>
      <c r="AA7" s="15" cm="1">
        <f t="array" ref="AA7">+HLOOKUP($A$1,+[48]İcmal!$B$19:$AG$49,ROW(B5)+1,FALSE)</f>
        <v>0</v>
      </c>
      <c r="AB7" s="15" cm="1">
        <f t="array" ref="AB7">+HLOOKUP($A$1,+[49]İcmal!$B$19:$AG$49,ROW(A5)+1,FALSE)</f>
        <v>0</v>
      </c>
      <c r="AC7" s="15" cm="1">
        <f t="array" ref="AC7">+HLOOKUP($A$1,+[50]İcmal!$B$19:$AG$49,ROW(A5)+1,FALSE)</f>
        <v>0</v>
      </c>
      <c r="AD7" s="15" cm="1">
        <f t="array" ref="AD7">+HLOOKUP($A$1,+[51]İcmal!$B$19:$AG$49,ROW(A5)+1,FALSE)</f>
        <v>0</v>
      </c>
      <c r="AE7" s="15" cm="1">
        <f t="array" ref="AE7">+HLOOKUP($A$1,+[52]İcmal!$B$19:$AG$49,ROW(A5)+1,FALSE)</f>
        <v>0</v>
      </c>
      <c r="AF7" s="50" cm="1">
        <f t="array" ref="AF7">+HLOOKUP($A$1,+[53]İcmal!$B$19:$AG$49,ROW(A5)+1,FALSE)</f>
        <v>0</v>
      </c>
      <c r="AG7" s="15" cm="1">
        <f t="array" ref="AG7">+HLOOKUP($A$1,+[54]İcmal!$B$19:$AG$49,ROW(A5)+1,FALSE)</f>
        <v>0</v>
      </c>
      <c r="AH7" s="15" cm="1">
        <f t="array" ref="AH7">+HLOOKUP($A$1,+[55]İcmal!$B$19:$AG$49,ROW(A5)+1,FALSE)</f>
        <v>0</v>
      </c>
      <c r="AI7" s="15" cm="1">
        <f t="array" ref="AI7">+HLOOKUP($A$1,+[56]İcmal!$B$19:$AG$49,ROW(A5)+1,FALSE)</f>
        <v>0</v>
      </c>
      <c r="AJ7" s="15" cm="1">
        <f t="array" ref="AJ7">+HLOOKUP($A$1,+[57]İcmal!$B$19:$AG$49,ROW(A5)+1,FALSE)</f>
        <v>0</v>
      </c>
      <c r="AK7" s="15" cm="1">
        <f t="array" ref="AK7">+HLOOKUP($A$1,+[58]İcmal!$B$19:$AG$49,ROW(B5)+1,FALSE)</f>
        <v>0</v>
      </c>
      <c r="AL7" s="15"/>
      <c r="AM7" s="15"/>
      <c r="AN7" s="15"/>
      <c r="AO7" s="13"/>
    </row>
    <row r="8" spans="1:41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+HLOOKUP($A$1,+[31]İcmal!$B$19:$AG$49,ROW(A6)+1,FALSE)</f>
        <v>0</v>
      </c>
      <c r="K8" s="15" cm="1">
        <f t="array" ref="K8">+HLOOKUP($A$1,+[32]İcmal!$B$19:$AG$49,ROW(B6)+1,FALSE)</f>
        <v>0</v>
      </c>
      <c r="L8" s="15" cm="1">
        <f t="array" ref="L8">+HLOOKUP($A$1,+[33]İcmal!$B$19:$AG$49,ROW(C6)+1,FALSE)</f>
        <v>0</v>
      </c>
      <c r="M8" s="15" cm="1">
        <f t="array" ref="M8">+HLOOKUP($A$1,+[34]İcmal!$B$19:$AG$49,ROW(D6)+1,FALSE)</f>
        <v>0</v>
      </c>
      <c r="N8" s="15" cm="1">
        <f t="array" ref="N8">+HLOOKUP($A$1,+[35]İcmal!$B$19:$AG$49,ROW(A6)+1,FALSE)</f>
        <v>0</v>
      </c>
      <c r="O8" s="15" cm="1">
        <f t="array" ref="O8">+HLOOKUP($A$1,+[36]İcmal!$B$19:$AG$49,ROW(B6)+1,FALSE)</f>
        <v>0</v>
      </c>
      <c r="P8" s="15" cm="1">
        <f t="array" ref="P8">+HLOOKUP($A$1,+[37]İcmal!$B$19:$AG$49,ROW(C6)+1,FALSE)</f>
        <v>0</v>
      </c>
      <c r="Q8" s="15" cm="1">
        <f t="array" ref="Q8">+HLOOKUP($A$1,+[38]İcmal!$B$19:$AG$49,ROW(D6)+1,FALSE)</f>
        <v>0</v>
      </c>
      <c r="R8" s="15" cm="1">
        <f t="array" ref="R8">+HLOOKUP($A$1,+[39]İcmal!$B$19:$AG$49,ROW(A6)+1,FALSE)</f>
        <v>0</v>
      </c>
      <c r="S8" s="15" cm="1">
        <f t="array" ref="S8">+HLOOKUP($A$1,+[40]İcmal!$B$19:$AG$49,ROW(B6)+1,FALSE)</f>
        <v>0</v>
      </c>
      <c r="T8" s="15" cm="1">
        <f t="array" ref="T8">+HLOOKUP($A$1,+[41]İcmal!$B$19:$AG$49,ROW(C6)+1,FALSE)</f>
        <v>0</v>
      </c>
      <c r="U8" s="15" cm="1">
        <f t="array" ref="U8">+HLOOKUP($A$1,+[42]İcmal!$B$19:$AG$49,ROW(D6)+1,FALSE)</f>
        <v>0</v>
      </c>
      <c r="V8" s="15" cm="1">
        <f t="array" ref="V8">+HLOOKUP($A$1,+[43]İcmal!$B$19:$AG$49,ROW(A6)+1,FALSE)</f>
        <v>0</v>
      </c>
      <c r="W8" s="15" cm="1">
        <f t="array" ref="W8">+HLOOKUP($A$1,+[44]İcmal!$B$19:$AG$49,ROW(B6)+1,FALSE)</f>
        <v>0</v>
      </c>
      <c r="X8" s="15" cm="1">
        <f t="array" ref="X8">+HLOOKUP($A$1,+[45]İcmal!$B$19:$AG$49,ROW(C6)+1,FALSE)</f>
        <v>0</v>
      </c>
      <c r="Y8" s="15" cm="1">
        <f t="array" ref="Y8">+HLOOKUP($A$1,+[46]İcmal!$B$19:$AG$49,ROW(D6)+1,FALSE)</f>
        <v>0</v>
      </c>
      <c r="Z8" s="15" cm="1">
        <f t="array" ref="Z8">+HLOOKUP($A$1,+[47]İcmal!$B$19:$AG$49,ROW(A6)+1,FALSE)</f>
        <v>0</v>
      </c>
      <c r="AA8" s="15" cm="1">
        <f t="array" ref="AA8">+HLOOKUP($A$1,+[48]İcmal!$B$19:$AG$49,ROW(B6)+1,FALSE)</f>
        <v>0</v>
      </c>
      <c r="AB8" s="15" cm="1">
        <f t="array" ref="AB8">+HLOOKUP($A$1,+[49]İcmal!$B$19:$AG$49,ROW(A6)+1,FALSE)</f>
        <v>0</v>
      </c>
      <c r="AC8" s="15" cm="1">
        <f t="array" ref="AC8">+HLOOKUP($A$1,+[50]İcmal!$B$19:$AG$49,ROW(A6)+1,FALSE)</f>
        <v>0</v>
      </c>
      <c r="AD8" s="15" cm="1">
        <f t="array" ref="AD8">+HLOOKUP($A$1,+[51]İcmal!$B$19:$AG$49,ROW(A6)+1,FALSE)</f>
        <v>0</v>
      </c>
      <c r="AE8" s="15" cm="1">
        <f t="array" ref="AE8">+HLOOKUP($A$1,+[52]İcmal!$B$19:$AG$49,ROW(A6)+1,FALSE)</f>
        <v>0</v>
      </c>
      <c r="AF8" s="50" cm="1">
        <f t="array" ref="AF8">+HLOOKUP($A$1,+[53]İcmal!$B$19:$AG$49,ROW(A6)+1,FALSE)</f>
        <v>0</v>
      </c>
      <c r="AG8" s="15" cm="1">
        <f t="array" ref="AG8">+HLOOKUP($A$1,+[54]İcmal!$B$19:$AG$49,ROW(A6)+1,FALSE)</f>
        <v>0</v>
      </c>
      <c r="AH8" s="15" cm="1">
        <f t="array" ref="AH8">+HLOOKUP($A$1,+[55]İcmal!$B$19:$AG$49,ROW(A6)+1,FALSE)</f>
        <v>0</v>
      </c>
      <c r="AI8" s="15" cm="1">
        <f t="array" ref="AI8">+HLOOKUP($A$1,+[56]İcmal!$B$19:$AG$49,ROW(A6)+1,FALSE)</f>
        <v>0</v>
      </c>
      <c r="AJ8" s="15" cm="1">
        <f t="array" ref="AJ8">+HLOOKUP($A$1,+[57]İcmal!$B$19:$AG$49,ROW(A6)+1,FALSE)</f>
        <v>0</v>
      </c>
      <c r="AK8" s="15" cm="1">
        <f t="array" ref="AK8">+HLOOKUP($A$1,+[58]İcmal!$B$19:$AG$49,ROW(B6)+1,FALSE)</f>
        <v>0</v>
      </c>
      <c r="AL8" s="15"/>
      <c r="AM8" s="15"/>
      <c r="AN8" s="15"/>
      <c r="AO8" s="13"/>
    </row>
    <row r="9" spans="1:41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+HLOOKUP($A$1,+[31]İcmal!$B$19:$AG$49,ROW(A7)+1,FALSE)</f>
        <v>0</v>
      </c>
      <c r="K9" s="15" cm="1">
        <f t="array" ref="K9">+HLOOKUP($A$1,+[32]İcmal!$B$19:$AG$49,ROW(B7)+1,FALSE)</f>
        <v>0</v>
      </c>
      <c r="L9" s="15" cm="1">
        <f t="array" ref="L9">+HLOOKUP($A$1,+[33]İcmal!$B$19:$AG$49,ROW(C7)+1,FALSE)</f>
        <v>0</v>
      </c>
      <c r="M9" s="15" cm="1">
        <f t="array" ref="M9">+HLOOKUP($A$1,+[34]İcmal!$B$19:$AG$49,ROW(D7)+1,FALSE)</f>
        <v>0</v>
      </c>
      <c r="N9" s="15" cm="1">
        <f t="array" ref="N9">+HLOOKUP($A$1,+[35]İcmal!$B$19:$AG$49,ROW(A7)+1,FALSE)</f>
        <v>0</v>
      </c>
      <c r="O9" s="15" cm="1">
        <f t="array" ref="O9">+HLOOKUP($A$1,+[36]İcmal!$B$19:$AG$49,ROW(B7)+1,FALSE)</f>
        <v>0</v>
      </c>
      <c r="P9" s="15" cm="1">
        <f t="array" ref="P9">+HLOOKUP($A$1,+[37]İcmal!$B$19:$AG$49,ROW(C7)+1,FALSE)</f>
        <v>0</v>
      </c>
      <c r="Q9" s="15" cm="1">
        <f t="array" ref="Q9">+HLOOKUP($A$1,+[38]İcmal!$B$19:$AG$49,ROW(D7)+1,FALSE)</f>
        <v>0</v>
      </c>
      <c r="R9" s="15" cm="1">
        <f t="array" ref="R9">+HLOOKUP($A$1,+[39]İcmal!$B$19:$AG$49,ROW(A7)+1,FALSE)</f>
        <v>0</v>
      </c>
      <c r="S9" s="15" cm="1">
        <f t="array" ref="S9">+HLOOKUP($A$1,+[40]İcmal!$B$19:$AG$49,ROW(B7)+1,FALSE)</f>
        <v>0</v>
      </c>
      <c r="T9" s="15" cm="1">
        <f t="array" ref="T9">+HLOOKUP($A$1,+[41]İcmal!$B$19:$AG$49,ROW(C7)+1,FALSE)</f>
        <v>0</v>
      </c>
      <c r="U9" s="15" cm="1">
        <f t="array" ref="U9">+HLOOKUP($A$1,+[42]İcmal!$B$19:$AG$49,ROW(D7)+1,FALSE)</f>
        <v>0</v>
      </c>
      <c r="V9" s="15" cm="1">
        <f t="array" ref="V9">+HLOOKUP($A$1,+[43]İcmal!$B$19:$AG$49,ROW(A7)+1,FALSE)</f>
        <v>0</v>
      </c>
      <c r="W9" s="15" cm="1">
        <f t="array" ref="W9">+HLOOKUP($A$1,+[44]İcmal!$B$19:$AG$49,ROW(B7)+1,FALSE)</f>
        <v>0</v>
      </c>
      <c r="X9" s="15" cm="1">
        <f t="array" ref="X9">+HLOOKUP($A$1,+[45]İcmal!$B$19:$AG$49,ROW(C7)+1,FALSE)</f>
        <v>0</v>
      </c>
      <c r="Y9" s="15" cm="1">
        <f t="array" ref="Y9">+HLOOKUP($A$1,+[46]İcmal!$B$19:$AG$49,ROW(D7)+1,FALSE)</f>
        <v>0</v>
      </c>
      <c r="Z9" s="15" cm="1">
        <f t="array" ref="Z9">+HLOOKUP($A$1,+[47]İcmal!$B$19:$AG$49,ROW(A7)+1,FALSE)</f>
        <v>0</v>
      </c>
      <c r="AA9" s="15" cm="1">
        <f t="array" ref="AA9">+HLOOKUP($A$1,+[48]İcmal!$B$19:$AG$49,ROW(B7)+1,FALSE)</f>
        <v>0</v>
      </c>
      <c r="AB9" s="15" cm="1">
        <f t="array" ref="AB9">+HLOOKUP($A$1,+[49]İcmal!$B$19:$AG$49,ROW(A7)+1,FALSE)</f>
        <v>0</v>
      </c>
      <c r="AC9" s="15" cm="1">
        <f t="array" ref="AC9">+HLOOKUP($A$1,+[50]İcmal!$B$19:$AG$49,ROW(A7)+1,FALSE)</f>
        <v>0</v>
      </c>
      <c r="AD9" s="15" cm="1">
        <f t="array" ref="AD9">+HLOOKUP($A$1,+[51]İcmal!$B$19:$AG$49,ROW(A7)+1,FALSE)</f>
        <v>0</v>
      </c>
      <c r="AE9" s="15" cm="1">
        <f t="array" ref="AE9">+HLOOKUP($A$1,+[52]İcmal!$B$19:$AG$49,ROW(A7)+1,FALSE)</f>
        <v>0</v>
      </c>
      <c r="AF9" s="50" cm="1">
        <f t="array" ref="AF9">+HLOOKUP($A$1,+[53]İcmal!$B$19:$AG$49,ROW(A7)+1,FALSE)</f>
        <v>0</v>
      </c>
      <c r="AG9" s="15" cm="1">
        <f t="array" ref="AG9">+HLOOKUP($A$1,+[54]İcmal!$B$19:$AG$49,ROW(A7)+1,FALSE)</f>
        <v>0</v>
      </c>
      <c r="AH9" s="15" cm="1">
        <f t="array" ref="AH9">+HLOOKUP($A$1,+[55]İcmal!$B$19:$AG$49,ROW(A7)+1,FALSE)</f>
        <v>0</v>
      </c>
      <c r="AI9" s="15" cm="1">
        <f t="array" ref="AI9">+HLOOKUP($A$1,+[56]İcmal!$B$19:$AG$49,ROW(A7)+1,FALSE)</f>
        <v>0</v>
      </c>
      <c r="AJ9" s="15" cm="1">
        <f t="array" ref="AJ9">+HLOOKUP($A$1,+[57]İcmal!$B$19:$AG$49,ROW(A7)+1,FALSE)</f>
        <v>0</v>
      </c>
      <c r="AK9" s="15" cm="1">
        <f t="array" ref="AK9">+HLOOKUP($A$1,+[58]İcmal!$B$19:$AG$49,ROW(B7)+1,FALSE)</f>
        <v>0</v>
      </c>
      <c r="AL9" s="15"/>
      <c r="AM9" s="15"/>
      <c r="AN9" s="15"/>
      <c r="AO9" s="13"/>
    </row>
    <row r="10" spans="1:41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167</v>
      </c>
      <c r="I10" s="9">
        <f t="shared" si="2"/>
        <v>1336000</v>
      </c>
      <c r="J10" s="15" cm="1">
        <f t="array" ref="J10">+HLOOKUP($A$1,+[31]İcmal!$B$19:$AG$49,ROW(A8)+1,FALSE)</f>
        <v>54</v>
      </c>
      <c r="K10" s="15" cm="1">
        <f t="array" ref="K10">+HLOOKUP($A$1,+[32]İcmal!$B$19:$AG$49,ROW(B8)+1,FALSE)</f>
        <v>0</v>
      </c>
      <c r="L10" s="15" cm="1">
        <f t="array" ref="L10">+HLOOKUP($A$1,+[33]İcmal!$B$19:$AG$49,ROW(C8)+1,FALSE)</f>
        <v>0</v>
      </c>
      <c r="M10" s="15" cm="1">
        <f t="array" ref="M10">+HLOOKUP($A$1,+[34]İcmal!$B$19:$AG$49,ROW(D8)+1,FALSE)</f>
        <v>0</v>
      </c>
      <c r="N10" s="15" cm="1">
        <f t="array" ref="N10">+HLOOKUP($A$1,+[35]İcmal!$B$19:$AG$49,ROW(A8)+1,FALSE)</f>
        <v>54</v>
      </c>
      <c r="O10" s="15" cm="1">
        <f t="array" ref="O10">+HLOOKUP($A$1,+[36]İcmal!$B$19:$AG$49,ROW(B8)+1,FALSE)</f>
        <v>0</v>
      </c>
      <c r="P10" s="15" cm="1">
        <f t="array" ref="P10">+HLOOKUP($A$1,+[37]İcmal!$B$19:$AG$49,ROW(C8)+1,FALSE)</f>
        <v>0</v>
      </c>
      <c r="Q10" s="15" cm="1">
        <f t="array" ref="Q10">+HLOOKUP($A$1,+[38]İcmal!$B$19:$AG$49,ROW(D8)+1,FALSE)</f>
        <v>0</v>
      </c>
      <c r="R10" s="15" cm="1">
        <f t="array" ref="R10">+HLOOKUP($A$1,+[39]İcmal!$B$19:$AG$49,ROW(A8)+1,FALSE)</f>
        <v>59</v>
      </c>
      <c r="S10" s="15" cm="1">
        <f t="array" ref="S10">+HLOOKUP($A$1,+[40]İcmal!$B$19:$AG$49,ROW(B8)+1,FALSE)</f>
        <v>0</v>
      </c>
      <c r="T10" s="15" cm="1">
        <f t="array" ref="T10">+HLOOKUP($A$1,+[41]İcmal!$B$19:$AG$49,ROW(C8)+1,FALSE)</f>
        <v>0</v>
      </c>
      <c r="U10" s="15" cm="1">
        <f t="array" ref="U10">+HLOOKUP($A$1,+[42]İcmal!$B$19:$AG$49,ROW(D8)+1,FALSE)</f>
        <v>0</v>
      </c>
      <c r="V10" s="15" cm="1">
        <f t="array" ref="V10">+HLOOKUP($A$1,+[43]İcmal!$B$19:$AG$49,ROW(A8)+1,FALSE)</f>
        <v>0</v>
      </c>
      <c r="W10" s="15" cm="1">
        <f t="array" ref="W10">+HLOOKUP($A$1,+[44]İcmal!$B$19:$AG$49,ROW(B8)+1,FALSE)</f>
        <v>0</v>
      </c>
      <c r="X10" s="15" cm="1">
        <f t="array" ref="X10">+HLOOKUP($A$1,+[45]İcmal!$B$19:$AG$49,ROW(C8)+1,FALSE)</f>
        <v>0</v>
      </c>
      <c r="Y10" s="15" cm="1">
        <f t="array" ref="Y10">+HLOOKUP($A$1,+[46]İcmal!$B$19:$AG$49,ROW(D8)+1,FALSE)</f>
        <v>0</v>
      </c>
      <c r="Z10" s="15" cm="1">
        <f t="array" ref="Z10">+HLOOKUP($A$1,+[47]İcmal!$B$19:$AG$49,ROW(A8)+1,FALSE)</f>
        <v>0</v>
      </c>
      <c r="AA10" s="15" cm="1">
        <f t="array" ref="AA10">+HLOOKUP($A$1,+[48]İcmal!$B$19:$AG$49,ROW(B8)+1,FALSE)</f>
        <v>0</v>
      </c>
      <c r="AB10" s="15" cm="1">
        <f t="array" ref="AB10">+HLOOKUP($A$1,+[49]İcmal!$B$19:$AG$49,ROW(A8)+1,FALSE)</f>
        <v>0</v>
      </c>
      <c r="AC10" s="15" cm="1">
        <f t="array" ref="AC10">+HLOOKUP($A$1,+[50]İcmal!$B$19:$AG$49,ROW(A8)+1,FALSE)</f>
        <v>0</v>
      </c>
      <c r="AD10" s="15" cm="1">
        <f t="array" ref="AD10">+HLOOKUP($A$1,+[51]İcmal!$B$19:$AG$49,ROW(A8)+1,FALSE)</f>
        <v>0</v>
      </c>
      <c r="AE10" s="15" cm="1">
        <f t="array" ref="AE10">+HLOOKUP($A$1,+[52]İcmal!$B$19:$AG$49,ROW(A8)+1,FALSE)</f>
        <v>0</v>
      </c>
      <c r="AF10" s="50" cm="1">
        <f t="array" ref="AF10">+HLOOKUP($A$1,+[53]İcmal!$B$19:$AG$49,ROW(A8)+1,FALSE)</f>
        <v>0</v>
      </c>
      <c r="AG10" s="15" cm="1">
        <f t="array" ref="AG10">+HLOOKUP($A$1,+[54]İcmal!$B$19:$AG$49,ROW(A8)+1,FALSE)</f>
        <v>0</v>
      </c>
      <c r="AH10" s="15" cm="1">
        <f t="array" ref="AH10">+HLOOKUP($A$1,+[55]İcmal!$B$19:$AG$49,ROW(A8)+1,FALSE)</f>
        <v>0</v>
      </c>
      <c r="AI10" s="15" cm="1">
        <f t="array" ref="AI10">+HLOOKUP($A$1,+[56]İcmal!$B$19:$AG$49,ROW(A8)+1,FALSE)</f>
        <v>0</v>
      </c>
      <c r="AJ10" s="15" cm="1">
        <f t="array" ref="AJ10">+HLOOKUP($A$1,+[57]İcmal!$B$19:$AG$49,ROW(A8)+1,FALSE)</f>
        <v>0</v>
      </c>
      <c r="AK10" s="15" cm="1">
        <f t="array" ref="AK10">+HLOOKUP($A$1,+[58]İcmal!$B$19:$AG$49,ROW(B8)+1,FALSE)</f>
        <v>0</v>
      </c>
      <c r="AL10" s="15"/>
      <c r="AM10" s="15"/>
      <c r="AN10" s="15"/>
      <c r="AO10" s="13"/>
    </row>
    <row r="11" spans="1:41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+HLOOKUP($A$1,+[31]İcmal!$B$19:$AG$49,ROW(A9)+1,FALSE)</f>
        <v>0</v>
      </c>
      <c r="K11" s="15" cm="1">
        <f t="array" ref="K11">+HLOOKUP($A$1,+[32]İcmal!$B$19:$AG$49,ROW(B9)+1,FALSE)</f>
        <v>0</v>
      </c>
      <c r="L11" s="15" cm="1">
        <f t="array" ref="L11">+HLOOKUP($A$1,+[33]İcmal!$B$19:$AG$49,ROW(C9)+1,FALSE)</f>
        <v>0</v>
      </c>
      <c r="M11" s="15" cm="1">
        <f t="array" ref="M11">+HLOOKUP($A$1,+[34]İcmal!$B$19:$AG$49,ROW(D9)+1,FALSE)</f>
        <v>0</v>
      </c>
      <c r="N11" s="15" cm="1">
        <f t="array" ref="N11">+HLOOKUP($A$1,+[35]İcmal!$B$19:$AG$49,ROW(A9)+1,FALSE)</f>
        <v>0</v>
      </c>
      <c r="O11" s="15" cm="1">
        <f t="array" ref="O11">+HLOOKUP($A$1,+[36]İcmal!$B$19:$AG$49,ROW(B9)+1,FALSE)</f>
        <v>0</v>
      </c>
      <c r="P11" s="15" cm="1">
        <f t="array" ref="P11">+HLOOKUP($A$1,+[37]İcmal!$B$19:$AG$49,ROW(C9)+1,FALSE)</f>
        <v>0</v>
      </c>
      <c r="Q11" s="15" cm="1">
        <f t="array" ref="Q11">+HLOOKUP($A$1,+[38]İcmal!$B$19:$AG$49,ROW(D9)+1,FALSE)</f>
        <v>0</v>
      </c>
      <c r="R11" s="15" cm="1">
        <f t="array" ref="R11">+HLOOKUP($A$1,+[39]İcmal!$B$19:$AG$49,ROW(A9)+1,FALSE)</f>
        <v>0</v>
      </c>
      <c r="S11" s="15" cm="1">
        <f t="array" ref="S11">+HLOOKUP($A$1,+[40]İcmal!$B$19:$AG$49,ROW(B9)+1,FALSE)</f>
        <v>0</v>
      </c>
      <c r="T11" s="15" cm="1">
        <f t="array" ref="T11">+HLOOKUP($A$1,+[41]İcmal!$B$19:$AG$49,ROW(C9)+1,FALSE)</f>
        <v>0</v>
      </c>
      <c r="U11" s="15" cm="1">
        <f t="array" ref="U11">+HLOOKUP($A$1,+[42]İcmal!$B$19:$AG$49,ROW(D9)+1,FALSE)</f>
        <v>0</v>
      </c>
      <c r="V11" s="15" cm="1">
        <f t="array" ref="V11">+HLOOKUP($A$1,+[43]İcmal!$B$19:$AG$49,ROW(A9)+1,FALSE)</f>
        <v>0</v>
      </c>
      <c r="W11" s="15" cm="1">
        <f t="array" ref="W11">+HLOOKUP($A$1,+[44]İcmal!$B$19:$AG$49,ROW(B9)+1,FALSE)</f>
        <v>0</v>
      </c>
      <c r="X11" s="15" cm="1">
        <f t="array" ref="X11">+HLOOKUP($A$1,+[45]İcmal!$B$19:$AG$49,ROW(C9)+1,FALSE)</f>
        <v>0</v>
      </c>
      <c r="Y11" s="15" cm="1">
        <f t="array" ref="Y11">+HLOOKUP($A$1,+[46]İcmal!$B$19:$AG$49,ROW(D9)+1,FALSE)</f>
        <v>0</v>
      </c>
      <c r="Z11" s="15" cm="1">
        <f t="array" ref="Z11">+HLOOKUP($A$1,+[47]İcmal!$B$19:$AG$49,ROW(A9)+1,FALSE)</f>
        <v>0</v>
      </c>
      <c r="AA11" s="15" cm="1">
        <f t="array" ref="AA11">+HLOOKUP($A$1,+[48]İcmal!$B$19:$AG$49,ROW(B9)+1,FALSE)</f>
        <v>0</v>
      </c>
      <c r="AB11" s="15" cm="1">
        <f t="array" ref="AB11">+HLOOKUP($A$1,+[49]İcmal!$B$19:$AG$49,ROW(A9)+1,FALSE)</f>
        <v>0</v>
      </c>
      <c r="AC11" s="15" cm="1">
        <f t="array" ref="AC11">+HLOOKUP($A$1,+[50]İcmal!$B$19:$AG$49,ROW(A9)+1,FALSE)</f>
        <v>0</v>
      </c>
      <c r="AD11" s="15" cm="1">
        <f t="array" ref="AD11">+HLOOKUP($A$1,+[51]İcmal!$B$19:$AG$49,ROW(A9)+1,FALSE)</f>
        <v>0</v>
      </c>
      <c r="AE11" s="15" cm="1">
        <f t="array" ref="AE11">+HLOOKUP($A$1,+[52]İcmal!$B$19:$AG$49,ROW(A9)+1,FALSE)</f>
        <v>0</v>
      </c>
      <c r="AF11" s="50" cm="1">
        <f t="array" ref="AF11">+HLOOKUP($A$1,+[53]İcmal!$B$19:$AG$49,ROW(A9)+1,FALSE)</f>
        <v>0</v>
      </c>
      <c r="AG11" s="15" cm="1">
        <f t="array" ref="AG11">+HLOOKUP($A$1,+[54]İcmal!$B$19:$AG$49,ROW(A9)+1,FALSE)</f>
        <v>0</v>
      </c>
      <c r="AH11" s="15" cm="1">
        <f t="array" ref="AH11">+HLOOKUP($A$1,+[55]İcmal!$B$19:$AG$49,ROW(A9)+1,FALSE)</f>
        <v>0</v>
      </c>
      <c r="AI11" s="15" cm="1">
        <f t="array" ref="AI11">+HLOOKUP($A$1,+[56]İcmal!$B$19:$AG$49,ROW(A9)+1,FALSE)</f>
        <v>0</v>
      </c>
      <c r="AJ11" s="15" cm="1">
        <f t="array" ref="AJ11">+HLOOKUP($A$1,+[57]İcmal!$B$19:$AG$49,ROW(A9)+1,FALSE)</f>
        <v>0</v>
      </c>
      <c r="AK11" s="15" cm="1">
        <f t="array" ref="AK11">+HLOOKUP($A$1,+[58]İcmal!$B$19:$AG$49,ROW(B9)+1,FALSE)</f>
        <v>0</v>
      </c>
      <c r="AL11" s="15"/>
      <c r="AM11" s="15"/>
      <c r="AN11" s="15"/>
      <c r="AO11" s="13"/>
    </row>
    <row r="12" spans="1:41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+HLOOKUP($A$1,+[31]İcmal!$B$19:$AG$49,ROW(A10)+1,FALSE)</f>
        <v>0</v>
      </c>
      <c r="K12" s="15" cm="1">
        <f t="array" ref="K12">+HLOOKUP($A$1,+[32]İcmal!$B$19:$AG$49,ROW(B10)+1,FALSE)</f>
        <v>0</v>
      </c>
      <c r="L12" s="15" cm="1">
        <f t="array" ref="L12">+HLOOKUP($A$1,+[33]İcmal!$B$19:$AG$49,ROW(C10)+1,FALSE)</f>
        <v>0</v>
      </c>
      <c r="M12" s="15" cm="1">
        <f t="array" ref="M12">+HLOOKUP($A$1,+[34]İcmal!$B$19:$AG$49,ROW(D10)+1,FALSE)</f>
        <v>0</v>
      </c>
      <c r="N12" s="15" cm="1">
        <f t="array" ref="N12">+HLOOKUP($A$1,+[35]İcmal!$B$19:$AG$49,ROW(A10)+1,FALSE)</f>
        <v>0</v>
      </c>
      <c r="O12" s="15" cm="1">
        <f t="array" ref="O12">+HLOOKUP($A$1,+[36]İcmal!$B$19:$AG$49,ROW(B10)+1,FALSE)</f>
        <v>0</v>
      </c>
      <c r="P12" s="15" cm="1">
        <f t="array" ref="P12">+HLOOKUP($A$1,+[37]İcmal!$B$19:$AG$49,ROW(C10)+1,FALSE)</f>
        <v>0</v>
      </c>
      <c r="Q12" s="15" cm="1">
        <f t="array" ref="Q12">+HLOOKUP($A$1,+[38]İcmal!$B$19:$AG$49,ROW(D10)+1,FALSE)</f>
        <v>0</v>
      </c>
      <c r="R12" s="15" cm="1">
        <f t="array" ref="R12">+HLOOKUP($A$1,+[39]İcmal!$B$19:$AG$49,ROW(A10)+1,FALSE)</f>
        <v>0</v>
      </c>
      <c r="S12" s="15" cm="1">
        <f t="array" ref="S12">+HLOOKUP($A$1,+[40]İcmal!$B$19:$AG$49,ROW(B10)+1,FALSE)</f>
        <v>0</v>
      </c>
      <c r="T12" s="15" cm="1">
        <f t="array" ref="T12">+HLOOKUP($A$1,+[41]İcmal!$B$19:$AG$49,ROW(C10)+1,FALSE)</f>
        <v>0</v>
      </c>
      <c r="U12" s="15" cm="1">
        <f t="array" ref="U12">+HLOOKUP($A$1,+[42]İcmal!$B$19:$AG$49,ROW(D10)+1,FALSE)</f>
        <v>0</v>
      </c>
      <c r="V12" s="15" cm="1">
        <f t="array" ref="V12">+HLOOKUP($A$1,+[43]İcmal!$B$19:$AG$49,ROW(A10)+1,FALSE)</f>
        <v>0</v>
      </c>
      <c r="W12" s="15" cm="1">
        <f t="array" ref="W12">+HLOOKUP($A$1,+[44]İcmal!$B$19:$AG$49,ROW(B10)+1,FALSE)</f>
        <v>0</v>
      </c>
      <c r="X12" s="15" cm="1">
        <f t="array" ref="X12">+HLOOKUP($A$1,+[45]İcmal!$B$19:$AG$49,ROW(C10)+1,FALSE)</f>
        <v>0</v>
      </c>
      <c r="Y12" s="15" cm="1">
        <f t="array" ref="Y12">+HLOOKUP($A$1,+[46]İcmal!$B$19:$AG$49,ROW(D10)+1,FALSE)</f>
        <v>0</v>
      </c>
      <c r="Z12" s="15" cm="1">
        <f t="array" ref="Z12">+HLOOKUP($A$1,+[47]İcmal!$B$19:$AG$49,ROW(A10)+1,FALSE)</f>
        <v>0</v>
      </c>
      <c r="AA12" s="15" cm="1">
        <f t="array" ref="AA12">+HLOOKUP($A$1,+[48]İcmal!$B$19:$AG$49,ROW(B10)+1,FALSE)</f>
        <v>0</v>
      </c>
      <c r="AB12" s="15" cm="1">
        <f t="array" ref="AB12">+HLOOKUP($A$1,+[49]İcmal!$B$19:$AG$49,ROW(A10)+1,FALSE)</f>
        <v>0</v>
      </c>
      <c r="AC12" s="15" cm="1">
        <f t="array" ref="AC12">+HLOOKUP($A$1,+[50]İcmal!$B$19:$AG$49,ROW(A10)+1,FALSE)</f>
        <v>0</v>
      </c>
      <c r="AD12" s="15" cm="1">
        <f t="array" ref="AD12">+HLOOKUP($A$1,+[51]İcmal!$B$19:$AG$49,ROW(A10)+1,FALSE)</f>
        <v>0</v>
      </c>
      <c r="AE12" s="15" cm="1">
        <f t="array" ref="AE12">+HLOOKUP($A$1,+[52]İcmal!$B$19:$AG$49,ROW(A10)+1,FALSE)</f>
        <v>0</v>
      </c>
      <c r="AF12" s="50" cm="1">
        <f t="array" ref="AF12">+HLOOKUP($A$1,+[53]İcmal!$B$19:$AG$49,ROW(A10)+1,FALSE)</f>
        <v>0</v>
      </c>
      <c r="AG12" s="15" cm="1">
        <f t="array" ref="AG12">+HLOOKUP($A$1,+[54]İcmal!$B$19:$AG$49,ROW(A10)+1,FALSE)</f>
        <v>0</v>
      </c>
      <c r="AH12" s="15" cm="1">
        <f t="array" ref="AH12">+HLOOKUP($A$1,+[55]İcmal!$B$19:$AG$49,ROW(A10)+1,FALSE)</f>
        <v>0</v>
      </c>
      <c r="AI12" s="15" cm="1">
        <f t="array" ref="AI12">+HLOOKUP($A$1,+[56]İcmal!$B$19:$AG$49,ROW(A10)+1,FALSE)</f>
        <v>0</v>
      </c>
      <c r="AJ12" s="15" cm="1">
        <f t="array" ref="AJ12">+HLOOKUP($A$1,+[57]İcmal!$B$19:$AG$49,ROW(A10)+1,FALSE)</f>
        <v>0</v>
      </c>
      <c r="AK12" s="15" cm="1">
        <f t="array" ref="AK12">+HLOOKUP($A$1,+[58]İcmal!$B$19:$AG$49,ROW(B10)+1,FALSE)</f>
        <v>0</v>
      </c>
      <c r="AL12" s="15"/>
      <c r="AM12" s="15"/>
      <c r="AN12" s="15"/>
      <c r="AO12" s="13"/>
    </row>
    <row r="13" spans="1:41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234</v>
      </c>
      <c r="I13" s="9">
        <f t="shared" si="2"/>
        <v>6552000</v>
      </c>
      <c r="J13" s="15" cm="1">
        <f t="array" ref="J13">+HLOOKUP($A$1,+[31]İcmal!$B$19:$AG$49,ROW(A11)+1,FALSE)</f>
        <v>36</v>
      </c>
      <c r="K13" s="15" cm="1">
        <f t="array" ref="K13">+HLOOKUP($A$1,+[32]İcmal!$B$19:$AG$49,ROW(B11)+1,FALSE)</f>
        <v>54</v>
      </c>
      <c r="L13" s="15" cm="1">
        <f t="array" ref="L13">+HLOOKUP($A$1,+[33]İcmal!$B$19:$AG$49,ROW(C11)+1,FALSE)</f>
        <v>0</v>
      </c>
      <c r="M13" s="15" cm="1">
        <f t="array" ref="M13">+HLOOKUP($A$1,+[34]İcmal!$B$19:$AG$49,ROW(D11)+1,FALSE)</f>
        <v>0</v>
      </c>
      <c r="N13" s="15" cm="1">
        <f t="array" ref="N13">+HLOOKUP($A$1,+[35]İcmal!$B$19:$AG$49,ROW(A11)+1,FALSE)</f>
        <v>36</v>
      </c>
      <c r="O13" s="15" cm="1">
        <f t="array" ref="O13">+HLOOKUP($A$1,+[36]İcmal!$B$19:$AG$49,ROW(B11)+1,FALSE)</f>
        <v>0</v>
      </c>
      <c r="P13" s="15" cm="1">
        <f t="array" ref="P13">+HLOOKUP($A$1,+[37]İcmal!$B$19:$AG$49,ROW(C11)+1,FALSE)</f>
        <v>0</v>
      </c>
      <c r="Q13" s="15" cm="1">
        <f t="array" ref="Q13">+HLOOKUP($A$1,+[38]İcmal!$B$19:$AG$49,ROW(D11)+1,FALSE)</f>
        <v>0</v>
      </c>
      <c r="R13" s="15" cm="1">
        <f t="array" ref="R13">+HLOOKUP($A$1,+[39]İcmal!$B$19:$AG$49,ROW(A11)+1,FALSE)</f>
        <v>39</v>
      </c>
      <c r="S13" s="15" cm="1">
        <f t="array" ref="S13">+HLOOKUP($A$1,+[40]İcmal!$B$19:$AG$49,ROW(B11)+1,FALSE)</f>
        <v>0</v>
      </c>
      <c r="T13" s="15" cm="1">
        <f t="array" ref="T13">+HLOOKUP($A$1,+[41]İcmal!$B$19:$AG$49,ROW(C11)+1,FALSE)</f>
        <v>0</v>
      </c>
      <c r="U13" s="15" cm="1">
        <f t="array" ref="U13">+HLOOKUP($A$1,+[42]İcmal!$B$19:$AG$49,ROW(D11)+1,FALSE)</f>
        <v>0</v>
      </c>
      <c r="V13" s="15" cm="1">
        <f t="array" ref="V13">+HLOOKUP($A$1,+[43]İcmal!$B$19:$AG$49,ROW(A11)+1,FALSE)</f>
        <v>0</v>
      </c>
      <c r="W13" s="15" cm="1">
        <f t="array" ref="W13">+HLOOKUP($A$1,+[44]İcmal!$B$19:$AG$49,ROW(B11)+1,FALSE)</f>
        <v>69</v>
      </c>
      <c r="X13" s="15" cm="1">
        <f t="array" ref="X13">+HLOOKUP($A$1,+[45]İcmal!$B$19:$AG$49,ROW(C11)+1,FALSE)</f>
        <v>0</v>
      </c>
      <c r="Y13" s="15" cm="1">
        <f t="array" ref="Y13">+HLOOKUP($A$1,+[46]İcmal!$B$19:$AG$49,ROW(D11)+1,FALSE)</f>
        <v>0</v>
      </c>
      <c r="Z13" s="15" cm="1">
        <f t="array" ref="Z13">+HLOOKUP($A$1,+[47]İcmal!$B$19:$AG$49,ROW(A11)+1,FALSE)</f>
        <v>0</v>
      </c>
      <c r="AA13" s="15" cm="1">
        <f t="array" ref="AA13">+HLOOKUP($A$1,+[48]İcmal!$B$19:$AG$49,ROW(B11)+1,FALSE)</f>
        <v>0</v>
      </c>
      <c r="AB13" s="15" cm="1">
        <f t="array" ref="AB13">+HLOOKUP($A$1,+[49]İcmal!$B$19:$AG$49,ROW(A11)+1,FALSE)</f>
        <v>0</v>
      </c>
      <c r="AC13" s="15" cm="1">
        <f t="array" ref="AC13">+HLOOKUP($A$1,+[50]İcmal!$B$19:$AG$49,ROW(A11)+1,FALSE)</f>
        <v>0</v>
      </c>
      <c r="AD13" s="15" cm="1">
        <f t="array" ref="AD13">+HLOOKUP($A$1,+[51]İcmal!$B$19:$AG$49,ROW(A11)+1,FALSE)</f>
        <v>0</v>
      </c>
      <c r="AE13" s="15" cm="1">
        <f t="array" ref="AE13">+HLOOKUP($A$1,+[52]İcmal!$B$19:$AG$49,ROW(A11)+1,FALSE)</f>
        <v>0</v>
      </c>
      <c r="AF13" s="50" cm="1">
        <f t="array" ref="AF13">+HLOOKUP($A$1,+[53]İcmal!$B$19:$AG$49,ROW(A11)+1,FALSE)</f>
        <v>0</v>
      </c>
      <c r="AG13" s="15" cm="1">
        <f t="array" ref="AG13">+HLOOKUP($A$1,+[54]İcmal!$B$19:$AG$49,ROW(A11)+1,FALSE)</f>
        <v>0</v>
      </c>
      <c r="AH13" s="15" cm="1">
        <f t="array" ref="AH13">+HLOOKUP($A$1,+[55]İcmal!$B$19:$AG$49,ROW(A11)+1,FALSE)</f>
        <v>0</v>
      </c>
      <c r="AI13" s="15" cm="1">
        <f t="array" ref="AI13">+HLOOKUP($A$1,+[56]İcmal!$B$19:$AG$49,ROW(A11)+1,FALSE)</f>
        <v>0</v>
      </c>
      <c r="AJ13" s="15" cm="1">
        <f t="array" ref="AJ13">+HLOOKUP($A$1,+[57]İcmal!$B$19:$AG$49,ROW(A11)+1,FALSE)</f>
        <v>0</v>
      </c>
      <c r="AK13" s="15" cm="1">
        <f t="array" ref="AK13">+HLOOKUP($A$1,+[58]İcmal!$B$19:$AG$49,ROW(B11)+1,FALSE)</f>
        <v>0</v>
      </c>
      <c r="AL13" s="15"/>
      <c r="AM13" s="15"/>
      <c r="AN13" s="15"/>
      <c r="AO13" s="13"/>
    </row>
    <row r="14" spans="1:41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2763</v>
      </c>
      <c r="I14" s="9">
        <f t="shared" si="2"/>
        <v>1036125</v>
      </c>
      <c r="J14" s="15" cm="1">
        <f t="array" ref="J14">+HLOOKUP($A$1,+[31]İcmal!$B$19:$AG$49,ROW(A12)+1,FALSE)</f>
        <v>0</v>
      </c>
      <c r="K14" s="15" cm="1">
        <f t="array" ref="K14">+HLOOKUP($A$1,+[32]İcmal!$B$19:$AG$49,ROW(B12)+1,FALSE)</f>
        <v>486</v>
      </c>
      <c r="L14" s="15" cm="1">
        <f t="array" ref="L14">+HLOOKUP($A$1,+[33]İcmal!$B$19:$AG$49,ROW(C12)+1,FALSE)</f>
        <v>0</v>
      </c>
      <c r="M14" s="15" cm="1">
        <f t="array" ref="M14">+HLOOKUP($A$1,+[34]İcmal!$B$19:$AG$49,ROW(D12)+1,FALSE)</f>
        <v>0</v>
      </c>
      <c r="N14" s="15" cm="1">
        <f t="array" ref="N14">+HLOOKUP($A$1,+[35]İcmal!$B$19:$AG$49,ROW(A12)+1,FALSE)</f>
        <v>900</v>
      </c>
      <c r="O14" s="15" cm="1">
        <f t="array" ref="O14">+HLOOKUP($A$1,+[36]İcmal!$B$19:$AG$49,ROW(B12)+1,FALSE)</f>
        <v>0</v>
      </c>
      <c r="P14" s="15" cm="1">
        <f t="array" ref="P14">+HLOOKUP($A$1,+[37]İcmal!$B$19:$AG$49,ROW(C12)+1,FALSE)</f>
        <v>0</v>
      </c>
      <c r="Q14" s="15" cm="1">
        <f t="array" ref="Q14">+HLOOKUP($A$1,+[38]İcmal!$B$19:$AG$49,ROW(D12)+1,FALSE)</f>
        <v>0</v>
      </c>
      <c r="R14" s="15" cm="1">
        <f t="array" ref="R14">+HLOOKUP($A$1,+[39]İcmal!$B$19:$AG$49,ROW(A12)+1,FALSE)</f>
        <v>675</v>
      </c>
      <c r="S14" s="15" cm="1">
        <f t="array" ref="S14">+HLOOKUP($A$1,+[40]İcmal!$B$19:$AG$49,ROW(B12)+1,FALSE)</f>
        <v>0</v>
      </c>
      <c r="T14" s="15" cm="1">
        <f t="array" ref="T14">+HLOOKUP($A$1,+[41]İcmal!$B$19:$AG$49,ROW(C12)+1,FALSE)</f>
        <v>0</v>
      </c>
      <c r="U14" s="15" cm="1">
        <f t="array" ref="U14">+HLOOKUP($A$1,+[42]İcmal!$B$19:$AG$49,ROW(D12)+1,FALSE)</f>
        <v>0</v>
      </c>
      <c r="V14" s="15" cm="1">
        <f t="array" ref="V14">+HLOOKUP($A$1,+[43]İcmal!$B$19:$AG$49,ROW(A12)+1,FALSE)</f>
        <v>0</v>
      </c>
      <c r="W14" s="15" cm="1">
        <f t="array" ref="W14">+HLOOKUP($A$1,+[44]İcmal!$B$19:$AG$49,ROW(B12)+1,FALSE)</f>
        <v>702</v>
      </c>
      <c r="X14" s="15" cm="1">
        <f t="array" ref="X14">+HLOOKUP($A$1,+[45]İcmal!$B$19:$AG$49,ROW(C12)+1,FALSE)</f>
        <v>0</v>
      </c>
      <c r="Y14" s="15" cm="1">
        <f t="array" ref="Y14">+HLOOKUP($A$1,+[46]İcmal!$B$19:$AG$49,ROW(D12)+1,FALSE)</f>
        <v>0</v>
      </c>
      <c r="Z14" s="15" cm="1">
        <f t="array" ref="Z14">+HLOOKUP($A$1,+[47]İcmal!$B$19:$AG$49,ROW(A12)+1,FALSE)</f>
        <v>0</v>
      </c>
      <c r="AA14" s="15" cm="1">
        <f t="array" ref="AA14">+HLOOKUP($A$1,+[48]İcmal!$B$19:$AG$49,ROW(B12)+1,FALSE)</f>
        <v>0</v>
      </c>
      <c r="AB14" s="15" cm="1">
        <f t="array" ref="AB14">+HLOOKUP($A$1,+[49]İcmal!$B$19:$AG$49,ROW(A12)+1,FALSE)</f>
        <v>0</v>
      </c>
      <c r="AC14" s="15" cm="1">
        <f t="array" ref="AC14">+HLOOKUP($A$1,+[50]İcmal!$B$19:$AG$49,ROW(A12)+1,FALSE)</f>
        <v>0</v>
      </c>
      <c r="AD14" s="15" cm="1">
        <f t="array" ref="AD14">+HLOOKUP($A$1,+[51]İcmal!$B$19:$AG$49,ROW(A12)+1,FALSE)</f>
        <v>0</v>
      </c>
      <c r="AE14" s="15" cm="1">
        <f t="array" ref="AE14">+HLOOKUP($A$1,+[52]İcmal!$B$19:$AG$49,ROW(A12)+1,FALSE)</f>
        <v>0</v>
      </c>
      <c r="AF14" s="50" cm="1">
        <f t="array" ref="AF14">+HLOOKUP($A$1,+[53]İcmal!$B$19:$AG$49,ROW(A12)+1,FALSE)</f>
        <v>0</v>
      </c>
      <c r="AG14" s="15" cm="1">
        <f t="array" ref="AG14">+HLOOKUP($A$1,+[54]İcmal!$B$19:$AG$49,ROW(A12)+1,FALSE)</f>
        <v>0</v>
      </c>
      <c r="AH14" s="15" cm="1">
        <f t="array" ref="AH14">+HLOOKUP($A$1,+[55]İcmal!$B$19:$AG$49,ROW(A12)+1,FALSE)</f>
        <v>0</v>
      </c>
      <c r="AI14" s="15" cm="1">
        <f t="array" ref="AI14">+HLOOKUP($A$1,+[56]İcmal!$B$19:$AG$49,ROW(A12)+1,FALSE)</f>
        <v>0</v>
      </c>
      <c r="AJ14" s="15" cm="1">
        <f t="array" ref="AJ14">+HLOOKUP($A$1,+[57]İcmal!$B$19:$AG$49,ROW(A12)+1,FALSE)</f>
        <v>0</v>
      </c>
      <c r="AK14" s="15" cm="1">
        <f t="array" ref="AK14">+HLOOKUP($A$1,+[58]İcmal!$B$19:$AG$49,ROW(B12)+1,FALSE)</f>
        <v>0</v>
      </c>
      <c r="AL14" s="15"/>
      <c r="AM14" s="15"/>
      <c r="AN14" s="15"/>
      <c r="AO14" s="13"/>
    </row>
    <row r="15" spans="1:41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+HLOOKUP($A$1,+[31]İcmal!$B$19:$AG$49,ROW(A13)+1,FALSE)</f>
        <v>0</v>
      </c>
      <c r="K15" s="15" cm="1">
        <f t="array" ref="K15">+HLOOKUP($A$1,+[32]İcmal!$B$19:$AG$49,ROW(B13)+1,FALSE)</f>
        <v>0</v>
      </c>
      <c r="L15" s="15" cm="1">
        <f t="array" ref="L15">+HLOOKUP($A$1,+[33]İcmal!$B$19:$AG$49,ROW(C13)+1,FALSE)</f>
        <v>0</v>
      </c>
      <c r="M15" s="15" cm="1">
        <f t="array" ref="M15">+HLOOKUP($A$1,+[34]İcmal!$B$19:$AG$49,ROW(D13)+1,FALSE)</f>
        <v>0</v>
      </c>
      <c r="N15" s="15" cm="1">
        <f t="array" ref="N15">+HLOOKUP($A$1,+[35]İcmal!$B$19:$AG$49,ROW(A13)+1,FALSE)</f>
        <v>0</v>
      </c>
      <c r="O15" s="15" cm="1">
        <f t="array" ref="O15">+HLOOKUP($A$1,+[36]İcmal!$B$19:$AG$49,ROW(B13)+1,FALSE)</f>
        <v>0</v>
      </c>
      <c r="P15" s="15" cm="1">
        <f t="array" ref="P15">+HLOOKUP($A$1,+[37]İcmal!$B$19:$AG$49,ROW(C13)+1,FALSE)</f>
        <v>0</v>
      </c>
      <c r="Q15" s="15" cm="1">
        <f t="array" ref="Q15">+HLOOKUP($A$1,+[38]İcmal!$B$19:$AG$49,ROW(D13)+1,FALSE)</f>
        <v>0</v>
      </c>
      <c r="R15" s="15" cm="1">
        <f t="array" ref="R15">+HLOOKUP($A$1,+[39]İcmal!$B$19:$AG$49,ROW(A13)+1,FALSE)</f>
        <v>0</v>
      </c>
      <c r="S15" s="15" cm="1">
        <f t="array" ref="S15">+HLOOKUP($A$1,+[40]İcmal!$B$19:$AG$49,ROW(B13)+1,FALSE)</f>
        <v>0</v>
      </c>
      <c r="T15" s="15" cm="1">
        <f t="array" ref="T15">+HLOOKUP($A$1,+[41]İcmal!$B$19:$AG$49,ROW(C13)+1,FALSE)</f>
        <v>0</v>
      </c>
      <c r="U15" s="15" cm="1">
        <f t="array" ref="U15">+HLOOKUP($A$1,+[42]İcmal!$B$19:$AG$49,ROW(D13)+1,FALSE)</f>
        <v>0</v>
      </c>
      <c r="V15" s="15" cm="1">
        <f t="array" ref="V15">+HLOOKUP($A$1,+[43]İcmal!$B$19:$AG$49,ROW(A13)+1,FALSE)</f>
        <v>0</v>
      </c>
      <c r="W15" s="15" cm="1">
        <f t="array" ref="W15">+HLOOKUP($A$1,+[44]İcmal!$B$19:$AG$49,ROW(B13)+1,FALSE)</f>
        <v>0</v>
      </c>
      <c r="X15" s="15" cm="1">
        <f t="array" ref="X15">+HLOOKUP($A$1,+[45]İcmal!$B$19:$AG$49,ROW(C13)+1,FALSE)</f>
        <v>0</v>
      </c>
      <c r="Y15" s="15" cm="1">
        <f t="array" ref="Y15">+HLOOKUP($A$1,+[46]İcmal!$B$19:$AG$49,ROW(D13)+1,FALSE)</f>
        <v>0</v>
      </c>
      <c r="Z15" s="15" cm="1">
        <f t="array" ref="Z15">+HLOOKUP($A$1,+[47]İcmal!$B$19:$AG$49,ROW(A13)+1,FALSE)</f>
        <v>0</v>
      </c>
      <c r="AA15" s="15" cm="1">
        <f t="array" ref="AA15">+HLOOKUP($A$1,+[48]İcmal!$B$19:$AG$49,ROW(B13)+1,FALSE)</f>
        <v>0</v>
      </c>
      <c r="AB15" s="15" cm="1">
        <f t="array" ref="AB15">+HLOOKUP($A$1,+[49]İcmal!$B$19:$AG$49,ROW(A13)+1,FALSE)</f>
        <v>0</v>
      </c>
      <c r="AC15" s="15" cm="1">
        <f t="array" ref="AC15">+HLOOKUP($A$1,+[50]İcmal!$B$19:$AG$49,ROW(A13)+1,FALSE)</f>
        <v>0</v>
      </c>
      <c r="AD15" s="15" cm="1">
        <f t="array" ref="AD15">+HLOOKUP($A$1,+[51]İcmal!$B$19:$AG$49,ROW(A13)+1,FALSE)</f>
        <v>0</v>
      </c>
      <c r="AE15" s="15" cm="1">
        <f t="array" ref="AE15">+HLOOKUP($A$1,+[52]İcmal!$B$19:$AG$49,ROW(A13)+1,FALSE)</f>
        <v>0</v>
      </c>
      <c r="AF15" s="50" cm="1">
        <f t="array" ref="AF15">+HLOOKUP($A$1,+[53]İcmal!$B$19:$AG$49,ROW(A13)+1,FALSE)</f>
        <v>0</v>
      </c>
      <c r="AG15" s="15" cm="1">
        <f t="array" ref="AG15">+HLOOKUP($A$1,+[54]İcmal!$B$19:$AG$49,ROW(A13)+1,FALSE)</f>
        <v>0</v>
      </c>
      <c r="AH15" s="15" cm="1">
        <f t="array" ref="AH15">+HLOOKUP($A$1,+[55]İcmal!$B$19:$AG$49,ROW(A13)+1,FALSE)</f>
        <v>0</v>
      </c>
      <c r="AI15" s="15" cm="1">
        <f t="array" ref="AI15">+HLOOKUP($A$1,+[56]İcmal!$B$19:$AG$49,ROW(A13)+1,FALSE)</f>
        <v>0</v>
      </c>
      <c r="AJ15" s="15" cm="1">
        <f t="array" ref="AJ15">+HLOOKUP($A$1,+[57]İcmal!$B$19:$AG$49,ROW(A13)+1,FALSE)</f>
        <v>0</v>
      </c>
      <c r="AK15" s="15" cm="1">
        <f t="array" ref="AK15">+HLOOKUP($A$1,+[58]İcmal!$B$19:$AG$49,ROW(B13)+1,FALSE)</f>
        <v>0</v>
      </c>
      <c r="AL15" s="15"/>
      <c r="AM15" s="15"/>
      <c r="AN15" s="15"/>
      <c r="AO15" s="13"/>
    </row>
    <row r="16" spans="1:41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107.83900000000001</v>
      </c>
      <c r="I16" s="9">
        <f t="shared" si="2"/>
        <v>10999578.000000002</v>
      </c>
      <c r="J16" s="15" cm="1">
        <f t="array" ref="J16">+HLOOKUP($A$1,+[31]İcmal!$B$19:$AG$49,ROW(A14)+1,FALSE)</f>
        <v>6.1690000000000005</v>
      </c>
      <c r="K16" s="15" cm="1">
        <f t="array" ref="K16">+HLOOKUP($A$1,+[32]İcmal!$B$19:$AG$49,ROW(B14)+1,FALSE)</f>
        <v>19.479000000000003</v>
      </c>
      <c r="L16" s="15" cm="1">
        <f t="array" ref="L16">+HLOOKUP($A$1,+[33]İcmal!$B$19:$AG$49,ROW(C14)+1,FALSE)</f>
        <v>0</v>
      </c>
      <c r="M16" s="15" cm="1">
        <f t="array" ref="M16">+HLOOKUP($A$1,+[34]İcmal!$B$19:$AG$49,ROW(D14)+1,FALSE)</f>
        <v>0</v>
      </c>
      <c r="N16" s="15" cm="1">
        <f t="array" ref="N16">+HLOOKUP($A$1,+[35]İcmal!$B$19:$AG$49,ROW(A14)+1,FALSE)</f>
        <v>26.235999999999997</v>
      </c>
      <c r="O16" s="15" cm="1">
        <f t="array" ref="O16">+HLOOKUP($A$1,+[36]İcmal!$B$19:$AG$49,ROW(B14)+1,FALSE)</f>
        <v>0</v>
      </c>
      <c r="P16" s="15" cm="1">
        <f t="array" ref="P16">+HLOOKUP($A$1,+[37]İcmal!$B$19:$AG$49,ROW(C14)+1,FALSE)</f>
        <v>0</v>
      </c>
      <c r="Q16" s="15" cm="1">
        <f t="array" ref="Q16">+HLOOKUP($A$1,+[38]İcmal!$B$19:$AG$49,ROW(D14)+1,FALSE)</f>
        <v>0</v>
      </c>
      <c r="R16" s="15" cm="1">
        <f t="array" ref="R16">+HLOOKUP($A$1,+[39]İcmal!$B$19:$AG$49,ROW(A14)+1,FALSE)</f>
        <v>33.003000000000014</v>
      </c>
      <c r="S16" s="15" cm="1">
        <f t="array" ref="S16">+HLOOKUP($A$1,+[40]İcmal!$B$19:$AG$49,ROW(B14)+1,FALSE)</f>
        <v>0</v>
      </c>
      <c r="T16" s="15" cm="1">
        <f t="array" ref="T16">+HLOOKUP($A$1,+[41]İcmal!$B$19:$AG$49,ROW(C14)+1,FALSE)</f>
        <v>0</v>
      </c>
      <c r="U16" s="15" cm="1">
        <f t="array" ref="U16">+HLOOKUP($A$1,+[42]İcmal!$B$19:$AG$49,ROW(D14)+1,FALSE)</f>
        <v>0</v>
      </c>
      <c r="V16" s="15" cm="1">
        <f t="array" ref="V16">+HLOOKUP($A$1,+[43]İcmal!$B$19:$AG$49,ROW(A14)+1,FALSE)</f>
        <v>0</v>
      </c>
      <c r="W16" s="15" cm="1">
        <f t="array" ref="W16">+HLOOKUP($A$1,+[44]İcmal!$B$19:$AG$49,ROW(B14)+1,FALSE)</f>
        <v>22.951999999999995</v>
      </c>
      <c r="X16" s="15" cm="1">
        <f t="array" ref="X16">+HLOOKUP($A$1,+[45]İcmal!$B$19:$AG$49,ROW(C14)+1,FALSE)</f>
        <v>0</v>
      </c>
      <c r="Y16" s="15" cm="1">
        <f t="array" ref="Y16">+HLOOKUP($A$1,+[46]İcmal!$B$19:$AG$49,ROW(D14)+1,FALSE)</f>
        <v>0</v>
      </c>
      <c r="Z16" s="15" cm="1">
        <f t="array" ref="Z16">+HLOOKUP($A$1,+[47]İcmal!$B$19:$AG$49,ROW(A14)+1,FALSE)</f>
        <v>0</v>
      </c>
      <c r="AA16" s="15" cm="1">
        <f t="array" ref="AA16">+HLOOKUP($A$1,+[48]İcmal!$B$19:$AG$49,ROW(B14)+1,FALSE)</f>
        <v>0</v>
      </c>
      <c r="AB16" s="15" cm="1">
        <f t="array" ref="AB16">+HLOOKUP($A$1,+[49]İcmal!$B$19:$AG$49,ROW(A14)+1,FALSE)</f>
        <v>0</v>
      </c>
      <c r="AC16" s="15" cm="1">
        <f t="array" ref="AC16">+HLOOKUP($A$1,+[50]İcmal!$B$19:$AG$49,ROW(A14)+1,FALSE)</f>
        <v>0</v>
      </c>
      <c r="AD16" s="15" cm="1">
        <f t="array" ref="AD16">+HLOOKUP($A$1,+[51]İcmal!$B$19:$AG$49,ROW(A14)+1,FALSE)</f>
        <v>0</v>
      </c>
      <c r="AE16" s="15" cm="1">
        <f t="array" ref="AE16">+HLOOKUP($A$1,+[52]İcmal!$B$19:$AG$49,ROW(A14)+1,FALSE)</f>
        <v>0</v>
      </c>
      <c r="AF16" s="50" cm="1">
        <f t="array" ref="AF16">+HLOOKUP($A$1,+[53]İcmal!$B$19:$AG$49,ROW(A14)+1,FALSE)</f>
        <v>0</v>
      </c>
      <c r="AG16" s="15" cm="1">
        <f t="array" ref="AG16">+HLOOKUP($A$1,+[54]İcmal!$B$19:$AG$49,ROW(A14)+1,FALSE)</f>
        <v>0</v>
      </c>
      <c r="AH16" s="15" cm="1">
        <f t="array" ref="AH16">+HLOOKUP($A$1,+[55]İcmal!$B$19:$AG$49,ROW(A14)+1,FALSE)</f>
        <v>0</v>
      </c>
      <c r="AI16" s="15" cm="1">
        <f t="array" ref="AI16">+HLOOKUP($A$1,+[56]İcmal!$B$19:$AG$49,ROW(A14)+1,FALSE)</f>
        <v>0</v>
      </c>
      <c r="AJ16" s="15" cm="1">
        <f t="array" ref="AJ16">+HLOOKUP($A$1,+[57]İcmal!$B$19:$AG$49,ROW(A14)+1,FALSE)</f>
        <v>0</v>
      </c>
      <c r="AK16" s="15" cm="1">
        <f t="array" ref="AK16">+HLOOKUP($A$1,+[58]İcmal!$B$19:$AG$49,ROW(B14)+1,FALSE)</f>
        <v>0</v>
      </c>
      <c r="AL16" s="15"/>
      <c r="AM16" s="15"/>
      <c r="AN16" s="15"/>
      <c r="AO16" s="13"/>
    </row>
    <row r="17" spans="1:41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6606</v>
      </c>
      <c r="I17" s="9">
        <f t="shared" si="2"/>
        <v>22460400</v>
      </c>
      <c r="J17" s="15" cm="1">
        <f t="array" ref="J17">+HLOOKUP($A$1,+[31]İcmal!$B$19:$AG$49,ROW(A15)+1,FALSE)</f>
        <v>0</v>
      </c>
      <c r="K17" s="15" cm="1">
        <f t="array" ref="K17">+HLOOKUP($A$1,+[32]İcmal!$B$19:$AG$49,ROW(B15)+1,FALSE)</f>
        <v>1269</v>
      </c>
      <c r="L17" s="15" cm="1">
        <f t="array" ref="L17">+HLOOKUP($A$1,+[33]İcmal!$B$19:$AG$49,ROW(C15)+1,FALSE)</f>
        <v>0</v>
      </c>
      <c r="M17" s="15" cm="1">
        <f t="array" ref="M17">+HLOOKUP($A$1,+[34]İcmal!$B$19:$AG$49,ROW(D15)+1,FALSE)</f>
        <v>0</v>
      </c>
      <c r="N17" s="15" cm="1">
        <f t="array" ref="N17">+HLOOKUP($A$1,+[35]İcmal!$B$19:$AG$49,ROW(A15)+1,FALSE)</f>
        <v>2088</v>
      </c>
      <c r="O17" s="15" cm="1">
        <f t="array" ref="O17">+HLOOKUP($A$1,+[36]İcmal!$B$19:$AG$49,ROW(B15)+1,FALSE)</f>
        <v>0</v>
      </c>
      <c r="P17" s="15" cm="1">
        <f t="array" ref="P17">+HLOOKUP($A$1,+[37]İcmal!$B$19:$AG$49,ROW(C15)+1,FALSE)</f>
        <v>0</v>
      </c>
      <c r="Q17" s="15" cm="1">
        <f t="array" ref="Q17">+HLOOKUP($A$1,+[38]İcmal!$B$19:$AG$49,ROW(D15)+1,FALSE)</f>
        <v>0</v>
      </c>
      <c r="R17" s="15" cm="1">
        <f t="array" ref="R17">+HLOOKUP($A$1,+[39]İcmal!$B$19:$AG$49,ROW(A15)+1,FALSE)</f>
        <v>1566</v>
      </c>
      <c r="S17" s="15" cm="1">
        <f t="array" ref="S17">+HLOOKUP($A$1,+[40]İcmal!$B$19:$AG$49,ROW(B15)+1,FALSE)</f>
        <v>0</v>
      </c>
      <c r="T17" s="15" cm="1">
        <f t="array" ref="T17">+HLOOKUP($A$1,+[41]İcmal!$B$19:$AG$49,ROW(C15)+1,FALSE)</f>
        <v>0</v>
      </c>
      <c r="U17" s="15" cm="1">
        <f t="array" ref="U17">+HLOOKUP($A$1,+[42]İcmal!$B$19:$AG$49,ROW(D15)+1,FALSE)</f>
        <v>0</v>
      </c>
      <c r="V17" s="15" cm="1">
        <f t="array" ref="V17">+HLOOKUP($A$1,+[43]İcmal!$B$19:$AG$49,ROW(A15)+1,FALSE)</f>
        <v>0</v>
      </c>
      <c r="W17" s="15" cm="1">
        <f t="array" ref="W17">+HLOOKUP($A$1,+[44]İcmal!$B$19:$AG$49,ROW(B15)+1,FALSE)</f>
        <v>1683</v>
      </c>
      <c r="X17" s="15" cm="1">
        <f t="array" ref="X17">+HLOOKUP($A$1,+[45]İcmal!$B$19:$AG$49,ROW(C15)+1,FALSE)</f>
        <v>0</v>
      </c>
      <c r="Y17" s="15" cm="1">
        <f t="array" ref="Y17">+HLOOKUP($A$1,+[46]İcmal!$B$19:$AG$49,ROW(D15)+1,FALSE)</f>
        <v>0</v>
      </c>
      <c r="Z17" s="15" cm="1">
        <f t="array" ref="Z17">+HLOOKUP($A$1,+[47]İcmal!$B$19:$AG$49,ROW(A15)+1,FALSE)</f>
        <v>0</v>
      </c>
      <c r="AA17" s="15" cm="1">
        <f t="array" ref="AA17">+HLOOKUP($A$1,+[48]İcmal!$B$19:$AG$49,ROW(B15)+1,FALSE)</f>
        <v>0</v>
      </c>
      <c r="AB17" s="15" cm="1">
        <f t="array" ref="AB17">+HLOOKUP($A$1,+[49]İcmal!$B$19:$AG$49,ROW(A15)+1,FALSE)</f>
        <v>0</v>
      </c>
      <c r="AC17" s="15" cm="1">
        <f t="array" ref="AC17">+HLOOKUP($A$1,+[50]İcmal!$B$19:$AG$49,ROW(A15)+1,FALSE)</f>
        <v>0</v>
      </c>
      <c r="AD17" s="15" cm="1">
        <f t="array" ref="AD17">+HLOOKUP($A$1,+[51]İcmal!$B$19:$AG$49,ROW(A15)+1,FALSE)</f>
        <v>0</v>
      </c>
      <c r="AE17" s="15" cm="1">
        <f t="array" ref="AE17">+HLOOKUP($A$1,+[52]İcmal!$B$19:$AG$49,ROW(A15)+1,FALSE)</f>
        <v>0</v>
      </c>
      <c r="AF17" s="50" cm="1">
        <f t="array" ref="AF17">+HLOOKUP($A$1,+[53]İcmal!$B$19:$AG$49,ROW(A15)+1,FALSE)</f>
        <v>0</v>
      </c>
      <c r="AG17" s="15" cm="1">
        <f t="array" ref="AG17">+HLOOKUP($A$1,+[54]İcmal!$B$19:$AG$49,ROW(A15)+1,FALSE)</f>
        <v>0</v>
      </c>
      <c r="AH17" s="15" cm="1">
        <f t="array" ref="AH17">+HLOOKUP($A$1,+[55]İcmal!$B$19:$AG$49,ROW(A15)+1,FALSE)</f>
        <v>0</v>
      </c>
      <c r="AI17" s="15" cm="1">
        <f t="array" ref="AI17">+HLOOKUP($A$1,+[56]İcmal!$B$19:$AG$49,ROW(A15)+1,FALSE)</f>
        <v>0</v>
      </c>
      <c r="AJ17" s="15" cm="1">
        <f t="array" ref="AJ17">+HLOOKUP($A$1,+[57]İcmal!$B$19:$AG$49,ROW(A15)+1,FALSE)</f>
        <v>0</v>
      </c>
      <c r="AK17" s="15" cm="1">
        <f t="array" ref="AK17">+HLOOKUP($A$1,+[58]İcmal!$B$19:$AG$49,ROW(B15)+1,FALSE)</f>
        <v>0</v>
      </c>
      <c r="AL17" s="15"/>
      <c r="AM17" s="15"/>
      <c r="AN17" s="15"/>
      <c r="AO17" s="13"/>
    </row>
    <row r="18" spans="1:41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+HLOOKUP($A$1,+[31]İcmal!$B$19:$AG$49,ROW(A16)+1,FALSE)</f>
        <v>0</v>
      </c>
      <c r="K18" s="15" cm="1">
        <f t="array" ref="K18">+HLOOKUP($A$1,+[32]İcmal!$B$19:$AG$49,ROW(B16)+1,FALSE)</f>
        <v>0</v>
      </c>
      <c r="L18" s="15" cm="1">
        <f t="array" ref="L18">+HLOOKUP($A$1,+[33]İcmal!$B$19:$AG$49,ROW(C16)+1,FALSE)</f>
        <v>0</v>
      </c>
      <c r="M18" s="15" cm="1">
        <f t="array" ref="M18">+HLOOKUP($A$1,+[34]İcmal!$B$19:$AG$49,ROW(D16)+1,FALSE)</f>
        <v>0</v>
      </c>
      <c r="N18" s="15" cm="1">
        <f t="array" ref="N18">+HLOOKUP($A$1,+[35]İcmal!$B$19:$AG$49,ROW(A16)+1,FALSE)</f>
        <v>0</v>
      </c>
      <c r="O18" s="15" cm="1">
        <f t="array" ref="O18">+HLOOKUP($A$1,+[36]İcmal!$B$19:$AG$49,ROW(B16)+1,FALSE)</f>
        <v>0</v>
      </c>
      <c r="P18" s="15" cm="1">
        <f t="array" ref="P18">+HLOOKUP($A$1,+[37]İcmal!$B$19:$AG$49,ROW(C16)+1,FALSE)</f>
        <v>0</v>
      </c>
      <c r="Q18" s="15" cm="1">
        <f t="array" ref="Q18">+HLOOKUP($A$1,+[38]İcmal!$B$19:$AG$49,ROW(D16)+1,FALSE)</f>
        <v>0</v>
      </c>
      <c r="R18" s="15" cm="1">
        <f t="array" ref="R18">+HLOOKUP($A$1,+[39]İcmal!$B$19:$AG$49,ROW(A16)+1,FALSE)</f>
        <v>0</v>
      </c>
      <c r="S18" s="15" cm="1">
        <f t="array" ref="S18">+HLOOKUP($A$1,+[40]İcmal!$B$19:$AG$49,ROW(B16)+1,FALSE)</f>
        <v>0</v>
      </c>
      <c r="T18" s="15" cm="1">
        <f t="array" ref="T18">+HLOOKUP($A$1,+[41]İcmal!$B$19:$AG$49,ROW(C16)+1,FALSE)</f>
        <v>0</v>
      </c>
      <c r="U18" s="15" cm="1">
        <f t="array" ref="U18">+HLOOKUP($A$1,+[42]İcmal!$B$19:$AG$49,ROW(D16)+1,FALSE)</f>
        <v>0</v>
      </c>
      <c r="V18" s="15" cm="1">
        <f t="array" ref="V18">+HLOOKUP($A$1,+[43]İcmal!$B$19:$AG$49,ROW(A16)+1,FALSE)</f>
        <v>0</v>
      </c>
      <c r="W18" s="15" cm="1">
        <f t="array" ref="W18">+HLOOKUP($A$1,+[44]İcmal!$B$19:$AG$49,ROW(B16)+1,FALSE)</f>
        <v>0</v>
      </c>
      <c r="X18" s="15" cm="1">
        <f t="array" ref="X18">+HLOOKUP($A$1,+[45]İcmal!$B$19:$AG$49,ROW(C16)+1,FALSE)</f>
        <v>0</v>
      </c>
      <c r="Y18" s="15" cm="1">
        <f t="array" ref="Y18">+HLOOKUP($A$1,+[46]İcmal!$B$19:$AG$49,ROW(D16)+1,FALSE)</f>
        <v>0</v>
      </c>
      <c r="Z18" s="15" cm="1">
        <f t="array" ref="Z18">+HLOOKUP($A$1,+[47]İcmal!$B$19:$AG$49,ROW(A16)+1,FALSE)</f>
        <v>0</v>
      </c>
      <c r="AA18" s="15" cm="1">
        <f t="array" ref="AA18">+HLOOKUP($A$1,+[48]İcmal!$B$19:$AG$49,ROW(B16)+1,FALSE)</f>
        <v>0</v>
      </c>
      <c r="AB18" s="15" cm="1">
        <f t="array" ref="AB18">+HLOOKUP($A$1,+[49]İcmal!$B$19:$AG$49,ROW(A16)+1,FALSE)</f>
        <v>0</v>
      </c>
      <c r="AC18" s="15" cm="1">
        <f t="array" ref="AC18">+HLOOKUP($A$1,+[50]İcmal!$B$19:$AG$49,ROW(A16)+1,FALSE)</f>
        <v>0</v>
      </c>
      <c r="AD18" s="15" cm="1">
        <f t="array" ref="AD18">+HLOOKUP($A$1,+[51]İcmal!$B$19:$AG$49,ROW(A16)+1,FALSE)</f>
        <v>0</v>
      </c>
      <c r="AE18" s="15" cm="1">
        <f t="array" ref="AE18">+HLOOKUP($A$1,+[52]İcmal!$B$19:$AG$49,ROW(A16)+1,FALSE)</f>
        <v>0</v>
      </c>
      <c r="AF18" s="50" cm="1">
        <f t="array" ref="AF18">+HLOOKUP($A$1,+[53]İcmal!$B$19:$AG$49,ROW(A16)+1,FALSE)</f>
        <v>0</v>
      </c>
      <c r="AG18" s="15" cm="1">
        <f t="array" ref="AG18">+HLOOKUP($A$1,+[54]İcmal!$B$19:$AG$49,ROW(A16)+1,FALSE)</f>
        <v>0</v>
      </c>
      <c r="AH18" s="15" cm="1">
        <f t="array" ref="AH18">+HLOOKUP($A$1,+[55]İcmal!$B$19:$AG$49,ROW(A16)+1,FALSE)</f>
        <v>0</v>
      </c>
      <c r="AI18" s="15" cm="1">
        <f t="array" ref="AI18">+HLOOKUP($A$1,+[56]İcmal!$B$19:$AG$49,ROW(A16)+1,FALSE)</f>
        <v>0</v>
      </c>
      <c r="AJ18" s="15" cm="1">
        <f t="array" ref="AJ18">+HLOOKUP($A$1,+[57]İcmal!$B$19:$AG$49,ROW(A16)+1,FALSE)</f>
        <v>0</v>
      </c>
      <c r="AK18" s="15" cm="1">
        <f t="array" ref="AK18">+HLOOKUP($A$1,+[58]İcmal!$B$19:$AG$49,ROW(B16)+1,FALSE)</f>
        <v>0</v>
      </c>
      <c r="AL18" s="15"/>
      <c r="AM18" s="15"/>
      <c r="AN18" s="15"/>
      <c r="AO18" s="13"/>
    </row>
    <row r="19" spans="1:41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+HLOOKUP($A$1,+[31]İcmal!$B$19:$AG$49,ROW(A17)+1,FALSE)</f>
        <v>0</v>
      </c>
      <c r="K19" s="15" cm="1">
        <f t="array" ref="K19">+HLOOKUP($A$1,+[32]İcmal!$B$19:$AG$49,ROW(B17)+1,FALSE)</f>
        <v>0</v>
      </c>
      <c r="L19" s="15" cm="1">
        <f t="array" ref="L19">+HLOOKUP($A$1,+[33]İcmal!$B$19:$AG$49,ROW(C17)+1,FALSE)</f>
        <v>0</v>
      </c>
      <c r="M19" s="15" cm="1">
        <f t="array" ref="M19">+HLOOKUP($A$1,+[34]İcmal!$B$19:$AG$49,ROW(D17)+1,FALSE)</f>
        <v>0</v>
      </c>
      <c r="N19" s="15" cm="1">
        <f t="array" ref="N19">+HLOOKUP($A$1,+[35]İcmal!$B$19:$AG$49,ROW(A17)+1,FALSE)</f>
        <v>0</v>
      </c>
      <c r="O19" s="15" cm="1">
        <f t="array" ref="O19">+HLOOKUP($A$1,+[36]İcmal!$B$19:$AG$49,ROW(B17)+1,FALSE)</f>
        <v>0</v>
      </c>
      <c r="P19" s="15" cm="1">
        <f t="array" ref="P19">+HLOOKUP($A$1,+[37]İcmal!$B$19:$AG$49,ROW(C17)+1,FALSE)</f>
        <v>0</v>
      </c>
      <c r="Q19" s="15" cm="1">
        <f t="array" ref="Q19">+HLOOKUP($A$1,+[38]İcmal!$B$19:$AG$49,ROW(D17)+1,FALSE)</f>
        <v>0</v>
      </c>
      <c r="R19" s="15" cm="1">
        <f t="array" ref="R19">+HLOOKUP($A$1,+[39]İcmal!$B$19:$AG$49,ROW(A17)+1,FALSE)</f>
        <v>0</v>
      </c>
      <c r="S19" s="15" cm="1">
        <f t="array" ref="S19">+HLOOKUP($A$1,+[40]İcmal!$B$19:$AG$49,ROW(B17)+1,FALSE)</f>
        <v>0</v>
      </c>
      <c r="T19" s="15" cm="1">
        <f t="array" ref="T19">+HLOOKUP($A$1,+[41]İcmal!$B$19:$AG$49,ROW(C17)+1,FALSE)</f>
        <v>0</v>
      </c>
      <c r="U19" s="15" cm="1">
        <f t="array" ref="U19">+HLOOKUP($A$1,+[42]İcmal!$B$19:$AG$49,ROW(D17)+1,FALSE)</f>
        <v>0</v>
      </c>
      <c r="V19" s="15" cm="1">
        <f t="array" ref="V19">+HLOOKUP($A$1,+[43]İcmal!$B$19:$AG$49,ROW(A17)+1,FALSE)</f>
        <v>0</v>
      </c>
      <c r="W19" s="15" cm="1">
        <f t="array" ref="W19">+HLOOKUP($A$1,+[44]İcmal!$B$19:$AG$49,ROW(B17)+1,FALSE)</f>
        <v>0</v>
      </c>
      <c r="X19" s="15" cm="1">
        <f t="array" ref="X19">+HLOOKUP($A$1,+[45]İcmal!$B$19:$AG$49,ROW(C17)+1,FALSE)</f>
        <v>0</v>
      </c>
      <c r="Y19" s="15" cm="1">
        <f t="array" ref="Y19">+HLOOKUP($A$1,+[46]İcmal!$B$19:$AG$49,ROW(D17)+1,FALSE)</f>
        <v>0</v>
      </c>
      <c r="Z19" s="15" cm="1">
        <f t="array" ref="Z19">+HLOOKUP($A$1,+[47]İcmal!$B$19:$AG$49,ROW(A17)+1,FALSE)</f>
        <v>0</v>
      </c>
      <c r="AA19" s="15" cm="1">
        <f t="array" ref="AA19">+HLOOKUP($A$1,+[48]İcmal!$B$19:$AG$49,ROW(B17)+1,FALSE)</f>
        <v>0</v>
      </c>
      <c r="AB19" s="15" cm="1">
        <f t="array" ref="AB19">+HLOOKUP($A$1,+[49]İcmal!$B$19:$AG$49,ROW(A17)+1,FALSE)</f>
        <v>0</v>
      </c>
      <c r="AC19" s="15" cm="1">
        <f t="array" ref="AC19">+HLOOKUP($A$1,+[50]İcmal!$B$19:$AG$49,ROW(A17)+1,FALSE)</f>
        <v>0</v>
      </c>
      <c r="AD19" s="15" cm="1">
        <f t="array" ref="AD19">+HLOOKUP($A$1,+[51]İcmal!$B$19:$AG$49,ROW(A17)+1,FALSE)</f>
        <v>0</v>
      </c>
      <c r="AE19" s="15" cm="1">
        <f t="array" ref="AE19">+HLOOKUP($A$1,+[52]İcmal!$B$19:$AG$49,ROW(A17)+1,FALSE)</f>
        <v>0</v>
      </c>
      <c r="AF19" s="50" cm="1">
        <f t="array" ref="AF19">+HLOOKUP($A$1,+[53]İcmal!$B$19:$AG$49,ROW(A17)+1,FALSE)</f>
        <v>0</v>
      </c>
      <c r="AG19" s="15" cm="1">
        <f t="array" ref="AG19">+HLOOKUP($A$1,+[54]İcmal!$B$19:$AG$49,ROW(A17)+1,FALSE)</f>
        <v>0</v>
      </c>
      <c r="AH19" s="15" cm="1">
        <f t="array" ref="AH19">+HLOOKUP($A$1,+[55]İcmal!$B$19:$AG$49,ROW(A17)+1,FALSE)</f>
        <v>0</v>
      </c>
      <c r="AI19" s="15" cm="1">
        <f t="array" ref="AI19">+HLOOKUP($A$1,+[56]İcmal!$B$19:$AG$49,ROW(A17)+1,FALSE)</f>
        <v>0</v>
      </c>
      <c r="AJ19" s="15" cm="1">
        <f t="array" ref="AJ19">+HLOOKUP($A$1,+[57]İcmal!$B$19:$AG$49,ROW(A17)+1,FALSE)</f>
        <v>0</v>
      </c>
      <c r="AK19" s="15" cm="1">
        <f t="array" ref="AK19">+HLOOKUP($A$1,+[58]İcmal!$B$19:$AG$49,ROW(B17)+1,FALSE)</f>
        <v>0</v>
      </c>
      <c r="AL19" s="15"/>
      <c r="AM19" s="15"/>
      <c r="AN19" s="15"/>
      <c r="AO19" s="13"/>
    </row>
    <row r="20" spans="1:41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+HLOOKUP($A$1,+[31]İcmal!$B$19:$AG$49,ROW(A18)+1,FALSE)</f>
        <v>0</v>
      </c>
      <c r="K20" s="15" cm="1">
        <f t="array" ref="K20">+HLOOKUP($A$1,+[32]İcmal!$B$19:$AG$49,ROW(B18)+1,FALSE)</f>
        <v>0</v>
      </c>
      <c r="L20" s="15" cm="1">
        <f t="array" ref="L20">+HLOOKUP($A$1,+[33]İcmal!$B$19:$AG$49,ROW(C18)+1,FALSE)</f>
        <v>0</v>
      </c>
      <c r="M20" s="15" cm="1">
        <f t="array" ref="M20">+HLOOKUP($A$1,+[34]İcmal!$B$19:$AG$49,ROW(D18)+1,FALSE)</f>
        <v>0</v>
      </c>
      <c r="N20" s="15" cm="1">
        <f t="array" ref="N20">+HLOOKUP($A$1,+[35]İcmal!$B$19:$AG$49,ROW(A18)+1,FALSE)</f>
        <v>0</v>
      </c>
      <c r="O20" s="15" cm="1">
        <f t="array" ref="O20">+HLOOKUP($A$1,+[36]İcmal!$B$19:$AG$49,ROW(B18)+1,FALSE)</f>
        <v>0</v>
      </c>
      <c r="P20" s="15" cm="1">
        <f t="array" ref="P20">+HLOOKUP($A$1,+[37]İcmal!$B$19:$AG$49,ROW(C18)+1,FALSE)</f>
        <v>0</v>
      </c>
      <c r="Q20" s="15" cm="1">
        <f t="array" ref="Q20">+HLOOKUP($A$1,+[38]İcmal!$B$19:$AG$49,ROW(D18)+1,FALSE)</f>
        <v>0</v>
      </c>
      <c r="R20" s="15" cm="1">
        <f t="array" ref="R20">+HLOOKUP($A$1,+[39]İcmal!$B$19:$AG$49,ROW(A18)+1,FALSE)</f>
        <v>0</v>
      </c>
      <c r="S20" s="15" cm="1">
        <f t="array" ref="S20">+HLOOKUP($A$1,+[40]İcmal!$B$19:$AG$49,ROW(B18)+1,FALSE)</f>
        <v>0</v>
      </c>
      <c r="T20" s="15" cm="1">
        <f t="array" ref="T20">+HLOOKUP($A$1,+[41]İcmal!$B$19:$AG$49,ROW(C18)+1,FALSE)</f>
        <v>0</v>
      </c>
      <c r="U20" s="15" cm="1">
        <f t="array" ref="U20">+HLOOKUP($A$1,+[42]İcmal!$B$19:$AG$49,ROW(D18)+1,FALSE)</f>
        <v>0</v>
      </c>
      <c r="V20" s="15" cm="1">
        <f t="array" ref="V20">+HLOOKUP($A$1,+[43]İcmal!$B$19:$AG$49,ROW(A18)+1,FALSE)</f>
        <v>0</v>
      </c>
      <c r="W20" s="15" cm="1">
        <f t="array" ref="W20">+HLOOKUP($A$1,+[44]İcmal!$B$19:$AG$49,ROW(B18)+1,FALSE)</f>
        <v>0</v>
      </c>
      <c r="X20" s="15" cm="1">
        <f t="array" ref="X20">+HLOOKUP($A$1,+[45]İcmal!$B$19:$AG$49,ROW(C18)+1,FALSE)</f>
        <v>0</v>
      </c>
      <c r="Y20" s="15" cm="1">
        <f t="array" ref="Y20">+HLOOKUP($A$1,+[46]İcmal!$B$19:$AG$49,ROW(D18)+1,FALSE)</f>
        <v>0</v>
      </c>
      <c r="Z20" s="15" cm="1">
        <f t="array" ref="Z20">+HLOOKUP($A$1,+[47]İcmal!$B$19:$AG$49,ROW(A18)+1,FALSE)</f>
        <v>0</v>
      </c>
      <c r="AA20" s="15" cm="1">
        <f t="array" ref="AA20">+HLOOKUP($A$1,+[48]İcmal!$B$19:$AG$49,ROW(B18)+1,FALSE)</f>
        <v>0</v>
      </c>
      <c r="AB20" s="15" cm="1">
        <f t="array" ref="AB20">+HLOOKUP($A$1,+[49]İcmal!$B$19:$AG$49,ROW(A18)+1,FALSE)</f>
        <v>0</v>
      </c>
      <c r="AC20" s="15" cm="1">
        <f t="array" ref="AC20">+HLOOKUP($A$1,+[50]İcmal!$B$19:$AG$49,ROW(A18)+1,FALSE)</f>
        <v>0</v>
      </c>
      <c r="AD20" s="15" cm="1">
        <f t="array" ref="AD20">+HLOOKUP($A$1,+[51]İcmal!$B$19:$AG$49,ROW(A18)+1,FALSE)</f>
        <v>0</v>
      </c>
      <c r="AE20" s="15" cm="1">
        <f t="array" ref="AE20">+HLOOKUP($A$1,+[52]İcmal!$B$19:$AG$49,ROW(A18)+1,FALSE)</f>
        <v>0</v>
      </c>
      <c r="AF20" s="50" cm="1">
        <f t="array" ref="AF20">+HLOOKUP($A$1,+[53]İcmal!$B$19:$AG$49,ROW(A18)+1,FALSE)</f>
        <v>0</v>
      </c>
      <c r="AG20" s="15" cm="1">
        <f t="array" ref="AG20">+HLOOKUP($A$1,+[54]İcmal!$B$19:$AG$49,ROW(A18)+1,FALSE)</f>
        <v>0</v>
      </c>
      <c r="AH20" s="15" cm="1">
        <f t="array" ref="AH20">+HLOOKUP($A$1,+[55]İcmal!$B$19:$AG$49,ROW(A18)+1,FALSE)</f>
        <v>0</v>
      </c>
      <c r="AI20" s="15" cm="1">
        <f t="array" ref="AI20">+HLOOKUP($A$1,+[56]İcmal!$B$19:$AG$49,ROW(A18)+1,FALSE)</f>
        <v>0</v>
      </c>
      <c r="AJ20" s="15" cm="1">
        <f t="array" ref="AJ20">+HLOOKUP($A$1,+[57]İcmal!$B$19:$AG$49,ROW(A18)+1,FALSE)</f>
        <v>0</v>
      </c>
      <c r="AK20" s="15" cm="1">
        <f t="array" ref="AK20">+HLOOKUP($A$1,+[58]İcmal!$B$19:$AG$49,ROW(B18)+1,FALSE)</f>
        <v>0</v>
      </c>
      <c r="AL20" s="15"/>
      <c r="AM20" s="15"/>
      <c r="AN20" s="15"/>
      <c r="AO20" s="13"/>
    </row>
    <row r="21" spans="1:41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+HLOOKUP($A$1,+[31]İcmal!$B$19:$AG$49,ROW(A19)+1,FALSE)</f>
        <v>0</v>
      </c>
      <c r="K21" s="15" cm="1">
        <f t="array" ref="K21">+HLOOKUP($A$1,+[32]İcmal!$B$19:$AG$49,ROW(B19)+1,FALSE)</f>
        <v>0</v>
      </c>
      <c r="L21" s="15" cm="1">
        <f t="array" ref="L21">+HLOOKUP($A$1,+[33]İcmal!$B$19:$AG$49,ROW(C19)+1,FALSE)</f>
        <v>0</v>
      </c>
      <c r="M21" s="15" cm="1">
        <f t="array" ref="M21">+HLOOKUP($A$1,+[34]İcmal!$B$19:$AG$49,ROW(D19)+1,FALSE)</f>
        <v>0</v>
      </c>
      <c r="N21" s="15" cm="1">
        <f t="array" ref="N21">+HLOOKUP($A$1,+[35]İcmal!$B$19:$AG$49,ROW(A19)+1,FALSE)</f>
        <v>0</v>
      </c>
      <c r="O21" s="15" cm="1">
        <f t="array" ref="O21">+HLOOKUP($A$1,+[36]İcmal!$B$19:$AG$49,ROW(B19)+1,FALSE)</f>
        <v>0</v>
      </c>
      <c r="P21" s="15" cm="1">
        <f t="array" ref="P21">+HLOOKUP($A$1,+[37]İcmal!$B$19:$AG$49,ROW(C19)+1,FALSE)</f>
        <v>0</v>
      </c>
      <c r="Q21" s="15" cm="1">
        <f t="array" ref="Q21">+HLOOKUP($A$1,+[38]İcmal!$B$19:$AG$49,ROW(D19)+1,FALSE)</f>
        <v>0</v>
      </c>
      <c r="R21" s="15" cm="1">
        <f t="array" ref="R21">+HLOOKUP($A$1,+[39]İcmal!$B$19:$AG$49,ROW(A19)+1,FALSE)</f>
        <v>0</v>
      </c>
      <c r="S21" s="15" cm="1">
        <f t="array" ref="S21">+HLOOKUP($A$1,+[40]İcmal!$B$19:$AG$49,ROW(B19)+1,FALSE)</f>
        <v>0</v>
      </c>
      <c r="T21" s="15" cm="1">
        <f t="array" ref="T21">+HLOOKUP($A$1,+[41]İcmal!$B$19:$AG$49,ROW(C19)+1,FALSE)</f>
        <v>0</v>
      </c>
      <c r="U21" s="15" cm="1">
        <f t="array" ref="U21">+HLOOKUP($A$1,+[42]İcmal!$B$19:$AG$49,ROW(D19)+1,FALSE)</f>
        <v>0</v>
      </c>
      <c r="V21" s="15" cm="1">
        <f t="array" ref="V21">+HLOOKUP($A$1,+[43]İcmal!$B$19:$AG$49,ROW(A19)+1,FALSE)</f>
        <v>0</v>
      </c>
      <c r="W21" s="15" cm="1">
        <f t="array" ref="W21">+HLOOKUP($A$1,+[44]İcmal!$B$19:$AG$49,ROW(B19)+1,FALSE)</f>
        <v>0</v>
      </c>
      <c r="X21" s="15" cm="1">
        <f t="array" ref="X21">+HLOOKUP($A$1,+[45]İcmal!$B$19:$AG$49,ROW(C19)+1,FALSE)</f>
        <v>0</v>
      </c>
      <c r="Y21" s="15" cm="1">
        <f t="array" ref="Y21">+HLOOKUP($A$1,+[46]İcmal!$B$19:$AG$49,ROW(D19)+1,FALSE)</f>
        <v>0</v>
      </c>
      <c r="Z21" s="15" cm="1">
        <f t="array" ref="Z21">+HLOOKUP($A$1,+[47]İcmal!$B$19:$AG$49,ROW(A19)+1,FALSE)</f>
        <v>0</v>
      </c>
      <c r="AA21" s="15" cm="1">
        <f t="array" ref="AA21">+HLOOKUP($A$1,+[48]İcmal!$B$19:$AG$49,ROW(B19)+1,FALSE)</f>
        <v>0</v>
      </c>
      <c r="AB21" s="15" cm="1">
        <f t="array" ref="AB21">+HLOOKUP($A$1,+[49]İcmal!$B$19:$AG$49,ROW(A19)+1,FALSE)</f>
        <v>0</v>
      </c>
      <c r="AC21" s="15" cm="1">
        <f t="array" ref="AC21">+HLOOKUP($A$1,+[50]İcmal!$B$19:$AG$49,ROW(A19)+1,FALSE)</f>
        <v>0</v>
      </c>
      <c r="AD21" s="15" cm="1">
        <f t="array" ref="AD21">+HLOOKUP($A$1,+[51]İcmal!$B$19:$AG$49,ROW(A19)+1,FALSE)</f>
        <v>0</v>
      </c>
      <c r="AE21" s="15" cm="1">
        <f t="array" ref="AE21">+HLOOKUP($A$1,+[52]İcmal!$B$19:$AG$49,ROW(A19)+1,FALSE)</f>
        <v>0</v>
      </c>
      <c r="AF21" s="50" cm="1">
        <f t="array" ref="AF21">+HLOOKUP($A$1,+[53]İcmal!$B$19:$AG$49,ROW(A19)+1,FALSE)</f>
        <v>0</v>
      </c>
      <c r="AG21" s="15" cm="1">
        <f t="array" ref="AG21">+HLOOKUP($A$1,+[54]İcmal!$B$19:$AG$49,ROW(A19)+1,FALSE)</f>
        <v>0</v>
      </c>
      <c r="AH21" s="15" cm="1">
        <f t="array" ref="AH21">+HLOOKUP($A$1,+[55]İcmal!$B$19:$AG$49,ROW(A19)+1,FALSE)</f>
        <v>0</v>
      </c>
      <c r="AI21" s="15" cm="1">
        <f t="array" ref="AI21">+HLOOKUP($A$1,+[56]İcmal!$B$19:$AG$49,ROW(A19)+1,FALSE)</f>
        <v>0</v>
      </c>
      <c r="AJ21" s="15" cm="1">
        <f t="array" ref="AJ21">+HLOOKUP($A$1,+[57]İcmal!$B$19:$AG$49,ROW(A19)+1,FALSE)</f>
        <v>0</v>
      </c>
      <c r="AK21" s="15" cm="1">
        <f t="array" ref="AK21">+HLOOKUP($A$1,+[58]İcmal!$B$19:$AG$49,ROW(B19)+1,FALSE)</f>
        <v>0</v>
      </c>
      <c r="AL21" s="15"/>
      <c r="AM21" s="15"/>
      <c r="AN21" s="15"/>
      <c r="AO21" s="13"/>
    </row>
    <row r="22" spans="1:41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+HLOOKUP($A$1,+[31]İcmal!$B$19:$AG$49,ROW(A20)+1,FALSE)</f>
        <v>0</v>
      </c>
      <c r="K22" s="15" cm="1">
        <f t="array" ref="K22">+HLOOKUP($A$1,+[32]İcmal!$B$19:$AG$49,ROW(B20)+1,FALSE)</f>
        <v>0</v>
      </c>
      <c r="L22" s="15" cm="1">
        <f t="array" ref="L22">+HLOOKUP($A$1,+[33]İcmal!$B$19:$AG$49,ROW(C20)+1,FALSE)</f>
        <v>0</v>
      </c>
      <c r="M22" s="15" cm="1">
        <f t="array" ref="M22">+HLOOKUP($A$1,+[34]İcmal!$B$19:$AG$49,ROW(D20)+1,FALSE)</f>
        <v>0</v>
      </c>
      <c r="N22" s="15" cm="1">
        <f t="array" ref="N22">+HLOOKUP($A$1,+[35]İcmal!$B$19:$AG$49,ROW(A20)+1,FALSE)</f>
        <v>0</v>
      </c>
      <c r="O22" s="15" cm="1">
        <f t="array" ref="O22">+HLOOKUP($A$1,+[36]İcmal!$B$19:$AG$49,ROW(B20)+1,FALSE)</f>
        <v>0</v>
      </c>
      <c r="P22" s="15" cm="1">
        <f t="array" ref="P22">+HLOOKUP($A$1,+[37]İcmal!$B$19:$AG$49,ROW(C20)+1,FALSE)</f>
        <v>0</v>
      </c>
      <c r="Q22" s="15" cm="1">
        <f t="array" ref="Q22">+HLOOKUP($A$1,+[38]İcmal!$B$19:$AG$49,ROW(D20)+1,FALSE)</f>
        <v>0</v>
      </c>
      <c r="R22" s="15" cm="1">
        <f t="array" ref="R22">+HLOOKUP($A$1,+[39]İcmal!$B$19:$AG$49,ROW(A20)+1,FALSE)</f>
        <v>0</v>
      </c>
      <c r="S22" s="15" cm="1">
        <f t="array" ref="S22">+HLOOKUP($A$1,+[40]İcmal!$B$19:$AG$49,ROW(B20)+1,FALSE)</f>
        <v>0</v>
      </c>
      <c r="T22" s="15" cm="1">
        <f t="array" ref="T22">+HLOOKUP($A$1,+[41]İcmal!$B$19:$AG$49,ROW(C20)+1,FALSE)</f>
        <v>0</v>
      </c>
      <c r="U22" s="15" cm="1">
        <f t="array" ref="U22">+HLOOKUP($A$1,+[42]İcmal!$B$19:$AG$49,ROW(D20)+1,FALSE)</f>
        <v>0</v>
      </c>
      <c r="V22" s="15" cm="1">
        <f t="array" ref="V22">+HLOOKUP($A$1,+[43]İcmal!$B$19:$AG$49,ROW(A20)+1,FALSE)</f>
        <v>0</v>
      </c>
      <c r="W22" s="15" cm="1">
        <f t="array" ref="W22">+HLOOKUP($A$1,+[44]İcmal!$B$19:$AG$49,ROW(B20)+1,FALSE)</f>
        <v>0</v>
      </c>
      <c r="X22" s="15" cm="1">
        <f t="array" ref="X22">+HLOOKUP($A$1,+[45]İcmal!$B$19:$AG$49,ROW(C20)+1,FALSE)</f>
        <v>0</v>
      </c>
      <c r="Y22" s="15" cm="1">
        <f t="array" ref="Y22">+HLOOKUP($A$1,+[46]İcmal!$B$19:$AG$49,ROW(D20)+1,FALSE)</f>
        <v>0</v>
      </c>
      <c r="Z22" s="15" cm="1">
        <f t="array" ref="Z22">+HLOOKUP($A$1,+[47]İcmal!$B$19:$AG$49,ROW(A20)+1,FALSE)</f>
        <v>0</v>
      </c>
      <c r="AA22" s="15" cm="1">
        <f t="array" ref="AA22">+HLOOKUP($A$1,+[48]İcmal!$B$19:$AG$49,ROW(B20)+1,FALSE)</f>
        <v>0</v>
      </c>
      <c r="AB22" s="15" cm="1">
        <f t="array" ref="AB22">+HLOOKUP($A$1,+[49]İcmal!$B$19:$AG$49,ROW(A20)+1,FALSE)</f>
        <v>0</v>
      </c>
      <c r="AC22" s="15" cm="1">
        <f t="array" ref="AC22">+HLOOKUP($A$1,+[50]İcmal!$B$19:$AG$49,ROW(A20)+1,FALSE)</f>
        <v>0</v>
      </c>
      <c r="AD22" s="15" cm="1">
        <f t="array" ref="AD22">+HLOOKUP($A$1,+[51]İcmal!$B$19:$AG$49,ROW(A20)+1,FALSE)</f>
        <v>0</v>
      </c>
      <c r="AE22" s="15" cm="1">
        <f t="array" ref="AE22">+HLOOKUP($A$1,+[52]İcmal!$B$19:$AG$49,ROW(A20)+1,FALSE)</f>
        <v>0</v>
      </c>
      <c r="AF22" s="50" cm="1">
        <f t="array" ref="AF22">+HLOOKUP($A$1,+[53]İcmal!$B$19:$AG$49,ROW(A20)+1,FALSE)</f>
        <v>0</v>
      </c>
      <c r="AG22" s="15" cm="1">
        <f t="array" ref="AG22">+HLOOKUP($A$1,+[54]İcmal!$B$19:$AG$49,ROW(A20)+1,FALSE)</f>
        <v>0</v>
      </c>
      <c r="AH22" s="15" cm="1">
        <f t="array" ref="AH22">+HLOOKUP($A$1,+[55]İcmal!$B$19:$AG$49,ROW(A20)+1,FALSE)</f>
        <v>0</v>
      </c>
      <c r="AI22" s="15" cm="1">
        <f t="array" ref="AI22">+HLOOKUP($A$1,+[56]İcmal!$B$19:$AG$49,ROW(A20)+1,FALSE)</f>
        <v>0</v>
      </c>
      <c r="AJ22" s="15" cm="1">
        <f t="array" ref="AJ22">+HLOOKUP($A$1,+[57]İcmal!$B$19:$AG$49,ROW(A20)+1,FALSE)</f>
        <v>0</v>
      </c>
      <c r="AK22" s="15" cm="1">
        <f t="array" ref="AK22">+HLOOKUP($A$1,+[58]İcmal!$B$19:$AG$49,ROW(B20)+1,FALSE)</f>
        <v>0</v>
      </c>
      <c r="AL22" s="15"/>
      <c r="AM22" s="15"/>
      <c r="AN22" s="15"/>
      <c r="AO22" s="13"/>
    </row>
    <row r="23" spans="1:41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+HLOOKUP($A$1,+[31]İcmal!$B$19:$AG$49,ROW(A21)+1,FALSE)</f>
        <v>0</v>
      </c>
      <c r="K23" s="15" cm="1">
        <f t="array" ref="K23">+HLOOKUP($A$1,+[32]İcmal!$B$19:$AG$49,ROW(B21)+1,FALSE)</f>
        <v>0</v>
      </c>
      <c r="L23" s="15" cm="1">
        <f t="array" ref="L23">+HLOOKUP($A$1,+[33]İcmal!$B$19:$AG$49,ROW(C21)+1,FALSE)</f>
        <v>0</v>
      </c>
      <c r="M23" s="15" cm="1">
        <f t="array" ref="M23">+HLOOKUP($A$1,+[34]İcmal!$B$19:$AG$49,ROW(D21)+1,FALSE)</f>
        <v>0</v>
      </c>
      <c r="N23" s="15" cm="1">
        <f t="array" ref="N23">+HLOOKUP($A$1,+[35]İcmal!$B$19:$AG$49,ROW(A21)+1,FALSE)</f>
        <v>0</v>
      </c>
      <c r="O23" s="15" cm="1">
        <f t="array" ref="O23">+HLOOKUP($A$1,+[36]İcmal!$B$19:$AG$49,ROW(B21)+1,FALSE)</f>
        <v>0</v>
      </c>
      <c r="P23" s="15" cm="1">
        <f t="array" ref="P23">+HLOOKUP($A$1,+[37]İcmal!$B$19:$AG$49,ROW(C21)+1,FALSE)</f>
        <v>0</v>
      </c>
      <c r="Q23" s="15" cm="1">
        <f t="array" ref="Q23">+HLOOKUP($A$1,+[38]İcmal!$B$19:$AG$49,ROW(D21)+1,FALSE)</f>
        <v>0</v>
      </c>
      <c r="R23" s="15" cm="1">
        <f t="array" ref="R23">+HLOOKUP($A$1,+[39]İcmal!$B$19:$AG$49,ROW(A21)+1,FALSE)</f>
        <v>0</v>
      </c>
      <c r="S23" s="15" cm="1">
        <f t="array" ref="S23">+HLOOKUP($A$1,+[40]İcmal!$B$19:$AG$49,ROW(B21)+1,FALSE)</f>
        <v>0</v>
      </c>
      <c r="T23" s="15" cm="1">
        <f t="array" ref="T23">+HLOOKUP($A$1,+[41]İcmal!$B$19:$AG$49,ROW(C21)+1,FALSE)</f>
        <v>0</v>
      </c>
      <c r="U23" s="15" cm="1">
        <f t="array" ref="U23">+HLOOKUP($A$1,+[42]İcmal!$B$19:$AG$49,ROW(D21)+1,FALSE)</f>
        <v>0</v>
      </c>
      <c r="V23" s="15" cm="1">
        <f t="array" ref="V23">+HLOOKUP($A$1,+[43]İcmal!$B$19:$AG$49,ROW(A21)+1,FALSE)</f>
        <v>0</v>
      </c>
      <c r="W23" s="15" cm="1">
        <f t="array" ref="W23">+HLOOKUP($A$1,+[44]İcmal!$B$19:$AG$49,ROW(B21)+1,FALSE)</f>
        <v>0</v>
      </c>
      <c r="X23" s="15" cm="1">
        <f t="array" ref="X23">+HLOOKUP($A$1,+[45]İcmal!$B$19:$AG$49,ROW(C21)+1,FALSE)</f>
        <v>0</v>
      </c>
      <c r="Y23" s="15" cm="1">
        <f t="array" ref="Y23">+HLOOKUP($A$1,+[46]İcmal!$B$19:$AG$49,ROW(D21)+1,FALSE)</f>
        <v>0</v>
      </c>
      <c r="Z23" s="15" cm="1">
        <f t="array" ref="Z23">+HLOOKUP($A$1,+[47]İcmal!$B$19:$AG$49,ROW(A21)+1,FALSE)</f>
        <v>0</v>
      </c>
      <c r="AA23" s="15" cm="1">
        <f t="array" ref="AA23">+HLOOKUP($A$1,+[48]İcmal!$B$19:$AG$49,ROW(B21)+1,FALSE)</f>
        <v>0</v>
      </c>
      <c r="AB23" s="15" cm="1">
        <f t="array" ref="AB23">+HLOOKUP($A$1,+[49]İcmal!$B$19:$AG$49,ROW(A21)+1,FALSE)</f>
        <v>0</v>
      </c>
      <c r="AC23" s="15" cm="1">
        <f t="array" ref="AC23">+HLOOKUP($A$1,+[50]İcmal!$B$19:$AG$49,ROW(A21)+1,FALSE)</f>
        <v>0</v>
      </c>
      <c r="AD23" s="15" cm="1">
        <f t="array" ref="AD23">+HLOOKUP($A$1,+[51]İcmal!$B$19:$AG$49,ROW(A21)+1,FALSE)</f>
        <v>0</v>
      </c>
      <c r="AE23" s="15" cm="1">
        <f t="array" ref="AE23">+HLOOKUP($A$1,+[52]İcmal!$B$19:$AG$49,ROW(A21)+1,FALSE)</f>
        <v>0</v>
      </c>
      <c r="AF23" s="50" cm="1">
        <f t="array" ref="AF23">+HLOOKUP($A$1,+[53]İcmal!$B$19:$AG$49,ROW(A21)+1,FALSE)</f>
        <v>0</v>
      </c>
      <c r="AG23" s="15" cm="1">
        <f t="array" ref="AG23">+HLOOKUP($A$1,+[54]İcmal!$B$19:$AG$49,ROW(A21)+1,FALSE)</f>
        <v>0</v>
      </c>
      <c r="AH23" s="15" cm="1">
        <f t="array" ref="AH23">+HLOOKUP($A$1,+[55]İcmal!$B$19:$AG$49,ROW(A21)+1,FALSE)</f>
        <v>0</v>
      </c>
      <c r="AI23" s="15" cm="1">
        <f t="array" ref="AI23">+HLOOKUP($A$1,+[56]İcmal!$B$19:$AG$49,ROW(A21)+1,FALSE)</f>
        <v>0</v>
      </c>
      <c r="AJ23" s="15" cm="1">
        <f t="array" ref="AJ23">+HLOOKUP($A$1,+[57]İcmal!$B$19:$AG$49,ROW(A21)+1,FALSE)</f>
        <v>0</v>
      </c>
      <c r="AK23" s="15" cm="1">
        <f t="array" ref="AK23">+HLOOKUP($A$1,+[58]İcmal!$B$19:$AG$49,ROW(B21)+1,FALSE)</f>
        <v>0</v>
      </c>
      <c r="AL23" s="15"/>
      <c r="AM23" s="15"/>
      <c r="AN23" s="15"/>
      <c r="AO23" s="13"/>
    </row>
    <row r="24" spans="1:41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+HLOOKUP($A$1,+[31]İcmal!$B$19:$AG$49,ROW(A22)+1,FALSE)</f>
        <v>0</v>
      </c>
      <c r="K24" s="15" cm="1">
        <f t="array" ref="K24">+HLOOKUP($A$1,+[32]İcmal!$B$19:$AG$49,ROW(B22)+1,FALSE)</f>
        <v>0</v>
      </c>
      <c r="L24" s="15" cm="1">
        <f t="array" ref="L24">+HLOOKUP($A$1,+[33]İcmal!$B$19:$AG$49,ROW(C22)+1,FALSE)</f>
        <v>0</v>
      </c>
      <c r="M24" s="15" cm="1">
        <f t="array" ref="M24">+HLOOKUP($A$1,+[34]İcmal!$B$19:$AG$49,ROW(D22)+1,FALSE)</f>
        <v>0</v>
      </c>
      <c r="N24" s="15" cm="1">
        <f t="array" ref="N24">+HLOOKUP($A$1,+[35]İcmal!$B$19:$AG$49,ROW(A22)+1,FALSE)</f>
        <v>0</v>
      </c>
      <c r="O24" s="15" cm="1">
        <f t="array" ref="O24">+HLOOKUP($A$1,+[36]İcmal!$B$19:$AG$49,ROW(B22)+1,FALSE)</f>
        <v>0</v>
      </c>
      <c r="P24" s="15" cm="1">
        <f t="array" ref="P24">+HLOOKUP($A$1,+[37]İcmal!$B$19:$AG$49,ROW(C22)+1,FALSE)</f>
        <v>0</v>
      </c>
      <c r="Q24" s="15" cm="1">
        <f t="array" ref="Q24">+HLOOKUP($A$1,+[38]İcmal!$B$19:$AG$49,ROW(D22)+1,FALSE)</f>
        <v>0</v>
      </c>
      <c r="R24" s="15" cm="1">
        <f t="array" ref="R24">+HLOOKUP($A$1,+[39]İcmal!$B$19:$AG$49,ROW(A22)+1,FALSE)</f>
        <v>0</v>
      </c>
      <c r="S24" s="15" cm="1">
        <f t="array" ref="S24">+HLOOKUP($A$1,+[40]İcmal!$B$19:$AG$49,ROW(B22)+1,FALSE)</f>
        <v>0</v>
      </c>
      <c r="T24" s="15" cm="1">
        <f t="array" ref="T24">+HLOOKUP($A$1,+[41]İcmal!$B$19:$AG$49,ROW(C22)+1,FALSE)</f>
        <v>0</v>
      </c>
      <c r="U24" s="15" cm="1">
        <f t="array" ref="U24">+HLOOKUP($A$1,+[42]İcmal!$B$19:$AG$49,ROW(D22)+1,FALSE)</f>
        <v>0</v>
      </c>
      <c r="V24" s="15" cm="1">
        <f t="array" ref="V24">+HLOOKUP($A$1,+[43]İcmal!$B$19:$AG$49,ROW(A22)+1,FALSE)</f>
        <v>0</v>
      </c>
      <c r="W24" s="15" cm="1">
        <f t="array" ref="W24">+HLOOKUP($A$1,+[44]İcmal!$B$19:$AG$49,ROW(B22)+1,FALSE)</f>
        <v>0</v>
      </c>
      <c r="X24" s="15" cm="1">
        <f t="array" ref="X24">+HLOOKUP($A$1,+[45]İcmal!$B$19:$AG$49,ROW(C22)+1,FALSE)</f>
        <v>0</v>
      </c>
      <c r="Y24" s="15" cm="1">
        <f t="array" ref="Y24">+HLOOKUP($A$1,+[46]İcmal!$B$19:$AG$49,ROW(D22)+1,FALSE)</f>
        <v>0</v>
      </c>
      <c r="Z24" s="15" cm="1">
        <f t="array" ref="Z24">+HLOOKUP($A$1,+[47]İcmal!$B$19:$AG$49,ROW(A22)+1,FALSE)</f>
        <v>0</v>
      </c>
      <c r="AA24" s="15" cm="1">
        <f t="array" ref="AA24">+HLOOKUP($A$1,+[48]İcmal!$B$19:$AG$49,ROW(B22)+1,FALSE)</f>
        <v>0</v>
      </c>
      <c r="AB24" s="15" cm="1">
        <f t="array" ref="AB24">+HLOOKUP($A$1,+[49]İcmal!$B$19:$AG$49,ROW(A22)+1,FALSE)</f>
        <v>0</v>
      </c>
      <c r="AC24" s="15" cm="1">
        <f t="array" ref="AC24">+HLOOKUP($A$1,+[50]İcmal!$B$19:$AG$49,ROW(A22)+1,FALSE)</f>
        <v>0</v>
      </c>
      <c r="AD24" s="15" cm="1">
        <f t="array" ref="AD24">+HLOOKUP($A$1,+[51]İcmal!$B$19:$AG$49,ROW(A22)+1,FALSE)</f>
        <v>0</v>
      </c>
      <c r="AE24" s="15" cm="1">
        <f t="array" ref="AE24">+HLOOKUP($A$1,+[52]İcmal!$B$19:$AG$49,ROW(A22)+1,FALSE)</f>
        <v>0</v>
      </c>
      <c r="AF24" s="50" cm="1">
        <f t="array" ref="AF24">+HLOOKUP($A$1,+[53]İcmal!$B$19:$AG$49,ROW(A22)+1,FALSE)</f>
        <v>0</v>
      </c>
      <c r="AG24" s="15" cm="1">
        <f t="array" ref="AG24">+HLOOKUP($A$1,+[54]İcmal!$B$19:$AG$49,ROW(A22)+1,FALSE)</f>
        <v>0</v>
      </c>
      <c r="AH24" s="15" cm="1">
        <f t="array" ref="AH24">+HLOOKUP($A$1,+[55]İcmal!$B$19:$AG$49,ROW(A22)+1,FALSE)</f>
        <v>0</v>
      </c>
      <c r="AI24" s="15" cm="1">
        <f t="array" ref="AI24">+HLOOKUP($A$1,+[56]İcmal!$B$19:$AG$49,ROW(A22)+1,FALSE)</f>
        <v>0</v>
      </c>
      <c r="AJ24" s="15" cm="1">
        <f t="array" ref="AJ24">+HLOOKUP($A$1,+[57]İcmal!$B$19:$AG$49,ROW(A22)+1,FALSE)</f>
        <v>0</v>
      </c>
      <c r="AK24" s="15" cm="1">
        <f t="array" ref="AK24">+HLOOKUP($A$1,+[58]İcmal!$B$19:$AG$49,ROW(B22)+1,FALSE)</f>
        <v>0</v>
      </c>
      <c r="AL24" s="15"/>
      <c r="AM24" s="15"/>
      <c r="AN24" s="15"/>
      <c r="AO24" s="13"/>
    </row>
    <row r="25" spans="1:41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+HLOOKUP($A$1,+[31]İcmal!$B$19:$AG$49,ROW(A23)+1,FALSE)</f>
        <v>0</v>
      </c>
      <c r="K25" s="15" cm="1">
        <f t="array" ref="K25">+HLOOKUP($A$1,+[32]İcmal!$B$19:$AG$49,ROW(B23)+1,FALSE)</f>
        <v>0</v>
      </c>
      <c r="L25" s="15" cm="1">
        <f t="array" ref="L25">+HLOOKUP($A$1,+[33]İcmal!$B$19:$AG$49,ROW(C23)+1,FALSE)</f>
        <v>0</v>
      </c>
      <c r="M25" s="15" cm="1">
        <f t="array" ref="M25">+HLOOKUP($A$1,+[34]İcmal!$B$19:$AG$49,ROW(D23)+1,FALSE)</f>
        <v>0</v>
      </c>
      <c r="N25" s="15" cm="1">
        <f t="array" ref="N25">+HLOOKUP($A$1,+[35]İcmal!$B$19:$AG$49,ROW(A23)+1,FALSE)</f>
        <v>0</v>
      </c>
      <c r="O25" s="15" cm="1">
        <f t="array" ref="O25">+HLOOKUP($A$1,+[36]İcmal!$B$19:$AG$49,ROW(B23)+1,FALSE)</f>
        <v>0</v>
      </c>
      <c r="P25" s="15" cm="1">
        <f t="array" ref="P25">+HLOOKUP($A$1,+[37]İcmal!$B$19:$AG$49,ROW(C23)+1,FALSE)</f>
        <v>0</v>
      </c>
      <c r="Q25" s="15" cm="1">
        <f t="array" ref="Q25">+HLOOKUP($A$1,+[38]İcmal!$B$19:$AG$49,ROW(D23)+1,FALSE)</f>
        <v>0</v>
      </c>
      <c r="R25" s="15" cm="1">
        <f t="array" ref="R25">+HLOOKUP($A$1,+[39]İcmal!$B$19:$AG$49,ROW(A23)+1,FALSE)</f>
        <v>0</v>
      </c>
      <c r="S25" s="15" cm="1">
        <f t="array" ref="S25">+HLOOKUP($A$1,+[40]İcmal!$B$19:$AG$49,ROW(B23)+1,FALSE)</f>
        <v>0</v>
      </c>
      <c r="T25" s="15" cm="1">
        <f t="array" ref="T25">+HLOOKUP($A$1,+[41]İcmal!$B$19:$AG$49,ROW(C23)+1,FALSE)</f>
        <v>0</v>
      </c>
      <c r="U25" s="15" cm="1">
        <f t="array" ref="U25">+HLOOKUP($A$1,+[42]İcmal!$B$19:$AG$49,ROW(D23)+1,FALSE)</f>
        <v>0</v>
      </c>
      <c r="V25" s="15" cm="1">
        <f t="array" ref="V25">+HLOOKUP($A$1,+[43]İcmal!$B$19:$AG$49,ROW(A23)+1,FALSE)</f>
        <v>0</v>
      </c>
      <c r="W25" s="15" cm="1">
        <f t="array" ref="W25">+HLOOKUP($A$1,+[44]İcmal!$B$19:$AG$49,ROW(B23)+1,FALSE)</f>
        <v>0</v>
      </c>
      <c r="X25" s="15" cm="1">
        <f t="array" ref="X25">+HLOOKUP($A$1,+[45]İcmal!$B$19:$AG$49,ROW(C23)+1,FALSE)</f>
        <v>0</v>
      </c>
      <c r="Y25" s="15" cm="1">
        <f t="array" ref="Y25">+HLOOKUP($A$1,+[46]İcmal!$B$19:$AG$49,ROW(D23)+1,FALSE)</f>
        <v>0</v>
      </c>
      <c r="Z25" s="15" cm="1">
        <f t="array" ref="Z25">+HLOOKUP($A$1,+[47]İcmal!$B$19:$AG$49,ROW(A23)+1,FALSE)</f>
        <v>0</v>
      </c>
      <c r="AA25" s="15" cm="1">
        <f t="array" ref="AA25">+HLOOKUP($A$1,+[48]İcmal!$B$19:$AG$49,ROW(B23)+1,FALSE)</f>
        <v>0</v>
      </c>
      <c r="AB25" s="15" cm="1">
        <f t="array" ref="AB25">+HLOOKUP($A$1,+[49]İcmal!$B$19:$AG$49,ROW(A23)+1,FALSE)</f>
        <v>0</v>
      </c>
      <c r="AC25" s="15" cm="1">
        <f t="array" ref="AC25">+HLOOKUP($A$1,+[50]İcmal!$B$19:$AG$49,ROW(A23)+1,FALSE)</f>
        <v>0</v>
      </c>
      <c r="AD25" s="15" cm="1">
        <f t="array" ref="AD25">+HLOOKUP($A$1,+[51]İcmal!$B$19:$AG$49,ROW(A23)+1,FALSE)</f>
        <v>0</v>
      </c>
      <c r="AE25" s="15" cm="1">
        <f t="array" ref="AE25">+HLOOKUP($A$1,+[52]İcmal!$B$19:$AG$49,ROW(A23)+1,FALSE)</f>
        <v>0</v>
      </c>
      <c r="AF25" s="50" cm="1">
        <f t="array" ref="AF25">+HLOOKUP($A$1,+[53]İcmal!$B$19:$AG$49,ROW(A23)+1,FALSE)</f>
        <v>0</v>
      </c>
      <c r="AG25" s="15" cm="1">
        <f t="array" ref="AG25">+HLOOKUP($A$1,+[54]İcmal!$B$19:$AG$49,ROW(A23)+1,FALSE)</f>
        <v>0</v>
      </c>
      <c r="AH25" s="15" cm="1">
        <f t="array" ref="AH25">+HLOOKUP($A$1,+[55]İcmal!$B$19:$AG$49,ROW(A23)+1,FALSE)</f>
        <v>0</v>
      </c>
      <c r="AI25" s="15" cm="1">
        <f t="array" ref="AI25">+HLOOKUP($A$1,+[56]İcmal!$B$19:$AG$49,ROW(A23)+1,FALSE)</f>
        <v>0</v>
      </c>
      <c r="AJ25" s="15" cm="1">
        <f t="array" ref="AJ25">+HLOOKUP($A$1,+[57]İcmal!$B$19:$AG$49,ROW(A23)+1,FALSE)</f>
        <v>0</v>
      </c>
      <c r="AK25" s="15" cm="1">
        <f t="array" ref="AK25">+HLOOKUP($A$1,+[58]İcmal!$B$19:$AG$49,ROW(B23)+1,FALSE)</f>
        <v>0</v>
      </c>
      <c r="AL25" s="15"/>
      <c r="AM25" s="15"/>
      <c r="AN25" s="15"/>
      <c r="AO25" s="13"/>
    </row>
    <row r="26" spans="1:41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+HLOOKUP($A$1,+[31]İcmal!$B$19:$AG$49,ROW(A24)+1,FALSE)</f>
        <v>0</v>
      </c>
      <c r="K26" s="15" cm="1">
        <f t="array" ref="K26">+HLOOKUP($A$1,+[32]İcmal!$B$19:$AG$49,ROW(B24)+1,FALSE)</f>
        <v>0</v>
      </c>
      <c r="L26" s="15" cm="1">
        <f t="array" ref="L26">+HLOOKUP($A$1,+[33]İcmal!$B$19:$AG$49,ROW(C24)+1,FALSE)</f>
        <v>0</v>
      </c>
      <c r="M26" s="15" cm="1">
        <f t="array" ref="M26">+HLOOKUP($A$1,+[34]İcmal!$B$19:$AG$49,ROW(D24)+1,FALSE)</f>
        <v>0</v>
      </c>
      <c r="N26" s="15" cm="1">
        <f t="array" ref="N26">+HLOOKUP($A$1,+[35]İcmal!$B$19:$AG$49,ROW(A24)+1,FALSE)</f>
        <v>0</v>
      </c>
      <c r="O26" s="15" cm="1">
        <f t="array" ref="O26">+HLOOKUP($A$1,+[36]İcmal!$B$19:$AG$49,ROW(B24)+1,FALSE)</f>
        <v>0</v>
      </c>
      <c r="P26" s="15" cm="1">
        <f t="array" ref="P26">+HLOOKUP($A$1,+[37]İcmal!$B$19:$AG$49,ROW(C24)+1,FALSE)</f>
        <v>0</v>
      </c>
      <c r="Q26" s="15" cm="1">
        <f t="array" ref="Q26">+HLOOKUP($A$1,+[38]İcmal!$B$19:$AG$49,ROW(D24)+1,FALSE)</f>
        <v>0</v>
      </c>
      <c r="R26" s="15" cm="1">
        <f t="array" ref="R26">+HLOOKUP($A$1,+[39]İcmal!$B$19:$AG$49,ROW(A24)+1,FALSE)</f>
        <v>0</v>
      </c>
      <c r="S26" s="15" cm="1">
        <f t="array" ref="S26">+HLOOKUP($A$1,+[40]İcmal!$B$19:$AG$49,ROW(B24)+1,FALSE)</f>
        <v>0</v>
      </c>
      <c r="T26" s="15" cm="1">
        <f t="array" ref="T26">+HLOOKUP($A$1,+[41]İcmal!$B$19:$AG$49,ROW(C24)+1,FALSE)</f>
        <v>0</v>
      </c>
      <c r="U26" s="15" cm="1">
        <f t="array" ref="U26">+HLOOKUP($A$1,+[42]İcmal!$B$19:$AG$49,ROW(D24)+1,FALSE)</f>
        <v>0</v>
      </c>
      <c r="V26" s="15" cm="1">
        <f t="array" ref="V26">+HLOOKUP($A$1,+[43]İcmal!$B$19:$AG$49,ROW(A24)+1,FALSE)</f>
        <v>0</v>
      </c>
      <c r="W26" s="15" cm="1">
        <f t="array" ref="W26">+HLOOKUP($A$1,+[44]İcmal!$B$19:$AG$49,ROW(B24)+1,FALSE)</f>
        <v>0</v>
      </c>
      <c r="X26" s="15" cm="1">
        <f t="array" ref="X26">+HLOOKUP($A$1,+[45]İcmal!$B$19:$AG$49,ROW(C24)+1,FALSE)</f>
        <v>0</v>
      </c>
      <c r="Y26" s="15" cm="1">
        <f t="array" ref="Y26">+HLOOKUP($A$1,+[46]İcmal!$B$19:$AG$49,ROW(D24)+1,FALSE)</f>
        <v>0</v>
      </c>
      <c r="Z26" s="15" cm="1">
        <f t="array" ref="Z26">+HLOOKUP($A$1,+[47]İcmal!$B$19:$AG$49,ROW(A24)+1,FALSE)</f>
        <v>0</v>
      </c>
      <c r="AA26" s="15" cm="1">
        <f t="array" ref="AA26">+HLOOKUP($A$1,+[48]İcmal!$B$19:$AG$49,ROW(B24)+1,FALSE)</f>
        <v>0</v>
      </c>
      <c r="AB26" s="15" cm="1">
        <f t="array" ref="AB26">+HLOOKUP($A$1,+[49]İcmal!$B$19:$AG$49,ROW(A24)+1,FALSE)</f>
        <v>0</v>
      </c>
      <c r="AC26" s="15" cm="1">
        <f t="array" ref="AC26">+HLOOKUP($A$1,+[50]İcmal!$B$19:$AG$49,ROW(A24)+1,FALSE)</f>
        <v>0</v>
      </c>
      <c r="AD26" s="15" cm="1">
        <f t="array" ref="AD26">+HLOOKUP($A$1,+[51]İcmal!$B$19:$AG$49,ROW(A24)+1,FALSE)</f>
        <v>0</v>
      </c>
      <c r="AE26" s="15" cm="1">
        <f t="array" ref="AE26">+HLOOKUP($A$1,+[52]İcmal!$B$19:$AG$49,ROW(A24)+1,FALSE)</f>
        <v>0</v>
      </c>
      <c r="AF26" s="50" cm="1">
        <f t="array" ref="AF26">+HLOOKUP($A$1,+[53]İcmal!$B$19:$AG$49,ROW(A24)+1,FALSE)</f>
        <v>0</v>
      </c>
      <c r="AG26" s="15" cm="1">
        <f t="array" ref="AG26">+HLOOKUP($A$1,+[54]İcmal!$B$19:$AG$49,ROW(A24)+1,FALSE)</f>
        <v>0</v>
      </c>
      <c r="AH26" s="15" cm="1">
        <f t="array" ref="AH26">+HLOOKUP($A$1,+[55]İcmal!$B$19:$AG$49,ROW(A24)+1,FALSE)</f>
        <v>0</v>
      </c>
      <c r="AI26" s="15" cm="1">
        <f t="array" ref="AI26">+HLOOKUP($A$1,+[56]İcmal!$B$19:$AG$49,ROW(A24)+1,FALSE)</f>
        <v>0</v>
      </c>
      <c r="AJ26" s="15" cm="1">
        <f t="array" ref="AJ26">+HLOOKUP($A$1,+[57]İcmal!$B$19:$AG$49,ROW(A24)+1,FALSE)</f>
        <v>0</v>
      </c>
      <c r="AK26" s="15" cm="1">
        <f t="array" ref="AK26">+HLOOKUP($A$1,+[58]İcmal!$B$19:$AG$49,ROW(B24)+1,FALSE)</f>
        <v>0</v>
      </c>
      <c r="AL26" s="15"/>
      <c r="AM26" s="15"/>
      <c r="AN26" s="15"/>
      <c r="AO26" s="13"/>
    </row>
    <row r="27" spans="1:41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+HLOOKUP($A$1,+[31]İcmal!$B$19:$AG$49,ROW(A25)+1,FALSE)</f>
        <v>0</v>
      </c>
      <c r="K27" s="15" cm="1">
        <f t="array" ref="K27">+HLOOKUP($A$1,+[32]İcmal!$B$19:$AG$49,ROW(B25)+1,FALSE)</f>
        <v>0</v>
      </c>
      <c r="L27" s="15" cm="1">
        <f t="array" ref="L27">+HLOOKUP($A$1,+[33]İcmal!$B$19:$AG$49,ROW(C25)+1,FALSE)</f>
        <v>0</v>
      </c>
      <c r="M27" s="15" cm="1">
        <f t="array" ref="M27">+HLOOKUP($A$1,+[34]İcmal!$B$19:$AG$49,ROW(D25)+1,FALSE)</f>
        <v>0</v>
      </c>
      <c r="N27" s="15" cm="1">
        <f t="array" ref="N27">+HLOOKUP($A$1,+[35]İcmal!$B$19:$AG$49,ROW(A25)+1,FALSE)</f>
        <v>0</v>
      </c>
      <c r="O27" s="15" cm="1">
        <f t="array" ref="O27">+HLOOKUP($A$1,+[36]İcmal!$B$19:$AG$49,ROW(B25)+1,FALSE)</f>
        <v>0</v>
      </c>
      <c r="P27" s="15" cm="1">
        <f t="array" ref="P27">+HLOOKUP($A$1,+[37]İcmal!$B$19:$AG$49,ROW(C25)+1,FALSE)</f>
        <v>0</v>
      </c>
      <c r="Q27" s="15" cm="1">
        <f t="array" ref="Q27">+HLOOKUP($A$1,+[38]İcmal!$B$19:$AG$49,ROW(D25)+1,FALSE)</f>
        <v>0</v>
      </c>
      <c r="R27" s="15" cm="1">
        <f t="array" ref="R27">+HLOOKUP($A$1,+[39]İcmal!$B$19:$AG$49,ROW(A25)+1,FALSE)</f>
        <v>0</v>
      </c>
      <c r="S27" s="15" cm="1">
        <f t="array" ref="S27">+HLOOKUP($A$1,+[40]İcmal!$B$19:$AG$49,ROW(B25)+1,FALSE)</f>
        <v>0</v>
      </c>
      <c r="T27" s="15" cm="1">
        <f t="array" ref="T27">+HLOOKUP($A$1,+[41]İcmal!$B$19:$AG$49,ROW(C25)+1,FALSE)</f>
        <v>0</v>
      </c>
      <c r="U27" s="15" cm="1">
        <f t="array" ref="U27">+HLOOKUP($A$1,+[42]İcmal!$B$19:$AG$49,ROW(D25)+1,FALSE)</f>
        <v>0</v>
      </c>
      <c r="V27" s="15" cm="1">
        <f t="array" ref="V27">+HLOOKUP($A$1,+[43]İcmal!$B$19:$AG$49,ROW(A25)+1,FALSE)</f>
        <v>0</v>
      </c>
      <c r="W27" s="15" cm="1">
        <f t="array" ref="W27">+HLOOKUP($A$1,+[44]İcmal!$B$19:$AG$49,ROW(B25)+1,FALSE)</f>
        <v>0</v>
      </c>
      <c r="X27" s="15" cm="1">
        <f t="array" ref="X27">+HLOOKUP($A$1,+[45]İcmal!$B$19:$AG$49,ROW(C25)+1,FALSE)</f>
        <v>0</v>
      </c>
      <c r="Y27" s="15" cm="1">
        <f t="array" ref="Y27">+HLOOKUP($A$1,+[46]İcmal!$B$19:$AG$49,ROW(D25)+1,FALSE)</f>
        <v>0</v>
      </c>
      <c r="Z27" s="15" cm="1">
        <f t="array" ref="Z27">+HLOOKUP($A$1,+[47]İcmal!$B$19:$AG$49,ROW(A25)+1,FALSE)</f>
        <v>0</v>
      </c>
      <c r="AA27" s="15" cm="1">
        <f t="array" ref="AA27">+HLOOKUP($A$1,+[48]İcmal!$B$19:$AG$49,ROW(B25)+1,FALSE)</f>
        <v>0</v>
      </c>
      <c r="AB27" s="15" cm="1">
        <f t="array" ref="AB27">+HLOOKUP($A$1,+[49]İcmal!$B$19:$AG$49,ROW(A25)+1,FALSE)</f>
        <v>0</v>
      </c>
      <c r="AC27" s="15" cm="1">
        <f t="array" ref="AC27">+HLOOKUP($A$1,+[50]İcmal!$B$19:$AG$49,ROW(A25)+1,FALSE)</f>
        <v>0</v>
      </c>
      <c r="AD27" s="15" cm="1">
        <f t="array" ref="AD27">+HLOOKUP($A$1,+[51]İcmal!$B$19:$AG$49,ROW(A25)+1,FALSE)</f>
        <v>0</v>
      </c>
      <c r="AE27" s="15" cm="1">
        <f t="array" ref="AE27">+HLOOKUP($A$1,+[52]İcmal!$B$19:$AG$49,ROW(A25)+1,FALSE)</f>
        <v>0</v>
      </c>
      <c r="AF27" s="50" cm="1">
        <f t="array" ref="AF27">+HLOOKUP($A$1,+[53]İcmal!$B$19:$AG$49,ROW(A25)+1,FALSE)</f>
        <v>0</v>
      </c>
      <c r="AG27" s="15" cm="1">
        <f t="array" ref="AG27">+HLOOKUP($A$1,+[54]İcmal!$B$19:$AG$49,ROW(A25)+1,FALSE)</f>
        <v>0</v>
      </c>
      <c r="AH27" s="15" cm="1">
        <f t="array" ref="AH27">+HLOOKUP($A$1,+[55]İcmal!$B$19:$AG$49,ROW(A25)+1,FALSE)</f>
        <v>0</v>
      </c>
      <c r="AI27" s="15" cm="1">
        <f t="array" ref="AI27">+HLOOKUP($A$1,+[56]İcmal!$B$19:$AG$49,ROW(A25)+1,FALSE)</f>
        <v>0</v>
      </c>
      <c r="AJ27" s="15" cm="1">
        <f t="array" ref="AJ27">+HLOOKUP($A$1,+[57]İcmal!$B$19:$AG$49,ROW(A25)+1,FALSE)</f>
        <v>0</v>
      </c>
      <c r="AK27" s="15" cm="1">
        <f t="array" ref="AK27">+HLOOKUP($A$1,+[58]İcmal!$B$19:$AG$49,ROW(B25)+1,FALSE)</f>
        <v>0</v>
      </c>
      <c r="AL27" s="15"/>
      <c r="AM27" s="15"/>
      <c r="AN27" s="15"/>
      <c r="AO27" s="13"/>
    </row>
    <row r="28" spans="1:41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7.8439999999999994</v>
      </c>
      <c r="I28" s="9">
        <f t="shared" si="2"/>
        <v>362785</v>
      </c>
      <c r="J28" s="15" cm="1">
        <f t="array" ref="J28">+HLOOKUP($A$1,+[31]İcmal!$B$19:$AG$49,ROW(A26)+1,FALSE)</f>
        <v>0.62100000000000022</v>
      </c>
      <c r="K28" s="15" cm="1">
        <f t="array" ref="K28">+HLOOKUP($A$1,+[32]İcmal!$B$19:$AG$49,ROW(B26)+1,FALSE)</f>
        <v>1.0939999999999999</v>
      </c>
      <c r="L28" s="15" cm="1">
        <f t="array" ref="L28">+HLOOKUP($A$1,+[33]İcmal!$B$19:$AG$49,ROW(C26)+1,FALSE)</f>
        <v>0</v>
      </c>
      <c r="M28" s="15" cm="1">
        <f t="array" ref="M28">+HLOOKUP($A$1,+[34]İcmal!$B$19:$AG$49,ROW(D26)+1,FALSE)</f>
        <v>0</v>
      </c>
      <c r="N28" s="15" cm="1">
        <f t="array" ref="N28">+HLOOKUP($A$1,+[35]İcmal!$B$19:$AG$49,ROW(A26)+1,FALSE)</f>
        <v>2.1580000000000004</v>
      </c>
      <c r="O28" s="15" cm="1">
        <f t="array" ref="O28">+HLOOKUP($A$1,+[36]İcmal!$B$19:$AG$49,ROW(B26)+1,FALSE)</f>
        <v>0</v>
      </c>
      <c r="P28" s="15" cm="1">
        <f t="array" ref="P28">+HLOOKUP($A$1,+[37]İcmal!$B$19:$AG$49,ROW(C26)+1,FALSE)</f>
        <v>0</v>
      </c>
      <c r="Q28" s="15" cm="1">
        <f t="array" ref="Q28">+HLOOKUP($A$1,+[38]İcmal!$B$19:$AG$49,ROW(D26)+1,FALSE)</f>
        <v>0</v>
      </c>
      <c r="R28" s="15" cm="1">
        <f t="array" ref="R28">+HLOOKUP($A$1,+[39]İcmal!$B$19:$AG$49,ROW(A26)+1,FALSE)</f>
        <v>2.6909999999999989</v>
      </c>
      <c r="S28" s="15" cm="1">
        <f t="array" ref="S28">+HLOOKUP($A$1,+[40]İcmal!$B$19:$AG$49,ROW(B26)+1,FALSE)</f>
        <v>0</v>
      </c>
      <c r="T28" s="15" cm="1">
        <f t="array" ref="T28">+HLOOKUP($A$1,+[41]İcmal!$B$19:$AG$49,ROW(C26)+1,FALSE)</f>
        <v>0</v>
      </c>
      <c r="U28" s="15" cm="1">
        <f t="array" ref="U28">+HLOOKUP($A$1,+[42]İcmal!$B$19:$AG$49,ROW(D26)+1,FALSE)</f>
        <v>0</v>
      </c>
      <c r="V28" s="15" cm="1">
        <f t="array" ref="V28">+HLOOKUP($A$1,+[43]İcmal!$B$19:$AG$49,ROW(A26)+1,FALSE)</f>
        <v>0</v>
      </c>
      <c r="W28" s="15" cm="1">
        <f t="array" ref="W28">+HLOOKUP($A$1,+[44]İcmal!$B$19:$AG$49,ROW(B26)+1,FALSE)</f>
        <v>1.2799999999999998</v>
      </c>
      <c r="X28" s="15" cm="1">
        <f t="array" ref="X28">+HLOOKUP($A$1,+[45]İcmal!$B$19:$AG$49,ROW(C26)+1,FALSE)</f>
        <v>0</v>
      </c>
      <c r="Y28" s="15" cm="1">
        <f t="array" ref="Y28">+HLOOKUP($A$1,+[46]İcmal!$B$19:$AG$49,ROW(D26)+1,FALSE)</f>
        <v>0</v>
      </c>
      <c r="Z28" s="15" cm="1">
        <f t="array" ref="Z28">+HLOOKUP($A$1,+[47]İcmal!$B$19:$AG$49,ROW(A26)+1,FALSE)</f>
        <v>0</v>
      </c>
      <c r="AA28" s="15" cm="1">
        <f t="array" ref="AA28">+HLOOKUP($A$1,+[48]İcmal!$B$19:$AG$49,ROW(B26)+1,FALSE)</f>
        <v>0</v>
      </c>
      <c r="AB28" s="15" cm="1">
        <f t="array" ref="AB28">+HLOOKUP($A$1,+[49]İcmal!$B$19:$AG$49,ROW(A26)+1,FALSE)</f>
        <v>0</v>
      </c>
      <c r="AC28" s="15" cm="1">
        <f t="array" ref="AC28">+HLOOKUP($A$1,+[50]İcmal!$B$19:$AG$49,ROW(A26)+1,FALSE)</f>
        <v>0</v>
      </c>
      <c r="AD28" s="15" cm="1">
        <f t="array" ref="AD28">+HLOOKUP($A$1,+[51]İcmal!$B$19:$AG$49,ROW(A26)+1,FALSE)</f>
        <v>0</v>
      </c>
      <c r="AE28" s="15" cm="1">
        <f t="array" ref="AE28">+HLOOKUP($A$1,+[52]İcmal!$B$19:$AG$49,ROW(A26)+1,FALSE)</f>
        <v>0</v>
      </c>
      <c r="AF28" s="50" cm="1">
        <f t="array" ref="AF28">+HLOOKUP($A$1,+[53]İcmal!$B$19:$AG$49,ROW(A26)+1,FALSE)</f>
        <v>0</v>
      </c>
      <c r="AG28" s="15" cm="1">
        <f t="array" ref="AG28">+HLOOKUP($A$1,+[54]İcmal!$B$19:$AG$49,ROW(A26)+1,FALSE)</f>
        <v>0</v>
      </c>
      <c r="AH28" s="15" cm="1">
        <f t="array" ref="AH28">+HLOOKUP($A$1,+[55]İcmal!$B$19:$AG$49,ROW(A26)+1,FALSE)</f>
        <v>0</v>
      </c>
      <c r="AI28" s="15" cm="1">
        <f t="array" ref="AI28">+HLOOKUP($A$1,+[56]İcmal!$B$19:$AG$49,ROW(A26)+1,FALSE)</f>
        <v>0</v>
      </c>
      <c r="AJ28" s="15" cm="1">
        <f t="array" ref="AJ28">+HLOOKUP($A$1,+[57]İcmal!$B$19:$AG$49,ROW(A26)+1,FALSE)</f>
        <v>0</v>
      </c>
      <c r="AK28" s="15" cm="1">
        <f t="array" ref="AK28">+HLOOKUP($A$1,+[58]İcmal!$B$19:$AG$49,ROW(B26)+1,FALSE)</f>
        <v>0</v>
      </c>
      <c r="AL28" s="15"/>
      <c r="AM28" s="15"/>
      <c r="AN28" s="15"/>
      <c r="AO28" s="13"/>
    </row>
    <row r="29" spans="1:41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-0.106</v>
      </c>
      <c r="I29" s="9">
        <f t="shared" si="2"/>
        <v>-9805</v>
      </c>
      <c r="J29" s="15" cm="1">
        <f t="array" ref="J29">+HLOOKUP($A$1,+[31]İcmal!$B$19:$AG$49,ROW(A27)+1,FALSE)</f>
        <v>-5.2999999999999999E-2</v>
      </c>
      <c r="K29" s="15" cm="1">
        <f t="array" ref="K29">+HLOOKUP($A$1,+[32]İcmal!$B$19:$AG$49,ROW(B27)+1,FALSE)</f>
        <v>0</v>
      </c>
      <c r="L29" s="15" cm="1">
        <f t="array" ref="L29">+HLOOKUP($A$1,+[33]İcmal!$B$19:$AG$49,ROW(C27)+1,FALSE)</f>
        <v>0</v>
      </c>
      <c r="M29" s="15" cm="1">
        <f t="array" ref="M29">+HLOOKUP($A$1,+[34]İcmal!$B$19:$AG$49,ROW(D27)+1,FALSE)</f>
        <v>0</v>
      </c>
      <c r="N29" s="15" cm="1">
        <f t="array" ref="N29">+HLOOKUP($A$1,+[35]İcmal!$B$19:$AG$49,ROW(A27)+1,FALSE)</f>
        <v>0</v>
      </c>
      <c r="O29" s="15" cm="1">
        <f t="array" ref="O29">+HLOOKUP($A$1,+[36]İcmal!$B$19:$AG$49,ROW(B27)+1,FALSE)</f>
        <v>0</v>
      </c>
      <c r="P29" s="15" cm="1">
        <f t="array" ref="P29">+HLOOKUP($A$1,+[37]İcmal!$B$19:$AG$49,ROW(C27)+1,FALSE)</f>
        <v>0</v>
      </c>
      <c r="Q29" s="15" cm="1">
        <f t="array" ref="Q29">+HLOOKUP($A$1,+[38]İcmal!$B$19:$AG$49,ROW(D27)+1,FALSE)</f>
        <v>0</v>
      </c>
      <c r="R29" s="15" cm="1">
        <f t="array" ref="R29">+HLOOKUP($A$1,+[39]İcmal!$B$19:$AG$49,ROW(A27)+1,FALSE)</f>
        <v>-5.2999999999999999E-2</v>
      </c>
      <c r="S29" s="15" cm="1">
        <f t="array" ref="S29">+HLOOKUP($A$1,+[40]İcmal!$B$19:$AG$49,ROW(B27)+1,FALSE)</f>
        <v>0</v>
      </c>
      <c r="T29" s="15" cm="1">
        <f t="array" ref="T29">+HLOOKUP($A$1,+[41]İcmal!$B$19:$AG$49,ROW(C27)+1,FALSE)</f>
        <v>0</v>
      </c>
      <c r="U29" s="15" cm="1">
        <f t="array" ref="U29">+HLOOKUP($A$1,+[42]İcmal!$B$19:$AG$49,ROW(D27)+1,FALSE)</f>
        <v>0</v>
      </c>
      <c r="V29" s="15" cm="1">
        <f t="array" ref="V29">+HLOOKUP($A$1,+[43]İcmal!$B$19:$AG$49,ROW(A27)+1,FALSE)</f>
        <v>0</v>
      </c>
      <c r="W29" s="15" cm="1">
        <f t="array" ref="W29">+HLOOKUP($A$1,+[44]İcmal!$B$19:$AG$49,ROW(B27)+1,FALSE)</f>
        <v>0</v>
      </c>
      <c r="X29" s="15" cm="1">
        <f t="array" ref="X29">+HLOOKUP($A$1,+[45]İcmal!$B$19:$AG$49,ROW(C27)+1,FALSE)</f>
        <v>0</v>
      </c>
      <c r="Y29" s="15" cm="1">
        <f t="array" ref="Y29">+HLOOKUP($A$1,+[46]İcmal!$B$19:$AG$49,ROW(D27)+1,FALSE)</f>
        <v>0</v>
      </c>
      <c r="Z29" s="15" cm="1">
        <f t="array" ref="Z29">+HLOOKUP($A$1,+[47]İcmal!$B$19:$AG$49,ROW(A27)+1,FALSE)</f>
        <v>0</v>
      </c>
      <c r="AA29" s="15" cm="1">
        <f t="array" ref="AA29">+HLOOKUP($A$1,+[48]İcmal!$B$19:$AG$49,ROW(B27)+1,FALSE)</f>
        <v>0</v>
      </c>
      <c r="AB29" s="15" cm="1">
        <f t="array" ref="AB29">+HLOOKUP($A$1,+[49]İcmal!$B$19:$AG$49,ROW(A27)+1,FALSE)</f>
        <v>0</v>
      </c>
      <c r="AC29" s="15" cm="1">
        <f t="array" ref="AC29">+HLOOKUP($A$1,+[50]İcmal!$B$19:$AG$49,ROW(A27)+1,FALSE)</f>
        <v>0</v>
      </c>
      <c r="AD29" s="15" cm="1">
        <f t="array" ref="AD29">+HLOOKUP($A$1,+[51]İcmal!$B$19:$AG$49,ROW(A27)+1,FALSE)</f>
        <v>0</v>
      </c>
      <c r="AE29" s="15" cm="1">
        <f t="array" ref="AE29">+HLOOKUP($A$1,+[52]İcmal!$B$19:$AG$49,ROW(A27)+1,FALSE)</f>
        <v>0</v>
      </c>
      <c r="AF29" s="50" cm="1">
        <f t="array" ref="AF29">+HLOOKUP($A$1,+[53]İcmal!$B$19:$AG$49,ROW(A27)+1,FALSE)</f>
        <v>0</v>
      </c>
      <c r="AG29" s="15" cm="1">
        <f t="array" ref="AG29">+HLOOKUP($A$1,+[54]İcmal!$B$19:$AG$49,ROW(A27)+1,FALSE)</f>
        <v>0</v>
      </c>
      <c r="AH29" s="15" cm="1">
        <f t="array" ref="AH29">+HLOOKUP($A$1,+[55]İcmal!$B$19:$AG$49,ROW(A27)+1,FALSE)</f>
        <v>0</v>
      </c>
      <c r="AI29" s="15" cm="1">
        <f t="array" ref="AI29">+HLOOKUP($A$1,+[56]İcmal!$B$19:$AG$49,ROW(A27)+1,FALSE)</f>
        <v>0</v>
      </c>
      <c r="AJ29" s="15" cm="1">
        <f t="array" ref="AJ29">+HLOOKUP($A$1,+[57]İcmal!$B$19:$AG$49,ROW(A27)+1,FALSE)</f>
        <v>0</v>
      </c>
      <c r="AK29" s="15" cm="1">
        <f t="array" ref="AK29">+HLOOKUP($A$1,+[58]İcmal!$B$19:$AG$49,ROW(B27)+1,FALSE)</f>
        <v>0</v>
      </c>
      <c r="AL29" s="15"/>
      <c r="AM29" s="15"/>
      <c r="AN29" s="15"/>
      <c r="AO29" s="13"/>
    </row>
    <row r="30" spans="1:41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38.424999999999997</v>
      </c>
      <c r="I30" s="9">
        <f t="shared" si="2"/>
        <v>3740020.5249999999</v>
      </c>
      <c r="J30" s="15" cm="1">
        <f t="array" ref="J30">+HLOOKUP($A$1,+[31]İcmal!$B$19:$AG$49,ROW(A28)+1,FALSE)</f>
        <v>3.4280000000000008</v>
      </c>
      <c r="K30" s="15" cm="1">
        <f t="array" ref="K30">+HLOOKUP($A$1,+[32]İcmal!$B$19:$AG$49,ROW(B28)+1,FALSE)</f>
        <v>6.1039999999999992</v>
      </c>
      <c r="L30" s="15" cm="1">
        <f t="array" ref="L30">+HLOOKUP($A$1,+[33]İcmal!$B$19:$AG$49,ROW(C28)+1,FALSE)</f>
        <v>0</v>
      </c>
      <c r="M30" s="15" cm="1">
        <f t="array" ref="M30">+HLOOKUP($A$1,+[34]İcmal!$B$19:$AG$49,ROW(D28)+1,FALSE)</f>
        <v>0</v>
      </c>
      <c r="N30" s="15" cm="1">
        <f t="array" ref="N30">+HLOOKUP($A$1,+[35]İcmal!$B$19:$AG$49,ROW(A28)+1,FALSE)</f>
        <v>9.261000000000001</v>
      </c>
      <c r="O30" s="15" cm="1">
        <f t="array" ref="O30">+HLOOKUP($A$1,+[36]İcmal!$B$19:$AG$49,ROW(B28)+1,FALSE)</f>
        <v>0</v>
      </c>
      <c r="P30" s="15" cm="1">
        <f t="array" ref="P30">+HLOOKUP($A$1,+[37]İcmal!$B$19:$AG$49,ROW(C28)+1,FALSE)</f>
        <v>0</v>
      </c>
      <c r="Q30" s="15" cm="1">
        <f t="array" ref="Q30">+HLOOKUP($A$1,+[38]İcmal!$B$19:$AG$49,ROW(D28)+1,FALSE)</f>
        <v>0</v>
      </c>
      <c r="R30" s="15" cm="1">
        <f t="array" ref="R30">+HLOOKUP($A$1,+[39]İcmal!$B$19:$AG$49,ROW(A28)+1,FALSE)</f>
        <v>11.5</v>
      </c>
      <c r="S30" s="15" cm="1">
        <f t="array" ref="S30">+HLOOKUP($A$1,+[40]İcmal!$B$19:$AG$49,ROW(B28)+1,FALSE)</f>
        <v>0</v>
      </c>
      <c r="T30" s="15" cm="1">
        <f t="array" ref="T30">+HLOOKUP($A$1,+[41]İcmal!$B$19:$AG$49,ROW(C28)+1,FALSE)</f>
        <v>0</v>
      </c>
      <c r="U30" s="15" cm="1">
        <f t="array" ref="U30">+HLOOKUP($A$1,+[42]İcmal!$B$19:$AG$49,ROW(D28)+1,FALSE)</f>
        <v>0</v>
      </c>
      <c r="V30" s="15" cm="1">
        <f t="array" ref="V30">+HLOOKUP($A$1,+[43]İcmal!$B$19:$AG$49,ROW(A28)+1,FALSE)</f>
        <v>0</v>
      </c>
      <c r="W30" s="15" cm="1">
        <f t="array" ref="W30">+HLOOKUP($A$1,+[44]İcmal!$B$19:$AG$49,ROW(B28)+1,FALSE)</f>
        <v>8.1320000000000014</v>
      </c>
      <c r="X30" s="15" cm="1">
        <f t="array" ref="X30">+HLOOKUP($A$1,+[45]İcmal!$B$19:$AG$49,ROW(C28)+1,FALSE)</f>
        <v>0</v>
      </c>
      <c r="Y30" s="15" cm="1">
        <f t="array" ref="Y30">+HLOOKUP($A$1,+[46]İcmal!$B$19:$AG$49,ROW(D28)+1,FALSE)</f>
        <v>0</v>
      </c>
      <c r="Z30" s="15" cm="1">
        <f t="array" ref="Z30">+HLOOKUP($A$1,+[47]İcmal!$B$19:$AG$49,ROW(A28)+1,FALSE)</f>
        <v>0</v>
      </c>
      <c r="AA30" s="15" cm="1">
        <f t="array" ref="AA30">+HLOOKUP($A$1,+[48]İcmal!$B$19:$AG$49,ROW(B28)+1,FALSE)</f>
        <v>0</v>
      </c>
      <c r="AB30" s="15" cm="1">
        <f t="array" ref="AB30">+HLOOKUP($A$1,+[49]İcmal!$B$19:$AG$49,ROW(A28)+1,FALSE)</f>
        <v>0</v>
      </c>
      <c r="AC30" s="15" cm="1">
        <f t="array" ref="AC30">+HLOOKUP($A$1,+[50]İcmal!$B$19:$AG$49,ROW(A28)+1,FALSE)</f>
        <v>0</v>
      </c>
      <c r="AD30" s="15" cm="1">
        <f t="array" ref="AD30">+HLOOKUP($A$1,+[51]İcmal!$B$19:$AG$49,ROW(A28)+1,FALSE)</f>
        <v>0</v>
      </c>
      <c r="AE30" s="15" cm="1">
        <f t="array" ref="AE30">+HLOOKUP($A$1,+[52]İcmal!$B$19:$AG$49,ROW(A28)+1,FALSE)</f>
        <v>0</v>
      </c>
      <c r="AF30" s="50" cm="1">
        <f t="array" ref="AF30">+HLOOKUP($A$1,+[53]İcmal!$B$19:$AG$49,ROW(A28)+1,FALSE)</f>
        <v>0</v>
      </c>
      <c r="AG30" s="15" cm="1">
        <f t="array" ref="AG30">+HLOOKUP($A$1,+[54]İcmal!$B$19:$AG$49,ROW(A28)+1,FALSE)</f>
        <v>0</v>
      </c>
      <c r="AH30" s="15" cm="1">
        <f t="array" ref="AH30">+HLOOKUP($A$1,+[55]İcmal!$B$19:$AG$49,ROW(A28)+1,FALSE)</f>
        <v>0</v>
      </c>
      <c r="AI30" s="15" cm="1">
        <f t="array" ref="AI30">+HLOOKUP($A$1,+[56]İcmal!$B$19:$AG$49,ROW(A28)+1,FALSE)</f>
        <v>0</v>
      </c>
      <c r="AJ30" s="15" cm="1">
        <f t="array" ref="AJ30">+HLOOKUP($A$1,+[57]İcmal!$B$19:$AG$49,ROW(A28)+1,FALSE)</f>
        <v>0</v>
      </c>
      <c r="AK30" s="15" cm="1">
        <f t="array" ref="AK30">+HLOOKUP($A$1,+[58]İcmal!$B$19:$AG$49,ROW(B28)+1,FALSE)</f>
        <v>0</v>
      </c>
      <c r="AL30" s="15"/>
      <c r="AM30" s="15"/>
      <c r="AN30" s="15"/>
      <c r="AO30" s="13"/>
    </row>
    <row r="31" spans="1:41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+HLOOKUP($A$1,+[31]İcmal!$B$19:$AG$49,ROW(A29)+1,FALSE)</f>
        <v>0</v>
      </c>
      <c r="K31" s="15" cm="1">
        <f t="array" ref="K31">+HLOOKUP($A$1,+[32]İcmal!$B$19:$AG$49,ROW(B29)+1,FALSE)</f>
        <v>0</v>
      </c>
      <c r="L31" s="15" cm="1">
        <f t="array" ref="L31">+HLOOKUP($A$1,+[33]İcmal!$B$19:$AG$49,ROW(C29)+1,FALSE)</f>
        <v>0</v>
      </c>
      <c r="M31" s="15" cm="1">
        <f t="array" ref="M31">+HLOOKUP($A$1,+[34]İcmal!$B$19:$AG$49,ROW(D29)+1,FALSE)</f>
        <v>0</v>
      </c>
      <c r="N31" s="15" cm="1">
        <f t="array" ref="N31">+HLOOKUP($A$1,+[35]İcmal!$B$19:$AG$49,ROW(A29)+1,FALSE)</f>
        <v>0</v>
      </c>
      <c r="O31" s="15" cm="1">
        <f t="array" ref="O31">+HLOOKUP($A$1,+[36]İcmal!$B$19:$AG$49,ROW(B29)+1,FALSE)</f>
        <v>0</v>
      </c>
      <c r="P31" s="15" cm="1">
        <f t="array" ref="P31">+HLOOKUP($A$1,+[37]İcmal!$B$19:$AG$49,ROW(C29)+1,FALSE)</f>
        <v>0</v>
      </c>
      <c r="Q31" s="15" cm="1">
        <f t="array" ref="Q31">+HLOOKUP($A$1,+[38]İcmal!$B$19:$AG$49,ROW(D29)+1,FALSE)</f>
        <v>0</v>
      </c>
      <c r="R31" s="15" cm="1">
        <f t="array" ref="R31">+HLOOKUP($A$1,+[39]İcmal!$B$19:$AG$49,ROW(A29)+1,FALSE)</f>
        <v>0</v>
      </c>
      <c r="S31" s="15" cm="1">
        <f t="array" ref="S31">+HLOOKUP($A$1,+[40]İcmal!$B$19:$AG$49,ROW(B29)+1,FALSE)</f>
        <v>0</v>
      </c>
      <c r="T31" s="15" cm="1">
        <f t="array" ref="T31">+HLOOKUP($A$1,+[41]İcmal!$B$19:$AG$49,ROW(C29)+1,FALSE)</f>
        <v>0</v>
      </c>
      <c r="U31" s="15" cm="1">
        <f t="array" ref="U31">+HLOOKUP($A$1,+[42]İcmal!$B$19:$AG$49,ROW(D29)+1,FALSE)</f>
        <v>0</v>
      </c>
      <c r="V31" s="15" cm="1">
        <f t="array" ref="V31">+HLOOKUP($A$1,+[43]İcmal!$B$19:$AG$49,ROW(A29)+1,FALSE)</f>
        <v>0</v>
      </c>
      <c r="W31" s="15" cm="1">
        <f t="array" ref="W31">+HLOOKUP($A$1,+[44]İcmal!$B$19:$AG$49,ROW(B29)+1,FALSE)</f>
        <v>0</v>
      </c>
      <c r="X31" s="15" cm="1">
        <f t="array" ref="X31">+HLOOKUP($A$1,+[45]İcmal!$B$19:$AG$49,ROW(C29)+1,FALSE)</f>
        <v>0</v>
      </c>
      <c r="Y31" s="15" cm="1">
        <f t="array" ref="Y31">+HLOOKUP($A$1,+[46]İcmal!$B$19:$AG$49,ROW(D29)+1,FALSE)</f>
        <v>0</v>
      </c>
      <c r="Z31" s="15" cm="1">
        <f t="array" ref="Z31">+HLOOKUP($A$1,+[47]İcmal!$B$19:$AG$49,ROW(A29)+1,FALSE)</f>
        <v>0</v>
      </c>
      <c r="AA31" s="15" cm="1">
        <f t="array" ref="AA31">+HLOOKUP($A$1,+[48]İcmal!$B$19:$AG$49,ROW(B29)+1,FALSE)</f>
        <v>0</v>
      </c>
      <c r="AB31" s="15" cm="1">
        <f t="array" ref="AB31">+HLOOKUP($A$1,+[49]İcmal!$B$19:$AG$49,ROW(A29)+1,FALSE)</f>
        <v>0</v>
      </c>
      <c r="AC31" s="15" cm="1">
        <f t="array" ref="AC31">+HLOOKUP($A$1,+[50]İcmal!$B$19:$AG$49,ROW(A29)+1,FALSE)</f>
        <v>0</v>
      </c>
      <c r="AD31" s="15" cm="1">
        <f t="array" ref="AD31">+HLOOKUP($A$1,+[51]İcmal!$B$19:$AG$49,ROW(A29)+1,FALSE)</f>
        <v>0</v>
      </c>
      <c r="AE31" s="15" cm="1">
        <f t="array" ref="AE31">+HLOOKUP($A$1,+[52]İcmal!$B$19:$AG$49,ROW(A29)+1,FALSE)</f>
        <v>0</v>
      </c>
      <c r="AF31" s="50" cm="1">
        <f t="array" ref="AF31">+HLOOKUP($A$1,+[53]İcmal!$B$19:$AG$49,ROW(A29)+1,FALSE)</f>
        <v>0</v>
      </c>
      <c r="AG31" s="15" cm="1">
        <f t="array" ref="AG31">+HLOOKUP($A$1,+[54]İcmal!$B$19:$AG$49,ROW(A29)+1,FALSE)</f>
        <v>0</v>
      </c>
      <c r="AH31" s="15" cm="1">
        <f t="array" ref="AH31">+HLOOKUP($A$1,+[55]İcmal!$B$19:$AG$49,ROW(A29)+1,FALSE)</f>
        <v>0</v>
      </c>
      <c r="AI31" s="15" cm="1">
        <f t="array" ref="AI31">+HLOOKUP($A$1,+[56]İcmal!$B$19:$AG$49,ROW(A29)+1,FALSE)</f>
        <v>0</v>
      </c>
      <c r="AJ31" s="15" cm="1">
        <f t="array" ref="AJ31">+HLOOKUP($A$1,+[57]İcmal!$B$19:$AG$49,ROW(A29)+1,FALSE)</f>
        <v>0</v>
      </c>
      <c r="AK31" s="15" cm="1">
        <f t="array" ref="AK31">+HLOOKUP($A$1,+[58]İcmal!$B$19:$AG$49,ROW(B29)+1,FALSE)</f>
        <v>0</v>
      </c>
      <c r="AL31" s="15"/>
      <c r="AM31" s="15"/>
      <c r="AN31" s="15"/>
      <c r="AO31" s="13"/>
    </row>
    <row r="32" spans="1:41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+HLOOKUP($A$1,+[31]İcmal!$B$19:$AG$49,ROW(A30)+1,FALSE)</f>
        <v>0</v>
      </c>
      <c r="K32" s="15" cm="1">
        <f t="array" ref="K32">+HLOOKUP($A$1,+[32]İcmal!$B$19:$AG$49,ROW(B30)+1,FALSE)</f>
        <v>0</v>
      </c>
      <c r="L32" s="15" cm="1">
        <f t="array" ref="L32">+HLOOKUP($A$1,+[33]İcmal!$B$19:$AG$49,ROW(C30)+1,FALSE)</f>
        <v>0</v>
      </c>
      <c r="M32" s="15" cm="1">
        <f t="array" ref="M32">+HLOOKUP($A$1,+[34]İcmal!$B$19:$AG$49,ROW(D30)+1,FALSE)</f>
        <v>0</v>
      </c>
      <c r="N32" s="15" cm="1">
        <f t="array" ref="N32">+HLOOKUP($A$1,+[35]İcmal!$B$19:$AG$49,ROW(A30)+1,FALSE)</f>
        <v>0</v>
      </c>
      <c r="O32" s="15" cm="1">
        <f t="array" ref="O32">+HLOOKUP($A$1,+[36]İcmal!$B$19:$AG$49,ROW(B30)+1,FALSE)</f>
        <v>0</v>
      </c>
      <c r="P32" s="15" cm="1">
        <f t="array" ref="P32">+HLOOKUP($A$1,+[37]İcmal!$B$19:$AG$49,ROW(C30)+1,FALSE)</f>
        <v>0</v>
      </c>
      <c r="Q32" s="15" cm="1">
        <f t="array" ref="Q32">+HLOOKUP($A$1,+[38]İcmal!$B$19:$AG$49,ROW(D30)+1,FALSE)</f>
        <v>0</v>
      </c>
      <c r="R32" s="15" cm="1">
        <f t="array" ref="R32">+HLOOKUP($A$1,+[39]İcmal!$B$19:$AG$49,ROW(A30)+1,FALSE)</f>
        <v>0</v>
      </c>
      <c r="S32" s="15" cm="1">
        <f t="array" ref="S32">+HLOOKUP($A$1,+[40]İcmal!$B$19:$AG$49,ROW(B30)+1,FALSE)</f>
        <v>0</v>
      </c>
      <c r="T32" s="15" cm="1">
        <f t="array" ref="T32">+HLOOKUP($A$1,+[41]İcmal!$B$19:$AG$49,ROW(C30)+1,FALSE)</f>
        <v>0</v>
      </c>
      <c r="U32" s="15" cm="1">
        <f t="array" ref="U32">+HLOOKUP($A$1,+[42]İcmal!$B$19:$AG$49,ROW(D30)+1,FALSE)</f>
        <v>0</v>
      </c>
      <c r="V32" s="15" cm="1">
        <f t="array" ref="V32">+HLOOKUP($A$1,+[43]İcmal!$B$19:$AG$49,ROW(A30)+1,FALSE)</f>
        <v>0</v>
      </c>
      <c r="W32" s="15" cm="1">
        <f t="array" ref="W32">+HLOOKUP($A$1,+[44]İcmal!$B$19:$AG$49,ROW(B30)+1,FALSE)</f>
        <v>0</v>
      </c>
      <c r="X32" s="15" cm="1">
        <f t="array" ref="X32">+HLOOKUP($A$1,+[45]İcmal!$B$19:$AG$49,ROW(C30)+1,FALSE)</f>
        <v>0</v>
      </c>
      <c r="Y32" s="15" cm="1">
        <f t="array" ref="Y32">+HLOOKUP($A$1,+[46]İcmal!$B$19:$AG$49,ROW(D30)+1,FALSE)</f>
        <v>0</v>
      </c>
      <c r="Z32" s="15" cm="1">
        <f t="array" ref="Z32">+HLOOKUP($A$1,+[47]İcmal!$B$19:$AG$49,ROW(A30)+1,FALSE)</f>
        <v>0</v>
      </c>
      <c r="AA32" s="15" cm="1">
        <f t="array" ref="AA32">+HLOOKUP($A$1,+[48]İcmal!$B$19:$AG$49,ROW(B30)+1,FALSE)</f>
        <v>0</v>
      </c>
      <c r="AB32" s="15" cm="1">
        <f t="array" ref="AB32">+HLOOKUP($A$1,+[49]İcmal!$B$19:$AG$49,ROW(A30)+1,FALSE)</f>
        <v>0</v>
      </c>
      <c r="AC32" s="15" cm="1">
        <f t="array" ref="AC32">+HLOOKUP($A$1,+[50]İcmal!$B$19:$AG$49,ROW(A30)+1,FALSE)</f>
        <v>0</v>
      </c>
      <c r="AD32" s="15" cm="1">
        <f t="array" ref="AD32">+HLOOKUP($A$1,+[51]İcmal!$B$19:$AG$49,ROW(A30)+1,FALSE)</f>
        <v>0</v>
      </c>
      <c r="AE32" s="15" cm="1">
        <f t="array" ref="AE32">+HLOOKUP($A$1,+[52]İcmal!$B$19:$AG$49,ROW(A30)+1,FALSE)</f>
        <v>0</v>
      </c>
      <c r="AF32" s="50" cm="1">
        <f t="array" ref="AF32">+HLOOKUP($A$1,+[53]İcmal!$B$19:$AG$49,ROW(A30)+1,FALSE)</f>
        <v>0</v>
      </c>
      <c r="AG32" s="15" cm="1">
        <f t="array" ref="AG32">+HLOOKUP($A$1,+[54]İcmal!$B$19:$AG$49,ROW(A30)+1,FALSE)</f>
        <v>0</v>
      </c>
      <c r="AH32" s="15" cm="1">
        <f t="array" ref="AH32">+HLOOKUP($A$1,+[55]İcmal!$B$19:$AG$49,ROW(A30)+1,FALSE)</f>
        <v>0</v>
      </c>
      <c r="AI32" s="15" cm="1">
        <f t="array" ref="AI32">+HLOOKUP($A$1,+[56]İcmal!$B$19:$AG$49,ROW(A30)+1,FALSE)</f>
        <v>0</v>
      </c>
      <c r="AJ32" s="15" cm="1">
        <f t="array" ref="AJ32">+HLOOKUP($A$1,+[57]İcmal!$B$19:$AG$49,ROW(A30)+1,FALSE)</f>
        <v>0</v>
      </c>
      <c r="AK32" s="15" cm="1">
        <f t="array" ref="AK32">+HLOOKUP($A$1,+[58]İcmal!$B$19:$AG$49,ROW(B30)+1,FALSE)</f>
        <v>0</v>
      </c>
      <c r="AL32" s="15"/>
      <c r="AM32" s="15"/>
      <c r="AN32" s="15"/>
      <c r="AO32" s="14"/>
    </row>
    <row r="33" spans="8:40" x14ac:dyDescent="0.3">
      <c r="I33" s="16">
        <f>SUM(I3:I32)</f>
        <v>68600056.825000003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>
        <f t="shared" ref="AN33" si="3">+SUMPRODUCT(AN3:AN32,$F$3:$F$32)</f>
        <v>0</v>
      </c>
    </row>
    <row r="34" spans="8:40" x14ac:dyDescent="0.3">
      <c r="H34" s="52"/>
    </row>
    <row r="35" spans="8:40" x14ac:dyDescent="0.3">
      <c r="I35" s="16"/>
    </row>
    <row r="36" spans="8:40" x14ac:dyDescent="0.3">
      <c r="I36" s="16"/>
      <c r="K36" s="52"/>
    </row>
    <row r="37" spans="8:40" x14ac:dyDescent="0.3">
      <c r="J37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8B97-44CF-49A6-8F51-FDE8D337BE5F}">
  <sheetPr>
    <tabColor rgb="FFFF0000"/>
  </sheetPr>
  <dimension ref="A1:AO37"/>
  <sheetViews>
    <sheetView zoomScale="85" zoomScaleNormal="85" workbookViewId="0">
      <selection activeCell="K3" sqref="K3:K3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1" width="19.33203125" customWidth="1"/>
    <col min="12" max="13" width="21.109375" customWidth="1"/>
    <col min="14" max="15" width="19.21875" customWidth="1"/>
    <col min="16" max="16" width="19.33203125" customWidth="1"/>
    <col min="17" max="19" width="19.21875" customWidth="1"/>
    <col min="20" max="20" width="19.33203125" customWidth="1"/>
    <col min="21" max="21" width="19.21875" customWidth="1"/>
    <col min="22" max="24" width="46.77734375" customWidth="1"/>
    <col min="25" max="25" width="46.33203125" customWidth="1"/>
    <col min="26" max="32" width="46.77734375" customWidth="1"/>
    <col min="33" max="33" width="46.33203125" bestFit="1" customWidth="1"/>
    <col min="34" max="37" width="46.77734375" bestFit="1" customWidth="1"/>
    <col min="38" max="39" width="59.109375" customWidth="1"/>
    <col min="40" max="40" width="12.33203125" bestFit="1" customWidth="1"/>
    <col min="41" max="41" width="2.21875" customWidth="1"/>
  </cols>
  <sheetData>
    <row r="1" spans="1:41" ht="15" thickBot="1" x14ac:dyDescent="0.35">
      <c r="A1" s="17" t="s">
        <v>77</v>
      </c>
    </row>
    <row r="2" spans="1:4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3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11" t="s">
        <v>126</v>
      </c>
      <c r="AG2" s="3" t="s">
        <v>143</v>
      </c>
      <c r="AH2" s="11" t="s">
        <v>144</v>
      </c>
      <c r="AI2" s="3" t="s">
        <v>138</v>
      </c>
      <c r="AJ2" s="11" t="s">
        <v>125</v>
      </c>
      <c r="AK2" s="3" t="s">
        <v>133</v>
      </c>
      <c r="AL2" s="11"/>
      <c r="AM2" s="11"/>
      <c r="AN2" s="11"/>
      <c r="AO2" s="12"/>
    </row>
    <row r="3" spans="1:41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SUM(J3:AO3)</f>
        <v>3374.8189999999995</v>
      </c>
      <c r="I3" s="9">
        <f>+F3*H3</f>
        <v>17127206.424999997</v>
      </c>
      <c r="J3" s="15" cm="1">
        <f t="array" ref="J3">+HLOOKUP($A$1,+[31]İcmal!$B$19:$AG$49,ROW(A1)+1,FALSE)</f>
        <v>9.1739999999999995</v>
      </c>
      <c r="K3" s="15" cm="1">
        <f t="array" ref="K3">+HLOOKUP($A$1,+[32]İcmal!$B$19:$AG$49,ROW(B1)+1,FALSE)</f>
        <v>241.83199999999997</v>
      </c>
      <c r="L3" s="15" cm="1">
        <f t="array" ref="L3">+HLOOKUP($A$1,+[33]İcmal!$B$19:$AG$49,ROW(C1)+1,FALSE)</f>
        <v>0</v>
      </c>
      <c r="M3" s="15" cm="1">
        <f t="array" ref="M3">+HLOOKUP($A$1,+[34]İcmal!$B$19:$AG$49,ROW(D1)+1,FALSE)</f>
        <v>0</v>
      </c>
      <c r="N3" s="15" cm="1">
        <f t="array" ref="N3">+HLOOKUP($A$1,+[35]İcmal!$B$19:$AG$49,ROW(A1)+1,FALSE)</f>
        <v>800.84599999999978</v>
      </c>
      <c r="O3" s="15" cm="1">
        <f t="array" ref="O3">+HLOOKUP($A$1,+[36]İcmal!$B$19:$AG$49,ROW(B1)+1,FALSE)</f>
        <v>503.12200000000001</v>
      </c>
      <c r="P3" s="15" cm="1">
        <f t="array" ref="P3">+HLOOKUP($A$1,+[37]İcmal!$B$19:$AG$49,ROW(C1)+1,FALSE)</f>
        <v>0</v>
      </c>
      <c r="Q3" s="15" cm="1">
        <f t="array" ref="Q3">+HLOOKUP($A$1,+[38]İcmal!$B$19:$AG$49,ROW(D1)+1,FALSE)</f>
        <v>0</v>
      </c>
      <c r="R3" s="15" cm="1">
        <f t="array" ref="R3">+HLOOKUP($A$1,+[39]İcmal!$B$19:$AG$49,ROW(A1)+1,FALSE)</f>
        <v>802.84699999999987</v>
      </c>
      <c r="S3" s="15" cm="1">
        <f t="array" ref="S3">+HLOOKUP($A$1,+[40]İcmal!$B$19:$AG$49,ROW(B1)+1,FALSE)</f>
        <v>277.69099999999997</v>
      </c>
      <c r="T3" s="15" cm="1">
        <f t="array" ref="T3">+HLOOKUP($A$1,+[41]İcmal!$B$19:$AG$49,ROW(C1)+1,FALSE)</f>
        <v>0</v>
      </c>
      <c r="U3" s="15" cm="1">
        <f t="array" ref="U3">+HLOOKUP($A$1,+[42]İcmal!$B$19:$AG$49,ROW(D1)+1,FALSE)</f>
        <v>0</v>
      </c>
      <c r="V3" s="15" cm="1">
        <f t="array" ref="V3">+HLOOKUP($A$1,+[43]İcmal!$B$19:$AG$49,ROW(A1)+1,FALSE)</f>
        <v>0</v>
      </c>
      <c r="W3" s="15" cm="1">
        <f t="array" ref="W3">+HLOOKUP($A$1,+[44]İcmal!$B$19:$AG$49,ROW(B1)+1,FALSE)</f>
        <v>739.3069999999999</v>
      </c>
      <c r="X3" s="15" cm="1">
        <f t="array" ref="X3">+HLOOKUP($A$1,+[45]İcmal!$B$19:$AG$49,ROW(C1)+1,FALSE)</f>
        <v>0</v>
      </c>
      <c r="Y3" s="15" cm="1">
        <f t="array" ref="Y3">+HLOOKUP($A$1,+[46]İcmal!$B$19:$AG$49,ROW(D1)+1,FALSE)</f>
        <v>0</v>
      </c>
      <c r="Z3" s="15" cm="1">
        <f t="array" ref="Z3">+HLOOKUP($A$1,+[47]İcmal!$B$19:$AG$49,ROW(A1)+1,FALSE)</f>
        <v>0</v>
      </c>
      <c r="AA3" s="15" cm="1">
        <f t="array" ref="AA3">+HLOOKUP($A$1,+[48]İcmal!$B$19:$AG$49,ROW(B1)+1,FALSE)</f>
        <v>0</v>
      </c>
      <c r="AB3" s="15" cm="1">
        <f t="array" ref="AB3">+HLOOKUP($A$1,+[49]İcmal!$B$19:$AG$49,ROW(A1)+1,FALSE)</f>
        <v>0</v>
      </c>
      <c r="AC3" s="15" cm="1">
        <f t="array" ref="AC3">+HLOOKUP($A$1,+[50]İcmal!$B$19:$AG$49,ROW(A1)+1,FALSE)</f>
        <v>0</v>
      </c>
      <c r="AD3" s="15" cm="1">
        <f t="array" ref="AD3">+HLOOKUP($A$1,+[51]İcmal!$B$19:$AG$49,ROW(A1)+1,FALSE)</f>
        <v>0</v>
      </c>
      <c r="AE3" s="15" cm="1">
        <f t="array" ref="AE3">+HLOOKUP($A$1,+[52]İcmal!$B$19:$AG$49,ROW(A1)+1,FALSE)</f>
        <v>0</v>
      </c>
      <c r="AF3" s="50" cm="1">
        <f t="array" ref="AF3">+HLOOKUP($A$1,+[53]İcmal!$B$19:$AG$49,ROW(A1)+1,FALSE)</f>
        <v>0</v>
      </c>
      <c r="AG3" s="15" cm="1">
        <f t="array" ref="AG3">+HLOOKUP($A$1,+[54]İcmal!$B$19:$AG$49,ROW(A1)+1,FALSE)</f>
        <v>0</v>
      </c>
      <c r="AH3" s="15" cm="1">
        <f t="array" ref="AH3">+HLOOKUP($A$1,+[55]İcmal!$B$19:$AG$49,ROW(A1)+1,FALSE)</f>
        <v>0</v>
      </c>
      <c r="AI3" s="15" cm="1">
        <f t="array" ref="AI3">+HLOOKUP($A$1,+[56]İcmal!$B$19:$AG$49,ROW(A1)+1,FALSE)</f>
        <v>0</v>
      </c>
      <c r="AJ3" s="15" cm="1">
        <f t="array" ref="AJ3">+HLOOKUP($A$1,+[57]İcmal!$B$19:$AG$49,ROW(A1)+1,FALSE)</f>
        <v>0</v>
      </c>
      <c r="AK3" s="15" cm="1">
        <f t="array" ref="AK3">+HLOOKUP($A$1,+[58]İcmal!$B$19:$AG$49,ROW(B1)+1,FALSE)</f>
        <v>0</v>
      </c>
      <c r="AL3" s="15"/>
      <c r="AM3" s="15"/>
      <c r="AN3" s="15"/>
      <c r="AO3" s="13"/>
    </row>
    <row r="4" spans="1:41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+HLOOKUP($A$1,+[31]İcmal!$B$19:$AG$49,ROW(A2)+1,FALSE)</f>
        <v>0</v>
      </c>
      <c r="K4" s="15" cm="1">
        <f t="array" ref="K4">+HLOOKUP($A$1,+[32]İcmal!$B$19:$AG$49,ROW(B2)+1,FALSE)</f>
        <v>0</v>
      </c>
      <c r="L4" s="15" cm="1">
        <f t="array" ref="L4">+HLOOKUP($A$1,+[33]İcmal!$B$19:$AG$49,ROW(C2)+1,FALSE)</f>
        <v>0</v>
      </c>
      <c r="M4" s="15" cm="1">
        <f t="array" ref="M4">+HLOOKUP($A$1,+[34]İcmal!$B$19:$AG$49,ROW(D2)+1,FALSE)</f>
        <v>0</v>
      </c>
      <c r="N4" s="15" cm="1">
        <f t="array" ref="N4">+HLOOKUP($A$1,+[35]İcmal!$B$19:$AG$49,ROW(A2)+1,FALSE)</f>
        <v>0</v>
      </c>
      <c r="O4" s="15" cm="1">
        <f t="array" ref="O4">+HLOOKUP($A$1,+[36]İcmal!$B$19:$AG$49,ROW(B2)+1,FALSE)</f>
        <v>0</v>
      </c>
      <c r="P4" s="15" cm="1">
        <f t="array" ref="P4">+HLOOKUP($A$1,+[37]İcmal!$B$19:$AG$49,ROW(C2)+1,FALSE)</f>
        <v>0</v>
      </c>
      <c r="Q4" s="15" cm="1">
        <f t="array" ref="Q4">+HLOOKUP($A$1,+[38]İcmal!$B$19:$AG$49,ROW(D2)+1,FALSE)</f>
        <v>0</v>
      </c>
      <c r="R4" s="15" cm="1">
        <f t="array" ref="R4">+HLOOKUP($A$1,+[39]İcmal!$B$19:$AG$49,ROW(A2)+1,FALSE)</f>
        <v>0</v>
      </c>
      <c r="S4" s="15" cm="1">
        <f t="array" ref="S4">+HLOOKUP($A$1,+[40]İcmal!$B$19:$AG$49,ROW(B2)+1,FALSE)</f>
        <v>0</v>
      </c>
      <c r="T4" s="15" cm="1">
        <f t="array" ref="T4">+HLOOKUP($A$1,+[41]İcmal!$B$19:$AG$49,ROW(C2)+1,FALSE)</f>
        <v>0</v>
      </c>
      <c r="U4" s="15" cm="1">
        <f t="array" ref="U4">+HLOOKUP($A$1,+[42]İcmal!$B$19:$AG$49,ROW(D2)+1,FALSE)</f>
        <v>0</v>
      </c>
      <c r="V4" s="15" cm="1">
        <f t="array" ref="V4">+HLOOKUP($A$1,+[43]İcmal!$B$19:$AG$49,ROW(A2)+1,FALSE)</f>
        <v>0</v>
      </c>
      <c r="W4" s="15" cm="1">
        <f t="array" ref="W4">+HLOOKUP($A$1,+[44]İcmal!$B$19:$AG$49,ROW(B2)+1,FALSE)</f>
        <v>0</v>
      </c>
      <c r="X4" s="15" cm="1">
        <f t="array" ref="X4">+HLOOKUP($A$1,+[45]İcmal!$B$19:$AG$49,ROW(C2)+1,FALSE)</f>
        <v>0</v>
      </c>
      <c r="Y4" s="15" cm="1">
        <f t="array" ref="Y4">+HLOOKUP($A$1,+[46]İcmal!$B$19:$AG$49,ROW(D2)+1,FALSE)</f>
        <v>0</v>
      </c>
      <c r="Z4" s="15" cm="1">
        <f t="array" ref="Z4">+HLOOKUP($A$1,+[47]İcmal!$B$19:$AG$49,ROW(A2)+1,FALSE)</f>
        <v>0</v>
      </c>
      <c r="AA4" s="15" cm="1">
        <f t="array" ref="AA4">+HLOOKUP($A$1,+[48]İcmal!$B$19:$AG$49,ROW(B2)+1,FALSE)</f>
        <v>0</v>
      </c>
      <c r="AB4" s="15" cm="1">
        <f t="array" ref="AB4">+HLOOKUP($A$1,+[49]İcmal!$B$19:$AG$49,ROW(A2)+1,FALSE)</f>
        <v>0</v>
      </c>
      <c r="AC4" s="15" cm="1">
        <f t="array" ref="AC4">+HLOOKUP($A$1,+[50]İcmal!$B$19:$AG$49,ROW(A2)+1,FALSE)</f>
        <v>0</v>
      </c>
      <c r="AD4" s="15" cm="1">
        <f t="array" ref="AD4">+HLOOKUP($A$1,+[51]İcmal!$B$19:$AG$49,ROW(A2)+1,FALSE)</f>
        <v>0</v>
      </c>
      <c r="AE4" s="15" cm="1">
        <f t="array" ref="AE4">+HLOOKUP($A$1,+[52]İcmal!$B$19:$AG$49,ROW(A2)+1,FALSE)</f>
        <v>0</v>
      </c>
      <c r="AF4" s="50" cm="1">
        <f t="array" ref="AF4">+HLOOKUP($A$1,+[53]İcmal!$B$19:$AG$49,ROW(A2)+1,FALSE)</f>
        <v>0</v>
      </c>
      <c r="AG4" s="15" cm="1">
        <f t="array" ref="AG4">+HLOOKUP($A$1,+[54]İcmal!$B$19:$AG$49,ROW(A2)+1,FALSE)</f>
        <v>0</v>
      </c>
      <c r="AH4" s="15" cm="1">
        <f t="array" ref="AH4">+HLOOKUP($A$1,+[55]İcmal!$B$19:$AG$49,ROW(A2)+1,FALSE)</f>
        <v>0</v>
      </c>
      <c r="AI4" s="15" cm="1">
        <f t="array" ref="AI4">+HLOOKUP($A$1,+[56]İcmal!$B$19:$AG$49,ROW(A2)+1,FALSE)</f>
        <v>0</v>
      </c>
      <c r="AJ4" s="15" cm="1">
        <f t="array" ref="AJ4">+HLOOKUP($A$1,+[57]İcmal!$B$19:$AG$49,ROW(A2)+1,FALSE)</f>
        <v>0</v>
      </c>
      <c r="AK4" s="15" cm="1">
        <f t="array" ref="AK4">+HLOOKUP($A$1,+[58]İcmal!$B$19:$AG$49,ROW(B2)+1,FALSE)</f>
        <v>0</v>
      </c>
      <c r="AL4" s="15"/>
      <c r="AM4" s="15"/>
      <c r="AN4" s="15"/>
      <c r="AO4" s="13"/>
    </row>
    <row r="5" spans="1:41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+HLOOKUP($A$1,+[31]İcmal!$B$19:$AG$49,ROW(A3)+1,FALSE)</f>
        <v>0</v>
      </c>
      <c r="K5" s="15" cm="1">
        <f t="array" ref="K5">+HLOOKUP($A$1,+[32]İcmal!$B$19:$AG$49,ROW(B3)+1,FALSE)</f>
        <v>0</v>
      </c>
      <c r="L5" s="15" cm="1">
        <f t="array" ref="L5">+HLOOKUP($A$1,+[33]İcmal!$B$19:$AG$49,ROW(C3)+1,FALSE)</f>
        <v>0</v>
      </c>
      <c r="M5" s="15" cm="1">
        <f t="array" ref="M5">+HLOOKUP($A$1,+[34]İcmal!$B$19:$AG$49,ROW(D3)+1,FALSE)</f>
        <v>0</v>
      </c>
      <c r="N5" s="15" cm="1">
        <f t="array" ref="N5">+HLOOKUP($A$1,+[35]İcmal!$B$19:$AG$49,ROW(A3)+1,FALSE)</f>
        <v>0</v>
      </c>
      <c r="O5" s="15" cm="1">
        <f t="array" ref="O5">+HLOOKUP($A$1,+[36]İcmal!$B$19:$AG$49,ROW(B3)+1,FALSE)</f>
        <v>0</v>
      </c>
      <c r="P5" s="15" cm="1">
        <f t="array" ref="P5">+HLOOKUP($A$1,+[37]İcmal!$B$19:$AG$49,ROW(C3)+1,FALSE)</f>
        <v>0</v>
      </c>
      <c r="Q5" s="15" cm="1">
        <f t="array" ref="Q5">+HLOOKUP($A$1,+[38]İcmal!$B$19:$AG$49,ROW(D3)+1,FALSE)</f>
        <v>0</v>
      </c>
      <c r="R5" s="15" cm="1">
        <f t="array" ref="R5">+HLOOKUP($A$1,+[39]İcmal!$B$19:$AG$49,ROW(A3)+1,FALSE)</f>
        <v>0</v>
      </c>
      <c r="S5" s="15" cm="1">
        <f t="array" ref="S5">+HLOOKUP($A$1,+[40]İcmal!$B$19:$AG$49,ROW(B3)+1,FALSE)</f>
        <v>0</v>
      </c>
      <c r="T5" s="15" cm="1">
        <f t="array" ref="T5">+HLOOKUP($A$1,+[41]İcmal!$B$19:$AG$49,ROW(C3)+1,FALSE)</f>
        <v>0</v>
      </c>
      <c r="U5" s="15" cm="1">
        <f t="array" ref="U5">+HLOOKUP($A$1,+[42]İcmal!$B$19:$AG$49,ROW(D3)+1,FALSE)</f>
        <v>0</v>
      </c>
      <c r="V5" s="15" cm="1">
        <f t="array" ref="V5">+HLOOKUP($A$1,+[43]İcmal!$B$19:$AG$49,ROW(A3)+1,FALSE)</f>
        <v>0</v>
      </c>
      <c r="W5" s="15" cm="1">
        <f t="array" ref="W5">+HLOOKUP($A$1,+[44]İcmal!$B$19:$AG$49,ROW(B3)+1,FALSE)</f>
        <v>0</v>
      </c>
      <c r="X5" s="15" cm="1">
        <f t="array" ref="X5">+HLOOKUP($A$1,+[45]İcmal!$B$19:$AG$49,ROW(C3)+1,FALSE)</f>
        <v>0</v>
      </c>
      <c r="Y5" s="15" cm="1">
        <f t="array" ref="Y5">+HLOOKUP($A$1,+[46]İcmal!$B$19:$AG$49,ROW(D3)+1,FALSE)</f>
        <v>0</v>
      </c>
      <c r="Z5" s="15" cm="1">
        <f t="array" ref="Z5">+HLOOKUP($A$1,+[47]İcmal!$B$19:$AG$49,ROW(A3)+1,FALSE)</f>
        <v>0</v>
      </c>
      <c r="AA5" s="15" cm="1">
        <f t="array" ref="AA5">+HLOOKUP($A$1,+[48]İcmal!$B$19:$AG$49,ROW(B3)+1,FALSE)</f>
        <v>0</v>
      </c>
      <c r="AB5" s="15" cm="1">
        <f t="array" ref="AB5">+HLOOKUP($A$1,+[49]İcmal!$B$19:$AG$49,ROW(A3)+1,FALSE)</f>
        <v>0</v>
      </c>
      <c r="AC5" s="15" cm="1">
        <f t="array" ref="AC5">+HLOOKUP($A$1,+[50]İcmal!$B$19:$AG$49,ROW(A3)+1,FALSE)</f>
        <v>0</v>
      </c>
      <c r="AD5" s="15" cm="1">
        <f t="array" ref="AD5">+HLOOKUP($A$1,+[51]İcmal!$B$19:$AG$49,ROW(A3)+1,FALSE)</f>
        <v>0</v>
      </c>
      <c r="AE5" s="15" cm="1">
        <f t="array" ref="AE5">+HLOOKUP($A$1,+[52]İcmal!$B$19:$AG$49,ROW(A3)+1,FALSE)</f>
        <v>0</v>
      </c>
      <c r="AF5" s="50" cm="1">
        <f t="array" ref="AF5">+HLOOKUP($A$1,+[53]İcmal!$B$19:$AG$49,ROW(A3)+1,FALSE)</f>
        <v>0</v>
      </c>
      <c r="AG5" s="15" cm="1">
        <f t="array" ref="AG5">+HLOOKUP($A$1,+[54]İcmal!$B$19:$AG$49,ROW(A3)+1,FALSE)</f>
        <v>0</v>
      </c>
      <c r="AH5" s="15" cm="1">
        <f t="array" ref="AH5">+HLOOKUP($A$1,+[55]İcmal!$B$19:$AG$49,ROW(A3)+1,FALSE)</f>
        <v>0</v>
      </c>
      <c r="AI5" s="15" cm="1">
        <f t="array" ref="AI5">+HLOOKUP($A$1,+[56]İcmal!$B$19:$AG$49,ROW(A3)+1,FALSE)</f>
        <v>0</v>
      </c>
      <c r="AJ5" s="15" cm="1">
        <f t="array" ref="AJ5">+HLOOKUP($A$1,+[57]İcmal!$B$19:$AG$49,ROW(A3)+1,FALSE)</f>
        <v>0</v>
      </c>
      <c r="AK5" s="15" cm="1">
        <f t="array" ref="AK5">+HLOOKUP($A$1,+[58]İcmal!$B$19:$AG$49,ROW(B3)+1,FALSE)</f>
        <v>0</v>
      </c>
      <c r="AL5" s="15"/>
      <c r="AM5" s="15"/>
      <c r="AN5" s="15"/>
      <c r="AO5" s="13"/>
    </row>
    <row r="6" spans="1:41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724.52100000000007</v>
      </c>
      <c r="I6" s="9">
        <f t="shared" si="2"/>
        <v>11109805.014</v>
      </c>
      <c r="J6" s="15" cm="1">
        <f t="array" ref="J6">+HLOOKUP($A$1,+[31]İcmal!$B$19:$AG$49,ROW(A4)+1,FALSE)</f>
        <v>9.1739999999999995</v>
      </c>
      <c r="K6" s="15" cm="1">
        <f t="array" ref="K6">+HLOOKUP($A$1,+[32]İcmal!$B$19:$AG$49,ROW(B4)+1,FALSE)</f>
        <v>59.269000000000005</v>
      </c>
      <c r="L6" s="15" cm="1">
        <f t="array" ref="L6">+HLOOKUP($A$1,+[33]İcmal!$B$19:$AG$49,ROW(C4)+1,FALSE)</f>
        <v>0</v>
      </c>
      <c r="M6" s="15" cm="1">
        <f t="array" ref="M6">+HLOOKUP($A$1,+[34]İcmal!$B$19:$AG$49,ROW(D4)+1,FALSE)</f>
        <v>0</v>
      </c>
      <c r="N6" s="15" cm="1">
        <f t="array" ref="N6">+HLOOKUP($A$1,+[35]İcmal!$B$19:$AG$49,ROW(A4)+1,FALSE)</f>
        <v>181.20700000000002</v>
      </c>
      <c r="O6" s="15" cm="1">
        <f t="array" ref="O6">+HLOOKUP($A$1,+[36]İcmal!$B$19:$AG$49,ROW(B4)+1,FALSE)</f>
        <v>98.125000000000014</v>
      </c>
      <c r="P6" s="15" cm="1">
        <f t="array" ref="P6">+HLOOKUP($A$1,+[37]İcmal!$B$19:$AG$49,ROW(C4)+1,FALSE)</f>
        <v>0</v>
      </c>
      <c r="Q6" s="15" cm="1">
        <f t="array" ref="Q6">+HLOOKUP($A$1,+[38]İcmal!$B$19:$AG$49,ROW(D4)+1,FALSE)</f>
        <v>0</v>
      </c>
      <c r="R6" s="15" cm="1">
        <f t="array" ref="R6">+HLOOKUP($A$1,+[39]İcmal!$B$19:$AG$49,ROW(A4)+1,FALSE)</f>
        <v>183.20800000000003</v>
      </c>
      <c r="S6" s="15" cm="1">
        <f t="array" ref="S6">+HLOOKUP($A$1,+[40]İcmal!$B$19:$AG$49,ROW(B4)+1,FALSE)</f>
        <v>48.954999999999998</v>
      </c>
      <c r="T6" s="15" cm="1">
        <f t="array" ref="T6">+HLOOKUP($A$1,+[41]İcmal!$B$19:$AG$49,ROW(C4)+1,FALSE)</f>
        <v>0</v>
      </c>
      <c r="U6" s="15" cm="1">
        <f t="array" ref="U6">+HLOOKUP($A$1,+[42]İcmal!$B$19:$AG$49,ROW(D4)+1,FALSE)</f>
        <v>0</v>
      </c>
      <c r="V6" s="15" cm="1">
        <f t="array" ref="V6">+HLOOKUP($A$1,+[43]İcmal!$B$19:$AG$49,ROW(A4)+1,FALSE)</f>
        <v>0</v>
      </c>
      <c r="W6" s="15" cm="1">
        <f t="array" ref="W6">+HLOOKUP($A$1,+[44]İcmal!$B$19:$AG$49,ROW(B4)+1,FALSE)</f>
        <v>144.583</v>
      </c>
      <c r="X6" s="15" cm="1">
        <f t="array" ref="X6">+HLOOKUP($A$1,+[45]İcmal!$B$19:$AG$49,ROW(C4)+1,FALSE)</f>
        <v>0</v>
      </c>
      <c r="Y6" s="15" cm="1">
        <f t="array" ref="Y6">+HLOOKUP($A$1,+[46]İcmal!$B$19:$AG$49,ROW(D4)+1,FALSE)</f>
        <v>0</v>
      </c>
      <c r="Z6" s="15" cm="1">
        <f t="array" ref="Z6">+HLOOKUP($A$1,+[47]İcmal!$B$19:$AG$49,ROW(A4)+1,FALSE)</f>
        <v>0</v>
      </c>
      <c r="AA6" s="15" cm="1">
        <f t="array" ref="AA6">+HLOOKUP($A$1,+[48]İcmal!$B$19:$AG$49,ROW(B4)+1,FALSE)</f>
        <v>0</v>
      </c>
      <c r="AB6" s="15" cm="1">
        <f t="array" ref="AB6">+HLOOKUP($A$1,+[49]İcmal!$B$19:$AG$49,ROW(A4)+1,FALSE)</f>
        <v>0</v>
      </c>
      <c r="AC6" s="15" cm="1">
        <f t="array" ref="AC6">+HLOOKUP($A$1,+[50]İcmal!$B$19:$AG$49,ROW(A4)+1,FALSE)</f>
        <v>0</v>
      </c>
      <c r="AD6" s="15" cm="1">
        <f t="array" ref="AD6">+HLOOKUP($A$1,+[51]İcmal!$B$19:$AG$49,ROW(A4)+1,FALSE)</f>
        <v>0</v>
      </c>
      <c r="AE6" s="15" cm="1">
        <f t="array" ref="AE6">+HLOOKUP($A$1,+[52]İcmal!$B$19:$AG$49,ROW(A4)+1,FALSE)</f>
        <v>0</v>
      </c>
      <c r="AF6" s="50" cm="1">
        <f t="array" ref="AF6">+HLOOKUP($A$1,+[53]İcmal!$B$19:$AG$49,ROW(A4)+1,FALSE)</f>
        <v>0</v>
      </c>
      <c r="AG6" s="15" cm="1">
        <f t="array" ref="AG6">+HLOOKUP($A$1,+[54]İcmal!$B$19:$AG$49,ROW(A4)+1,FALSE)</f>
        <v>0</v>
      </c>
      <c r="AH6" s="15" cm="1">
        <f t="array" ref="AH6">+HLOOKUP($A$1,+[55]İcmal!$B$19:$AG$49,ROW(A4)+1,FALSE)</f>
        <v>0</v>
      </c>
      <c r="AI6" s="15" cm="1">
        <f t="array" ref="AI6">+HLOOKUP($A$1,+[56]İcmal!$B$19:$AG$49,ROW(A4)+1,FALSE)</f>
        <v>0</v>
      </c>
      <c r="AJ6" s="15" cm="1">
        <f t="array" ref="AJ6">+HLOOKUP($A$1,+[57]İcmal!$B$19:$AG$49,ROW(A4)+1,FALSE)</f>
        <v>0</v>
      </c>
      <c r="AK6" s="15" cm="1">
        <f t="array" ref="AK6">+HLOOKUP($A$1,+[58]İcmal!$B$19:$AG$49,ROW(B4)+1,FALSE)</f>
        <v>0</v>
      </c>
      <c r="AL6" s="15"/>
      <c r="AM6" s="15"/>
      <c r="AN6" s="15"/>
      <c r="AO6" s="13"/>
    </row>
    <row r="7" spans="1:41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+HLOOKUP($A$1,+[31]İcmal!$B$19:$AG$49,ROW(A5)+1,FALSE)</f>
        <v>0</v>
      </c>
      <c r="K7" s="15" cm="1">
        <f t="array" ref="K7">+HLOOKUP($A$1,+[32]İcmal!$B$19:$AG$49,ROW(B5)+1,FALSE)</f>
        <v>0</v>
      </c>
      <c r="L7" s="15" cm="1">
        <f t="array" ref="L7">+HLOOKUP($A$1,+[33]İcmal!$B$19:$AG$49,ROW(C5)+1,FALSE)</f>
        <v>0</v>
      </c>
      <c r="M7" s="15" cm="1">
        <f t="array" ref="M7">+HLOOKUP($A$1,+[34]İcmal!$B$19:$AG$49,ROW(D5)+1,FALSE)</f>
        <v>0</v>
      </c>
      <c r="N7" s="15" cm="1">
        <f t="array" ref="N7">+HLOOKUP($A$1,+[35]İcmal!$B$19:$AG$49,ROW(A5)+1,FALSE)</f>
        <v>0</v>
      </c>
      <c r="O7" s="15" cm="1">
        <f t="array" ref="O7">+HLOOKUP($A$1,+[36]İcmal!$B$19:$AG$49,ROW(B5)+1,FALSE)</f>
        <v>0</v>
      </c>
      <c r="P7" s="15" cm="1">
        <f t="array" ref="P7">+HLOOKUP($A$1,+[37]İcmal!$B$19:$AG$49,ROW(C5)+1,FALSE)</f>
        <v>0</v>
      </c>
      <c r="Q7" s="15" cm="1">
        <f t="array" ref="Q7">+HLOOKUP($A$1,+[38]İcmal!$B$19:$AG$49,ROW(D5)+1,FALSE)</f>
        <v>0</v>
      </c>
      <c r="R7" s="15" cm="1">
        <f t="array" ref="R7">+HLOOKUP($A$1,+[39]İcmal!$B$19:$AG$49,ROW(A5)+1,FALSE)</f>
        <v>0</v>
      </c>
      <c r="S7" s="15" cm="1">
        <f t="array" ref="S7">+HLOOKUP($A$1,+[40]İcmal!$B$19:$AG$49,ROW(B5)+1,FALSE)</f>
        <v>0</v>
      </c>
      <c r="T7" s="15" cm="1">
        <f t="array" ref="T7">+HLOOKUP($A$1,+[41]İcmal!$B$19:$AG$49,ROW(C5)+1,FALSE)</f>
        <v>0</v>
      </c>
      <c r="U7" s="15" cm="1">
        <f t="array" ref="U7">+HLOOKUP($A$1,+[42]İcmal!$B$19:$AG$49,ROW(D5)+1,FALSE)</f>
        <v>0</v>
      </c>
      <c r="V7" s="15" cm="1">
        <f t="array" ref="V7">+HLOOKUP($A$1,+[43]İcmal!$B$19:$AG$49,ROW(A5)+1,FALSE)</f>
        <v>0</v>
      </c>
      <c r="W7" s="15" cm="1">
        <f t="array" ref="W7">+HLOOKUP($A$1,+[44]İcmal!$B$19:$AG$49,ROW(B5)+1,FALSE)</f>
        <v>0</v>
      </c>
      <c r="X7" s="15" cm="1">
        <f t="array" ref="X7">+HLOOKUP($A$1,+[45]İcmal!$B$19:$AG$49,ROW(C5)+1,FALSE)</f>
        <v>0</v>
      </c>
      <c r="Y7" s="15" cm="1">
        <f t="array" ref="Y7">+HLOOKUP($A$1,+[46]İcmal!$B$19:$AG$49,ROW(D5)+1,FALSE)</f>
        <v>0</v>
      </c>
      <c r="Z7" s="15" cm="1">
        <f t="array" ref="Z7">+HLOOKUP($A$1,+[47]İcmal!$B$19:$AG$49,ROW(A5)+1,FALSE)</f>
        <v>0</v>
      </c>
      <c r="AA7" s="15" cm="1">
        <f t="array" ref="AA7">+HLOOKUP($A$1,+[48]İcmal!$B$19:$AG$49,ROW(B5)+1,FALSE)</f>
        <v>0</v>
      </c>
      <c r="AB7" s="15" cm="1">
        <f t="array" ref="AB7">+HLOOKUP($A$1,+[49]İcmal!$B$19:$AG$49,ROW(A5)+1,FALSE)</f>
        <v>0</v>
      </c>
      <c r="AC7" s="15" cm="1">
        <f t="array" ref="AC7">+HLOOKUP($A$1,+[50]İcmal!$B$19:$AG$49,ROW(A5)+1,FALSE)</f>
        <v>0</v>
      </c>
      <c r="AD7" s="15" cm="1">
        <f t="array" ref="AD7">+HLOOKUP($A$1,+[51]İcmal!$B$19:$AG$49,ROW(A5)+1,FALSE)</f>
        <v>0</v>
      </c>
      <c r="AE7" s="15" cm="1">
        <f t="array" ref="AE7">+HLOOKUP($A$1,+[52]İcmal!$B$19:$AG$49,ROW(A5)+1,FALSE)</f>
        <v>0</v>
      </c>
      <c r="AF7" s="50" cm="1">
        <f t="array" ref="AF7">+HLOOKUP($A$1,+[53]İcmal!$B$19:$AG$49,ROW(A5)+1,FALSE)</f>
        <v>0</v>
      </c>
      <c r="AG7" s="15" cm="1">
        <f t="array" ref="AG7">+HLOOKUP($A$1,+[54]İcmal!$B$19:$AG$49,ROW(A5)+1,FALSE)</f>
        <v>0</v>
      </c>
      <c r="AH7" s="15" cm="1">
        <f t="array" ref="AH7">+HLOOKUP($A$1,+[55]İcmal!$B$19:$AG$49,ROW(A5)+1,FALSE)</f>
        <v>0</v>
      </c>
      <c r="AI7" s="15" cm="1">
        <f t="array" ref="AI7">+HLOOKUP($A$1,+[56]İcmal!$B$19:$AG$49,ROW(A5)+1,FALSE)</f>
        <v>0</v>
      </c>
      <c r="AJ7" s="15" cm="1">
        <f t="array" ref="AJ7">+HLOOKUP($A$1,+[57]İcmal!$B$19:$AG$49,ROW(A5)+1,FALSE)</f>
        <v>0</v>
      </c>
      <c r="AK7" s="15" cm="1">
        <f t="array" ref="AK7">+HLOOKUP($A$1,+[58]İcmal!$B$19:$AG$49,ROW(B5)+1,FALSE)</f>
        <v>0</v>
      </c>
      <c r="AL7" s="15"/>
      <c r="AM7" s="15"/>
      <c r="AN7" s="15"/>
      <c r="AO7" s="13"/>
    </row>
    <row r="8" spans="1:41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+HLOOKUP($A$1,+[31]İcmal!$B$19:$AG$49,ROW(A6)+1,FALSE)</f>
        <v>0</v>
      </c>
      <c r="K8" s="15" cm="1">
        <f t="array" ref="K8">+HLOOKUP($A$1,+[32]İcmal!$B$19:$AG$49,ROW(B6)+1,FALSE)</f>
        <v>0</v>
      </c>
      <c r="L8" s="15" cm="1">
        <f t="array" ref="L8">+HLOOKUP($A$1,+[33]İcmal!$B$19:$AG$49,ROW(C6)+1,FALSE)</f>
        <v>0</v>
      </c>
      <c r="M8" s="15" cm="1">
        <f t="array" ref="M8">+HLOOKUP($A$1,+[34]İcmal!$B$19:$AG$49,ROW(D6)+1,FALSE)</f>
        <v>0</v>
      </c>
      <c r="N8" s="15" cm="1">
        <f t="array" ref="N8">+HLOOKUP($A$1,+[35]İcmal!$B$19:$AG$49,ROW(A6)+1,FALSE)</f>
        <v>0</v>
      </c>
      <c r="O8" s="15" cm="1">
        <f t="array" ref="O8">+HLOOKUP($A$1,+[36]İcmal!$B$19:$AG$49,ROW(B6)+1,FALSE)</f>
        <v>0</v>
      </c>
      <c r="P8" s="15" cm="1">
        <f t="array" ref="P8">+HLOOKUP($A$1,+[37]İcmal!$B$19:$AG$49,ROW(C6)+1,FALSE)</f>
        <v>0</v>
      </c>
      <c r="Q8" s="15" cm="1">
        <f t="array" ref="Q8">+HLOOKUP($A$1,+[38]İcmal!$B$19:$AG$49,ROW(D6)+1,FALSE)</f>
        <v>0</v>
      </c>
      <c r="R8" s="15" cm="1">
        <f t="array" ref="R8">+HLOOKUP($A$1,+[39]İcmal!$B$19:$AG$49,ROW(A6)+1,FALSE)</f>
        <v>0</v>
      </c>
      <c r="S8" s="15" cm="1">
        <f t="array" ref="S8">+HLOOKUP($A$1,+[40]İcmal!$B$19:$AG$49,ROW(B6)+1,FALSE)</f>
        <v>0</v>
      </c>
      <c r="T8" s="15" cm="1">
        <f t="array" ref="T8">+HLOOKUP($A$1,+[41]İcmal!$B$19:$AG$49,ROW(C6)+1,FALSE)</f>
        <v>0</v>
      </c>
      <c r="U8" s="15" cm="1">
        <f t="array" ref="U8">+HLOOKUP($A$1,+[42]İcmal!$B$19:$AG$49,ROW(D6)+1,FALSE)</f>
        <v>0</v>
      </c>
      <c r="V8" s="15" cm="1">
        <f t="array" ref="V8">+HLOOKUP($A$1,+[43]İcmal!$B$19:$AG$49,ROW(A6)+1,FALSE)</f>
        <v>0</v>
      </c>
      <c r="W8" s="15" cm="1">
        <f t="array" ref="W8">+HLOOKUP($A$1,+[44]İcmal!$B$19:$AG$49,ROW(B6)+1,FALSE)</f>
        <v>0</v>
      </c>
      <c r="X8" s="15" cm="1">
        <f t="array" ref="X8">+HLOOKUP($A$1,+[45]İcmal!$B$19:$AG$49,ROW(C6)+1,FALSE)</f>
        <v>0</v>
      </c>
      <c r="Y8" s="15" cm="1">
        <f t="array" ref="Y8">+HLOOKUP($A$1,+[46]İcmal!$B$19:$AG$49,ROW(D6)+1,FALSE)</f>
        <v>0</v>
      </c>
      <c r="Z8" s="15" cm="1">
        <f t="array" ref="Z8">+HLOOKUP($A$1,+[47]İcmal!$B$19:$AG$49,ROW(A6)+1,FALSE)</f>
        <v>0</v>
      </c>
      <c r="AA8" s="15" cm="1">
        <f t="array" ref="AA8">+HLOOKUP($A$1,+[48]İcmal!$B$19:$AG$49,ROW(B6)+1,FALSE)</f>
        <v>0</v>
      </c>
      <c r="AB8" s="15" cm="1">
        <f t="array" ref="AB8">+HLOOKUP($A$1,+[49]İcmal!$B$19:$AG$49,ROW(A6)+1,FALSE)</f>
        <v>0</v>
      </c>
      <c r="AC8" s="15" cm="1">
        <f t="array" ref="AC8">+HLOOKUP($A$1,+[50]İcmal!$B$19:$AG$49,ROW(A6)+1,FALSE)</f>
        <v>0</v>
      </c>
      <c r="AD8" s="15" cm="1">
        <f t="array" ref="AD8">+HLOOKUP($A$1,+[51]İcmal!$B$19:$AG$49,ROW(A6)+1,FALSE)</f>
        <v>0</v>
      </c>
      <c r="AE8" s="15" cm="1">
        <f t="array" ref="AE8">+HLOOKUP($A$1,+[52]İcmal!$B$19:$AG$49,ROW(A6)+1,FALSE)</f>
        <v>0</v>
      </c>
      <c r="AF8" s="50" cm="1">
        <f t="array" ref="AF8">+HLOOKUP($A$1,+[53]İcmal!$B$19:$AG$49,ROW(A6)+1,FALSE)</f>
        <v>0</v>
      </c>
      <c r="AG8" s="15" cm="1">
        <f t="array" ref="AG8">+HLOOKUP($A$1,+[54]İcmal!$B$19:$AG$49,ROW(A6)+1,FALSE)</f>
        <v>0</v>
      </c>
      <c r="AH8" s="15" cm="1">
        <f t="array" ref="AH8">+HLOOKUP($A$1,+[55]İcmal!$B$19:$AG$49,ROW(A6)+1,FALSE)</f>
        <v>0</v>
      </c>
      <c r="AI8" s="15" cm="1">
        <f t="array" ref="AI8">+HLOOKUP($A$1,+[56]İcmal!$B$19:$AG$49,ROW(A6)+1,FALSE)</f>
        <v>0</v>
      </c>
      <c r="AJ8" s="15" cm="1">
        <f t="array" ref="AJ8">+HLOOKUP($A$1,+[57]İcmal!$B$19:$AG$49,ROW(A6)+1,FALSE)</f>
        <v>0</v>
      </c>
      <c r="AK8" s="15" cm="1">
        <f t="array" ref="AK8">+HLOOKUP($A$1,+[58]İcmal!$B$19:$AG$49,ROW(B6)+1,FALSE)</f>
        <v>0</v>
      </c>
      <c r="AL8" s="15"/>
      <c r="AM8" s="15"/>
      <c r="AN8" s="15"/>
      <c r="AO8" s="13"/>
    </row>
    <row r="9" spans="1:41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+HLOOKUP($A$1,+[31]İcmal!$B$19:$AG$49,ROW(A7)+1,FALSE)</f>
        <v>0</v>
      </c>
      <c r="K9" s="15" cm="1">
        <f t="array" ref="K9">+HLOOKUP($A$1,+[32]İcmal!$B$19:$AG$49,ROW(B7)+1,FALSE)</f>
        <v>0</v>
      </c>
      <c r="L9" s="15" cm="1">
        <f t="array" ref="L9">+HLOOKUP($A$1,+[33]İcmal!$B$19:$AG$49,ROW(C7)+1,FALSE)</f>
        <v>0</v>
      </c>
      <c r="M9" s="15" cm="1">
        <f t="array" ref="M9">+HLOOKUP($A$1,+[34]İcmal!$B$19:$AG$49,ROW(D7)+1,FALSE)</f>
        <v>0</v>
      </c>
      <c r="N9" s="15" cm="1">
        <f t="array" ref="N9">+HLOOKUP($A$1,+[35]İcmal!$B$19:$AG$49,ROW(A7)+1,FALSE)</f>
        <v>0</v>
      </c>
      <c r="O9" s="15" cm="1">
        <f t="array" ref="O9">+HLOOKUP($A$1,+[36]İcmal!$B$19:$AG$49,ROW(B7)+1,FALSE)</f>
        <v>0</v>
      </c>
      <c r="P9" s="15" cm="1">
        <f t="array" ref="P9">+HLOOKUP($A$1,+[37]İcmal!$B$19:$AG$49,ROW(C7)+1,FALSE)</f>
        <v>0</v>
      </c>
      <c r="Q9" s="15" cm="1">
        <f t="array" ref="Q9">+HLOOKUP($A$1,+[38]İcmal!$B$19:$AG$49,ROW(D7)+1,FALSE)</f>
        <v>0</v>
      </c>
      <c r="R9" s="15" cm="1">
        <f t="array" ref="R9">+HLOOKUP($A$1,+[39]İcmal!$B$19:$AG$49,ROW(A7)+1,FALSE)</f>
        <v>0</v>
      </c>
      <c r="S9" s="15" cm="1">
        <f t="array" ref="S9">+HLOOKUP($A$1,+[40]İcmal!$B$19:$AG$49,ROW(B7)+1,FALSE)</f>
        <v>0</v>
      </c>
      <c r="T9" s="15" cm="1">
        <f t="array" ref="T9">+HLOOKUP($A$1,+[41]İcmal!$B$19:$AG$49,ROW(C7)+1,FALSE)</f>
        <v>0</v>
      </c>
      <c r="U9" s="15" cm="1">
        <f t="array" ref="U9">+HLOOKUP($A$1,+[42]İcmal!$B$19:$AG$49,ROW(D7)+1,FALSE)</f>
        <v>0</v>
      </c>
      <c r="V9" s="15" cm="1">
        <f t="array" ref="V9">+HLOOKUP($A$1,+[43]İcmal!$B$19:$AG$49,ROW(A7)+1,FALSE)</f>
        <v>0</v>
      </c>
      <c r="W9" s="15" cm="1">
        <f t="array" ref="W9">+HLOOKUP($A$1,+[44]İcmal!$B$19:$AG$49,ROW(B7)+1,FALSE)</f>
        <v>0</v>
      </c>
      <c r="X9" s="15" cm="1">
        <f t="array" ref="X9">+HLOOKUP($A$1,+[45]İcmal!$B$19:$AG$49,ROW(C7)+1,FALSE)</f>
        <v>0</v>
      </c>
      <c r="Y9" s="15" cm="1">
        <f t="array" ref="Y9">+HLOOKUP($A$1,+[46]İcmal!$B$19:$AG$49,ROW(D7)+1,FALSE)</f>
        <v>0</v>
      </c>
      <c r="Z9" s="15" cm="1">
        <f t="array" ref="Z9">+HLOOKUP($A$1,+[47]İcmal!$B$19:$AG$49,ROW(A7)+1,FALSE)</f>
        <v>0</v>
      </c>
      <c r="AA9" s="15" cm="1">
        <f t="array" ref="AA9">+HLOOKUP($A$1,+[48]İcmal!$B$19:$AG$49,ROW(B7)+1,FALSE)</f>
        <v>0</v>
      </c>
      <c r="AB9" s="15" cm="1">
        <f t="array" ref="AB9">+HLOOKUP($A$1,+[49]İcmal!$B$19:$AG$49,ROW(A7)+1,FALSE)</f>
        <v>0</v>
      </c>
      <c r="AC9" s="15" cm="1">
        <f t="array" ref="AC9">+HLOOKUP($A$1,+[50]İcmal!$B$19:$AG$49,ROW(A7)+1,FALSE)</f>
        <v>0</v>
      </c>
      <c r="AD9" s="15" cm="1">
        <f t="array" ref="AD9">+HLOOKUP($A$1,+[51]İcmal!$B$19:$AG$49,ROW(A7)+1,FALSE)</f>
        <v>0</v>
      </c>
      <c r="AE9" s="15" cm="1">
        <f t="array" ref="AE9">+HLOOKUP($A$1,+[52]İcmal!$B$19:$AG$49,ROW(A7)+1,FALSE)</f>
        <v>0</v>
      </c>
      <c r="AF9" s="50" cm="1">
        <f t="array" ref="AF9">+HLOOKUP($A$1,+[53]İcmal!$B$19:$AG$49,ROW(A7)+1,FALSE)</f>
        <v>0</v>
      </c>
      <c r="AG9" s="15" cm="1">
        <f t="array" ref="AG9">+HLOOKUP($A$1,+[54]İcmal!$B$19:$AG$49,ROW(A7)+1,FALSE)</f>
        <v>0</v>
      </c>
      <c r="AH9" s="15" cm="1">
        <f t="array" ref="AH9">+HLOOKUP($A$1,+[55]İcmal!$B$19:$AG$49,ROW(A7)+1,FALSE)</f>
        <v>0</v>
      </c>
      <c r="AI9" s="15" cm="1">
        <f t="array" ref="AI9">+HLOOKUP($A$1,+[56]İcmal!$B$19:$AG$49,ROW(A7)+1,FALSE)</f>
        <v>0</v>
      </c>
      <c r="AJ9" s="15" cm="1">
        <f t="array" ref="AJ9">+HLOOKUP($A$1,+[57]İcmal!$B$19:$AG$49,ROW(A7)+1,FALSE)</f>
        <v>0</v>
      </c>
      <c r="AK9" s="15" cm="1">
        <f t="array" ref="AK9">+HLOOKUP($A$1,+[58]İcmal!$B$19:$AG$49,ROW(B7)+1,FALSE)</f>
        <v>0</v>
      </c>
      <c r="AL9" s="15"/>
      <c r="AM9" s="15"/>
      <c r="AN9" s="15"/>
      <c r="AO9" s="13"/>
    </row>
    <row r="10" spans="1:41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125</v>
      </c>
      <c r="I10" s="9">
        <f t="shared" si="2"/>
        <v>1000000</v>
      </c>
      <c r="J10" s="15" cm="1">
        <f t="array" ref="J10">+HLOOKUP($A$1,+[31]İcmal!$B$19:$AG$49,ROW(A8)+1,FALSE)</f>
        <v>0</v>
      </c>
      <c r="K10" s="15" cm="1">
        <f t="array" ref="K10">+HLOOKUP($A$1,+[32]İcmal!$B$19:$AG$49,ROW(B8)+1,FALSE)</f>
        <v>0</v>
      </c>
      <c r="L10" s="15" cm="1">
        <f t="array" ref="L10">+HLOOKUP($A$1,+[33]İcmal!$B$19:$AG$49,ROW(C8)+1,FALSE)</f>
        <v>0</v>
      </c>
      <c r="M10" s="15" cm="1">
        <f t="array" ref="M10">+HLOOKUP($A$1,+[34]İcmal!$B$19:$AG$49,ROW(D8)+1,FALSE)</f>
        <v>0</v>
      </c>
      <c r="N10" s="15" cm="1">
        <f t="array" ref="N10">+HLOOKUP($A$1,+[35]İcmal!$B$19:$AG$49,ROW(A8)+1,FALSE)</f>
        <v>76</v>
      </c>
      <c r="O10" s="15" cm="1">
        <f t="array" ref="O10">+HLOOKUP($A$1,+[36]İcmal!$B$19:$AG$49,ROW(B8)+1,FALSE)</f>
        <v>0</v>
      </c>
      <c r="P10" s="15" cm="1">
        <f t="array" ref="P10">+HLOOKUP($A$1,+[37]İcmal!$B$19:$AG$49,ROW(C8)+1,FALSE)</f>
        <v>0</v>
      </c>
      <c r="Q10" s="15" cm="1">
        <f t="array" ref="Q10">+HLOOKUP($A$1,+[38]İcmal!$B$19:$AG$49,ROW(D8)+1,FALSE)</f>
        <v>0</v>
      </c>
      <c r="R10" s="15" cm="1">
        <f t="array" ref="R10">+HLOOKUP($A$1,+[39]İcmal!$B$19:$AG$49,ROW(A8)+1,FALSE)</f>
        <v>49</v>
      </c>
      <c r="S10" s="15" cm="1">
        <f t="array" ref="S10">+HLOOKUP($A$1,+[40]İcmal!$B$19:$AG$49,ROW(B8)+1,FALSE)</f>
        <v>0</v>
      </c>
      <c r="T10" s="15" cm="1">
        <f t="array" ref="T10">+HLOOKUP($A$1,+[41]İcmal!$B$19:$AG$49,ROW(C8)+1,FALSE)</f>
        <v>0</v>
      </c>
      <c r="U10" s="15" cm="1">
        <f t="array" ref="U10">+HLOOKUP($A$1,+[42]İcmal!$B$19:$AG$49,ROW(D8)+1,FALSE)</f>
        <v>0</v>
      </c>
      <c r="V10" s="15" cm="1">
        <f t="array" ref="V10">+HLOOKUP($A$1,+[43]İcmal!$B$19:$AG$49,ROW(A8)+1,FALSE)</f>
        <v>0</v>
      </c>
      <c r="W10" s="15" cm="1">
        <f t="array" ref="W10">+HLOOKUP($A$1,+[44]İcmal!$B$19:$AG$49,ROW(B8)+1,FALSE)</f>
        <v>0</v>
      </c>
      <c r="X10" s="15" cm="1">
        <f t="array" ref="X10">+HLOOKUP($A$1,+[45]İcmal!$B$19:$AG$49,ROW(C8)+1,FALSE)</f>
        <v>0</v>
      </c>
      <c r="Y10" s="15" cm="1">
        <f t="array" ref="Y10">+HLOOKUP($A$1,+[46]İcmal!$B$19:$AG$49,ROW(D8)+1,FALSE)</f>
        <v>0</v>
      </c>
      <c r="Z10" s="15" cm="1">
        <f t="array" ref="Z10">+HLOOKUP($A$1,+[47]İcmal!$B$19:$AG$49,ROW(A8)+1,FALSE)</f>
        <v>0</v>
      </c>
      <c r="AA10" s="15" cm="1">
        <f t="array" ref="AA10">+HLOOKUP($A$1,+[48]İcmal!$B$19:$AG$49,ROW(B8)+1,FALSE)</f>
        <v>0</v>
      </c>
      <c r="AB10" s="15" cm="1">
        <f t="array" ref="AB10">+HLOOKUP($A$1,+[49]İcmal!$B$19:$AG$49,ROW(A8)+1,FALSE)</f>
        <v>0</v>
      </c>
      <c r="AC10" s="15" cm="1">
        <f t="array" ref="AC10">+HLOOKUP($A$1,+[50]İcmal!$B$19:$AG$49,ROW(A8)+1,FALSE)</f>
        <v>0</v>
      </c>
      <c r="AD10" s="15" cm="1">
        <f t="array" ref="AD10">+HLOOKUP($A$1,+[51]İcmal!$B$19:$AG$49,ROW(A8)+1,FALSE)</f>
        <v>0</v>
      </c>
      <c r="AE10" s="15" cm="1">
        <f t="array" ref="AE10">+HLOOKUP($A$1,+[52]İcmal!$B$19:$AG$49,ROW(A8)+1,FALSE)</f>
        <v>0</v>
      </c>
      <c r="AF10" s="50" cm="1">
        <f t="array" ref="AF10">+HLOOKUP($A$1,+[53]İcmal!$B$19:$AG$49,ROW(A8)+1,FALSE)</f>
        <v>0</v>
      </c>
      <c r="AG10" s="15" cm="1">
        <f t="array" ref="AG10">+HLOOKUP($A$1,+[54]İcmal!$B$19:$AG$49,ROW(A8)+1,FALSE)</f>
        <v>0</v>
      </c>
      <c r="AH10" s="15" cm="1">
        <f t="array" ref="AH10">+HLOOKUP($A$1,+[55]İcmal!$B$19:$AG$49,ROW(A8)+1,FALSE)</f>
        <v>0</v>
      </c>
      <c r="AI10" s="15" cm="1">
        <f t="array" ref="AI10">+HLOOKUP($A$1,+[56]İcmal!$B$19:$AG$49,ROW(A8)+1,FALSE)</f>
        <v>0</v>
      </c>
      <c r="AJ10" s="15" cm="1">
        <f t="array" ref="AJ10">+HLOOKUP($A$1,+[57]İcmal!$B$19:$AG$49,ROW(A8)+1,FALSE)</f>
        <v>0</v>
      </c>
      <c r="AK10" s="15" cm="1">
        <f t="array" ref="AK10">+HLOOKUP($A$1,+[58]İcmal!$B$19:$AG$49,ROW(B8)+1,FALSE)</f>
        <v>0</v>
      </c>
      <c r="AL10" s="15"/>
      <c r="AM10" s="15"/>
      <c r="AN10" s="15"/>
      <c r="AO10" s="13"/>
    </row>
    <row r="11" spans="1:41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+HLOOKUP($A$1,+[31]İcmal!$B$19:$AG$49,ROW(A9)+1,FALSE)</f>
        <v>0</v>
      </c>
      <c r="K11" s="15" cm="1">
        <f t="array" ref="K11">+HLOOKUP($A$1,+[32]İcmal!$B$19:$AG$49,ROW(B9)+1,FALSE)</f>
        <v>0</v>
      </c>
      <c r="L11" s="15" cm="1">
        <f t="array" ref="L11">+HLOOKUP($A$1,+[33]İcmal!$B$19:$AG$49,ROW(C9)+1,FALSE)</f>
        <v>0</v>
      </c>
      <c r="M11" s="15" cm="1">
        <f t="array" ref="M11">+HLOOKUP($A$1,+[34]İcmal!$B$19:$AG$49,ROW(D9)+1,FALSE)</f>
        <v>0</v>
      </c>
      <c r="N11" s="15" cm="1">
        <f t="array" ref="N11">+HLOOKUP($A$1,+[35]İcmal!$B$19:$AG$49,ROW(A9)+1,FALSE)</f>
        <v>0</v>
      </c>
      <c r="O11" s="15" cm="1">
        <f t="array" ref="O11">+HLOOKUP($A$1,+[36]İcmal!$B$19:$AG$49,ROW(B9)+1,FALSE)</f>
        <v>0</v>
      </c>
      <c r="P11" s="15" cm="1">
        <f t="array" ref="P11">+HLOOKUP($A$1,+[37]İcmal!$B$19:$AG$49,ROW(C9)+1,FALSE)</f>
        <v>0</v>
      </c>
      <c r="Q11" s="15" cm="1">
        <f t="array" ref="Q11">+HLOOKUP($A$1,+[38]İcmal!$B$19:$AG$49,ROW(D9)+1,FALSE)</f>
        <v>0</v>
      </c>
      <c r="R11" s="15" cm="1">
        <f t="array" ref="R11">+HLOOKUP($A$1,+[39]İcmal!$B$19:$AG$49,ROW(A9)+1,FALSE)</f>
        <v>0</v>
      </c>
      <c r="S11" s="15" cm="1">
        <f t="array" ref="S11">+HLOOKUP($A$1,+[40]İcmal!$B$19:$AG$49,ROW(B9)+1,FALSE)</f>
        <v>0</v>
      </c>
      <c r="T11" s="15" cm="1">
        <f t="array" ref="T11">+HLOOKUP($A$1,+[41]İcmal!$B$19:$AG$49,ROW(C9)+1,FALSE)</f>
        <v>0</v>
      </c>
      <c r="U11" s="15" cm="1">
        <f t="array" ref="U11">+HLOOKUP($A$1,+[42]İcmal!$B$19:$AG$49,ROW(D9)+1,FALSE)</f>
        <v>0</v>
      </c>
      <c r="V11" s="15" cm="1">
        <f t="array" ref="V11">+HLOOKUP($A$1,+[43]İcmal!$B$19:$AG$49,ROW(A9)+1,FALSE)</f>
        <v>0</v>
      </c>
      <c r="W11" s="15" cm="1">
        <f t="array" ref="W11">+HLOOKUP($A$1,+[44]İcmal!$B$19:$AG$49,ROW(B9)+1,FALSE)</f>
        <v>0</v>
      </c>
      <c r="X11" s="15" cm="1">
        <f t="array" ref="X11">+HLOOKUP($A$1,+[45]İcmal!$B$19:$AG$49,ROW(C9)+1,FALSE)</f>
        <v>0</v>
      </c>
      <c r="Y11" s="15" cm="1">
        <f t="array" ref="Y11">+HLOOKUP($A$1,+[46]İcmal!$B$19:$AG$49,ROW(D9)+1,FALSE)</f>
        <v>0</v>
      </c>
      <c r="Z11" s="15" cm="1">
        <f t="array" ref="Z11">+HLOOKUP($A$1,+[47]İcmal!$B$19:$AG$49,ROW(A9)+1,FALSE)</f>
        <v>0</v>
      </c>
      <c r="AA11" s="15" cm="1">
        <f t="array" ref="AA11">+HLOOKUP($A$1,+[48]İcmal!$B$19:$AG$49,ROW(B9)+1,FALSE)</f>
        <v>0</v>
      </c>
      <c r="AB11" s="15" cm="1">
        <f t="array" ref="AB11">+HLOOKUP($A$1,+[49]İcmal!$B$19:$AG$49,ROW(A9)+1,FALSE)</f>
        <v>0</v>
      </c>
      <c r="AC11" s="15" cm="1">
        <f t="array" ref="AC11">+HLOOKUP($A$1,+[50]İcmal!$B$19:$AG$49,ROW(A9)+1,FALSE)</f>
        <v>0</v>
      </c>
      <c r="AD11" s="15" cm="1">
        <f t="array" ref="AD11">+HLOOKUP($A$1,+[51]İcmal!$B$19:$AG$49,ROW(A9)+1,FALSE)</f>
        <v>0</v>
      </c>
      <c r="AE11" s="15" cm="1">
        <f t="array" ref="AE11">+HLOOKUP($A$1,+[52]İcmal!$B$19:$AG$49,ROW(A9)+1,FALSE)</f>
        <v>0</v>
      </c>
      <c r="AF11" s="50" cm="1">
        <f t="array" ref="AF11">+HLOOKUP($A$1,+[53]İcmal!$B$19:$AG$49,ROW(A9)+1,FALSE)</f>
        <v>0</v>
      </c>
      <c r="AG11" s="15" cm="1">
        <f t="array" ref="AG11">+HLOOKUP($A$1,+[54]İcmal!$B$19:$AG$49,ROW(A9)+1,FALSE)</f>
        <v>0</v>
      </c>
      <c r="AH11" s="15" cm="1">
        <f t="array" ref="AH11">+HLOOKUP($A$1,+[55]İcmal!$B$19:$AG$49,ROW(A9)+1,FALSE)</f>
        <v>0</v>
      </c>
      <c r="AI11" s="15" cm="1">
        <f t="array" ref="AI11">+HLOOKUP($A$1,+[56]İcmal!$B$19:$AG$49,ROW(A9)+1,FALSE)</f>
        <v>0</v>
      </c>
      <c r="AJ11" s="15" cm="1">
        <f t="array" ref="AJ11">+HLOOKUP($A$1,+[57]İcmal!$B$19:$AG$49,ROW(A9)+1,FALSE)</f>
        <v>0</v>
      </c>
      <c r="AK11" s="15" cm="1">
        <f t="array" ref="AK11">+HLOOKUP($A$1,+[58]İcmal!$B$19:$AG$49,ROW(B9)+1,FALSE)</f>
        <v>0</v>
      </c>
      <c r="AL11" s="15"/>
      <c r="AM11" s="15"/>
      <c r="AN11" s="15"/>
      <c r="AO11" s="13"/>
    </row>
    <row r="12" spans="1:41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+HLOOKUP($A$1,+[31]İcmal!$B$19:$AG$49,ROW(A10)+1,FALSE)</f>
        <v>0</v>
      </c>
      <c r="K12" s="15" cm="1">
        <f t="array" ref="K12">+HLOOKUP($A$1,+[32]İcmal!$B$19:$AG$49,ROW(B10)+1,FALSE)</f>
        <v>0</v>
      </c>
      <c r="L12" s="15" cm="1">
        <f t="array" ref="L12">+HLOOKUP($A$1,+[33]İcmal!$B$19:$AG$49,ROW(C10)+1,FALSE)</f>
        <v>0</v>
      </c>
      <c r="M12" s="15" cm="1">
        <f t="array" ref="M12">+HLOOKUP($A$1,+[34]İcmal!$B$19:$AG$49,ROW(D10)+1,FALSE)</f>
        <v>0</v>
      </c>
      <c r="N12" s="15" cm="1">
        <f t="array" ref="N12">+HLOOKUP($A$1,+[35]İcmal!$B$19:$AG$49,ROW(A10)+1,FALSE)</f>
        <v>0</v>
      </c>
      <c r="O12" s="15" cm="1">
        <f t="array" ref="O12">+HLOOKUP($A$1,+[36]İcmal!$B$19:$AG$49,ROW(B10)+1,FALSE)</f>
        <v>0</v>
      </c>
      <c r="P12" s="15" cm="1">
        <f t="array" ref="P12">+HLOOKUP($A$1,+[37]İcmal!$B$19:$AG$49,ROW(C10)+1,FALSE)</f>
        <v>0</v>
      </c>
      <c r="Q12" s="15" cm="1">
        <f t="array" ref="Q12">+HLOOKUP($A$1,+[38]İcmal!$B$19:$AG$49,ROW(D10)+1,FALSE)</f>
        <v>0</v>
      </c>
      <c r="R12" s="15" cm="1">
        <f t="array" ref="R12">+HLOOKUP($A$1,+[39]İcmal!$B$19:$AG$49,ROW(A10)+1,FALSE)</f>
        <v>0</v>
      </c>
      <c r="S12" s="15" cm="1">
        <f t="array" ref="S12">+HLOOKUP($A$1,+[40]İcmal!$B$19:$AG$49,ROW(B10)+1,FALSE)</f>
        <v>0</v>
      </c>
      <c r="T12" s="15" cm="1">
        <f t="array" ref="T12">+HLOOKUP($A$1,+[41]İcmal!$B$19:$AG$49,ROW(C10)+1,FALSE)</f>
        <v>0</v>
      </c>
      <c r="U12" s="15" cm="1">
        <f t="array" ref="U12">+HLOOKUP($A$1,+[42]İcmal!$B$19:$AG$49,ROW(D10)+1,FALSE)</f>
        <v>0</v>
      </c>
      <c r="V12" s="15" cm="1">
        <f t="array" ref="V12">+HLOOKUP($A$1,+[43]İcmal!$B$19:$AG$49,ROW(A10)+1,FALSE)</f>
        <v>0</v>
      </c>
      <c r="W12" s="15" cm="1">
        <f t="array" ref="W12">+HLOOKUP($A$1,+[44]İcmal!$B$19:$AG$49,ROW(B10)+1,FALSE)</f>
        <v>0</v>
      </c>
      <c r="X12" s="15" cm="1">
        <f t="array" ref="X12">+HLOOKUP($A$1,+[45]İcmal!$B$19:$AG$49,ROW(C10)+1,FALSE)</f>
        <v>0</v>
      </c>
      <c r="Y12" s="15" cm="1">
        <f t="array" ref="Y12">+HLOOKUP($A$1,+[46]İcmal!$B$19:$AG$49,ROW(D10)+1,FALSE)</f>
        <v>0</v>
      </c>
      <c r="Z12" s="15" cm="1">
        <f t="array" ref="Z12">+HLOOKUP($A$1,+[47]İcmal!$B$19:$AG$49,ROW(A10)+1,FALSE)</f>
        <v>0</v>
      </c>
      <c r="AA12" s="15" cm="1">
        <f t="array" ref="AA12">+HLOOKUP($A$1,+[48]İcmal!$B$19:$AG$49,ROW(B10)+1,FALSE)</f>
        <v>0</v>
      </c>
      <c r="AB12" s="15" cm="1">
        <f t="array" ref="AB12">+HLOOKUP($A$1,+[49]İcmal!$B$19:$AG$49,ROW(A10)+1,FALSE)</f>
        <v>0</v>
      </c>
      <c r="AC12" s="15" cm="1">
        <f t="array" ref="AC12">+HLOOKUP($A$1,+[50]İcmal!$B$19:$AG$49,ROW(A10)+1,FALSE)</f>
        <v>0</v>
      </c>
      <c r="AD12" s="15" cm="1">
        <f t="array" ref="AD12">+HLOOKUP($A$1,+[51]İcmal!$B$19:$AG$49,ROW(A10)+1,FALSE)</f>
        <v>0</v>
      </c>
      <c r="AE12" s="15" cm="1">
        <f t="array" ref="AE12">+HLOOKUP($A$1,+[52]İcmal!$B$19:$AG$49,ROW(A10)+1,FALSE)</f>
        <v>0</v>
      </c>
      <c r="AF12" s="50" cm="1">
        <f t="array" ref="AF12">+HLOOKUP($A$1,+[53]İcmal!$B$19:$AG$49,ROW(A10)+1,FALSE)</f>
        <v>0</v>
      </c>
      <c r="AG12" s="15" cm="1">
        <f t="array" ref="AG12">+HLOOKUP($A$1,+[54]İcmal!$B$19:$AG$49,ROW(A10)+1,FALSE)</f>
        <v>0</v>
      </c>
      <c r="AH12" s="15" cm="1">
        <f t="array" ref="AH12">+HLOOKUP($A$1,+[55]İcmal!$B$19:$AG$49,ROW(A10)+1,FALSE)</f>
        <v>0</v>
      </c>
      <c r="AI12" s="15" cm="1">
        <f t="array" ref="AI12">+HLOOKUP($A$1,+[56]İcmal!$B$19:$AG$49,ROW(A10)+1,FALSE)</f>
        <v>0</v>
      </c>
      <c r="AJ12" s="15" cm="1">
        <f t="array" ref="AJ12">+HLOOKUP($A$1,+[57]İcmal!$B$19:$AG$49,ROW(A10)+1,FALSE)</f>
        <v>0</v>
      </c>
      <c r="AK12" s="15" cm="1">
        <f t="array" ref="AK12">+HLOOKUP($A$1,+[58]İcmal!$B$19:$AG$49,ROW(B10)+1,FALSE)</f>
        <v>0</v>
      </c>
      <c r="AL12" s="15"/>
      <c r="AM12" s="15"/>
      <c r="AN12" s="15"/>
      <c r="AO12" s="13"/>
    </row>
    <row r="13" spans="1:41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173</v>
      </c>
      <c r="I13" s="9">
        <f t="shared" si="2"/>
        <v>4844000</v>
      </c>
      <c r="J13" s="15" cm="1">
        <f t="array" ref="J13">+HLOOKUP($A$1,+[31]İcmal!$B$19:$AG$49,ROW(A11)+1,FALSE)</f>
        <v>0</v>
      </c>
      <c r="K13" s="15" cm="1">
        <f t="array" ref="K13">+HLOOKUP($A$1,+[32]İcmal!$B$19:$AG$49,ROW(B11)+1,FALSE)</f>
        <v>45</v>
      </c>
      <c r="L13" s="15" cm="1">
        <f t="array" ref="L13">+HLOOKUP($A$1,+[33]İcmal!$B$19:$AG$49,ROW(C11)+1,FALSE)</f>
        <v>0</v>
      </c>
      <c r="M13" s="15" cm="1">
        <f t="array" ref="M13">+HLOOKUP($A$1,+[34]İcmal!$B$19:$AG$49,ROW(D11)+1,FALSE)</f>
        <v>0</v>
      </c>
      <c r="N13" s="15" cm="1">
        <f t="array" ref="N13">+HLOOKUP($A$1,+[35]İcmal!$B$19:$AG$49,ROW(A11)+1,FALSE)</f>
        <v>51</v>
      </c>
      <c r="O13" s="15" cm="1">
        <f t="array" ref="O13">+HLOOKUP($A$1,+[36]İcmal!$B$19:$AG$49,ROW(B11)+1,FALSE)</f>
        <v>8</v>
      </c>
      <c r="P13" s="15" cm="1">
        <f t="array" ref="P13">+HLOOKUP($A$1,+[37]İcmal!$B$19:$AG$49,ROW(C11)+1,FALSE)</f>
        <v>0</v>
      </c>
      <c r="Q13" s="15" cm="1">
        <f t="array" ref="Q13">+HLOOKUP($A$1,+[38]İcmal!$B$19:$AG$49,ROW(D11)+1,FALSE)</f>
        <v>0</v>
      </c>
      <c r="R13" s="15" cm="1">
        <f t="array" ref="R13">+HLOOKUP($A$1,+[39]İcmal!$B$19:$AG$49,ROW(A11)+1,FALSE)</f>
        <v>33</v>
      </c>
      <c r="S13" s="15" cm="1">
        <f t="array" ref="S13">+HLOOKUP($A$1,+[40]İcmal!$B$19:$AG$49,ROW(B11)+1,FALSE)</f>
        <v>0</v>
      </c>
      <c r="T13" s="15" cm="1">
        <f t="array" ref="T13">+HLOOKUP($A$1,+[41]İcmal!$B$19:$AG$49,ROW(C11)+1,FALSE)</f>
        <v>0</v>
      </c>
      <c r="U13" s="15" cm="1">
        <f t="array" ref="U13">+HLOOKUP($A$1,+[42]İcmal!$B$19:$AG$49,ROW(D11)+1,FALSE)</f>
        <v>0</v>
      </c>
      <c r="V13" s="15" cm="1">
        <f t="array" ref="V13">+HLOOKUP($A$1,+[43]İcmal!$B$19:$AG$49,ROW(A11)+1,FALSE)</f>
        <v>0</v>
      </c>
      <c r="W13" s="15" cm="1">
        <f t="array" ref="W13">+HLOOKUP($A$1,+[44]İcmal!$B$19:$AG$49,ROW(B11)+1,FALSE)</f>
        <v>36</v>
      </c>
      <c r="X13" s="15" cm="1">
        <f t="array" ref="X13">+HLOOKUP($A$1,+[45]İcmal!$B$19:$AG$49,ROW(C11)+1,FALSE)</f>
        <v>0</v>
      </c>
      <c r="Y13" s="15" cm="1">
        <f t="array" ref="Y13">+HLOOKUP($A$1,+[46]İcmal!$B$19:$AG$49,ROW(D11)+1,FALSE)</f>
        <v>0</v>
      </c>
      <c r="Z13" s="15" cm="1">
        <f t="array" ref="Z13">+HLOOKUP($A$1,+[47]İcmal!$B$19:$AG$49,ROW(A11)+1,FALSE)</f>
        <v>0</v>
      </c>
      <c r="AA13" s="15" cm="1">
        <f t="array" ref="AA13">+HLOOKUP($A$1,+[48]İcmal!$B$19:$AG$49,ROW(B11)+1,FALSE)</f>
        <v>0</v>
      </c>
      <c r="AB13" s="15" cm="1">
        <f t="array" ref="AB13">+HLOOKUP($A$1,+[49]İcmal!$B$19:$AG$49,ROW(A11)+1,FALSE)</f>
        <v>0</v>
      </c>
      <c r="AC13" s="15" cm="1">
        <f t="array" ref="AC13">+HLOOKUP($A$1,+[50]İcmal!$B$19:$AG$49,ROW(A11)+1,FALSE)</f>
        <v>0</v>
      </c>
      <c r="AD13" s="15" cm="1">
        <f t="array" ref="AD13">+HLOOKUP($A$1,+[51]İcmal!$B$19:$AG$49,ROW(A11)+1,FALSE)</f>
        <v>0</v>
      </c>
      <c r="AE13" s="15" cm="1">
        <f t="array" ref="AE13">+HLOOKUP($A$1,+[52]İcmal!$B$19:$AG$49,ROW(A11)+1,FALSE)</f>
        <v>0</v>
      </c>
      <c r="AF13" s="50" cm="1">
        <f t="array" ref="AF13">+HLOOKUP($A$1,+[53]İcmal!$B$19:$AG$49,ROW(A11)+1,FALSE)</f>
        <v>0</v>
      </c>
      <c r="AG13" s="15" cm="1">
        <f t="array" ref="AG13">+HLOOKUP($A$1,+[54]İcmal!$B$19:$AG$49,ROW(A11)+1,FALSE)</f>
        <v>0</v>
      </c>
      <c r="AH13" s="15" cm="1">
        <f t="array" ref="AH13">+HLOOKUP($A$1,+[55]İcmal!$B$19:$AG$49,ROW(A11)+1,FALSE)</f>
        <v>0</v>
      </c>
      <c r="AI13" s="15" cm="1">
        <f t="array" ref="AI13">+HLOOKUP($A$1,+[56]İcmal!$B$19:$AG$49,ROW(A11)+1,FALSE)</f>
        <v>0</v>
      </c>
      <c r="AJ13" s="15" cm="1">
        <f t="array" ref="AJ13">+HLOOKUP($A$1,+[57]İcmal!$B$19:$AG$49,ROW(A11)+1,FALSE)</f>
        <v>0</v>
      </c>
      <c r="AK13" s="15" cm="1">
        <f t="array" ref="AK13">+HLOOKUP($A$1,+[58]İcmal!$B$19:$AG$49,ROW(B11)+1,FALSE)</f>
        <v>0</v>
      </c>
      <c r="AL13" s="15"/>
      <c r="AM13" s="15"/>
      <c r="AN13" s="15"/>
      <c r="AO13" s="13"/>
    </row>
    <row r="14" spans="1:41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3960</v>
      </c>
      <c r="I14" s="9">
        <f t="shared" si="2"/>
        <v>1485000</v>
      </c>
      <c r="J14" s="15" cm="1">
        <f t="array" ref="J14">+HLOOKUP($A$1,+[31]İcmal!$B$19:$AG$49,ROW(A12)+1,FALSE)</f>
        <v>0</v>
      </c>
      <c r="K14" s="15" cm="1">
        <f t="array" ref="K14">+HLOOKUP($A$1,+[32]İcmal!$B$19:$AG$49,ROW(B12)+1,FALSE)</f>
        <v>162</v>
      </c>
      <c r="L14" s="15" cm="1">
        <f t="array" ref="L14">+HLOOKUP($A$1,+[33]İcmal!$B$19:$AG$49,ROW(C12)+1,FALSE)</f>
        <v>0</v>
      </c>
      <c r="M14" s="15" cm="1">
        <f t="array" ref="M14">+HLOOKUP($A$1,+[34]İcmal!$B$19:$AG$49,ROW(D12)+1,FALSE)</f>
        <v>0</v>
      </c>
      <c r="N14" s="15" cm="1">
        <f t="array" ref="N14">+HLOOKUP($A$1,+[35]İcmal!$B$19:$AG$49,ROW(A12)+1,FALSE)</f>
        <v>900</v>
      </c>
      <c r="O14" s="15" cm="1">
        <f t="array" ref="O14">+HLOOKUP($A$1,+[36]İcmal!$B$19:$AG$49,ROW(B12)+1,FALSE)</f>
        <v>486</v>
      </c>
      <c r="P14" s="15" cm="1">
        <f t="array" ref="P14">+HLOOKUP($A$1,+[37]İcmal!$B$19:$AG$49,ROW(C12)+1,FALSE)</f>
        <v>0</v>
      </c>
      <c r="Q14" s="15" cm="1">
        <f t="array" ref="Q14">+HLOOKUP($A$1,+[38]İcmal!$B$19:$AG$49,ROW(D12)+1,FALSE)</f>
        <v>0</v>
      </c>
      <c r="R14" s="15" cm="1">
        <f t="array" ref="R14">+HLOOKUP($A$1,+[39]İcmal!$B$19:$AG$49,ROW(A12)+1,FALSE)</f>
        <v>1152</v>
      </c>
      <c r="S14" s="15" cm="1">
        <f t="array" ref="S14">+HLOOKUP($A$1,+[40]İcmal!$B$19:$AG$49,ROW(B12)+1,FALSE)</f>
        <v>315</v>
      </c>
      <c r="T14" s="15" cm="1">
        <f t="array" ref="T14">+HLOOKUP($A$1,+[41]İcmal!$B$19:$AG$49,ROW(C12)+1,FALSE)</f>
        <v>0</v>
      </c>
      <c r="U14" s="15" cm="1">
        <f t="array" ref="U14">+HLOOKUP($A$1,+[42]İcmal!$B$19:$AG$49,ROW(D12)+1,FALSE)</f>
        <v>0</v>
      </c>
      <c r="V14" s="15" cm="1">
        <f t="array" ref="V14">+HLOOKUP($A$1,+[43]İcmal!$B$19:$AG$49,ROW(A12)+1,FALSE)</f>
        <v>0</v>
      </c>
      <c r="W14" s="15" cm="1">
        <f t="array" ref="W14">+HLOOKUP($A$1,+[44]İcmal!$B$19:$AG$49,ROW(B12)+1,FALSE)</f>
        <v>945</v>
      </c>
      <c r="X14" s="15" cm="1">
        <f t="array" ref="X14">+HLOOKUP($A$1,+[45]İcmal!$B$19:$AG$49,ROW(C12)+1,FALSE)</f>
        <v>0</v>
      </c>
      <c r="Y14" s="15" cm="1">
        <f t="array" ref="Y14">+HLOOKUP($A$1,+[46]İcmal!$B$19:$AG$49,ROW(D12)+1,FALSE)</f>
        <v>0</v>
      </c>
      <c r="Z14" s="15" cm="1">
        <f t="array" ref="Z14">+HLOOKUP($A$1,+[47]İcmal!$B$19:$AG$49,ROW(A12)+1,FALSE)</f>
        <v>0</v>
      </c>
      <c r="AA14" s="15" cm="1">
        <f t="array" ref="AA14">+HLOOKUP($A$1,+[48]İcmal!$B$19:$AG$49,ROW(B12)+1,FALSE)</f>
        <v>0</v>
      </c>
      <c r="AB14" s="15" cm="1">
        <f t="array" ref="AB14">+HLOOKUP($A$1,+[49]İcmal!$B$19:$AG$49,ROW(A12)+1,FALSE)</f>
        <v>0</v>
      </c>
      <c r="AC14" s="15" cm="1">
        <f t="array" ref="AC14">+HLOOKUP($A$1,+[50]İcmal!$B$19:$AG$49,ROW(A12)+1,FALSE)</f>
        <v>0</v>
      </c>
      <c r="AD14" s="15" cm="1">
        <f t="array" ref="AD14">+HLOOKUP($A$1,+[51]İcmal!$B$19:$AG$49,ROW(A12)+1,FALSE)</f>
        <v>0</v>
      </c>
      <c r="AE14" s="15" cm="1">
        <f t="array" ref="AE14">+HLOOKUP($A$1,+[52]İcmal!$B$19:$AG$49,ROW(A12)+1,FALSE)</f>
        <v>0</v>
      </c>
      <c r="AF14" s="50" cm="1">
        <f t="array" ref="AF14">+HLOOKUP($A$1,+[53]İcmal!$B$19:$AG$49,ROW(A12)+1,FALSE)</f>
        <v>0</v>
      </c>
      <c r="AG14" s="15" cm="1">
        <f t="array" ref="AG14">+HLOOKUP($A$1,+[54]İcmal!$B$19:$AG$49,ROW(A12)+1,FALSE)</f>
        <v>0</v>
      </c>
      <c r="AH14" s="15" cm="1">
        <f t="array" ref="AH14">+HLOOKUP($A$1,+[55]İcmal!$B$19:$AG$49,ROW(A12)+1,FALSE)</f>
        <v>0</v>
      </c>
      <c r="AI14" s="15" cm="1">
        <f t="array" ref="AI14">+HLOOKUP($A$1,+[56]İcmal!$B$19:$AG$49,ROW(A12)+1,FALSE)</f>
        <v>0</v>
      </c>
      <c r="AJ14" s="15" cm="1">
        <f t="array" ref="AJ14">+HLOOKUP($A$1,+[57]İcmal!$B$19:$AG$49,ROW(A12)+1,FALSE)</f>
        <v>0</v>
      </c>
      <c r="AK14" s="15" cm="1">
        <f t="array" ref="AK14">+HLOOKUP($A$1,+[58]İcmal!$B$19:$AG$49,ROW(B12)+1,FALSE)</f>
        <v>0</v>
      </c>
      <c r="AL14" s="15"/>
      <c r="AM14" s="15"/>
      <c r="AN14" s="15"/>
      <c r="AO14" s="13"/>
    </row>
    <row r="15" spans="1:41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+HLOOKUP($A$1,+[31]İcmal!$B$19:$AG$49,ROW(A13)+1,FALSE)</f>
        <v>0</v>
      </c>
      <c r="K15" s="15" cm="1">
        <f t="array" ref="K15">+HLOOKUP($A$1,+[32]İcmal!$B$19:$AG$49,ROW(B13)+1,FALSE)</f>
        <v>0</v>
      </c>
      <c r="L15" s="15" cm="1">
        <f t="array" ref="L15">+HLOOKUP($A$1,+[33]İcmal!$B$19:$AG$49,ROW(C13)+1,FALSE)</f>
        <v>0</v>
      </c>
      <c r="M15" s="15" cm="1">
        <f t="array" ref="M15">+HLOOKUP($A$1,+[34]İcmal!$B$19:$AG$49,ROW(D13)+1,FALSE)</f>
        <v>0</v>
      </c>
      <c r="N15" s="15" cm="1">
        <f t="array" ref="N15">+HLOOKUP($A$1,+[35]İcmal!$B$19:$AG$49,ROW(A13)+1,FALSE)</f>
        <v>0</v>
      </c>
      <c r="O15" s="15" cm="1">
        <f t="array" ref="O15">+HLOOKUP($A$1,+[36]İcmal!$B$19:$AG$49,ROW(B13)+1,FALSE)</f>
        <v>0</v>
      </c>
      <c r="P15" s="15" cm="1">
        <f t="array" ref="P15">+HLOOKUP($A$1,+[37]İcmal!$B$19:$AG$49,ROW(C13)+1,FALSE)</f>
        <v>0</v>
      </c>
      <c r="Q15" s="15" cm="1">
        <f t="array" ref="Q15">+HLOOKUP($A$1,+[38]İcmal!$B$19:$AG$49,ROW(D13)+1,FALSE)</f>
        <v>0</v>
      </c>
      <c r="R15" s="15" cm="1">
        <f t="array" ref="R15">+HLOOKUP($A$1,+[39]İcmal!$B$19:$AG$49,ROW(A13)+1,FALSE)</f>
        <v>0</v>
      </c>
      <c r="S15" s="15" cm="1">
        <f t="array" ref="S15">+HLOOKUP($A$1,+[40]İcmal!$B$19:$AG$49,ROW(B13)+1,FALSE)</f>
        <v>0</v>
      </c>
      <c r="T15" s="15" cm="1">
        <f t="array" ref="T15">+HLOOKUP($A$1,+[41]İcmal!$B$19:$AG$49,ROW(C13)+1,FALSE)</f>
        <v>0</v>
      </c>
      <c r="U15" s="15" cm="1">
        <f t="array" ref="U15">+HLOOKUP($A$1,+[42]İcmal!$B$19:$AG$49,ROW(D13)+1,FALSE)</f>
        <v>0</v>
      </c>
      <c r="V15" s="15" cm="1">
        <f t="array" ref="V15">+HLOOKUP($A$1,+[43]İcmal!$B$19:$AG$49,ROW(A13)+1,FALSE)</f>
        <v>0</v>
      </c>
      <c r="W15" s="15" cm="1">
        <f t="array" ref="W15">+HLOOKUP($A$1,+[44]İcmal!$B$19:$AG$49,ROW(B13)+1,FALSE)</f>
        <v>0</v>
      </c>
      <c r="X15" s="15" cm="1">
        <f t="array" ref="X15">+HLOOKUP($A$1,+[45]İcmal!$B$19:$AG$49,ROW(C13)+1,FALSE)</f>
        <v>0</v>
      </c>
      <c r="Y15" s="15" cm="1">
        <f t="array" ref="Y15">+HLOOKUP($A$1,+[46]İcmal!$B$19:$AG$49,ROW(D13)+1,FALSE)</f>
        <v>0</v>
      </c>
      <c r="Z15" s="15" cm="1">
        <f t="array" ref="Z15">+HLOOKUP($A$1,+[47]İcmal!$B$19:$AG$49,ROW(A13)+1,FALSE)</f>
        <v>0</v>
      </c>
      <c r="AA15" s="15" cm="1">
        <f t="array" ref="AA15">+HLOOKUP($A$1,+[48]İcmal!$B$19:$AG$49,ROW(B13)+1,FALSE)</f>
        <v>0</v>
      </c>
      <c r="AB15" s="15" cm="1">
        <f t="array" ref="AB15">+HLOOKUP($A$1,+[49]İcmal!$B$19:$AG$49,ROW(A13)+1,FALSE)</f>
        <v>0</v>
      </c>
      <c r="AC15" s="15" cm="1">
        <f t="array" ref="AC15">+HLOOKUP($A$1,+[50]İcmal!$B$19:$AG$49,ROW(A13)+1,FALSE)</f>
        <v>0</v>
      </c>
      <c r="AD15" s="15" cm="1">
        <f t="array" ref="AD15">+HLOOKUP($A$1,+[51]İcmal!$B$19:$AG$49,ROW(A13)+1,FALSE)</f>
        <v>0</v>
      </c>
      <c r="AE15" s="15" cm="1">
        <f t="array" ref="AE15">+HLOOKUP($A$1,+[52]İcmal!$B$19:$AG$49,ROW(A13)+1,FALSE)</f>
        <v>0</v>
      </c>
      <c r="AF15" s="50" cm="1">
        <f t="array" ref="AF15">+HLOOKUP($A$1,+[53]İcmal!$B$19:$AG$49,ROW(A13)+1,FALSE)</f>
        <v>0</v>
      </c>
      <c r="AG15" s="15" cm="1">
        <f t="array" ref="AG15">+HLOOKUP($A$1,+[54]İcmal!$B$19:$AG$49,ROW(A13)+1,FALSE)</f>
        <v>0</v>
      </c>
      <c r="AH15" s="15" cm="1">
        <f t="array" ref="AH15">+HLOOKUP($A$1,+[55]İcmal!$B$19:$AG$49,ROW(A13)+1,FALSE)</f>
        <v>0</v>
      </c>
      <c r="AI15" s="15" cm="1">
        <f t="array" ref="AI15">+HLOOKUP($A$1,+[56]İcmal!$B$19:$AG$49,ROW(A13)+1,FALSE)</f>
        <v>0</v>
      </c>
      <c r="AJ15" s="15" cm="1">
        <f t="array" ref="AJ15">+HLOOKUP($A$1,+[57]İcmal!$B$19:$AG$49,ROW(A13)+1,FALSE)</f>
        <v>0</v>
      </c>
      <c r="AK15" s="15" cm="1">
        <f t="array" ref="AK15">+HLOOKUP($A$1,+[58]İcmal!$B$19:$AG$49,ROW(B13)+1,FALSE)</f>
        <v>0</v>
      </c>
      <c r="AL15" s="15"/>
      <c r="AM15" s="15"/>
      <c r="AN15" s="15"/>
      <c r="AO15" s="13"/>
    </row>
    <row r="16" spans="1:41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139.33200000000002</v>
      </c>
      <c r="I16" s="9">
        <f t="shared" si="2"/>
        <v>14211864.000000002</v>
      </c>
      <c r="J16" s="15" cm="1">
        <f t="array" ref="J16">+HLOOKUP($A$1,+[31]İcmal!$B$19:$AG$49,ROW(A14)+1,FALSE)</f>
        <v>2.097</v>
      </c>
      <c r="K16" s="15" cm="1">
        <f t="array" ref="K16">+HLOOKUP($A$1,+[32]İcmal!$B$19:$AG$49,ROW(B14)+1,FALSE)</f>
        <v>9.9750000000000032</v>
      </c>
      <c r="L16" s="15" cm="1">
        <f t="array" ref="L16">+HLOOKUP($A$1,+[33]İcmal!$B$19:$AG$49,ROW(C14)+1,FALSE)</f>
        <v>0</v>
      </c>
      <c r="M16" s="15" cm="1">
        <f t="array" ref="M16">+HLOOKUP($A$1,+[34]İcmal!$B$19:$AG$49,ROW(D14)+1,FALSE)</f>
        <v>0</v>
      </c>
      <c r="N16" s="15" cm="1">
        <f t="array" ref="N16">+HLOOKUP($A$1,+[35]İcmal!$B$19:$AG$49,ROW(A14)+1,FALSE)</f>
        <v>35.899000000000008</v>
      </c>
      <c r="O16" s="15" cm="1">
        <f t="array" ref="O16">+HLOOKUP($A$1,+[36]İcmal!$B$19:$AG$49,ROW(B14)+1,FALSE)</f>
        <v>18.928000000000001</v>
      </c>
      <c r="P16" s="15" cm="1">
        <f t="array" ref="P16">+HLOOKUP($A$1,+[37]İcmal!$B$19:$AG$49,ROW(C14)+1,FALSE)</f>
        <v>0</v>
      </c>
      <c r="Q16" s="15" cm="1">
        <f t="array" ref="Q16">+HLOOKUP($A$1,+[38]İcmal!$B$19:$AG$49,ROW(D14)+1,FALSE)</f>
        <v>0</v>
      </c>
      <c r="R16" s="15" cm="1">
        <f t="array" ref="R16">+HLOOKUP($A$1,+[39]İcmal!$B$19:$AG$49,ROW(A14)+1,FALSE)</f>
        <v>36.194000000000003</v>
      </c>
      <c r="S16" s="15" cm="1">
        <f t="array" ref="S16">+HLOOKUP($A$1,+[40]İcmal!$B$19:$AG$49,ROW(B14)+1,FALSE)</f>
        <v>8.86</v>
      </c>
      <c r="T16" s="15" cm="1">
        <f t="array" ref="T16">+HLOOKUP($A$1,+[41]İcmal!$B$19:$AG$49,ROW(C14)+1,FALSE)</f>
        <v>0</v>
      </c>
      <c r="U16" s="15" cm="1">
        <f t="array" ref="U16">+HLOOKUP($A$1,+[42]İcmal!$B$19:$AG$49,ROW(D14)+1,FALSE)</f>
        <v>0</v>
      </c>
      <c r="V16" s="15" cm="1">
        <f t="array" ref="V16">+HLOOKUP($A$1,+[43]İcmal!$B$19:$AG$49,ROW(A14)+1,FALSE)</f>
        <v>0</v>
      </c>
      <c r="W16" s="15" cm="1">
        <f t="array" ref="W16">+HLOOKUP($A$1,+[44]İcmal!$B$19:$AG$49,ROW(B14)+1,FALSE)</f>
        <v>27.378999999999994</v>
      </c>
      <c r="X16" s="15" cm="1">
        <f t="array" ref="X16">+HLOOKUP($A$1,+[45]İcmal!$B$19:$AG$49,ROW(C14)+1,FALSE)</f>
        <v>0</v>
      </c>
      <c r="Y16" s="15" cm="1">
        <f t="array" ref="Y16">+HLOOKUP($A$1,+[46]İcmal!$B$19:$AG$49,ROW(D14)+1,FALSE)</f>
        <v>0</v>
      </c>
      <c r="Z16" s="15" cm="1">
        <f t="array" ref="Z16">+HLOOKUP($A$1,+[47]İcmal!$B$19:$AG$49,ROW(A14)+1,FALSE)</f>
        <v>0</v>
      </c>
      <c r="AA16" s="15" cm="1">
        <f t="array" ref="AA16">+HLOOKUP($A$1,+[48]İcmal!$B$19:$AG$49,ROW(B14)+1,FALSE)</f>
        <v>0</v>
      </c>
      <c r="AB16" s="15" cm="1">
        <f t="array" ref="AB16">+HLOOKUP($A$1,+[49]İcmal!$B$19:$AG$49,ROW(A14)+1,FALSE)</f>
        <v>0</v>
      </c>
      <c r="AC16" s="15" cm="1">
        <f t="array" ref="AC16">+HLOOKUP($A$1,+[50]İcmal!$B$19:$AG$49,ROW(A14)+1,FALSE)</f>
        <v>0</v>
      </c>
      <c r="AD16" s="15" cm="1">
        <f t="array" ref="AD16">+HLOOKUP($A$1,+[51]İcmal!$B$19:$AG$49,ROW(A14)+1,FALSE)</f>
        <v>0</v>
      </c>
      <c r="AE16" s="15" cm="1">
        <f t="array" ref="AE16">+HLOOKUP($A$1,+[52]İcmal!$B$19:$AG$49,ROW(A14)+1,FALSE)</f>
        <v>0</v>
      </c>
      <c r="AF16" s="50" cm="1">
        <f t="array" ref="AF16">+HLOOKUP($A$1,+[53]İcmal!$B$19:$AG$49,ROW(A14)+1,FALSE)</f>
        <v>0</v>
      </c>
      <c r="AG16" s="15" cm="1">
        <f t="array" ref="AG16">+HLOOKUP($A$1,+[54]İcmal!$B$19:$AG$49,ROW(A14)+1,FALSE)</f>
        <v>0</v>
      </c>
      <c r="AH16" s="15" cm="1">
        <f t="array" ref="AH16">+HLOOKUP($A$1,+[55]İcmal!$B$19:$AG$49,ROW(A14)+1,FALSE)</f>
        <v>0</v>
      </c>
      <c r="AI16" s="15" cm="1">
        <f t="array" ref="AI16">+HLOOKUP($A$1,+[56]İcmal!$B$19:$AG$49,ROW(A14)+1,FALSE)</f>
        <v>0</v>
      </c>
      <c r="AJ16" s="15" cm="1">
        <f t="array" ref="AJ16">+HLOOKUP($A$1,+[57]İcmal!$B$19:$AG$49,ROW(A14)+1,FALSE)</f>
        <v>0</v>
      </c>
      <c r="AK16" s="15" cm="1">
        <f t="array" ref="AK16">+HLOOKUP($A$1,+[58]İcmal!$B$19:$AG$49,ROW(B14)+1,FALSE)</f>
        <v>0</v>
      </c>
      <c r="AL16" s="15"/>
      <c r="AM16" s="15"/>
      <c r="AN16" s="15"/>
      <c r="AO16" s="13"/>
    </row>
    <row r="17" spans="1:41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10197</v>
      </c>
      <c r="I17" s="9">
        <f t="shared" si="2"/>
        <v>34669800</v>
      </c>
      <c r="J17" s="15" cm="1">
        <f t="array" ref="J17">+HLOOKUP($A$1,+[31]İcmal!$B$19:$AG$49,ROW(A15)+1,FALSE)</f>
        <v>0</v>
      </c>
      <c r="K17" s="15" cm="1">
        <f t="array" ref="K17">+HLOOKUP($A$1,+[32]İcmal!$B$19:$AG$49,ROW(B15)+1,FALSE)</f>
        <v>423</v>
      </c>
      <c r="L17" s="15" cm="1">
        <f t="array" ref="L17">+HLOOKUP($A$1,+[33]İcmal!$B$19:$AG$49,ROW(C15)+1,FALSE)</f>
        <v>0</v>
      </c>
      <c r="M17" s="15" cm="1">
        <f t="array" ref="M17">+HLOOKUP($A$1,+[34]İcmal!$B$19:$AG$49,ROW(D15)+1,FALSE)</f>
        <v>0</v>
      </c>
      <c r="N17" s="15" cm="1">
        <f t="array" ref="N17">+HLOOKUP($A$1,+[35]İcmal!$B$19:$AG$49,ROW(A15)+1,FALSE)</f>
        <v>2088</v>
      </c>
      <c r="O17" s="15" cm="1">
        <f t="array" ref="O17">+HLOOKUP($A$1,+[36]İcmal!$B$19:$AG$49,ROW(B15)+1,FALSE)</f>
        <v>1692</v>
      </c>
      <c r="P17" s="15" cm="1">
        <f t="array" ref="P17">+HLOOKUP($A$1,+[37]İcmal!$B$19:$AG$49,ROW(C15)+1,FALSE)</f>
        <v>0</v>
      </c>
      <c r="Q17" s="15" cm="1">
        <f t="array" ref="Q17">+HLOOKUP($A$1,+[38]İcmal!$B$19:$AG$49,ROW(D15)+1,FALSE)</f>
        <v>0</v>
      </c>
      <c r="R17" s="15" cm="1">
        <f t="array" ref="R17">+HLOOKUP($A$1,+[39]İcmal!$B$19:$AG$49,ROW(A15)+1,FALSE)</f>
        <v>2610</v>
      </c>
      <c r="S17" s="15" cm="1">
        <f t="array" ref="S17">+HLOOKUP($A$1,+[40]İcmal!$B$19:$AG$49,ROW(B15)+1,FALSE)</f>
        <v>1269</v>
      </c>
      <c r="T17" s="15" cm="1">
        <f t="array" ref="T17">+HLOOKUP($A$1,+[41]İcmal!$B$19:$AG$49,ROW(C15)+1,FALSE)</f>
        <v>0</v>
      </c>
      <c r="U17" s="15" cm="1">
        <f t="array" ref="U17">+HLOOKUP($A$1,+[42]İcmal!$B$19:$AG$49,ROW(D15)+1,FALSE)</f>
        <v>0</v>
      </c>
      <c r="V17" s="15" cm="1">
        <f t="array" ref="V17">+HLOOKUP($A$1,+[43]İcmal!$B$19:$AG$49,ROW(A15)+1,FALSE)</f>
        <v>0</v>
      </c>
      <c r="W17" s="15" cm="1">
        <f t="array" ref="W17">+HLOOKUP($A$1,+[44]İcmal!$B$19:$AG$49,ROW(B15)+1,FALSE)</f>
        <v>2115</v>
      </c>
      <c r="X17" s="15" cm="1">
        <f t="array" ref="X17">+HLOOKUP($A$1,+[45]İcmal!$B$19:$AG$49,ROW(C15)+1,FALSE)</f>
        <v>0</v>
      </c>
      <c r="Y17" s="15" cm="1">
        <f t="array" ref="Y17">+HLOOKUP($A$1,+[46]İcmal!$B$19:$AG$49,ROW(D15)+1,FALSE)</f>
        <v>0</v>
      </c>
      <c r="Z17" s="15" cm="1">
        <f t="array" ref="Z17">+HLOOKUP($A$1,+[47]İcmal!$B$19:$AG$49,ROW(A15)+1,FALSE)</f>
        <v>0</v>
      </c>
      <c r="AA17" s="15" cm="1">
        <f t="array" ref="AA17">+HLOOKUP($A$1,+[48]İcmal!$B$19:$AG$49,ROW(B15)+1,FALSE)</f>
        <v>0</v>
      </c>
      <c r="AB17" s="15" cm="1">
        <f t="array" ref="AB17">+HLOOKUP($A$1,+[49]İcmal!$B$19:$AG$49,ROW(A15)+1,FALSE)</f>
        <v>0</v>
      </c>
      <c r="AC17" s="15" cm="1">
        <f t="array" ref="AC17">+HLOOKUP($A$1,+[50]İcmal!$B$19:$AG$49,ROW(A15)+1,FALSE)</f>
        <v>0</v>
      </c>
      <c r="AD17" s="15" cm="1">
        <f t="array" ref="AD17">+HLOOKUP($A$1,+[51]İcmal!$B$19:$AG$49,ROW(A15)+1,FALSE)</f>
        <v>0</v>
      </c>
      <c r="AE17" s="15" cm="1">
        <f t="array" ref="AE17">+HLOOKUP($A$1,+[52]İcmal!$B$19:$AG$49,ROW(A15)+1,FALSE)</f>
        <v>0</v>
      </c>
      <c r="AF17" s="50" cm="1">
        <f t="array" ref="AF17">+HLOOKUP($A$1,+[53]İcmal!$B$19:$AG$49,ROW(A15)+1,FALSE)</f>
        <v>0</v>
      </c>
      <c r="AG17" s="15" cm="1">
        <f t="array" ref="AG17">+HLOOKUP($A$1,+[54]İcmal!$B$19:$AG$49,ROW(A15)+1,FALSE)</f>
        <v>0</v>
      </c>
      <c r="AH17" s="15" cm="1">
        <f t="array" ref="AH17">+HLOOKUP($A$1,+[55]İcmal!$B$19:$AG$49,ROW(A15)+1,FALSE)</f>
        <v>0</v>
      </c>
      <c r="AI17" s="15" cm="1">
        <f t="array" ref="AI17">+HLOOKUP($A$1,+[56]İcmal!$B$19:$AG$49,ROW(A15)+1,FALSE)</f>
        <v>0</v>
      </c>
      <c r="AJ17" s="15" cm="1">
        <f t="array" ref="AJ17">+HLOOKUP($A$1,+[57]İcmal!$B$19:$AG$49,ROW(A15)+1,FALSE)</f>
        <v>0</v>
      </c>
      <c r="AK17" s="15" cm="1">
        <f t="array" ref="AK17">+HLOOKUP($A$1,+[58]İcmal!$B$19:$AG$49,ROW(B15)+1,FALSE)</f>
        <v>0</v>
      </c>
      <c r="AL17" s="15"/>
      <c r="AM17" s="15"/>
      <c r="AN17" s="15"/>
      <c r="AO17" s="13"/>
    </row>
    <row r="18" spans="1:41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+HLOOKUP($A$1,+[31]İcmal!$B$19:$AG$49,ROW(A16)+1,FALSE)</f>
        <v>0</v>
      </c>
      <c r="K18" s="15" cm="1">
        <f t="array" ref="K18">+HLOOKUP($A$1,+[32]İcmal!$B$19:$AG$49,ROW(B16)+1,FALSE)</f>
        <v>0</v>
      </c>
      <c r="L18" s="15" cm="1">
        <f t="array" ref="L18">+HLOOKUP($A$1,+[33]İcmal!$B$19:$AG$49,ROW(C16)+1,FALSE)</f>
        <v>0</v>
      </c>
      <c r="M18" s="15" cm="1">
        <f t="array" ref="M18">+HLOOKUP($A$1,+[34]İcmal!$B$19:$AG$49,ROW(D16)+1,FALSE)</f>
        <v>0</v>
      </c>
      <c r="N18" s="15" cm="1">
        <f t="array" ref="N18">+HLOOKUP($A$1,+[35]İcmal!$B$19:$AG$49,ROW(A16)+1,FALSE)</f>
        <v>0</v>
      </c>
      <c r="O18" s="15" cm="1">
        <f t="array" ref="O18">+HLOOKUP($A$1,+[36]İcmal!$B$19:$AG$49,ROW(B16)+1,FALSE)</f>
        <v>0</v>
      </c>
      <c r="P18" s="15" cm="1">
        <f t="array" ref="P18">+HLOOKUP($A$1,+[37]İcmal!$B$19:$AG$49,ROW(C16)+1,FALSE)</f>
        <v>0</v>
      </c>
      <c r="Q18" s="15" cm="1">
        <f t="array" ref="Q18">+HLOOKUP($A$1,+[38]İcmal!$B$19:$AG$49,ROW(D16)+1,FALSE)</f>
        <v>0</v>
      </c>
      <c r="R18" s="15" cm="1">
        <f t="array" ref="R18">+HLOOKUP($A$1,+[39]İcmal!$B$19:$AG$49,ROW(A16)+1,FALSE)</f>
        <v>0</v>
      </c>
      <c r="S18" s="15" cm="1">
        <f t="array" ref="S18">+HLOOKUP($A$1,+[40]İcmal!$B$19:$AG$49,ROW(B16)+1,FALSE)</f>
        <v>0</v>
      </c>
      <c r="T18" s="15" cm="1">
        <f t="array" ref="T18">+HLOOKUP($A$1,+[41]İcmal!$B$19:$AG$49,ROW(C16)+1,FALSE)</f>
        <v>0</v>
      </c>
      <c r="U18" s="15" cm="1">
        <f t="array" ref="U18">+HLOOKUP($A$1,+[42]İcmal!$B$19:$AG$49,ROW(D16)+1,FALSE)</f>
        <v>0</v>
      </c>
      <c r="V18" s="15" cm="1">
        <f t="array" ref="V18">+HLOOKUP($A$1,+[43]İcmal!$B$19:$AG$49,ROW(A16)+1,FALSE)</f>
        <v>0</v>
      </c>
      <c r="W18" s="15" cm="1">
        <f t="array" ref="W18">+HLOOKUP($A$1,+[44]İcmal!$B$19:$AG$49,ROW(B16)+1,FALSE)</f>
        <v>0</v>
      </c>
      <c r="X18" s="15" cm="1">
        <f t="array" ref="X18">+HLOOKUP($A$1,+[45]İcmal!$B$19:$AG$49,ROW(C16)+1,FALSE)</f>
        <v>0</v>
      </c>
      <c r="Y18" s="15" cm="1">
        <f t="array" ref="Y18">+HLOOKUP($A$1,+[46]İcmal!$B$19:$AG$49,ROW(D16)+1,FALSE)</f>
        <v>0</v>
      </c>
      <c r="Z18" s="15" cm="1">
        <f t="array" ref="Z18">+HLOOKUP($A$1,+[47]İcmal!$B$19:$AG$49,ROW(A16)+1,FALSE)</f>
        <v>0</v>
      </c>
      <c r="AA18" s="15" cm="1">
        <f t="array" ref="AA18">+HLOOKUP($A$1,+[48]İcmal!$B$19:$AG$49,ROW(B16)+1,FALSE)</f>
        <v>0</v>
      </c>
      <c r="AB18" s="15" cm="1">
        <f t="array" ref="AB18">+HLOOKUP($A$1,+[49]İcmal!$B$19:$AG$49,ROW(A16)+1,FALSE)</f>
        <v>0</v>
      </c>
      <c r="AC18" s="15" cm="1">
        <f t="array" ref="AC18">+HLOOKUP($A$1,+[50]İcmal!$B$19:$AG$49,ROW(A16)+1,FALSE)</f>
        <v>0</v>
      </c>
      <c r="AD18" s="15" cm="1">
        <f t="array" ref="AD18">+HLOOKUP($A$1,+[51]İcmal!$B$19:$AG$49,ROW(A16)+1,FALSE)</f>
        <v>0</v>
      </c>
      <c r="AE18" s="15" cm="1">
        <f t="array" ref="AE18">+HLOOKUP($A$1,+[52]İcmal!$B$19:$AG$49,ROW(A16)+1,FALSE)</f>
        <v>0</v>
      </c>
      <c r="AF18" s="50" cm="1">
        <f t="array" ref="AF18">+HLOOKUP($A$1,+[53]İcmal!$B$19:$AG$49,ROW(A16)+1,FALSE)</f>
        <v>0</v>
      </c>
      <c r="AG18" s="15" cm="1">
        <f t="array" ref="AG18">+HLOOKUP($A$1,+[54]İcmal!$B$19:$AG$49,ROW(A16)+1,FALSE)</f>
        <v>0</v>
      </c>
      <c r="AH18" s="15" cm="1">
        <f t="array" ref="AH18">+HLOOKUP($A$1,+[55]İcmal!$B$19:$AG$49,ROW(A16)+1,FALSE)</f>
        <v>0</v>
      </c>
      <c r="AI18" s="15" cm="1">
        <f t="array" ref="AI18">+HLOOKUP($A$1,+[56]İcmal!$B$19:$AG$49,ROW(A16)+1,FALSE)</f>
        <v>0</v>
      </c>
      <c r="AJ18" s="15" cm="1">
        <f t="array" ref="AJ18">+HLOOKUP($A$1,+[57]İcmal!$B$19:$AG$49,ROW(A16)+1,FALSE)</f>
        <v>0</v>
      </c>
      <c r="AK18" s="15" cm="1">
        <f t="array" ref="AK18">+HLOOKUP($A$1,+[58]İcmal!$B$19:$AG$49,ROW(B16)+1,FALSE)</f>
        <v>0</v>
      </c>
      <c r="AL18" s="15"/>
      <c r="AM18" s="15"/>
      <c r="AN18" s="15"/>
      <c r="AO18" s="13"/>
    </row>
    <row r="19" spans="1:41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+HLOOKUP($A$1,+[31]İcmal!$B$19:$AG$49,ROW(A17)+1,FALSE)</f>
        <v>0</v>
      </c>
      <c r="K19" s="15" cm="1">
        <f t="array" ref="K19">+HLOOKUP($A$1,+[32]İcmal!$B$19:$AG$49,ROW(B17)+1,FALSE)</f>
        <v>0</v>
      </c>
      <c r="L19" s="15" cm="1">
        <f t="array" ref="L19">+HLOOKUP($A$1,+[33]İcmal!$B$19:$AG$49,ROW(C17)+1,FALSE)</f>
        <v>0</v>
      </c>
      <c r="M19" s="15" cm="1">
        <f t="array" ref="M19">+HLOOKUP($A$1,+[34]İcmal!$B$19:$AG$49,ROW(D17)+1,FALSE)</f>
        <v>0</v>
      </c>
      <c r="N19" s="15" cm="1">
        <f t="array" ref="N19">+HLOOKUP($A$1,+[35]İcmal!$B$19:$AG$49,ROW(A17)+1,FALSE)</f>
        <v>0</v>
      </c>
      <c r="O19" s="15" cm="1">
        <f t="array" ref="O19">+HLOOKUP($A$1,+[36]İcmal!$B$19:$AG$49,ROW(B17)+1,FALSE)</f>
        <v>0</v>
      </c>
      <c r="P19" s="15" cm="1">
        <f t="array" ref="P19">+HLOOKUP($A$1,+[37]İcmal!$B$19:$AG$49,ROW(C17)+1,FALSE)</f>
        <v>0</v>
      </c>
      <c r="Q19" s="15" cm="1">
        <f t="array" ref="Q19">+HLOOKUP($A$1,+[38]İcmal!$B$19:$AG$49,ROW(D17)+1,FALSE)</f>
        <v>0</v>
      </c>
      <c r="R19" s="15" cm="1">
        <f t="array" ref="R19">+HLOOKUP($A$1,+[39]İcmal!$B$19:$AG$49,ROW(A17)+1,FALSE)</f>
        <v>0</v>
      </c>
      <c r="S19" s="15" cm="1">
        <f t="array" ref="S19">+HLOOKUP($A$1,+[40]İcmal!$B$19:$AG$49,ROW(B17)+1,FALSE)</f>
        <v>0</v>
      </c>
      <c r="T19" s="15" cm="1">
        <f t="array" ref="T19">+HLOOKUP($A$1,+[41]İcmal!$B$19:$AG$49,ROW(C17)+1,FALSE)</f>
        <v>0</v>
      </c>
      <c r="U19" s="15" cm="1">
        <f t="array" ref="U19">+HLOOKUP($A$1,+[42]İcmal!$B$19:$AG$49,ROW(D17)+1,FALSE)</f>
        <v>0</v>
      </c>
      <c r="V19" s="15" cm="1">
        <f t="array" ref="V19">+HLOOKUP($A$1,+[43]İcmal!$B$19:$AG$49,ROW(A17)+1,FALSE)</f>
        <v>0</v>
      </c>
      <c r="W19" s="15" cm="1">
        <f t="array" ref="W19">+HLOOKUP($A$1,+[44]İcmal!$B$19:$AG$49,ROW(B17)+1,FALSE)</f>
        <v>0</v>
      </c>
      <c r="X19" s="15" cm="1">
        <f t="array" ref="X19">+HLOOKUP($A$1,+[45]İcmal!$B$19:$AG$49,ROW(C17)+1,FALSE)</f>
        <v>0</v>
      </c>
      <c r="Y19" s="15" cm="1">
        <f t="array" ref="Y19">+HLOOKUP($A$1,+[46]İcmal!$B$19:$AG$49,ROW(D17)+1,FALSE)</f>
        <v>0</v>
      </c>
      <c r="Z19" s="15" cm="1">
        <f t="array" ref="Z19">+HLOOKUP($A$1,+[47]İcmal!$B$19:$AG$49,ROW(A17)+1,FALSE)</f>
        <v>0</v>
      </c>
      <c r="AA19" s="15" cm="1">
        <f t="array" ref="AA19">+HLOOKUP($A$1,+[48]İcmal!$B$19:$AG$49,ROW(B17)+1,FALSE)</f>
        <v>0</v>
      </c>
      <c r="AB19" s="15" cm="1">
        <f t="array" ref="AB19">+HLOOKUP($A$1,+[49]İcmal!$B$19:$AG$49,ROW(A17)+1,FALSE)</f>
        <v>0</v>
      </c>
      <c r="AC19" s="15" cm="1">
        <f t="array" ref="AC19">+HLOOKUP($A$1,+[50]İcmal!$B$19:$AG$49,ROW(A17)+1,FALSE)</f>
        <v>0</v>
      </c>
      <c r="AD19" s="15" cm="1">
        <f t="array" ref="AD19">+HLOOKUP($A$1,+[51]İcmal!$B$19:$AG$49,ROW(A17)+1,FALSE)</f>
        <v>0</v>
      </c>
      <c r="AE19" s="15" cm="1">
        <f t="array" ref="AE19">+HLOOKUP($A$1,+[52]İcmal!$B$19:$AG$49,ROW(A17)+1,FALSE)</f>
        <v>0</v>
      </c>
      <c r="AF19" s="50" cm="1">
        <f t="array" ref="AF19">+HLOOKUP($A$1,+[53]İcmal!$B$19:$AG$49,ROW(A17)+1,FALSE)</f>
        <v>0</v>
      </c>
      <c r="AG19" s="15" cm="1">
        <f t="array" ref="AG19">+HLOOKUP($A$1,+[54]İcmal!$B$19:$AG$49,ROW(A17)+1,FALSE)</f>
        <v>0</v>
      </c>
      <c r="AH19" s="15" cm="1">
        <f t="array" ref="AH19">+HLOOKUP($A$1,+[55]İcmal!$B$19:$AG$49,ROW(A17)+1,FALSE)</f>
        <v>0</v>
      </c>
      <c r="AI19" s="15" cm="1">
        <f t="array" ref="AI19">+HLOOKUP($A$1,+[56]İcmal!$B$19:$AG$49,ROW(A17)+1,FALSE)</f>
        <v>0</v>
      </c>
      <c r="AJ19" s="15" cm="1">
        <f t="array" ref="AJ19">+HLOOKUP($A$1,+[57]İcmal!$B$19:$AG$49,ROW(A17)+1,FALSE)</f>
        <v>0</v>
      </c>
      <c r="AK19" s="15" cm="1">
        <f t="array" ref="AK19">+HLOOKUP($A$1,+[58]İcmal!$B$19:$AG$49,ROW(B17)+1,FALSE)</f>
        <v>0</v>
      </c>
      <c r="AL19" s="15"/>
      <c r="AM19" s="15"/>
      <c r="AN19" s="15"/>
      <c r="AO19" s="13"/>
    </row>
    <row r="20" spans="1:41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+HLOOKUP($A$1,+[31]İcmal!$B$19:$AG$49,ROW(A18)+1,FALSE)</f>
        <v>0</v>
      </c>
      <c r="K20" s="15" cm="1">
        <f t="array" ref="K20">+HLOOKUP($A$1,+[32]İcmal!$B$19:$AG$49,ROW(B18)+1,FALSE)</f>
        <v>0</v>
      </c>
      <c r="L20" s="15" cm="1">
        <f t="array" ref="L20">+HLOOKUP($A$1,+[33]İcmal!$B$19:$AG$49,ROW(C18)+1,FALSE)</f>
        <v>0</v>
      </c>
      <c r="M20" s="15" cm="1">
        <f t="array" ref="M20">+HLOOKUP($A$1,+[34]İcmal!$B$19:$AG$49,ROW(D18)+1,FALSE)</f>
        <v>0</v>
      </c>
      <c r="N20" s="15" cm="1">
        <f t="array" ref="N20">+HLOOKUP($A$1,+[35]İcmal!$B$19:$AG$49,ROW(A18)+1,FALSE)</f>
        <v>0</v>
      </c>
      <c r="O20" s="15" cm="1">
        <f t="array" ref="O20">+HLOOKUP($A$1,+[36]İcmal!$B$19:$AG$49,ROW(B18)+1,FALSE)</f>
        <v>0</v>
      </c>
      <c r="P20" s="15" cm="1">
        <f t="array" ref="P20">+HLOOKUP($A$1,+[37]İcmal!$B$19:$AG$49,ROW(C18)+1,FALSE)</f>
        <v>0</v>
      </c>
      <c r="Q20" s="15" cm="1">
        <f t="array" ref="Q20">+HLOOKUP($A$1,+[38]İcmal!$B$19:$AG$49,ROW(D18)+1,FALSE)</f>
        <v>0</v>
      </c>
      <c r="R20" s="15" cm="1">
        <f t="array" ref="R20">+HLOOKUP($A$1,+[39]İcmal!$B$19:$AG$49,ROW(A18)+1,FALSE)</f>
        <v>0</v>
      </c>
      <c r="S20" s="15" cm="1">
        <f t="array" ref="S20">+HLOOKUP($A$1,+[40]İcmal!$B$19:$AG$49,ROW(B18)+1,FALSE)</f>
        <v>0</v>
      </c>
      <c r="T20" s="15" cm="1">
        <f t="array" ref="T20">+HLOOKUP($A$1,+[41]İcmal!$B$19:$AG$49,ROW(C18)+1,FALSE)</f>
        <v>0</v>
      </c>
      <c r="U20" s="15" cm="1">
        <f t="array" ref="U20">+HLOOKUP($A$1,+[42]İcmal!$B$19:$AG$49,ROW(D18)+1,FALSE)</f>
        <v>0</v>
      </c>
      <c r="V20" s="15" cm="1">
        <f t="array" ref="V20">+HLOOKUP($A$1,+[43]İcmal!$B$19:$AG$49,ROW(A18)+1,FALSE)</f>
        <v>0</v>
      </c>
      <c r="W20" s="15" cm="1">
        <f t="array" ref="W20">+HLOOKUP($A$1,+[44]İcmal!$B$19:$AG$49,ROW(B18)+1,FALSE)</f>
        <v>0</v>
      </c>
      <c r="X20" s="15" cm="1">
        <f t="array" ref="X20">+HLOOKUP($A$1,+[45]İcmal!$B$19:$AG$49,ROW(C18)+1,FALSE)</f>
        <v>0</v>
      </c>
      <c r="Y20" s="15" cm="1">
        <f t="array" ref="Y20">+HLOOKUP($A$1,+[46]İcmal!$B$19:$AG$49,ROW(D18)+1,FALSE)</f>
        <v>0</v>
      </c>
      <c r="Z20" s="15" cm="1">
        <f t="array" ref="Z20">+HLOOKUP($A$1,+[47]İcmal!$B$19:$AG$49,ROW(A18)+1,FALSE)</f>
        <v>0</v>
      </c>
      <c r="AA20" s="15" cm="1">
        <f t="array" ref="AA20">+HLOOKUP($A$1,+[48]İcmal!$B$19:$AG$49,ROW(B18)+1,FALSE)</f>
        <v>0</v>
      </c>
      <c r="AB20" s="15" cm="1">
        <f t="array" ref="AB20">+HLOOKUP($A$1,+[49]İcmal!$B$19:$AG$49,ROW(A18)+1,FALSE)</f>
        <v>0</v>
      </c>
      <c r="AC20" s="15" cm="1">
        <f t="array" ref="AC20">+HLOOKUP($A$1,+[50]İcmal!$B$19:$AG$49,ROW(A18)+1,FALSE)</f>
        <v>0</v>
      </c>
      <c r="AD20" s="15" cm="1">
        <f t="array" ref="AD20">+HLOOKUP($A$1,+[51]İcmal!$B$19:$AG$49,ROW(A18)+1,FALSE)</f>
        <v>0</v>
      </c>
      <c r="AE20" s="15" cm="1">
        <f t="array" ref="AE20">+HLOOKUP($A$1,+[52]İcmal!$B$19:$AG$49,ROW(A18)+1,FALSE)</f>
        <v>0</v>
      </c>
      <c r="AF20" s="50" cm="1">
        <f t="array" ref="AF20">+HLOOKUP($A$1,+[53]İcmal!$B$19:$AG$49,ROW(A18)+1,FALSE)</f>
        <v>0</v>
      </c>
      <c r="AG20" s="15" cm="1">
        <f t="array" ref="AG20">+HLOOKUP($A$1,+[54]İcmal!$B$19:$AG$49,ROW(A18)+1,FALSE)</f>
        <v>0</v>
      </c>
      <c r="AH20" s="15" cm="1">
        <f t="array" ref="AH20">+HLOOKUP($A$1,+[55]İcmal!$B$19:$AG$49,ROW(A18)+1,FALSE)</f>
        <v>0</v>
      </c>
      <c r="AI20" s="15" cm="1">
        <f t="array" ref="AI20">+HLOOKUP($A$1,+[56]İcmal!$B$19:$AG$49,ROW(A18)+1,FALSE)</f>
        <v>0</v>
      </c>
      <c r="AJ20" s="15" cm="1">
        <f t="array" ref="AJ20">+HLOOKUP($A$1,+[57]İcmal!$B$19:$AG$49,ROW(A18)+1,FALSE)</f>
        <v>0</v>
      </c>
      <c r="AK20" s="15" cm="1">
        <f t="array" ref="AK20">+HLOOKUP($A$1,+[58]İcmal!$B$19:$AG$49,ROW(B18)+1,FALSE)</f>
        <v>0</v>
      </c>
      <c r="AL20" s="15"/>
      <c r="AM20" s="15"/>
      <c r="AN20" s="15"/>
      <c r="AO20" s="13"/>
    </row>
    <row r="21" spans="1:41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+HLOOKUP($A$1,+[31]İcmal!$B$19:$AG$49,ROW(A19)+1,FALSE)</f>
        <v>0</v>
      </c>
      <c r="K21" s="15" cm="1">
        <f t="array" ref="K21">+HLOOKUP($A$1,+[32]İcmal!$B$19:$AG$49,ROW(B19)+1,FALSE)</f>
        <v>0</v>
      </c>
      <c r="L21" s="15" cm="1">
        <f t="array" ref="L21">+HLOOKUP($A$1,+[33]İcmal!$B$19:$AG$49,ROW(C19)+1,FALSE)</f>
        <v>0</v>
      </c>
      <c r="M21" s="15" cm="1">
        <f t="array" ref="M21">+HLOOKUP($A$1,+[34]İcmal!$B$19:$AG$49,ROW(D19)+1,FALSE)</f>
        <v>0</v>
      </c>
      <c r="N21" s="15" cm="1">
        <f t="array" ref="N21">+HLOOKUP($A$1,+[35]İcmal!$B$19:$AG$49,ROW(A19)+1,FALSE)</f>
        <v>0</v>
      </c>
      <c r="O21" s="15" cm="1">
        <f t="array" ref="O21">+HLOOKUP($A$1,+[36]İcmal!$B$19:$AG$49,ROW(B19)+1,FALSE)</f>
        <v>0</v>
      </c>
      <c r="P21" s="15" cm="1">
        <f t="array" ref="P21">+HLOOKUP($A$1,+[37]İcmal!$B$19:$AG$49,ROW(C19)+1,FALSE)</f>
        <v>0</v>
      </c>
      <c r="Q21" s="15" cm="1">
        <f t="array" ref="Q21">+HLOOKUP($A$1,+[38]İcmal!$B$19:$AG$49,ROW(D19)+1,FALSE)</f>
        <v>0</v>
      </c>
      <c r="R21" s="15" cm="1">
        <f t="array" ref="R21">+HLOOKUP($A$1,+[39]İcmal!$B$19:$AG$49,ROW(A19)+1,FALSE)</f>
        <v>0</v>
      </c>
      <c r="S21" s="15" cm="1">
        <f t="array" ref="S21">+HLOOKUP($A$1,+[40]İcmal!$B$19:$AG$49,ROW(B19)+1,FALSE)</f>
        <v>0</v>
      </c>
      <c r="T21" s="15" cm="1">
        <f t="array" ref="T21">+HLOOKUP($A$1,+[41]İcmal!$B$19:$AG$49,ROW(C19)+1,FALSE)</f>
        <v>0</v>
      </c>
      <c r="U21" s="15" cm="1">
        <f t="array" ref="U21">+HLOOKUP($A$1,+[42]İcmal!$B$19:$AG$49,ROW(D19)+1,FALSE)</f>
        <v>0</v>
      </c>
      <c r="V21" s="15" cm="1">
        <f t="array" ref="V21">+HLOOKUP($A$1,+[43]İcmal!$B$19:$AG$49,ROW(A19)+1,FALSE)</f>
        <v>0</v>
      </c>
      <c r="W21" s="15" cm="1">
        <f t="array" ref="W21">+HLOOKUP($A$1,+[44]İcmal!$B$19:$AG$49,ROW(B19)+1,FALSE)</f>
        <v>0</v>
      </c>
      <c r="X21" s="15" cm="1">
        <f t="array" ref="X21">+HLOOKUP($A$1,+[45]İcmal!$B$19:$AG$49,ROW(C19)+1,FALSE)</f>
        <v>0</v>
      </c>
      <c r="Y21" s="15" cm="1">
        <f t="array" ref="Y21">+HLOOKUP($A$1,+[46]İcmal!$B$19:$AG$49,ROW(D19)+1,FALSE)</f>
        <v>0</v>
      </c>
      <c r="Z21" s="15" cm="1">
        <f t="array" ref="Z21">+HLOOKUP($A$1,+[47]İcmal!$B$19:$AG$49,ROW(A19)+1,FALSE)</f>
        <v>0</v>
      </c>
      <c r="AA21" s="15" cm="1">
        <f t="array" ref="AA21">+HLOOKUP($A$1,+[48]İcmal!$B$19:$AG$49,ROW(B19)+1,FALSE)</f>
        <v>0</v>
      </c>
      <c r="AB21" s="15" cm="1">
        <f t="array" ref="AB21">+HLOOKUP($A$1,+[49]İcmal!$B$19:$AG$49,ROW(A19)+1,FALSE)</f>
        <v>0</v>
      </c>
      <c r="AC21" s="15" cm="1">
        <f t="array" ref="AC21">+HLOOKUP($A$1,+[50]İcmal!$B$19:$AG$49,ROW(A19)+1,FALSE)</f>
        <v>0</v>
      </c>
      <c r="AD21" s="15" cm="1">
        <f t="array" ref="AD21">+HLOOKUP($A$1,+[51]İcmal!$B$19:$AG$49,ROW(A19)+1,FALSE)</f>
        <v>0</v>
      </c>
      <c r="AE21" s="15" cm="1">
        <f t="array" ref="AE21">+HLOOKUP($A$1,+[52]İcmal!$B$19:$AG$49,ROW(A19)+1,FALSE)</f>
        <v>0</v>
      </c>
      <c r="AF21" s="50" cm="1">
        <f t="array" ref="AF21">+HLOOKUP($A$1,+[53]İcmal!$B$19:$AG$49,ROW(A19)+1,FALSE)</f>
        <v>0</v>
      </c>
      <c r="AG21" s="15" cm="1">
        <f t="array" ref="AG21">+HLOOKUP($A$1,+[54]İcmal!$B$19:$AG$49,ROW(A19)+1,FALSE)</f>
        <v>0</v>
      </c>
      <c r="AH21" s="15" cm="1">
        <f t="array" ref="AH21">+HLOOKUP($A$1,+[55]İcmal!$B$19:$AG$49,ROW(A19)+1,FALSE)</f>
        <v>0</v>
      </c>
      <c r="AI21" s="15" cm="1">
        <f t="array" ref="AI21">+HLOOKUP($A$1,+[56]İcmal!$B$19:$AG$49,ROW(A19)+1,FALSE)</f>
        <v>0</v>
      </c>
      <c r="AJ21" s="15" cm="1">
        <f t="array" ref="AJ21">+HLOOKUP($A$1,+[57]İcmal!$B$19:$AG$49,ROW(A19)+1,FALSE)</f>
        <v>0</v>
      </c>
      <c r="AK21" s="15" cm="1">
        <f t="array" ref="AK21">+HLOOKUP($A$1,+[58]İcmal!$B$19:$AG$49,ROW(B19)+1,FALSE)</f>
        <v>0</v>
      </c>
      <c r="AL21" s="15"/>
      <c r="AM21" s="15"/>
      <c r="AN21" s="15"/>
      <c r="AO21" s="13"/>
    </row>
    <row r="22" spans="1:41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+HLOOKUP($A$1,+[31]İcmal!$B$19:$AG$49,ROW(A20)+1,FALSE)</f>
        <v>0</v>
      </c>
      <c r="K22" s="15" cm="1">
        <f t="array" ref="K22">+HLOOKUP($A$1,+[32]İcmal!$B$19:$AG$49,ROW(B20)+1,FALSE)</f>
        <v>0</v>
      </c>
      <c r="L22" s="15" cm="1">
        <f t="array" ref="L22">+HLOOKUP($A$1,+[33]İcmal!$B$19:$AG$49,ROW(C20)+1,FALSE)</f>
        <v>0</v>
      </c>
      <c r="M22" s="15" cm="1">
        <f t="array" ref="M22">+HLOOKUP($A$1,+[34]İcmal!$B$19:$AG$49,ROW(D20)+1,FALSE)</f>
        <v>0</v>
      </c>
      <c r="N22" s="15" cm="1">
        <f t="array" ref="N22">+HLOOKUP($A$1,+[35]İcmal!$B$19:$AG$49,ROW(A20)+1,FALSE)</f>
        <v>0</v>
      </c>
      <c r="O22" s="15" cm="1">
        <f t="array" ref="O22">+HLOOKUP($A$1,+[36]İcmal!$B$19:$AG$49,ROW(B20)+1,FALSE)</f>
        <v>0</v>
      </c>
      <c r="P22" s="15" cm="1">
        <f t="array" ref="P22">+HLOOKUP($A$1,+[37]İcmal!$B$19:$AG$49,ROW(C20)+1,FALSE)</f>
        <v>0</v>
      </c>
      <c r="Q22" s="15" cm="1">
        <f t="array" ref="Q22">+HLOOKUP($A$1,+[38]İcmal!$B$19:$AG$49,ROW(D20)+1,FALSE)</f>
        <v>0</v>
      </c>
      <c r="R22" s="15" cm="1">
        <f t="array" ref="R22">+HLOOKUP($A$1,+[39]İcmal!$B$19:$AG$49,ROW(A20)+1,FALSE)</f>
        <v>0</v>
      </c>
      <c r="S22" s="15" cm="1">
        <f t="array" ref="S22">+HLOOKUP($A$1,+[40]İcmal!$B$19:$AG$49,ROW(B20)+1,FALSE)</f>
        <v>0</v>
      </c>
      <c r="T22" s="15" cm="1">
        <f t="array" ref="T22">+HLOOKUP($A$1,+[41]İcmal!$B$19:$AG$49,ROW(C20)+1,FALSE)</f>
        <v>0</v>
      </c>
      <c r="U22" s="15" cm="1">
        <f t="array" ref="U22">+HLOOKUP($A$1,+[42]İcmal!$B$19:$AG$49,ROW(D20)+1,FALSE)</f>
        <v>0</v>
      </c>
      <c r="V22" s="15" cm="1">
        <f t="array" ref="V22">+HLOOKUP($A$1,+[43]İcmal!$B$19:$AG$49,ROW(A20)+1,FALSE)</f>
        <v>0</v>
      </c>
      <c r="W22" s="15" cm="1">
        <f t="array" ref="W22">+HLOOKUP($A$1,+[44]İcmal!$B$19:$AG$49,ROW(B20)+1,FALSE)</f>
        <v>0</v>
      </c>
      <c r="X22" s="15" cm="1">
        <f t="array" ref="X22">+HLOOKUP($A$1,+[45]İcmal!$B$19:$AG$49,ROW(C20)+1,FALSE)</f>
        <v>0</v>
      </c>
      <c r="Y22" s="15" cm="1">
        <f t="array" ref="Y22">+HLOOKUP($A$1,+[46]İcmal!$B$19:$AG$49,ROW(D20)+1,FALSE)</f>
        <v>0</v>
      </c>
      <c r="Z22" s="15" cm="1">
        <f t="array" ref="Z22">+HLOOKUP($A$1,+[47]İcmal!$B$19:$AG$49,ROW(A20)+1,FALSE)</f>
        <v>0</v>
      </c>
      <c r="AA22" s="15" cm="1">
        <f t="array" ref="AA22">+HLOOKUP($A$1,+[48]İcmal!$B$19:$AG$49,ROW(B20)+1,FALSE)</f>
        <v>0</v>
      </c>
      <c r="AB22" s="15" cm="1">
        <f t="array" ref="AB22">+HLOOKUP($A$1,+[49]İcmal!$B$19:$AG$49,ROW(A20)+1,FALSE)</f>
        <v>0</v>
      </c>
      <c r="AC22" s="15" cm="1">
        <f t="array" ref="AC22">+HLOOKUP($A$1,+[50]İcmal!$B$19:$AG$49,ROW(A20)+1,FALSE)</f>
        <v>0</v>
      </c>
      <c r="AD22" s="15" cm="1">
        <f t="array" ref="AD22">+HLOOKUP($A$1,+[51]İcmal!$B$19:$AG$49,ROW(A20)+1,FALSE)</f>
        <v>0</v>
      </c>
      <c r="AE22" s="15" cm="1">
        <f t="array" ref="AE22">+HLOOKUP($A$1,+[52]İcmal!$B$19:$AG$49,ROW(A20)+1,FALSE)</f>
        <v>0</v>
      </c>
      <c r="AF22" s="50" cm="1">
        <f t="array" ref="AF22">+HLOOKUP($A$1,+[53]İcmal!$B$19:$AG$49,ROW(A20)+1,FALSE)</f>
        <v>0</v>
      </c>
      <c r="AG22" s="15" cm="1">
        <f t="array" ref="AG22">+HLOOKUP($A$1,+[54]İcmal!$B$19:$AG$49,ROW(A20)+1,FALSE)</f>
        <v>0</v>
      </c>
      <c r="AH22" s="15" cm="1">
        <f t="array" ref="AH22">+HLOOKUP($A$1,+[55]İcmal!$B$19:$AG$49,ROW(A20)+1,FALSE)</f>
        <v>0</v>
      </c>
      <c r="AI22" s="15" cm="1">
        <f t="array" ref="AI22">+HLOOKUP($A$1,+[56]İcmal!$B$19:$AG$49,ROW(A20)+1,FALSE)</f>
        <v>0</v>
      </c>
      <c r="AJ22" s="15" cm="1">
        <f t="array" ref="AJ22">+HLOOKUP($A$1,+[57]İcmal!$B$19:$AG$49,ROW(A20)+1,FALSE)</f>
        <v>0</v>
      </c>
      <c r="AK22" s="15" cm="1">
        <f t="array" ref="AK22">+HLOOKUP($A$1,+[58]İcmal!$B$19:$AG$49,ROW(B20)+1,FALSE)</f>
        <v>0</v>
      </c>
      <c r="AL22" s="15"/>
      <c r="AM22" s="15"/>
      <c r="AN22" s="15"/>
      <c r="AO22" s="13"/>
    </row>
    <row r="23" spans="1:41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+HLOOKUP($A$1,+[31]İcmal!$B$19:$AG$49,ROW(A21)+1,FALSE)</f>
        <v>0</v>
      </c>
      <c r="K23" s="15" cm="1">
        <f t="array" ref="K23">+HLOOKUP($A$1,+[32]İcmal!$B$19:$AG$49,ROW(B21)+1,FALSE)</f>
        <v>0</v>
      </c>
      <c r="L23" s="15" cm="1">
        <f t="array" ref="L23">+HLOOKUP($A$1,+[33]İcmal!$B$19:$AG$49,ROW(C21)+1,FALSE)</f>
        <v>0</v>
      </c>
      <c r="M23" s="15" cm="1">
        <f t="array" ref="M23">+HLOOKUP($A$1,+[34]İcmal!$B$19:$AG$49,ROW(D21)+1,FALSE)</f>
        <v>0</v>
      </c>
      <c r="N23" s="15" cm="1">
        <f t="array" ref="N23">+HLOOKUP($A$1,+[35]İcmal!$B$19:$AG$49,ROW(A21)+1,FALSE)</f>
        <v>0</v>
      </c>
      <c r="O23" s="15" cm="1">
        <f t="array" ref="O23">+HLOOKUP($A$1,+[36]İcmal!$B$19:$AG$49,ROW(B21)+1,FALSE)</f>
        <v>0</v>
      </c>
      <c r="P23" s="15" cm="1">
        <f t="array" ref="P23">+HLOOKUP($A$1,+[37]İcmal!$B$19:$AG$49,ROW(C21)+1,FALSE)</f>
        <v>0</v>
      </c>
      <c r="Q23" s="15" cm="1">
        <f t="array" ref="Q23">+HLOOKUP($A$1,+[38]İcmal!$B$19:$AG$49,ROW(D21)+1,FALSE)</f>
        <v>0</v>
      </c>
      <c r="R23" s="15" cm="1">
        <f t="array" ref="R23">+HLOOKUP($A$1,+[39]İcmal!$B$19:$AG$49,ROW(A21)+1,FALSE)</f>
        <v>0</v>
      </c>
      <c r="S23" s="15" cm="1">
        <f t="array" ref="S23">+HLOOKUP($A$1,+[40]İcmal!$B$19:$AG$49,ROW(B21)+1,FALSE)</f>
        <v>0</v>
      </c>
      <c r="T23" s="15" cm="1">
        <f t="array" ref="T23">+HLOOKUP($A$1,+[41]İcmal!$B$19:$AG$49,ROW(C21)+1,FALSE)</f>
        <v>0</v>
      </c>
      <c r="U23" s="15" cm="1">
        <f t="array" ref="U23">+HLOOKUP($A$1,+[42]İcmal!$B$19:$AG$49,ROW(D21)+1,FALSE)</f>
        <v>0</v>
      </c>
      <c r="V23" s="15" cm="1">
        <f t="array" ref="V23">+HLOOKUP($A$1,+[43]İcmal!$B$19:$AG$49,ROW(A21)+1,FALSE)</f>
        <v>0</v>
      </c>
      <c r="W23" s="15" cm="1">
        <f t="array" ref="W23">+HLOOKUP($A$1,+[44]İcmal!$B$19:$AG$49,ROW(B21)+1,FALSE)</f>
        <v>0</v>
      </c>
      <c r="X23" s="15" cm="1">
        <f t="array" ref="X23">+HLOOKUP($A$1,+[45]İcmal!$B$19:$AG$49,ROW(C21)+1,FALSE)</f>
        <v>0</v>
      </c>
      <c r="Y23" s="15" cm="1">
        <f t="array" ref="Y23">+HLOOKUP($A$1,+[46]İcmal!$B$19:$AG$49,ROW(D21)+1,FALSE)</f>
        <v>0</v>
      </c>
      <c r="Z23" s="15" cm="1">
        <f t="array" ref="Z23">+HLOOKUP($A$1,+[47]İcmal!$B$19:$AG$49,ROW(A21)+1,FALSE)</f>
        <v>0</v>
      </c>
      <c r="AA23" s="15" cm="1">
        <f t="array" ref="AA23">+HLOOKUP($A$1,+[48]İcmal!$B$19:$AG$49,ROW(B21)+1,FALSE)</f>
        <v>0</v>
      </c>
      <c r="AB23" s="15" cm="1">
        <f t="array" ref="AB23">+HLOOKUP($A$1,+[49]İcmal!$B$19:$AG$49,ROW(A21)+1,FALSE)</f>
        <v>0</v>
      </c>
      <c r="AC23" s="15" cm="1">
        <f t="array" ref="AC23">+HLOOKUP($A$1,+[50]İcmal!$B$19:$AG$49,ROW(A21)+1,FALSE)</f>
        <v>0</v>
      </c>
      <c r="AD23" s="15" cm="1">
        <f t="array" ref="AD23">+HLOOKUP($A$1,+[51]İcmal!$B$19:$AG$49,ROW(A21)+1,FALSE)</f>
        <v>0</v>
      </c>
      <c r="AE23" s="15" cm="1">
        <f t="array" ref="AE23">+HLOOKUP($A$1,+[52]İcmal!$B$19:$AG$49,ROW(A21)+1,FALSE)</f>
        <v>0</v>
      </c>
      <c r="AF23" s="50" cm="1">
        <f t="array" ref="AF23">+HLOOKUP($A$1,+[53]İcmal!$B$19:$AG$49,ROW(A21)+1,FALSE)</f>
        <v>0</v>
      </c>
      <c r="AG23" s="15" cm="1">
        <f t="array" ref="AG23">+HLOOKUP($A$1,+[54]İcmal!$B$19:$AG$49,ROW(A21)+1,FALSE)</f>
        <v>0</v>
      </c>
      <c r="AH23" s="15" cm="1">
        <f t="array" ref="AH23">+HLOOKUP($A$1,+[55]İcmal!$B$19:$AG$49,ROW(A21)+1,FALSE)</f>
        <v>0</v>
      </c>
      <c r="AI23" s="15" cm="1">
        <f t="array" ref="AI23">+HLOOKUP($A$1,+[56]İcmal!$B$19:$AG$49,ROW(A21)+1,FALSE)</f>
        <v>0</v>
      </c>
      <c r="AJ23" s="15" cm="1">
        <f t="array" ref="AJ23">+HLOOKUP($A$1,+[57]İcmal!$B$19:$AG$49,ROW(A21)+1,FALSE)</f>
        <v>0</v>
      </c>
      <c r="AK23" s="15" cm="1">
        <f t="array" ref="AK23">+HLOOKUP($A$1,+[58]İcmal!$B$19:$AG$49,ROW(B21)+1,FALSE)</f>
        <v>0</v>
      </c>
      <c r="AL23" s="15"/>
      <c r="AM23" s="15"/>
      <c r="AN23" s="15"/>
      <c r="AO23" s="13"/>
    </row>
    <row r="24" spans="1:41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+HLOOKUP($A$1,+[31]İcmal!$B$19:$AG$49,ROW(A22)+1,FALSE)</f>
        <v>0</v>
      </c>
      <c r="K24" s="15" cm="1">
        <f t="array" ref="K24">+HLOOKUP($A$1,+[32]İcmal!$B$19:$AG$49,ROW(B22)+1,FALSE)</f>
        <v>0</v>
      </c>
      <c r="L24" s="15" cm="1">
        <f t="array" ref="L24">+HLOOKUP($A$1,+[33]İcmal!$B$19:$AG$49,ROW(C22)+1,FALSE)</f>
        <v>0</v>
      </c>
      <c r="M24" s="15" cm="1">
        <f t="array" ref="M24">+HLOOKUP($A$1,+[34]İcmal!$B$19:$AG$49,ROW(D22)+1,FALSE)</f>
        <v>0</v>
      </c>
      <c r="N24" s="15" cm="1">
        <f t="array" ref="N24">+HLOOKUP($A$1,+[35]İcmal!$B$19:$AG$49,ROW(A22)+1,FALSE)</f>
        <v>0</v>
      </c>
      <c r="O24" s="15" cm="1">
        <f t="array" ref="O24">+HLOOKUP($A$1,+[36]İcmal!$B$19:$AG$49,ROW(B22)+1,FALSE)</f>
        <v>0</v>
      </c>
      <c r="P24" s="15" cm="1">
        <f t="array" ref="P24">+HLOOKUP($A$1,+[37]İcmal!$B$19:$AG$49,ROW(C22)+1,FALSE)</f>
        <v>0</v>
      </c>
      <c r="Q24" s="15" cm="1">
        <f t="array" ref="Q24">+HLOOKUP($A$1,+[38]İcmal!$B$19:$AG$49,ROW(D22)+1,FALSE)</f>
        <v>0</v>
      </c>
      <c r="R24" s="15" cm="1">
        <f t="array" ref="R24">+HLOOKUP($A$1,+[39]İcmal!$B$19:$AG$49,ROW(A22)+1,FALSE)</f>
        <v>0</v>
      </c>
      <c r="S24" s="15" cm="1">
        <f t="array" ref="S24">+HLOOKUP($A$1,+[40]İcmal!$B$19:$AG$49,ROW(B22)+1,FALSE)</f>
        <v>0</v>
      </c>
      <c r="T24" s="15" cm="1">
        <f t="array" ref="T24">+HLOOKUP($A$1,+[41]İcmal!$B$19:$AG$49,ROW(C22)+1,FALSE)</f>
        <v>0</v>
      </c>
      <c r="U24" s="15" cm="1">
        <f t="array" ref="U24">+HLOOKUP($A$1,+[42]İcmal!$B$19:$AG$49,ROW(D22)+1,FALSE)</f>
        <v>0</v>
      </c>
      <c r="V24" s="15" cm="1">
        <f t="array" ref="V24">+HLOOKUP($A$1,+[43]İcmal!$B$19:$AG$49,ROW(A22)+1,FALSE)</f>
        <v>0</v>
      </c>
      <c r="W24" s="15" cm="1">
        <f t="array" ref="W24">+HLOOKUP($A$1,+[44]İcmal!$B$19:$AG$49,ROW(B22)+1,FALSE)</f>
        <v>0</v>
      </c>
      <c r="X24" s="15" cm="1">
        <f t="array" ref="X24">+HLOOKUP($A$1,+[45]İcmal!$B$19:$AG$49,ROW(C22)+1,FALSE)</f>
        <v>0</v>
      </c>
      <c r="Y24" s="15" cm="1">
        <f t="array" ref="Y24">+HLOOKUP($A$1,+[46]İcmal!$B$19:$AG$49,ROW(D22)+1,FALSE)</f>
        <v>0</v>
      </c>
      <c r="Z24" s="15" cm="1">
        <f t="array" ref="Z24">+HLOOKUP($A$1,+[47]İcmal!$B$19:$AG$49,ROW(A22)+1,FALSE)</f>
        <v>0</v>
      </c>
      <c r="AA24" s="15" cm="1">
        <f t="array" ref="AA24">+HLOOKUP($A$1,+[48]İcmal!$B$19:$AG$49,ROW(B22)+1,FALSE)</f>
        <v>0</v>
      </c>
      <c r="AB24" s="15" cm="1">
        <f t="array" ref="AB24">+HLOOKUP($A$1,+[49]İcmal!$B$19:$AG$49,ROW(A22)+1,FALSE)</f>
        <v>0</v>
      </c>
      <c r="AC24" s="15" cm="1">
        <f t="array" ref="AC24">+HLOOKUP($A$1,+[50]İcmal!$B$19:$AG$49,ROW(A22)+1,FALSE)</f>
        <v>0</v>
      </c>
      <c r="AD24" s="15" cm="1">
        <f t="array" ref="AD24">+HLOOKUP($A$1,+[51]İcmal!$B$19:$AG$49,ROW(A22)+1,FALSE)</f>
        <v>0</v>
      </c>
      <c r="AE24" s="15" cm="1">
        <f t="array" ref="AE24">+HLOOKUP($A$1,+[52]İcmal!$B$19:$AG$49,ROW(A22)+1,FALSE)</f>
        <v>0</v>
      </c>
      <c r="AF24" s="50" cm="1">
        <f t="array" ref="AF24">+HLOOKUP($A$1,+[53]İcmal!$B$19:$AG$49,ROW(A22)+1,FALSE)</f>
        <v>0</v>
      </c>
      <c r="AG24" s="15" cm="1">
        <f t="array" ref="AG24">+HLOOKUP($A$1,+[54]İcmal!$B$19:$AG$49,ROW(A22)+1,FALSE)</f>
        <v>0</v>
      </c>
      <c r="AH24" s="15" cm="1">
        <f t="array" ref="AH24">+HLOOKUP($A$1,+[55]İcmal!$B$19:$AG$49,ROW(A22)+1,FALSE)</f>
        <v>0</v>
      </c>
      <c r="AI24" s="15" cm="1">
        <f t="array" ref="AI24">+HLOOKUP($A$1,+[56]İcmal!$B$19:$AG$49,ROW(A22)+1,FALSE)</f>
        <v>0</v>
      </c>
      <c r="AJ24" s="15" cm="1">
        <f t="array" ref="AJ24">+HLOOKUP($A$1,+[57]İcmal!$B$19:$AG$49,ROW(A22)+1,FALSE)</f>
        <v>0</v>
      </c>
      <c r="AK24" s="15" cm="1">
        <f t="array" ref="AK24">+HLOOKUP($A$1,+[58]İcmal!$B$19:$AG$49,ROW(B22)+1,FALSE)</f>
        <v>0</v>
      </c>
      <c r="AL24" s="15"/>
      <c r="AM24" s="15"/>
      <c r="AN24" s="15"/>
      <c r="AO24" s="13"/>
    </row>
    <row r="25" spans="1:41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+HLOOKUP($A$1,+[31]İcmal!$B$19:$AG$49,ROW(A23)+1,FALSE)</f>
        <v>0</v>
      </c>
      <c r="K25" s="15" cm="1">
        <f t="array" ref="K25">+HLOOKUP($A$1,+[32]İcmal!$B$19:$AG$49,ROW(B23)+1,FALSE)</f>
        <v>0</v>
      </c>
      <c r="L25" s="15" cm="1">
        <f t="array" ref="L25">+HLOOKUP($A$1,+[33]İcmal!$B$19:$AG$49,ROW(C23)+1,FALSE)</f>
        <v>0</v>
      </c>
      <c r="M25" s="15" cm="1">
        <f t="array" ref="M25">+HLOOKUP($A$1,+[34]İcmal!$B$19:$AG$49,ROW(D23)+1,FALSE)</f>
        <v>0</v>
      </c>
      <c r="N25" s="15" cm="1">
        <f t="array" ref="N25">+HLOOKUP($A$1,+[35]İcmal!$B$19:$AG$49,ROW(A23)+1,FALSE)</f>
        <v>0</v>
      </c>
      <c r="O25" s="15" cm="1">
        <f t="array" ref="O25">+HLOOKUP($A$1,+[36]İcmal!$B$19:$AG$49,ROW(B23)+1,FALSE)</f>
        <v>0</v>
      </c>
      <c r="P25" s="15" cm="1">
        <f t="array" ref="P25">+HLOOKUP($A$1,+[37]İcmal!$B$19:$AG$49,ROW(C23)+1,FALSE)</f>
        <v>0</v>
      </c>
      <c r="Q25" s="15" cm="1">
        <f t="array" ref="Q25">+HLOOKUP($A$1,+[38]İcmal!$B$19:$AG$49,ROW(D23)+1,FALSE)</f>
        <v>0</v>
      </c>
      <c r="R25" s="15" cm="1">
        <f t="array" ref="R25">+HLOOKUP($A$1,+[39]İcmal!$B$19:$AG$49,ROW(A23)+1,FALSE)</f>
        <v>0</v>
      </c>
      <c r="S25" s="15" cm="1">
        <f t="array" ref="S25">+HLOOKUP($A$1,+[40]İcmal!$B$19:$AG$49,ROW(B23)+1,FALSE)</f>
        <v>0</v>
      </c>
      <c r="T25" s="15" cm="1">
        <f t="array" ref="T25">+HLOOKUP($A$1,+[41]İcmal!$B$19:$AG$49,ROW(C23)+1,FALSE)</f>
        <v>0</v>
      </c>
      <c r="U25" s="15" cm="1">
        <f t="array" ref="U25">+HLOOKUP($A$1,+[42]İcmal!$B$19:$AG$49,ROW(D23)+1,FALSE)</f>
        <v>0</v>
      </c>
      <c r="V25" s="15" cm="1">
        <f t="array" ref="V25">+HLOOKUP($A$1,+[43]İcmal!$B$19:$AG$49,ROW(A23)+1,FALSE)</f>
        <v>0</v>
      </c>
      <c r="W25" s="15" cm="1">
        <f t="array" ref="W25">+HLOOKUP($A$1,+[44]İcmal!$B$19:$AG$49,ROW(B23)+1,FALSE)</f>
        <v>0</v>
      </c>
      <c r="X25" s="15" cm="1">
        <f t="array" ref="X25">+HLOOKUP($A$1,+[45]İcmal!$B$19:$AG$49,ROW(C23)+1,FALSE)</f>
        <v>0</v>
      </c>
      <c r="Y25" s="15" cm="1">
        <f t="array" ref="Y25">+HLOOKUP($A$1,+[46]İcmal!$B$19:$AG$49,ROW(D23)+1,FALSE)</f>
        <v>0</v>
      </c>
      <c r="Z25" s="15" cm="1">
        <f t="array" ref="Z25">+HLOOKUP($A$1,+[47]İcmal!$B$19:$AG$49,ROW(A23)+1,FALSE)</f>
        <v>0</v>
      </c>
      <c r="AA25" s="15" cm="1">
        <f t="array" ref="AA25">+HLOOKUP($A$1,+[48]İcmal!$B$19:$AG$49,ROW(B23)+1,FALSE)</f>
        <v>0</v>
      </c>
      <c r="AB25" s="15" cm="1">
        <f t="array" ref="AB25">+HLOOKUP($A$1,+[49]İcmal!$B$19:$AG$49,ROW(A23)+1,FALSE)</f>
        <v>0</v>
      </c>
      <c r="AC25" s="15" cm="1">
        <f t="array" ref="AC25">+HLOOKUP($A$1,+[50]İcmal!$B$19:$AG$49,ROW(A23)+1,FALSE)</f>
        <v>0</v>
      </c>
      <c r="AD25" s="15" cm="1">
        <f t="array" ref="AD25">+HLOOKUP($A$1,+[51]İcmal!$B$19:$AG$49,ROW(A23)+1,FALSE)</f>
        <v>0</v>
      </c>
      <c r="AE25" s="15" cm="1">
        <f t="array" ref="AE25">+HLOOKUP($A$1,+[52]İcmal!$B$19:$AG$49,ROW(A23)+1,FALSE)</f>
        <v>0</v>
      </c>
      <c r="AF25" s="50" cm="1">
        <f t="array" ref="AF25">+HLOOKUP($A$1,+[53]İcmal!$B$19:$AG$49,ROW(A23)+1,FALSE)</f>
        <v>0</v>
      </c>
      <c r="AG25" s="15" cm="1">
        <f t="array" ref="AG25">+HLOOKUP($A$1,+[54]İcmal!$B$19:$AG$49,ROW(A23)+1,FALSE)</f>
        <v>0</v>
      </c>
      <c r="AH25" s="15" cm="1">
        <f t="array" ref="AH25">+HLOOKUP($A$1,+[55]İcmal!$B$19:$AG$49,ROW(A23)+1,FALSE)</f>
        <v>0</v>
      </c>
      <c r="AI25" s="15" cm="1">
        <f t="array" ref="AI25">+HLOOKUP($A$1,+[56]İcmal!$B$19:$AG$49,ROW(A23)+1,FALSE)</f>
        <v>0</v>
      </c>
      <c r="AJ25" s="15" cm="1">
        <f t="array" ref="AJ25">+HLOOKUP($A$1,+[57]İcmal!$B$19:$AG$49,ROW(A23)+1,FALSE)</f>
        <v>0</v>
      </c>
      <c r="AK25" s="15" cm="1">
        <f t="array" ref="AK25">+HLOOKUP($A$1,+[58]İcmal!$B$19:$AG$49,ROW(B23)+1,FALSE)</f>
        <v>0</v>
      </c>
      <c r="AL25" s="15"/>
      <c r="AM25" s="15"/>
      <c r="AN25" s="15"/>
      <c r="AO25" s="13"/>
    </row>
    <row r="26" spans="1:41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+HLOOKUP($A$1,+[31]İcmal!$B$19:$AG$49,ROW(A24)+1,FALSE)</f>
        <v>0</v>
      </c>
      <c r="K26" s="15" cm="1">
        <f t="array" ref="K26">+HLOOKUP($A$1,+[32]İcmal!$B$19:$AG$49,ROW(B24)+1,FALSE)</f>
        <v>0</v>
      </c>
      <c r="L26" s="15" cm="1">
        <f t="array" ref="L26">+HLOOKUP($A$1,+[33]İcmal!$B$19:$AG$49,ROW(C24)+1,FALSE)</f>
        <v>0</v>
      </c>
      <c r="M26" s="15" cm="1">
        <f t="array" ref="M26">+HLOOKUP($A$1,+[34]İcmal!$B$19:$AG$49,ROW(D24)+1,FALSE)</f>
        <v>0</v>
      </c>
      <c r="N26" s="15" cm="1">
        <f t="array" ref="N26">+HLOOKUP($A$1,+[35]İcmal!$B$19:$AG$49,ROW(A24)+1,FALSE)</f>
        <v>0</v>
      </c>
      <c r="O26" s="15" cm="1">
        <f t="array" ref="O26">+HLOOKUP($A$1,+[36]İcmal!$B$19:$AG$49,ROW(B24)+1,FALSE)</f>
        <v>0</v>
      </c>
      <c r="P26" s="15" cm="1">
        <f t="array" ref="P26">+HLOOKUP($A$1,+[37]İcmal!$B$19:$AG$49,ROW(C24)+1,FALSE)</f>
        <v>0</v>
      </c>
      <c r="Q26" s="15" cm="1">
        <f t="array" ref="Q26">+HLOOKUP($A$1,+[38]İcmal!$B$19:$AG$49,ROW(D24)+1,FALSE)</f>
        <v>0</v>
      </c>
      <c r="R26" s="15" cm="1">
        <f t="array" ref="R26">+HLOOKUP($A$1,+[39]İcmal!$B$19:$AG$49,ROW(A24)+1,FALSE)</f>
        <v>0</v>
      </c>
      <c r="S26" s="15" cm="1">
        <f t="array" ref="S26">+HLOOKUP($A$1,+[40]İcmal!$B$19:$AG$49,ROW(B24)+1,FALSE)</f>
        <v>0</v>
      </c>
      <c r="T26" s="15" cm="1">
        <f t="array" ref="T26">+HLOOKUP($A$1,+[41]İcmal!$B$19:$AG$49,ROW(C24)+1,FALSE)</f>
        <v>0</v>
      </c>
      <c r="U26" s="15" cm="1">
        <f t="array" ref="U26">+HLOOKUP($A$1,+[42]İcmal!$B$19:$AG$49,ROW(D24)+1,FALSE)</f>
        <v>0</v>
      </c>
      <c r="V26" s="15" cm="1">
        <f t="array" ref="V26">+HLOOKUP($A$1,+[43]İcmal!$B$19:$AG$49,ROW(A24)+1,FALSE)</f>
        <v>0</v>
      </c>
      <c r="W26" s="15" cm="1">
        <f t="array" ref="W26">+HLOOKUP($A$1,+[44]İcmal!$B$19:$AG$49,ROW(B24)+1,FALSE)</f>
        <v>0</v>
      </c>
      <c r="X26" s="15" cm="1">
        <f t="array" ref="X26">+HLOOKUP($A$1,+[45]İcmal!$B$19:$AG$49,ROW(C24)+1,FALSE)</f>
        <v>0</v>
      </c>
      <c r="Y26" s="15" cm="1">
        <f t="array" ref="Y26">+HLOOKUP($A$1,+[46]İcmal!$B$19:$AG$49,ROW(D24)+1,FALSE)</f>
        <v>0</v>
      </c>
      <c r="Z26" s="15" cm="1">
        <f t="array" ref="Z26">+HLOOKUP($A$1,+[47]İcmal!$B$19:$AG$49,ROW(A24)+1,FALSE)</f>
        <v>0</v>
      </c>
      <c r="AA26" s="15" cm="1">
        <f t="array" ref="AA26">+HLOOKUP($A$1,+[48]İcmal!$B$19:$AG$49,ROW(B24)+1,FALSE)</f>
        <v>0</v>
      </c>
      <c r="AB26" s="15" cm="1">
        <f t="array" ref="AB26">+HLOOKUP($A$1,+[49]İcmal!$B$19:$AG$49,ROW(A24)+1,FALSE)</f>
        <v>0</v>
      </c>
      <c r="AC26" s="15" cm="1">
        <f t="array" ref="AC26">+HLOOKUP($A$1,+[50]İcmal!$B$19:$AG$49,ROW(A24)+1,FALSE)</f>
        <v>0</v>
      </c>
      <c r="AD26" s="15" cm="1">
        <f t="array" ref="AD26">+HLOOKUP($A$1,+[51]İcmal!$B$19:$AG$49,ROW(A24)+1,FALSE)</f>
        <v>0</v>
      </c>
      <c r="AE26" s="15" cm="1">
        <f t="array" ref="AE26">+HLOOKUP($A$1,+[52]İcmal!$B$19:$AG$49,ROW(A24)+1,FALSE)</f>
        <v>0</v>
      </c>
      <c r="AF26" s="50" cm="1">
        <f t="array" ref="AF26">+HLOOKUP($A$1,+[53]İcmal!$B$19:$AG$49,ROW(A24)+1,FALSE)</f>
        <v>0</v>
      </c>
      <c r="AG26" s="15" cm="1">
        <f t="array" ref="AG26">+HLOOKUP($A$1,+[54]İcmal!$B$19:$AG$49,ROW(A24)+1,FALSE)</f>
        <v>0</v>
      </c>
      <c r="AH26" s="15" cm="1">
        <f t="array" ref="AH26">+HLOOKUP($A$1,+[55]İcmal!$B$19:$AG$49,ROW(A24)+1,FALSE)</f>
        <v>0</v>
      </c>
      <c r="AI26" s="15" cm="1">
        <f t="array" ref="AI26">+HLOOKUP($A$1,+[56]İcmal!$B$19:$AG$49,ROW(A24)+1,FALSE)</f>
        <v>0</v>
      </c>
      <c r="AJ26" s="15" cm="1">
        <f t="array" ref="AJ26">+HLOOKUP($A$1,+[57]İcmal!$B$19:$AG$49,ROW(A24)+1,FALSE)</f>
        <v>0</v>
      </c>
      <c r="AK26" s="15" cm="1">
        <f t="array" ref="AK26">+HLOOKUP($A$1,+[58]İcmal!$B$19:$AG$49,ROW(B24)+1,FALSE)</f>
        <v>0</v>
      </c>
      <c r="AL26" s="15"/>
      <c r="AM26" s="15"/>
      <c r="AN26" s="15"/>
      <c r="AO26" s="13"/>
    </row>
    <row r="27" spans="1:41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+HLOOKUP($A$1,+[31]İcmal!$B$19:$AG$49,ROW(A25)+1,FALSE)</f>
        <v>0</v>
      </c>
      <c r="K27" s="15" cm="1">
        <f t="array" ref="K27">+HLOOKUP($A$1,+[32]İcmal!$B$19:$AG$49,ROW(B25)+1,FALSE)</f>
        <v>0</v>
      </c>
      <c r="L27" s="15" cm="1">
        <f t="array" ref="L27">+HLOOKUP($A$1,+[33]İcmal!$B$19:$AG$49,ROW(C25)+1,FALSE)</f>
        <v>0</v>
      </c>
      <c r="M27" s="15" cm="1">
        <f t="array" ref="M27">+HLOOKUP($A$1,+[34]İcmal!$B$19:$AG$49,ROW(D25)+1,FALSE)</f>
        <v>0</v>
      </c>
      <c r="N27" s="15" cm="1">
        <f t="array" ref="N27">+HLOOKUP($A$1,+[35]İcmal!$B$19:$AG$49,ROW(A25)+1,FALSE)</f>
        <v>0</v>
      </c>
      <c r="O27" s="15" cm="1">
        <f t="array" ref="O27">+HLOOKUP($A$1,+[36]İcmal!$B$19:$AG$49,ROW(B25)+1,FALSE)</f>
        <v>0</v>
      </c>
      <c r="P27" s="15" cm="1">
        <f t="array" ref="P27">+HLOOKUP($A$1,+[37]İcmal!$B$19:$AG$49,ROW(C25)+1,FALSE)</f>
        <v>0</v>
      </c>
      <c r="Q27" s="15" cm="1">
        <f t="array" ref="Q27">+HLOOKUP($A$1,+[38]İcmal!$B$19:$AG$49,ROW(D25)+1,FALSE)</f>
        <v>0</v>
      </c>
      <c r="R27" s="15" cm="1">
        <f t="array" ref="R27">+HLOOKUP($A$1,+[39]İcmal!$B$19:$AG$49,ROW(A25)+1,FALSE)</f>
        <v>0</v>
      </c>
      <c r="S27" s="15" cm="1">
        <f t="array" ref="S27">+HLOOKUP($A$1,+[40]İcmal!$B$19:$AG$49,ROW(B25)+1,FALSE)</f>
        <v>0</v>
      </c>
      <c r="T27" s="15" cm="1">
        <f t="array" ref="T27">+HLOOKUP($A$1,+[41]İcmal!$B$19:$AG$49,ROW(C25)+1,FALSE)</f>
        <v>0</v>
      </c>
      <c r="U27" s="15" cm="1">
        <f t="array" ref="U27">+HLOOKUP($A$1,+[42]İcmal!$B$19:$AG$49,ROW(D25)+1,FALSE)</f>
        <v>0</v>
      </c>
      <c r="V27" s="15" cm="1">
        <f t="array" ref="V27">+HLOOKUP($A$1,+[43]İcmal!$B$19:$AG$49,ROW(A25)+1,FALSE)</f>
        <v>0</v>
      </c>
      <c r="W27" s="15" cm="1">
        <f t="array" ref="W27">+HLOOKUP($A$1,+[44]İcmal!$B$19:$AG$49,ROW(B25)+1,FALSE)</f>
        <v>0</v>
      </c>
      <c r="X27" s="15" cm="1">
        <f t="array" ref="X27">+HLOOKUP($A$1,+[45]İcmal!$B$19:$AG$49,ROW(C25)+1,FALSE)</f>
        <v>0</v>
      </c>
      <c r="Y27" s="15" cm="1">
        <f t="array" ref="Y27">+HLOOKUP($A$1,+[46]İcmal!$B$19:$AG$49,ROW(D25)+1,FALSE)</f>
        <v>0</v>
      </c>
      <c r="Z27" s="15" cm="1">
        <f t="array" ref="Z27">+HLOOKUP($A$1,+[47]İcmal!$B$19:$AG$49,ROW(A25)+1,FALSE)</f>
        <v>0</v>
      </c>
      <c r="AA27" s="15" cm="1">
        <f t="array" ref="AA27">+HLOOKUP($A$1,+[48]İcmal!$B$19:$AG$49,ROW(B25)+1,FALSE)</f>
        <v>0</v>
      </c>
      <c r="AB27" s="15" cm="1">
        <f t="array" ref="AB27">+HLOOKUP($A$1,+[49]İcmal!$B$19:$AG$49,ROW(A25)+1,FALSE)</f>
        <v>0</v>
      </c>
      <c r="AC27" s="15" cm="1">
        <f t="array" ref="AC27">+HLOOKUP($A$1,+[50]İcmal!$B$19:$AG$49,ROW(A25)+1,FALSE)</f>
        <v>0</v>
      </c>
      <c r="AD27" s="15" cm="1">
        <f t="array" ref="AD27">+HLOOKUP($A$1,+[51]İcmal!$B$19:$AG$49,ROW(A25)+1,FALSE)</f>
        <v>0</v>
      </c>
      <c r="AE27" s="15" cm="1">
        <f t="array" ref="AE27">+HLOOKUP($A$1,+[52]İcmal!$B$19:$AG$49,ROW(A25)+1,FALSE)</f>
        <v>0</v>
      </c>
      <c r="AF27" s="50" cm="1">
        <f t="array" ref="AF27">+HLOOKUP($A$1,+[53]İcmal!$B$19:$AG$49,ROW(A25)+1,FALSE)</f>
        <v>0</v>
      </c>
      <c r="AG27" s="15" cm="1">
        <f t="array" ref="AG27">+HLOOKUP($A$1,+[54]İcmal!$B$19:$AG$49,ROW(A25)+1,FALSE)</f>
        <v>0</v>
      </c>
      <c r="AH27" s="15" cm="1">
        <f t="array" ref="AH27">+HLOOKUP($A$1,+[55]İcmal!$B$19:$AG$49,ROW(A25)+1,FALSE)</f>
        <v>0</v>
      </c>
      <c r="AI27" s="15" cm="1">
        <f t="array" ref="AI27">+HLOOKUP($A$1,+[56]İcmal!$B$19:$AG$49,ROW(A25)+1,FALSE)</f>
        <v>0</v>
      </c>
      <c r="AJ27" s="15" cm="1">
        <f t="array" ref="AJ27">+HLOOKUP($A$1,+[57]İcmal!$B$19:$AG$49,ROW(A25)+1,FALSE)</f>
        <v>0</v>
      </c>
      <c r="AK27" s="15" cm="1">
        <f t="array" ref="AK27">+HLOOKUP($A$1,+[58]İcmal!$B$19:$AG$49,ROW(B25)+1,FALSE)</f>
        <v>0</v>
      </c>
      <c r="AL27" s="15"/>
      <c r="AM27" s="15"/>
      <c r="AN27" s="15"/>
      <c r="AO27" s="13"/>
    </row>
    <row r="28" spans="1:41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9.0109999999999992</v>
      </c>
      <c r="I28" s="9">
        <f t="shared" si="2"/>
        <v>416758.74999999994</v>
      </c>
      <c r="J28" s="15" cm="1">
        <f t="array" ref="J28">+HLOOKUP($A$1,+[31]İcmal!$B$19:$AG$49,ROW(A26)+1,FALSE)</f>
        <v>4.8000000000000001E-2</v>
      </c>
      <c r="K28" s="15" cm="1">
        <f t="array" ref="K28">+HLOOKUP($A$1,+[32]İcmal!$B$19:$AG$49,ROW(B26)+1,FALSE)</f>
        <v>0.45899999999999996</v>
      </c>
      <c r="L28" s="15" cm="1">
        <f t="array" ref="L28">+HLOOKUP($A$1,+[33]İcmal!$B$19:$AG$49,ROW(C26)+1,FALSE)</f>
        <v>0</v>
      </c>
      <c r="M28" s="15" cm="1">
        <f t="array" ref="M28">+HLOOKUP($A$1,+[34]İcmal!$B$19:$AG$49,ROW(D26)+1,FALSE)</f>
        <v>0</v>
      </c>
      <c r="N28" s="15" cm="1">
        <f t="array" ref="N28">+HLOOKUP($A$1,+[35]İcmal!$B$19:$AG$49,ROW(A26)+1,FALSE)</f>
        <v>2.7009999999999996</v>
      </c>
      <c r="O28" s="15" cm="1">
        <f t="array" ref="O28">+HLOOKUP($A$1,+[36]İcmal!$B$19:$AG$49,ROW(B26)+1,FALSE)</f>
        <v>1.0609999999999999</v>
      </c>
      <c r="P28" s="15" cm="1">
        <f t="array" ref="P28">+HLOOKUP($A$1,+[37]İcmal!$B$19:$AG$49,ROW(C26)+1,FALSE)</f>
        <v>0</v>
      </c>
      <c r="Q28" s="15" cm="1">
        <f t="array" ref="Q28">+HLOOKUP($A$1,+[38]İcmal!$B$19:$AG$49,ROW(D26)+1,FALSE)</f>
        <v>0</v>
      </c>
      <c r="R28" s="15" cm="1">
        <f t="array" ref="R28">+HLOOKUP($A$1,+[39]İcmal!$B$19:$AG$49,ROW(A26)+1,FALSE)</f>
        <v>2.7079999999999997</v>
      </c>
      <c r="S28" s="15" cm="1">
        <f t="array" ref="S28">+HLOOKUP($A$1,+[40]İcmal!$B$19:$AG$49,ROW(B26)+1,FALSE)</f>
        <v>0.55000000000000004</v>
      </c>
      <c r="T28" s="15" cm="1">
        <f t="array" ref="T28">+HLOOKUP($A$1,+[41]İcmal!$B$19:$AG$49,ROW(C26)+1,FALSE)</f>
        <v>0</v>
      </c>
      <c r="U28" s="15" cm="1">
        <f t="array" ref="U28">+HLOOKUP($A$1,+[42]İcmal!$B$19:$AG$49,ROW(D26)+1,FALSE)</f>
        <v>0</v>
      </c>
      <c r="V28" s="15" cm="1">
        <f t="array" ref="V28">+HLOOKUP($A$1,+[43]İcmal!$B$19:$AG$49,ROW(A26)+1,FALSE)</f>
        <v>0</v>
      </c>
      <c r="W28" s="15" cm="1">
        <f t="array" ref="W28">+HLOOKUP($A$1,+[44]İcmal!$B$19:$AG$49,ROW(B26)+1,FALSE)</f>
        <v>1.4839999999999998</v>
      </c>
      <c r="X28" s="15" cm="1">
        <f t="array" ref="X28">+HLOOKUP($A$1,+[45]İcmal!$B$19:$AG$49,ROW(C26)+1,FALSE)</f>
        <v>0</v>
      </c>
      <c r="Y28" s="15" cm="1">
        <f t="array" ref="Y28">+HLOOKUP($A$1,+[46]İcmal!$B$19:$AG$49,ROW(D26)+1,FALSE)</f>
        <v>0</v>
      </c>
      <c r="Z28" s="15" cm="1">
        <f t="array" ref="Z28">+HLOOKUP($A$1,+[47]İcmal!$B$19:$AG$49,ROW(A26)+1,FALSE)</f>
        <v>0</v>
      </c>
      <c r="AA28" s="15" cm="1">
        <f t="array" ref="AA28">+HLOOKUP($A$1,+[48]İcmal!$B$19:$AG$49,ROW(B26)+1,FALSE)</f>
        <v>0</v>
      </c>
      <c r="AB28" s="15" cm="1">
        <f t="array" ref="AB28">+HLOOKUP($A$1,+[49]İcmal!$B$19:$AG$49,ROW(A26)+1,FALSE)</f>
        <v>0</v>
      </c>
      <c r="AC28" s="15" cm="1">
        <f t="array" ref="AC28">+HLOOKUP($A$1,+[50]İcmal!$B$19:$AG$49,ROW(A26)+1,FALSE)</f>
        <v>0</v>
      </c>
      <c r="AD28" s="15" cm="1">
        <f t="array" ref="AD28">+HLOOKUP($A$1,+[51]İcmal!$B$19:$AG$49,ROW(A26)+1,FALSE)</f>
        <v>0</v>
      </c>
      <c r="AE28" s="15" cm="1">
        <f t="array" ref="AE28">+HLOOKUP($A$1,+[52]İcmal!$B$19:$AG$49,ROW(A26)+1,FALSE)</f>
        <v>0</v>
      </c>
      <c r="AF28" s="50" cm="1">
        <f t="array" ref="AF28">+HLOOKUP($A$1,+[53]İcmal!$B$19:$AG$49,ROW(A26)+1,FALSE)</f>
        <v>0</v>
      </c>
      <c r="AG28" s="15" cm="1">
        <f t="array" ref="AG28">+HLOOKUP($A$1,+[54]İcmal!$B$19:$AG$49,ROW(A26)+1,FALSE)</f>
        <v>0</v>
      </c>
      <c r="AH28" s="15" cm="1">
        <f t="array" ref="AH28">+HLOOKUP($A$1,+[55]İcmal!$B$19:$AG$49,ROW(A26)+1,FALSE)</f>
        <v>0</v>
      </c>
      <c r="AI28" s="15" cm="1">
        <f t="array" ref="AI28">+HLOOKUP($A$1,+[56]İcmal!$B$19:$AG$49,ROW(A26)+1,FALSE)</f>
        <v>0</v>
      </c>
      <c r="AJ28" s="15" cm="1">
        <f t="array" ref="AJ28">+HLOOKUP($A$1,+[57]İcmal!$B$19:$AG$49,ROW(A26)+1,FALSE)</f>
        <v>0</v>
      </c>
      <c r="AK28" s="15" cm="1">
        <f t="array" ref="AK28">+HLOOKUP($A$1,+[58]İcmal!$B$19:$AG$49,ROW(B26)+1,FALSE)</f>
        <v>0</v>
      </c>
      <c r="AL28" s="15"/>
      <c r="AM28" s="15"/>
      <c r="AN28" s="15"/>
      <c r="AO28" s="13"/>
    </row>
    <row r="29" spans="1:41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+HLOOKUP($A$1,+[31]İcmal!$B$19:$AG$49,ROW(A27)+1,FALSE)</f>
        <v>0</v>
      </c>
      <c r="K29" s="15" cm="1">
        <f t="array" ref="K29">+HLOOKUP($A$1,+[32]İcmal!$B$19:$AG$49,ROW(B27)+1,FALSE)</f>
        <v>0</v>
      </c>
      <c r="L29" s="15" cm="1">
        <f t="array" ref="L29">+HLOOKUP($A$1,+[33]İcmal!$B$19:$AG$49,ROW(C27)+1,FALSE)</f>
        <v>0</v>
      </c>
      <c r="M29" s="15" cm="1">
        <f t="array" ref="M29">+HLOOKUP($A$1,+[34]İcmal!$B$19:$AG$49,ROW(D27)+1,FALSE)</f>
        <v>0</v>
      </c>
      <c r="N29" s="15" cm="1">
        <f t="array" ref="N29">+HLOOKUP($A$1,+[35]İcmal!$B$19:$AG$49,ROW(A27)+1,FALSE)</f>
        <v>0</v>
      </c>
      <c r="O29" s="15" cm="1">
        <f t="array" ref="O29">+HLOOKUP($A$1,+[36]İcmal!$B$19:$AG$49,ROW(B27)+1,FALSE)</f>
        <v>0</v>
      </c>
      <c r="P29" s="15" cm="1">
        <f t="array" ref="P29">+HLOOKUP($A$1,+[37]İcmal!$B$19:$AG$49,ROW(C27)+1,FALSE)</f>
        <v>0</v>
      </c>
      <c r="Q29" s="15" cm="1">
        <f t="array" ref="Q29">+HLOOKUP($A$1,+[38]İcmal!$B$19:$AG$49,ROW(D27)+1,FALSE)</f>
        <v>0</v>
      </c>
      <c r="R29" s="15" cm="1">
        <f t="array" ref="R29">+HLOOKUP($A$1,+[39]İcmal!$B$19:$AG$49,ROW(A27)+1,FALSE)</f>
        <v>0</v>
      </c>
      <c r="S29" s="15" cm="1">
        <f t="array" ref="S29">+HLOOKUP($A$1,+[40]İcmal!$B$19:$AG$49,ROW(B27)+1,FALSE)</f>
        <v>0</v>
      </c>
      <c r="T29" s="15" cm="1">
        <f t="array" ref="T29">+HLOOKUP($A$1,+[41]İcmal!$B$19:$AG$49,ROW(C27)+1,FALSE)</f>
        <v>0</v>
      </c>
      <c r="U29" s="15" cm="1">
        <f t="array" ref="U29">+HLOOKUP($A$1,+[42]İcmal!$B$19:$AG$49,ROW(D27)+1,FALSE)</f>
        <v>0</v>
      </c>
      <c r="V29" s="15" cm="1">
        <f t="array" ref="V29">+HLOOKUP($A$1,+[43]İcmal!$B$19:$AG$49,ROW(A27)+1,FALSE)</f>
        <v>0</v>
      </c>
      <c r="W29" s="15" cm="1">
        <f t="array" ref="W29">+HLOOKUP($A$1,+[44]İcmal!$B$19:$AG$49,ROW(B27)+1,FALSE)</f>
        <v>0</v>
      </c>
      <c r="X29" s="15" cm="1">
        <f t="array" ref="X29">+HLOOKUP($A$1,+[45]İcmal!$B$19:$AG$49,ROW(C27)+1,FALSE)</f>
        <v>0</v>
      </c>
      <c r="Y29" s="15" cm="1">
        <f t="array" ref="Y29">+HLOOKUP($A$1,+[46]İcmal!$B$19:$AG$49,ROW(D27)+1,FALSE)</f>
        <v>0</v>
      </c>
      <c r="Z29" s="15" cm="1">
        <f t="array" ref="Z29">+HLOOKUP($A$1,+[47]İcmal!$B$19:$AG$49,ROW(A27)+1,FALSE)</f>
        <v>0</v>
      </c>
      <c r="AA29" s="15" cm="1">
        <f t="array" ref="AA29">+HLOOKUP($A$1,+[48]İcmal!$B$19:$AG$49,ROW(B27)+1,FALSE)</f>
        <v>0</v>
      </c>
      <c r="AB29" s="15" cm="1">
        <f t="array" ref="AB29">+HLOOKUP($A$1,+[49]İcmal!$B$19:$AG$49,ROW(A27)+1,FALSE)</f>
        <v>0</v>
      </c>
      <c r="AC29" s="15" cm="1">
        <f t="array" ref="AC29">+HLOOKUP($A$1,+[50]İcmal!$B$19:$AG$49,ROW(A27)+1,FALSE)</f>
        <v>0</v>
      </c>
      <c r="AD29" s="15" cm="1">
        <f t="array" ref="AD29">+HLOOKUP($A$1,+[51]İcmal!$B$19:$AG$49,ROW(A27)+1,FALSE)</f>
        <v>0</v>
      </c>
      <c r="AE29" s="15" cm="1">
        <f t="array" ref="AE29">+HLOOKUP($A$1,+[52]İcmal!$B$19:$AG$49,ROW(A27)+1,FALSE)</f>
        <v>0</v>
      </c>
      <c r="AF29" s="50" cm="1">
        <f t="array" ref="AF29">+HLOOKUP($A$1,+[53]İcmal!$B$19:$AG$49,ROW(A27)+1,FALSE)</f>
        <v>0</v>
      </c>
      <c r="AG29" s="15" cm="1">
        <f t="array" ref="AG29">+HLOOKUP($A$1,+[54]İcmal!$B$19:$AG$49,ROW(A27)+1,FALSE)</f>
        <v>0</v>
      </c>
      <c r="AH29" s="15" cm="1">
        <f t="array" ref="AH29">+HLOOKUP($A$1,+[55]İcmal!$B$19:$AG$49,ROW(A27)+1,FALSE)</f>
        <v>0</v>
      </c>
      <c r="AI29" s="15" cm="1">
        <f t="array" ref="AI29">+HLOOKUP($A$1,+[56]İcmal!$B$19:$AG$49,ROW(A27)+1,FALSE)</f>
        <v>0</v>
      </c>
      <c r="AJ29" s="15" cm="1">
        <f t="array" ref="AJ29">+HLOOKUP($A$1,+[57]İcmal!$B$19:$AG$49,ROW(A27)+1,FALSE)</f>
        <v>0</v>
      </c>
      <c r="AK29" s="15" cm="1">
        <f t="array" ref="AK29">+HLOOKUP($A$1,+[58]İcmal!$B$19:$AG$49,ROW(B27)+1,FALSE)</f>
        <v>0</v>
      </c>
      <c r="AL29" s="15"/>
      <c r="AM29" s="15"/>
      <c r="AN29" s="15"/>
      <c r="AO29" s="13"/>
    </row>
    <row r="30" spans="1:41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49.077000000000005</v>
      </c>
      <c r="I30" s="9">
        <f t="shared" si="2"/>
        <v>4776811.6410000008</v>
      </c>
      <c r="J30" s="15" cm="1">
        <f t="array" ref="J30">+HLOOKUP($A$1,+[31]İcmal!$B$19:$AG$49,ROW(A28)+1,FALSE)</f>
        <v>0.96</v>
      </c>
      <c r="K30" s="15" cm="1">
        <f t="array" ref="K30">+HLOOKUP($A$1,+[32]İcmal!$B$19:$AG$49,ROW(B28)+1,FALSE)</f>
        <v>4.1360000000000001</v>
      </c>
      <c r="L30" s="15" cm="1">
        <f t="array" ref="L30">+HLOOKUP($A$1,+[33]İcmal!$B$19:$AG$49,ROW(C28)+1,FALSE)</f>
        <v>0</v>
      </c>
      <c r="M30" s="15" cm="1">
        <f t="array" ref="M30">+HLOOKUP($A$1,+[34]İcmal!$B$19:$AG$49,ROW(D28)+1,FALSE)</f>
        <v>0</v>
      </c>
      <c r="N30" s="15" cm="1">
        <f t="array" ref="N30">+HLOOKUP($A$1,+[35]İcmal!$B$19:$AG$49,ROW(A28)+1,FALSE)</f>
        <v>12.071000000000002</v>
      </c>
      <c r="O30" s="15" cm="1">
        <f t="array" ref="O30">+HLOOKUP($A$1,+[36]İcmal!$B$19:$AG$49,ROW(B28)+1,FALSE)</f>
        <v>5.8709999999999996</v>
      </c>
      <c r="P30" s="15" cm="1">
        <f t="array" ref="P30">+HLOOKUP($A$1,+[37]İcmal!$B$19:$AG$49,ROW(C28)+1,FALSE)</f>
        <v>0</v>
      </c>
      <c r="Q30" s="15" cm="1">
        <f t="array" ref="Q30">+HLOOKUP($A$1,+[38]İcmal!$B$19:$AG$49,ROW(D28)+1,FALSE)</f>
        <v>0</v>
      </c>
      <c r="R30" s="15" cm="1">
        <f t="array" ref="R30">+HLOOKUP($A$1,+[39]İcmal!$B$19:$AG$49,ROW(A28)+1,FALSE)</f>
        <v>12.228000000000003</v>
      </c>
      <c r="S30" s="15" cm="1">
        <f t="array" ref="S30">+HLOOKUP($A$1,+[40]İcmal!$B$19:$AG$49,ROW(B28)+1,FALSE)</f>
        <v>2.5429999999999997</v>
      </c>
      <c r="T30" s="15" cm="1">
        <f t="array" ref="T30">+HLOOKUP($A$1,+[41]İcmal!$B$19:$AG$49,ROW(C28)+1,FALSE)</f>
        <v>0</v>
      </c>
      <c r="U30" s="15" cm="1">
        <f t="array" ref="U30">+HLOOKUP($A$1,+[42]İcmal!$B$19:$AG$49,ROW(D28)+1,FALSE)</f>
        <v>0</v>
      </c>
      <c r="V30" s="15" cm="1">
        <f t="array" ref="V30">+HLOOKUP($A$1,+[43]İcmal!$B$19:$AG$49,ROW(A28)+1,FALSE)</f>
        <v>0</v>
      </c>
      <c r="W30" s="15" cm="1">
        <f t="array" ref="W30">+HLOOKUP($A$1,+[44]İcmal!$B$19:$AG$49,ROW(B28)+1,FALSE)</f>
        <v>11.268000000000001</v>
      </c>
      <c r="X30" s="15" cm="1">
        <f t="array" ref="X30">+HLOOKUP($A$1,+[45]İcmal!$B$19:$AG$49,ROW(C28)+1,FALSE)</f>
        <v>0</v>
      </c>
      <c r="Y30" s="15" cm="1">
        <f t="array" ref="Y30">+HLOOKUP($A$1,+[46]İcmal!$B$19:$AG$49,ROW(D28)+1,FALSE)</f>
        <v>0</v>
      </c>
      <c r="Z30" s="15" cm="1">
        <f t="array" ref="Z30">+HLOOKUP($A$1,+[47]İcmal!$B$19:$AG$49,ROW(A28)+1,FALSE)</f>
        <v>0</v>
      </c>
      <c r="AA30" s="15" cm="1">
        <f t="array" ref="AA30">+HLOOKUP($A$1,+[48]İcmal!$B$19:$AG$49,ROW(B28)+1,FALSE)</f>
        <v>0</v>
      </c>
      <c r="AB30" s="15" cm="1">
        <f t="array" ref="AB30">+HLOOKUP($A$1,+[49]İcmal!$B$19:$AG$49,ROW(A28)+1,FALSE)</f>
        <v>0</v>
      </c>
      <c r="AC30" s="15" cm="1">
        <f t="array" ref="AC30">+HLOOKUP($A$1,+[50]İcmal!$B$19:$AG$49,ROW(A28)+1,FALSE)</f>
        <v>0</v>
      </c>
      <c r="AD30" s="15" cm="1">
        <f t="array" ref="AD30">+HLOOKUP($A$1,+[51]İcmal!$B$19:$AG$49,ROW(A28)+1,FALSE)</f>
        <v>0</v>
      </c>
      <c r="AE30" s="15" cm="1">
        <f t="array" ref="AE30">+HLOOKUP($A$1,+[52]İcmal!$B$19:$AG$49,ROW(A28)+1,FALSE)</f>
        <v>0</v>
      </c>
      <c r="AF30" s="50" cm="1">
        <f t="array" ref="AF30">+HLOOKUP($A$1,+[53]İcmal!$B$19:$AG$49,ROW(A28)+1,FALSE)</f>
        <v>0</v>
      </c>
      <c r="AG30" s="15" cm="1">
        <f t="array" ref="AG30">+HLOOKUP($A$1,+[54]İcmal!$B$19:$AG$49,ROW(A28)+1,FALSE)</f>
        <v>0</v>
      </c>
      <c r="AH30" s="15" cm="1">
        <f t="array" ref="AH30">+HLOOKUP($A$1,+[55]İcmal!$B$19:$AG$49,ROW(A28)+1,FALSE)</f>
        <v>0</v>
      </c>
      <c r="AI30" s="15" cm="1">
        <f t="array" ref="AI30">+HLOOKUP($A$1,+[56]İcmal!$B$19:$AG$49,ROW(A28)+1,FALSE)</f>
        <v>0</v>
      </c>
      <c r="AJ30" s="15" cm="1">
        <f t="array" ref="AJ30">+HLOOKUP($A$1,+[57]İcmal!$B$19:$AG$49,ROW(A28)+1,FALSE)</f>
        <v>0</v>
      </c>
      <c r="AK30" s="15" cm="1">
        <f t="array" ref="AK30">+HLOOKUP($A$1,+[58]İcmal!$B$19:$AG$49,ROW(B28)+1,FALSE)</f>
        <v>0</v>
      </c>
      <c r="AL30" s="15"/>
      <c r="AM30" s="15"/>
      <c r="AN30" s="15"/>
      <c r="AO30" s="13"/>
    </row>
    <row r="31" spans="1:41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+HLOOKUP($A$1,+[31]İcmal!$B$19:$AG$49,ROW(A29)+1,FALSE)</f>
        <v>0</v>
      </c>
      <c r="K31" s="15" cm="1">
        <f t="array" ref="K31">+HLOOKUP($A$1,+[32]İcmal!$B$19:$AG$49,ROW(B29)+1,FALSE)</f>
        <v>0</v>
      </c>
      <c r="L31" s="15" cm="1">
        <f t="array" ref="L31">+HLOOKUP($A$1,+[33]İcmal!$B$19:$AG$49,ROW(C29)+1,FALSE)</f>
        <v>0</v>
      </c>
      <c r="M31" s="15" cm="1">
        <f t="array" ref="M31">+HLOOKUP($A$1,+[34]İcmal!$B$19:$AG$49,ROW(D29)+1,FALSE)</f>
        <v>0</v>
      </c>
      <c r="N31" s="15" cm="1">
        <f t="array" ref="N31">+HLOOKUP($A$1,+[35]İcmal!$B$19:$AG$49,ROW(A29)+1,FALSE)</f>
        <v>0</v>
      </c>
      <c r="O31" s="15" cm="1">
        <f t="array" ref="O31">+HLOOKUP($A$1,+[36]İcmal!$B$19:$AG$49,ROW(B29)+1,FALSE)</f>
        <v>0</v>
      </c>
      <c r="P31" s="15" cm="1">
        <f t="array" ref="P31">+HLOOKUP($A$1,+[37]İcmal!$B$19:$AG$49,ROW(C29)+1,FALSE)</f>
        <v>0</v>
      </c>
      <c r="Q31" s="15" cm="1">
        <f t="array" ref="Q31">+HLOOKUP($A$1,+[38]İcmal!$B$19:$AG$49,ROW(D29)+1,FALSE)</f>
        <v>0</v>
      </c>
      <c r="R31" s="15" cm="1">
        <f t="array" ref="R31">+HLOOKUP($A$1,+[39]İcmal!$B$19:$AG$49,ROW(A29)+1,FALSE)</f>
        <v>0</v>
      </c>
      <c r="S31" s="15" cm="1">
        <f t="array" ref="S31">+HLOOKUP($A$1,+[40]İcmal!$B$19:$AG$49,ROW(B29)+1,FALSE)</f>
        <v>0</v>
      </c>
      <c r="T31" s="15" cm="1">
        <f t="array" ref="T31">+HLOOKUP($A$1,+[41]İcmal!$B$19:$AG$49,ROW(C29)+1,FALSE)</f>
        <v>0</v>
      </c>
      <c r="U31" s="15" cm="1">
        <f t="array" ref="U31">+HLOOKUP($A$1,+[42]İcmal!$B$19:$AG$49,ROW(D29)+1,FALSE)</f>
        <v>0</v>
      </c>
      <c r="V31" s="15" cm="1">
        <f t="array" ref="V31">+HLOOKUP($A$1,+[43]İcmal!$B$19:$AG$49,ROW(A29)+1,FALSE)</f>
        <v>0</v>
      </c>
      <c r="W31" s="15" cm="1">
        <f t="array" ref="W31">+HLOOKUP($A$1,+[44]İcmal!$B$19:$AG$49,ROW(B29)+1,FALSE)</f>
        <v>0</v>
      </c>
      <c r="X31" s="15" cm="1">
        <f t="array" ref="X31">+HLOOKUP($A$1,+[45]İcmal!$B$19:$AG$49,ROW(C29)+1,FALSE)</f>
        <v>0</v>
      </c>
      <c r="Y31" s="15" cm="1">
        <f t="array" ref="Y31">+HLOOKUP($A$1,+[46]İcmal!$B$19:$AG$49,ROW(D29)+1,FALSE)</f>
        <v>0</v>
      </c>
      <c r="Z31" s="15" cm="1">
        <f t="array" ref="Z31">+HLOOKUP($A$1,+[47]İcmal!$B$19:$AG$49,ROW(A29)+1,FALSE)</f>
        <v>0</v>
      </c>
      <c r="AA31" s="15" cm="1">
        <f t="array" ref="AA31">+HLOOKUP($A$1,+[48]İcmal!$B$19:$AG$49,ROW(B29)+1,FALSE)</f>
        <v>0</v>
      </c>
      <c r="AB31" s="15" cm="1">
        <f t="array" ref="AB31">+HLOOKUP($A$1,+[49]İcmal!$B$19:$AG$49,ROW(A29)+1,FALSE)</f>
        <v>0</v>
      </c>
      <c r="AC31" s="15" cm="1">
        <f t="array" ref="AC31">+HLOOKUP($A$1,+[50]İcmal!$B$19:$AG$49,ROW(A29)+1,FALSE)</f>
        <v>0</v>
      </c>
      <c r="AD31" s="15" cm="1">
        <f t="array" ref="AD31">+HLOOKUP($A$1,+[51]İcmal!$B$19:$AG$49,ROW(A29)+1,FALSE)</f>
        <v>0</v>
      </c>
      <c r="AE31" s="15" cm="1">
        <f t="array" ref="AE31">+HLOOKUP($A$1,+[52]İcmal!$B$19:$AG$49,ROW(A29)+1,FALSE)</f>
        <v>0</v>
      </c>
      <c r="AF31" s="50" cm="1">
        <f t="array" ref="AF31">+HLOOKUP($A$1,+[53]İcmal!$B$19:$AG$49,ROW(A29)+1,FALSE)</f>
        <v>0</v>
      </c>
      <c r="AG31" s="15" cm="1">
        <f t="array" ref="AG31">+HLOOKUP($A$1,+[54]İcmal!$B$19:$AG$49,ROW(A29)+1,FALSE)</f>
        <v>0</v>
      </c>
      <c r="AH31" s="15" cm="1">
        <f t="array" ref="AH31">+HLOOKUP($A$1,+[55]İcmal!$B$19:$AG$49,ROW(A29)+1,FALSE)</f>
        <v>0</v>
      </c>
      <c r="AI31" s="15" cm="1">
        <f t="array" ref="AI31">+HLOOKUP($A$1,+[56]İcmal!$B$19:$AG$49,ROW(A29)+1,FALSE)</f>
        <v>0</v>
      </c>
      <c r="AJ31" s="15" cm="1">
        <f t="array" ref="AJ31">+HLOOKUP($A$1,+[57]İcmal!$B$19:$AG$49,ROW(A29)+1,FALSE)</f>
        <v>0</v>
      </c>
      <c r="AK31" s="15" cm="1">
        <f t="array" ref="AK31">+HLOOKUP($A$1,+[58]İcmal!$B$19:$AG$49,ROW(B29)+1,FALSE)</f>
        <v>0</v>
      </c>
      <c r="AL31" s="15"/>
      <c r="AM31" s="15"/>
      <c r="AN31" s="15"/>
      <c r="AO31" s="13"/>
    </row>
    <row r="32" spans="1:41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+HLOOKUP($A$1,+[31]İcmal!$B$19:$AG$49,ROW(A30)+1,FALSE)</f>
        <v>0</v>
      </c>
      <c r="K32" s="15" cm="1">
        <f t="array" ref="K32">+HLOOKUP($A$1,+[32]İcmal!$B$19:$AG$49,ROW(B30)+1,FALSE)</f>
        <v>0</v>
      </c>
      <c r="L32" s="15" cm="1">
        <f t="array" ref="L32">+HLOOKUP($A$1,+[33]İcmal!$B$19:$AG$49,ROW(C30)+1,FALSE)</f>
        <v>0</v>
      </c>
      <c r="M32" s="15" cm="1">
        <f t="array" ref="M32">+HLOOKUP($A$1,+[34]İcmal!$B$19:$AG$49,ROW(D30)+1,FALSE)</f>
        <v>0</v>
      </c>
      <c r="N32" s="15" cm="1">
        <f t="array" ref="N32">+HLOOKUP($A$1,+[35]İcmal!$B$19:$AG$49,ROW(A30)+1,FALSE)</f>
        <v>0</v>
      </c>
      <c r="O32" s="15" cm="1">
        <f t="array" ref="O32">+HLOOKUP($A$1,+[36]İcmal!$B$19:$AG$49,ROW(B30)+1,FALSE)</f>
        <v>0</v>
      </c>
      <c r="P32" s="15" cm="1">
        <f t="array" ref="P32">+HLOOKUP($A$1,+[37]İcmal!$B$19:$AG$49,ROW(C30)+1,FALSE)</f>
        <v>0</v>
      </c>
      <c r="Q32" s="15" cm="1">
        <f t="array" ref="Q32">+HLOOKUP($A$1,+[38]İcmal!$B$19:$AG$49,ROW(D30)+1,FALSE)</f>
        <v>0</v>
      </c>
      <c r="R32" s="15" cm="1">
        <f t="array" ref="R32">+HLOOKUP($A$1,+[39]İcmal!$B$19:$AG$49,ROW(A30)+1,FALSE)</f>
        <v>0</v>
      </c>
      <c r="S32" s="15" cm="1">
        <f t="array" ref="S32">+HLOOKUP($A$1,+[40]İcmal!$B$19:$AG$49,ROW(B30)+1,FALSE)</f>
        <v>0</v>
      </c>
      <c r="T32" s="15" cm="1">
        <f t="array" ref="T32">+HLOOKUP($A$1,+[41]İcmal!$B$19:$AG$49,ROW(C30)+1,FALSE)</f>
        <v>0</v>
      </c>
      <c r="U32" s="15" cm="1">
        <f t="array" ref="U32">+HLOOKUP($A$1,+[42]İcmal!$B$19:$AG$49,ROW(D30)+1,FALSE)</f>
        <v>0</v>
      </c>
      <c r="V32" s="15" cm="1">
        <f t="array" ref="V32">+HLOOKUP($A$1,+[43]İcmal!$B$19:$AG$49,ROW(A30)+1,FALSE)</f>
        <v>0</v>
      </c>
      <c r="W32" s="15" cm="1">
        <f t="array" ref="W32">+HLOOKUP($A$1,+[44]İcmal!$B$19:$AG$49,ROW(B30)+1,FALSE)</f>
        <v>0</v>
      </c>
      <c r="X32" s="15" cm="1">
        <f t="array" ref="X32">+HLOOKUP($A$1,+[45]İcmal!$B$19:$AG$49,ROW(C30)+1,FALSE)</f>
        <v>0</v>
      </c>
      <c r="Y32" s="15" cm="1">
        <f t="array" ref="Y32">+HLOOKUP($A$1,+[46]İcmal!$B$19:$AG$49,ROW(D30)+1,FALSE)</f>
        <v>0</v>
      </c>
      <c r="Z32" s="15" cm="1">
        <f t="array" ref="Z32">+HLOOKUP($A$1,+[47]İcmal!$B$19:$AG$49,ROW(A30)+1,FALSE)</f>
        <v>0</v>
      </c>
      <c r="AA32" s="15" cm="1">
        <f t="array" ref="AA32">+HLOOKUP($A$1,+[48]İcmal!$B$19:$AG$49,ROW(B30)+1,FALSE)</f>
        <v>0</v>
      </c>
      <c r="AB32" s="15" cm="1">
        <f t="array" ref="AB32">+HLOOKUP($A$1,+[49]İcmal!$B$19:$AG$49,ROW(A30)+1,FALSE)</f>
        <v>0</v>
      </c>
      <c r="AC32" s="15" cm="1">
        <f t="array" ref="AC32">+HLOOKUP($A$1,+[50]İcmal!$B$19:$AG$49,ROW(A30)+1,FALSE)</f>
        <v>0</v>
      </c>
      <c r="AD32" s="15" cm="1">
        <f t="array" ref="AD32">+HLOOKUP($A$1,+[51]İcmal!$B$19:$AG$49,ROW(A30)+1,FALSE)</f>
        <v>0</v>
      </c>
      <c r="AE32" s="15" cm="1">
        <f t="array" ref="AE32">+HLOOKUP($A$1,+[52]İcmal!$B$19:$AG$49,ROW(A30)+1,FALSE)</f>
        <v>0</v>
      </c>
      <c r="AF32" s="50" cm="1">
        <f t="array" ref="AF32">+HLOOKUP($A$1,+[53]İcmal!$B$19:$AG$49,ROW(A30)+1,FALSE)</f>
        <v>0</v>
      </c>
      <c r="AG32" s="15" cm="1">
        <f t="array" ref="AG32">+HLOOKUP($A$1,+[54]İcmal!$B$19:$AG$49,ROW(A30)+1,FALSE)</f>
        <v>0</v>
      </c>
      <c r="AH32" s="15" cm="1">
        <f t="array" ref="AH32">+HLOOKUP($A$1,+[55]İcmal!$B$19:$AG$49,ROW(A30)+1,FALSE)</f>
        <v>0</v>
      </c>
      <c r="AI32" s="15" cm="1">
        <f t="array" ref="AI32">+HLOOKUP($A$1,+[56]İcmal!$B$19:$AG$49,ROW(A30)+1,FALSE)</f>
        <v>0</v>
      </c>
      <c r="AJ32" s="15" cm="1">
        <f t="array" ref="AJ32">+HLOOKUP($A$1,+[57]İcmal!$B$19:$AG$49,ROW(A30)+1,FALSE)</f>
        <v>0</v>
      </c>
      <c r="AK32" s="15" cm="1">
        <f t="array" ref="AK32">+HLOOKUP($A$1,+[58]İcmal!$B$19:$AG$49,ROW(B30)+1,FALSE)</f>
        <v>0</v>
      </c>
      <c r="AL32" s="15"/>
      <c r="AM32" s="15"/>
      <c r="AN32" s="15"/>
      <c r="AO32" s="14"/>
    </row>
    <row r="33" spans="8:40" x14ac:dyDescent="0.3">
      <c r="I33" s="16">
        <f>SUM(I3:I32)</f>
        <v>89641245.829999998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>
        <f t="shared" ref="AN33" si="3">+SUMPRODUCT(AN3:AN32,$F$3:$F$32)</f>
        <v>0</v>
      </c>
    </row>
    <row r="34" spans="8:40" x14ac:dyDescent="0.3">
      <c r="H34" s="52"/>
    </row>
    <row r="35" spans="8:40" x14ac:dyDescent="0.3">
      <c r="I35" s="16"/>
    </row>
    <row r="36" spans="8:40" x14ac:dyDescent="0.3">
      <c r="I36" s="16"/>
      <c r="K36" s="52"/>
    </row>
    <row r="37" spans="8:40" x14ac:dyDescent="0.3">
      <c r="J37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F620-A165-4166-879B-17DC68AE290B}">
  <sheetPr>
    <tabColor rgb="FFFF0000"/>
  </sheetPr>
  <dimension ref="A1:AO37"/>
  <sheetViews>
    <sheetView zoomScale="85" zoomScaleNormal="85" workbookViewId="0">
      <selection activeCell="K3" sqref="K3:K3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1" width="19.33203125" customWidth="1"/>
    <col min="12" max="13" width="21.109375" customWidth="1"/>
    <col min="14" max="15" width="19.21875" customWidth="1"/>
    <col min="16" max="16" width="19.33203125" customWidth="1"/>
    <col min="17" max="19" width="19.21875" customWidth="1"/>
    <col min="20" max="20" width="19.33203125" customWidth="1"/>
    <col min="21" max="21" width="19.21875" customWidth="1"/>
    <col min="22" max="24" width="46.77734375" customWidth="1"/>
    <col min="25" max="25" width="46.33203125" customWidth="1"/>
    <col min="26" max="32" width="46.77734375" customWidth="1"/>
    <col min="33" max="33" width="46.33203125" bestFit="1" customWidth="1"/>
    <col min="34" max="37" width="46.77734375" bestFit="1" customWidth="1"/>
    <col min="38" max="39" width="59.109375" customWidth="1"/>
    <col min="40" max="40" width="12.33203125" bestFit="1" customWidth="1"/>
    <col min="41" max="41" width="2.21875" customWidth="1"/>
  </cols>
  <sheetData>
    <row r="1" spans="1:41" ht="15" thickBot="1" x14ac:dyDescent="0.35">
      <c r="A1" s="17" t="s">
        <v>109</v>
      </c>
    </row>
    <row r="2" spans="1:4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3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11" t="s">
        <v>126</v>
      </c>
      <c r="AG2" s="3" t="s">
        <v>143</v>
      </c>
      <c r="AH2" s="11" t="s">
        <v>144</v>
      </c>
      <c r="AI2" s="3" t="s">
        <v>138</v>
      </c>
      <c r="AJ2" s="11" t="s">
        <v>125</v>
      </c>
      <c r="AK2" s="3" t="s">
        <v>133</v>
      </c>
      <c r="AL2" s="11"/>
      <c r="AM2" s="11"/>
      <c r="AN2" s="11"/>
      <c r="AO2" s="12"/>
    </row>
    <row r="3" spans="1:41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SUM(J3:AO3)</f>
        <v>3513.1549999999997</v>
      </c>
      <c r="I3" s="9">
        <f>+F3*H3</f>
        <v>17829261.625</v>
      </c>
      <c r="J3" s="15" cm="1">
        <f t="array" ref="J3">+HLOOKUP($A$1,+[31]İcmal!$B$19:$AG$49,ROW(A1)+1,FALSE)</f>
        <v>0</v>
      </c>
      <c r="K3" s="15" cm="1">
        <f t="array" ref="K3">+HLOOKUP($A$1,+[32]İcmal!$B$19:$AG$49,ROW(B1)+1,FALSE)</f>
        <v>0</v>
      </c>
      <c r="L3" s="15" cm="1">
        <f t="array" ref="L3">+HLOOKUP($A$1,+[33]İcmal!$B$19:$AG$49,ROW(C1)+1,FALSE)</f>
        <v>0</v>
      </c>
      <c r="M3" s="15" cm="1">
        <f t="array" ref="M3">+HLOOKUP($A$1,+[34]İcmal!$B$19:$AG$49,ROW(D1)+1,FALSE)</f>
        <v>0</v>
      </c>
      <c r="N3" s="15" cm="1">
        <f t="array" ref="N3">+HLOOKUP($A$1,+[35]İcmal!$B$19:$AG$49,ROW(A1)+1,FALSE)</f>
        <v>470.65099999999995</v>
      </c>
      <c r="O3" s="15" cm="1">
        <f t="array" ref="O3">+HLOOKUP($A$1,+[36]İcmal!$B$19:$AG$49,ROW(B1)+1,FALSE)</f>
        <v>815.94399999999996</v>
      </c>
      <c r="P3" s="15" cm="1">
        <f t="array" ref="P3">+HLOOKUP($A$1,+[37]İcmal!$B$19:$AG$49,ROW(C1)+1,FALSE)</f>
        <v>0</v>
      </c>
      <c r="Q3" s="15" cm="1">
        <f t="array" ref="Q3">+HLOOKUP($A$1,+[38]İcmal!$B$19:$AG$49,ROW(D1)+1,FALSE)</f>
        <v>0</v>
      </c>
      <c r="R3" s="15" cm="1">
        <f t="array" ref="R3">+HLOOKUP($A$1,+[39]İcmal!$B$19:$AG$49,ROW(A1)+1,FALSE)</f>
        <v>807.06900000000007</v>
      </c>
      <c r="S3" s="15" cm="1">
        <f t="array" ref="S3">+HLOOKUP($A$1,+[40]İcmal!$B$19:$AG$49,ROW(B1)+1,FALSE)</f>
        <v>746.03200000000004</v>
      </c>
      <c r="T3" s="15" cm="1">
        <f t="array" ref="T3">+HLOOKUP($A$1,+[41]İcmal!$B$19:$AG$49,ROW(C1)+1,FALSE)</f>
        <v>0</v>
      </c>
      <c r="U3" s="15" cm="1">
        <f t="array" ref="U3">+HLOOKUP($A$1,+[42]İcmal!$B$19:$AG$49,ROW(D1)+1,FALSE)</f>
        <v>0</v>
      </c>
      <c r="V3" s="15" cm="1">
        <f t="array" ref="V3">+HLOOKUP($A$1,+[43]İcmal!$B$19:$AG$49,ROW(A1)+1,FALSE)</f>
        <v>0</v>
      </c>
      <c r="W3" s="15" cm="1">
        <f t="array" ref="W3">+HLOOKUP($A$1,+[44]İcmal!$B$19:$AG$49,ROW(B1)+1,FALSE)</f>
        <v>189.68699999999998</v>
      </c>
      <c r="X3" s="15" cm="1">
        <f t="array" ref="X3">+HLOOKUP($A$1,+[45]İcmal!$B$19:$AG$49,ROW(C1)+1,FALSE)</f>
        <v>0</v>
      </c>
      <c r="Y3" s="15" cm="1">
        <f t="array" ref="Y3">+HLOOKUP($A$1,+[46]İcmal!$B$19:$AG$49,ROW(D1)+1,FALSE)</f>
        <v>0</v>
      </c>
      <c r="Z3" s="15" cm="1">
        <f t="array" ref="Z3">+HLOOKUP($A$1,+[47]İcmal!$B$19:$AG$49,ROW(A1)+1,FALSE)</f>
        <v>0</v>
      </c>
      <c r="AA3" s="15" cm="1">
        <f t="array" ref="AA3">+HLOOKUP($A$1,+[48]İcmal!$B$19:$AG$49,ROW(B1)+1,FALSE)</f>
        <v>0</v>
      </c>
      <c r="AB3" s="15" cm="1">
        <f t="array" ref="AB3">+HLOOKUP($A$1,+[49]İcmal!$B$19:$AG$49,ROW(A1)+1,FALSE)</f>
        <v>0</v>
      </c>
      <c r="AC3" s="15" cm="1">
        <f t="array" ref="AC3">+HLOOKUP($A$1,+[50]İcmal!$B$19:$AG$49,ROW(A1)+1,FALSE)</f>
        <v>0</v>
      </c>
      <c r="AD3" s="15" cm="1">
        <f t="array" ref="AD3">+HLOOKUP($A$1,+[51]İcmal!$B$19:$AG$49,ROW(A1)+1,FALSE)</f>
        <v>0</v>
      </c>
      <c r="AE3" s="15" cm="1">
        <f t="array" ref="AE3">+HLOOKUP($A$1,+[52]İcmal!$B$19:$AG$49,ROW(A1)+1,FALSE)</f>
        <v>0</v>
      </c>
      <c r="AF3" s="50" cm="1">
        <f t="array" ref="AF3">+HLOOKUP($A$1,+[53]İcmal!$B$19:$AG$49,ROW(A1)+1,FALSE)</f>
        <v>355.024</v>
      </c>
      <c r="AG3" s="15" cm="1">
        <f t="array" ref="AG3">+HLOOKUP($A$1,+[54]İcmal!$B$19:$AG$49,ROW(A1)+1,FALSE)</f>
        <v>0</v>
      </c>
      <c r="AH3" s="15" cm="1">
        <f t="array" ref="AH3">+HLOOKUP($A$1,+[55]İcmal!$B$19:$AG$49,ROW(A1)+1,FALSE)</f>
        <v>128.74800000000002</v>
      </c>
      <c r="AI3" s="15" cm="1">
        <f t="array" ref="AI3">+HLOOKUP($A$1,+[56]İcmal!$B$19:$AG$49,ROW(A1)+1,FALSE)</f>
        <v>0</v>
      </c>
      <c r="AJ3" s="15" cm="1">
        <f t="array" ref="AJ3">+HLOOKUP($A$1,+[57]İcmal!$B$19:$AG$49,ROW(A1)+1,FALSE)</f>
        <v>0</v>
      </c>
      <c r="AK3" s="15" cm="1">
        <f t="array" ref="AK3">+HLOOKUP($A$1,+[58]İcmal!$B$19:$AG$49,ROW(B1)+1,FALSE)</f>
        <v>0</v>
      </c>
      <c r="AL3" s="15"/>
      <c r="AM3" s="15"/>
      <c r="AN3" s="15"/>
      <c r="AO3" s="13"/>
    </row>
    <row r="4" spans="1:41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+HLOOKUP($A$1,+[31]İcmal!$B$19:$AG$49,ROW(A2)+1,FALSE)</f>
        <v>0</v>
      </c>
      <c r="K4" s="15" cm="1">
        <f t="array" ref="K4">+HLOOKUP($A$1,+[32]İcmal!$B$19:$AG$49,ROW(B2)+1,FALSE)</f>
        <v>0</v>
      </c>
      <c r="L4" s="15" cm="1">
        <f t="array" ref="L4">+HLOOKUP($A$1,+[33]İcmal!$B$19:$AG$49,ROW(C2)+1,FALSE)</f>
        <v>0</v>
      </c>
      <c r="M4" s="15" cm="1">
        <f t="array" ref="M4">+HLOOKUP($A$1,+[34]İcmal!$B$19:$AG$49,ROW(D2)+1,FALSE)</f>
        <v>0</v>
      </c>
      <c r="N4" s="15" cm="1">
        <f t="array" ref="N4">+HLOOKUP($A$1,+[35]İcmal!$B$19:$AG$49,ROW(A2)+1,FALSE)</f>
        <v>0</v>
      </c>
      <c r="O4" s="15" cm="1">
        <f t="array" ref="O4">+HLOOKUP($A$1,+[36]İcmal!$B$19:$AG$49,ROW(B2)+1,FALSE)</f>
        <v>0</v>
      </c>
      <c r="P4" s="15" cm="1">
        <f t="array" ref="P4">+HLOOKUP($A$1,+[37]İcmal!$B$19:$AG$49,ROW(C2)+1,FALSE)</f>
        <v>0</v>
      </c>
      <c r="Q4" s="15" cm="1">
        <f t="array" ref="Q4">+HLOOKUP($A$1,+[38]İcmal!$B$19:$AG$49,ROW(D2)+1,FALSE)</f>
        <v>0</v>
      </c>
      <c r="R4" s="15" cm="1">
        <f t="array" ref="R4">+HLOOKUP($A$1,+[39]İcmal!$B$19:$AG$49,ROW(A2)+1,FALSE)</f>
        <v>0</v>
      </c>
      <c r="S4" s="15" cm="1">
        <f t="array" ref="S4">+HLOOKUP($A$1,+[40]İcmal!$B$19:$AG$49,ROW(B2)+1,FALSE)</f>
        <v>0</v>
      </c>
      <c r="T4" s="15" cm="1">
        <f t="array" ref="T4">+HLOOKUP($A$1,+[41]İcmal!$B$19:$AG$49,ROW(C2)+1,FALSE)</f>
        <v>0</v>
      </c>
      <c r="U4" s="15" cm="1">
        <f t="array" ref="U4">+HLOOKUP($A$1,+[42]İcmal!$B$19:$AG$49,ROW(D2)+1,FALSE)</f>
        <v>0</v>
      </c>
      <c r="V4" s="15" cm="1">
        <f t="array" ref="V4">+HLOOKUP($A$1,+[43]İcmal!$B$19:$AG$49,ROW(A2)+1,FALSE)</f>
        <v>0</v>
      </c>
      <c r="W4" s="15" cm="1">
        <f t="array" ref="W4">+HLOOKUP($A$1,+[44]İcmal!$B$19:$AG$49,ROW(B2)+1,FALSE)</f>
        <v>0</v>
      </c>
      <c r="X4" s="15" cm="1">
        <f t="array" ref="X4">+HLOOKUP($A$1,+[45]İcmal!$B$19:$AG$49,ROW(C2)+1,FALSE)</f>
        <v>0</v>
      </c>
      <c r="Y4" s="15" cm="1">
        <f t="array" ref="Y4">+HLOOKUP($A$1,+[46]İcmal!$B$19:$AG$49,ROW(D2)+1,FALSE)</f>
        <v>0</v>
      </c>
      <c r="Z4" s="15" cm="1">
        <f t="array" ref="Z4">+HLOOKUP($A$1,+[47]İcmal!$B$19:$AG$49,ROW(A2)+1,FALSE)</f>
        <v>0</v>
      </c>
      <c r="AA4" s="15" cm="1">
        <f t="array" ref="AA4">+HLOOKUP($A$1,+[48]İcmal!$B$19:$AG$49,ROW(B2)+1,FALSE)</f>
        <v>0</v>
      </c>
      <c r="AB4" s="15" cm="1">
        <f t="array" ref="AB4">+HLOOKUP($A$1,+[49]İcmal!$B$19:$AG$49,ROW(A2)+1,FALSE)</f>
        <v>0</v>
      </c>
      <c r="AC4" s="15" cm="1">
        <f t="array" ref="AC4">+HLOOKUP($A$1,+[50]İcmal!$B$19:$AG$49,ROW(A2)+1,FALSE)</f>
        <v>0</v>
      </c>
      <c r="AD4" s="15" cm="1">
        <f t="array" ref="AD4">+HLOOKUP($A$1,+[51]İcmal!$B$19:$AG$49,ROW(A2)+1,FALSE)</f>
        <v>0</v>
      </c>
      <c r="AE4" s="15" cm="1">
        <f t="array" ref="AE4">+HLOOKUP($A$1,+[52]İcmal!$B$19:$AG$49,ROW(A2)+1,FALSE)</f>
        <v>0</v>
      </c>
      <c r="AF4" s="50" cm="1">
        <f t="array" ref="AF4">+HLOOKUP($A$1,+[53]İcmal!$B$19:$AG$49,ROW(A2)+1,FALSE)</f>
        <v>0</v>
      </c>
      <c r="AG4" s="15" cm="1">
        <f t="array" ref="AG4">+HLOOKUP($A$1,+[54]İcmal!$B$19:$AG$49,ROW(A2)+1,FALSE)</f>
        <v>0</v>
      </c>
      <c r="AH4" s="15" cm="1">
        <f t="array" ref="AH4">+HLOOKUP($A$1,+[55]İcmal!$B$19:$AG$49,ROW(A2)+1,FALSE)</f>
        <v>0</v>
      </c>
      <c r="AI4" s="15" cm="1">
        <f t="array" ref="AI4">+HLOOKUP($A$1,+[56]İcmal!$B$19:$AG$49,ROW(A2)+1,FALSE)</f>
        <v>0</v>
      </c>
      <c r="AJ4" s="15" cm="1">
        <f t="array" ref="AJ4">+HLOOKUP($A$1,+[57]İcmal!$B$19:$AG$49,ROW(A2)+1,FALSE)</f>
        <v>0</v>
      </c>
      <c r="AK4" s="15" cm="1">
        <f t="array" ref="AK4">+HLOOKUP($A$1,+[58]İcmal!$B$19:$AG$49,ROW(B2)+1,FALSE)</f>
        <v>0</v>
      </c>
      <c r="AL4" s="15"/>
      <c r="AM4" s="15"/>
      <c r="AN4" s="15"/>
      <c r="AO4" s="13"/>
    </row>
    <row r="5" spans="1:41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+HLOOKUP($A$1,+[31]İcmal!$B$19:$AG$49,ROW(A3)+1,FALSE)</f>
        <v>0</v>
      </c>
      <c r="K5" s="15" cm="1">
        <f t="array" ref="K5">+HLOOKUP($A$1,+[32]İcmal!$B$19:$AG$49,ROW(B3)+1,FALSE)</f>
        <v>0</v>
      </c>
      <c r="L5" s="15" cm="1">
        <f t="array" ref="L5">+HLOOKUP($A$1,+[33]İcmal!$B$19:$AG$49,ROW(C3)+1,FALSE)</f>
        <v>0</v>
      </c>
      <c r="M5" s="15" cm="1">
        <f t="array" ref="M5">+HLOOKUP($A$1,+[34]İcmal!$B$19:$AG$49,ROW(D3)+1,FALSE)</f>
        <v>0</v>
      </c>
      <c r="N5" s="15" cm="1">
        <f t="array" ref="N5">+HLOOKUP($A$1,+[35]İcmal!$B$19:$AG$49,ROW(A3)+1,FALSE)</f>
        <v>0</v>
      </c>
      <c r="O5" s="15" cm="1">
        <f t="array" ref="O5">+HLOOKUP($A$1,+[36]İcmal!$B$19:$AG$49,ROW(B3)+1,FALSE)</f>
        <v>0</v>
      </c>
      <c r="P5" s="15" cm="1">
        <f t="array" ref="P5">+HLOOKUP($A$1,+[37]İcmal!$B$19:$AG$49,ROW(C3)+1,FALSE)</f>
        <v>0</v>
      </c>
      <c r="Q5" s="15" cm="1">
        <f t="array" ref="Q5">+HLOOKUP($A$1,+[38]İcmal!$B$19:$AG$49,ROW(D3)+1,FALSE)</f>
        <v>0</v>
      </c>
      <c r="R5" s="15" cm="1">
        <f t="array" ref="R5">+HLOOKUP($A$1,+[39]İcmal!$B$19:$AG$49,ROW(A3)+1,FALSE)</f>
        <v>0</v>
      </c>
      <c r="S5" s="15" cm="1">
        <f t="array" ref="S5">+HLOOKUP($A$1,+[40]İcmal!$B$19:$AG$49,ROW(B3)+1,FALSE)</f>
        <v>0</v>
      </c>
      <c r="T5" s="15" cm="1">
        <f t="array" ref="T5">+HLOOKUP($A$1,+[41]İcmal!$B$19:$AG$49,ROW(C3)+1,FALSE)</f>
        <v>0</v>
      </c>
      <c r="U5" s="15" cm="1">
        <f t="array" ref="U5">+HLOOKUP($A$1,+[42]İcmal!$B$19:$AG$49,ROW(D3)+1,FALSE)</f>
        <v>0</v>
      </c>
      <c r="V5" s="15" cm="1">
        <f t="array" ref="V5">+HLOOKUP($A$1,+[43]İcmal!$B$19:$AG$49,ROW(A3)+1,FALSE)</f>
        <v>0</v>
      </c>
      <c r="W5" s="15" cm="1">
        <f t="array" ref="W5">+HLOOKUP($A$1,+[44]İcmal!$B$19:$AG$49,ROW(B3)+1,FALSE)</f>
        <v>0</v>
      </c>
      <c r="X5" s="15" cm="1">
        <f t="array" ref="X5">+HLOOKUP($A$1,+[45]İcmal!$B$19:$AG$49,ROW(C3)+1,FALSE)</f>
        <v>0</v>
      </c>
      <c r="Y5" s="15" cm="1">
        <f t="array" ref="Y5">+HLOOKUP($A$1,+[46]İcmal!$B$19:$AG$49,ROW(D3)+1,FALSE)</f>
        <v>0</v>
      </c>
      <c r="Z5" s="15" cm="1">
        <f t="array" ref="Z5">+HLOOKUP($A$1,+[47]İcmal!$B$19:$AG$49,ROW(A3)+1,FALSE)</f>
        <v>0</v>
      </c>
      <c r="AA5" s="15" cm="1">
        <f t="array" ref="AA5">+HLOOKUP($A$1,+[48]İcmal!$B$19:$AG$49,ROW(B3)+1,FALSE)</f>
        <v>0</v>
      </c>
      <c r="AB5" s="15" cm="1">
        <f t="array" ref="AB5">+HLOOKUP($A$1,+[49]İcmal!$B$19:$AG$49,ROW(A3)+1,FALSE)</f>
        <v>0</v>
      </c>
      <c r="AC5" s="15" cm="1">
        <f t="array" ref="AC5">+HLOOKUP($A$1,+[50]İcmal!$B$19:$AG$49,ROW(A3)+1,FALSE)</f>
        <v>0</v>
      </c>
      <c r="AD5" s="15" cm="1">
        <f t="array" ref="AD5">+HLOOKUP($A$1,+[51]İcmal!$B$19:$AG$49,ROW(A3)+1,FALSE)</f>
        <v>0</v>
      </c>
      <c r="AE5" s="15" cm="1">
        <f t="array" ref="AE5">+HLOOKUP($A$1,+[52]İcmal!$B$19:$AG$49,ROW(A3)+1,FALSE)</f>
        <v>0</v>
      </c>
      <c r="AF5" s="50" cm="1">
        <f t="array" ref="AF5">+HLOOKUP($A$1,+[53]İcmal!$B$19:$AG$49,ROW(A3)+1,FALSE)</f>
        <v>0</v>
      </c>
      <c r="AG5" s="15" cm="1">
        <f t="array" ref="AG5">+HLOOKUP($A$1,+[54]İcmal!$B$19:$AG$49,ROW(A3)+1,FALSE)</f>
        <v>0</v>
      </c>
      <c r="AH5" s="15" cm="1">
        <f t="array" ref="AH5">+HLOOKUP($A$1,+[55]İcmal!$B$19:$AG$49,ROW(A3)+1,FALSE)</f>
        <v>0</v>
      </c>
      <c r="AI5" s="15" cm="1">
        <f t="array" ref="AI5">+HLOOKUP($A$1,+[56]İcmal!$B$19:$AG$49,ROW(A3)+1,FALSE)</f>
        <v>0</v>
      </c>
      <c r="AJ5" s="15" cm="1">
        <f t="array" ref="AJ5">+HLOOKUP($A$1,+[57]İcmal!$B$19:$AG$49,ROW(A3)+1,FALSE)</f>
        <v>0</v>
      </c>
      <c r="AK5" s="15" cm="1">
        <f t="array" ref="AK5">+HLOOKUP($A$1,+[58]İcmal!$B$19:$AG$49,ROW(B3)+1,FALSE)</f>
        <v>0</v>
      </c>
      <c r="AL5" s="15"/>
      <c r="AM5" s="15"/>
      <c r="AN5" s="15"/>
      <c r="AO5" s="13"/>
    </row>
    <row r="6" spans="1:41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813.19700000000012</v>
      </c>
      <c r="I6" s="9">
        <f t="shared" si="2"/>
        <v>12469562.798000002</v>
      </c>
      <c r="J6" s="15" cm="1">
        <f t="array" ref="J6">+HLOOKUP($A$1,+[31]İcmal!$B$19:$AG$49,ROW(A4)+1,FALSE)</f>
        <v>4.3310000000000004</v>
      </c>
      <c r="K6" s="15" cm="1">
        <f t="array" ref="K6">+HLOOKUP($A$1,+[32]İcmal!$B$19:$AG$49,ROW(B4)+1,FALSE)</f>
        <v>6.835</v>
      </c>
      <c r="L6" s="15" cm="1">
        <f t="array" ref="L6">+HLOOKUP($A$1,+[33]İcmal!$B$19:$AG$49,ROW(C4)+1,FALSE)</f>
        <v>0</v>
      </c>
      <c r="M6" s="15" cm="1">
        <f t="array" ref="M6">+HLOOKUP($A$1,+[34]İcmal!$B$19:$AG$49,ROW(D4)+1,FALSE)</f>
        <v>0</v>
      </c>
      <c r="N6" s="15" cm="1">
        <f t="array" ref="N6">+HLOOKUP($A$1,+[35]İcmal!$B$19:$AG$49,ROW(A4)+1,FALSE)</f>
        <v>113.86400000000002</v>
      </c>
      <c r="O6" s="15" cm="1">
        <f t="array" ref="O6">+HLOOKUP($A$1,+[36]İcmal!$B$19:$AG$49,ROW(B4)+1,FALSE)</f>
        <v>163.90300000000002</v>
      </c>
      <c r="P6" s="15" cm="1">
        <f t="array" ref="P6">+HLOOKUP($A$1,+[37]İcmal!$B$19:$AG$49,ROW(C4)+1,FALSE)</f>
        <v>0</v>
      </c>
      <c r="Q6" s="15" cm="1">
        <f t="array" ref="Q6">+HLOOKUP($A$1,+[38]İcmal!$B$19:$AG$49,ROW(D4)+1,FALSE)</f>
        <v>0</v>
      </c>
      <c r="R6" s="15" cm="1">
        <f t="array" ref="R6">+HLOOKUP($A$1,+[39]İcmal!$B$19:$AG$49,ROW(A4)+1,FALSE)</f>
        <v>187.43000000000004</v>
      </c>
      <c r="S6" s="15" cm="1">
        <f t="array" ref="S6">+HLOOKUP($A$1,+[40]İcmal!$B$19:$AG$49,ROW(B4)+1,FALSE)</f>
        <v>151.30799999999999</v>
      </c>
      <c r="T6" s="15" cm="1">
        <f t="array" ref="T6">+HLOOKUP($A$1,+[41]İcmal!$B$19:$AG$49,ROW(C4)+1,FALSE)</f>
        <v>0</v>
      </c>
      <c r="U6" s="15" cm="1">
        <f t="array" ref="U6">+HLOOKUP($A$1,+[42]İcmal!$B$19:$AG$49,ROW(D4)+1,FALSE)</f>
        <v>0</v>
      </c>
      <c r="V6" s="15" cm="1">
        <f t="array" ref="V6">+HLOOKUP($A$1,+[43]İcmal!$B$19:$AG$49,ROW(A4)+1,FALSE)</f>
        <v>26.192</v>
      </c>
      <c r="W6" s="15" cm="1">
        <f t="array" ref="W6">+HLOOKUP($A$1,+[44]İcmal!$B$19:$AG$49,ROW(B4)+1,FALSE)</f>
        <v>63.363999999999997</v>
      </c>
      <c r="X6" s="15" cm="1">
        <f t="array" ref="X6">+HLOOKUP($A$1,+[45]İcmal!$B$19:$AG$49,ROW(C4)+1,FALSE)</f>
        <v>0</v>
      </c>
      <c r="Y6" s="15" cm="1">
        <f t="array" ref="Y6">+HLOOKUP($A$1,+[46]İcmal!$B$19:$AG$49,ROW(D4)+1,FALSE)</f>
        <v>0</v>
      </c>
      <c r="Z6" s="15" cm="1">
        <f t="array" ref="Z6">+HLOOKUP($A$1,+[47]İcmal!$B$19:$AG$49,ROW(A4)+1,FALSE)</f>
        <v>0</v>
      </c>
      <c r="AA6" s="15" cm="1">
        <f t="array" ref="AA6">+HLOOKUP($A$1,+[48]İcmal!$B$19:$AG$49,ROW(B4)+1,FALSE)</f>
        <v>0</v>
      </c>
      <c r="AB6" s="15" cm="1">
        <f t="array" ref="AB6">+HLOOKUP($A$1,+[49]İcmal!$B$19:$AG$49,ROW(A4)+1,FALSE)</f>
        <v>0</v>
      </c>
      <c r="AC6" s="15" cm="1">
        <f t="array" ref="AC6">+HLOOKUP($A$1,+[50]İcmal!$B$19:$AG$49,ROW(A4)+1,FALSE)</f>
        <v>0</v>
      </c>
      <c r="AD6" s="15" cm="1">
        <f t="array" ref="AD6">+HLOOKUP($A$1,+[51]İcmal!$B$19:$AG$49,ROW(A4)+1,FALSE)</f>
        <v>0</v>
      </c>
      <c r="AE6" s="15" cm="1">
        <f t="array" ref="AE6">+HLOOKUP($A$1,+[52]İcmal!$B$19:$AG$49,ROW(A4)+1,FALSE)</f>
        <v>0</v>
      </c>
      <c r="AF6" s="50" cm="1">
        <f t="array" ref="AF6">+HLOOKUP($A$1,+[53]İcmal!$B$19:$AG$49,ROW(A4)+1,FALSE)</f>
        <v>70.486000000000004</v>
      </c>
      <c r="AG6" s="15" cm="1">
        <f t="array" ref="AG6">+HLOOKUP($A$1,+[54]İcmal!$B$19:$AG$49,ROW(A4)+1,FALSE)</f>
        <v>0</v>
      </c>
      <c r="AH6" s="15" cm="1">
        <f t="array" ref="AH6">+HLOOKUP($A$1,+[55]İcmal!$B$19:$AG$49,ROW(A4)+1,FALSE)</f>
        <v>25.483999999999998</v>
      </c>
      <c r="AI6" s="15" cm="1">
        <f t="array" ref="AI6">+HLOOKUP($A$1,+[56]İcmal!$B$19:$AG$49,ROW(A4)+1,FALSE)</f>
        <v>0</v>
      </c>
      <c r="AJ6" s="15" cm="1">
        <f t="array" ref="AJ6">+HLOOKUP($A$1,+[57]İcmal!$B$19:$AG$49,ROW(A4)+1,FALSE)</f>
        <v>0</v>
      </c>
      <c r="AK6" s="15" cm="1">
        <f t="array" ref="AK6">+HLOOKUP($A$1,+[58]İcmal!$B$19:$AG$49,ROW(B4)+1,FALSE)</f>
        <v>0</v>
      </c>
      <c r="AL6" s="15"/>
      <c r="AM6" s="15"/>
      <c r="AN6" s="15"/>
      <c r="AO6" s="13"/>
    </row>
    <row r="7" spans="1:41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+HLOOKUP($A$1,+[31]İcmal!$B$19:$AG$49,ROW(A5)+1,FALSE)</f>
        <v>0</v>
      </c>
      <c r="K7" s="15" cm="1">
        <f t="array" ref="K7">+HLOOKUP($A$1,+[32]İcmal!$B$19:$AG$49,ROW(B5)+1,FALSE)</f>
        <v>0</v>
      </c>
      <c r="L7" s="15" cm="1">
        <f t="array" ref="L7">+HLOOKUP($A$1,+[33]İcmal!$B$19:$AG$49,ROW(C5)+1,FALSE)</f>
        <v>0</v>
      </c>
      <c r="M7" s="15" cm="1">
        <f t="array" ref="M7">+HLOOKUP($A$1,+[34]İcmal!$B$19:$AG$49,ROW(D5)+1,FALSE)</f>
        <v>0</v>
      </c>
      <c r="N7" s="15" cm="1">
        <f t="array" ref="N7">+HLOOKUP($A$1,+[35]İcmal!$B$19:$AG$49,ROW(A5)+1,FALSE)</f>
        <v>0</v>
      </c>
      <c r="O7" s="15" cm="1">
        <f t="array" ref="O7">+HLOOKUP($A$1,+[36]İcmal!$B$19:$AG$49,ROW(B5)+1,FALSE)</f>
        <v>0</v>
      </c>
      <c r="P7" s="15" cm="1">
        <f t="array" ref="P7">+HLOOKUP($A$1,+[37]İcmal!$B$19:$AG$49,ROW(C5)+1,FALSE)</f>
        <v>0</v>
      </c>
      <c r="Q7" s="15" cm="1">
        <f t="array" ref="Q7">+HLOOKUP($A$1,+[38]İcmal!$B$19:$AG$49,ROW(D5)+1,FALSE)</f>
        <v>0</v>
      </c>
      <c r="R7" s="15" cm="1">
        <f t="array" ref="R7">+HLOOKUP($A$1,+[39]İcmal!$B$19:$AG$49,ROW(A5)+1,FALSE)</f>
        <v>0</v>
      </c>
      <c r="S7" s="15" cm="1">
        <f t="array" ref="S7">+HLOOKUP($A$1,+[40]İcmal!$B$19:$AG$49,ROW(B5)+1,FALSE)</f>
        <v>0</v>
      </c>
      <c r="T7" s="15" cm="1">
        <f t="array" ref="T7">+HLOOKUP($A$1,+[41]İcmal!$B$19:$AG$49,ROW(C5)+1,FALSE)</f>
        <v>0</v>
      </c>
      <c r="U7" s="15" cm="1">
        <f t="array" ref="U7">+HLOOKUP($A$1,+[42]İcmal!$B$19:$AG$49,ROW(D5)+1,FALSE)</f>
        <v>0</v>
      </c>
      <c r="V7" s="15" cm="1">
        <f t="array" ref="V7">+HLOOKUP($A$1,+[43]İcmal!$B$19:$AG$49,ROW(A5)+1,FALSE)</f>
        <v>0</v>
      </c>
      <c r="W7" s="15" cm="1">
        <f t="array" ref="W7">+HLOOKUP($A$1,+[44]İcmal!$B$19:$AG$49,ROW(B5)+1,FALSE)</f>
        <v>0</v>
      </c>
      <c r="X7" s="15" cm="1">
        <f t="array" ref="X7">+HLOOKUP($A$1,+[45]İcmal!$B$19:$AG$49,ROW(C5)+1,FALSE)</f>
        <v>0</v>
      </c>
      <c r="Y7" s="15" cm="1">
        <f t="array" ref="Y7">+HLOOKUP($A$1,+[46]İcmal!$B$19:$AG$49,ROW(D5)+1,FALSE)</f>
        <v>0</v>
      </c>
      <c r="Z7" s="15" cm="1">
        <f t="array" ref="Z7">+HLOOKUP($A$1,+[47]İcmal!$B$19:$AG$49,ROW(A5)+1,FALSE)</f>
        <v>0</v>
      </c>
      <c r="AA7" s="15" cm="1">
        <f t="array" ref="AA7">+HLOOKUP($A$1,+[48]İcmal!$B$19:$AG$49,ROW(B5)+1,FALSE)</f>
        <v>0</v>
      </c>
      <c r="AB7" s="15" cm="1">
        <f t="array" ref="AB7">+HLOOKUP($A$1,+[49]İcmal!$B$19:$AG$49,ROW(A5)+1,FALSE)</f>
        <v>0</v>
      </c>
      <c r="AC7" s="15" cm="1">
        <f t="array" ref="AC7">+HLOOKUP($A$1,+[50]İcmal!$B$19:$AG$49,ROW(A5)+1,FALSE)</f>
        <v>0</v>
      </c>
      <c r="AD7" s="15" cm="1">
        <f t="array" ref="AD7">+HLOOKUP($A$1,+[51]İcmal!$B$19:$AG$49,ROW(A5)+1,FALSE)</f>
        <v>0</v>
      </c>
      <c r="AE7" s="15" cm="1">
        <f t="array" ref="AE7">+HLOOKUP($A$1,+[52]İcmal!$B$19:$AG$49,ROW(A5)+1,FALSE)</f>
        <v>0</v>
      </c>
      <c r="AF7" s="50" cm="1">
        <f t="array" ref="AF7">+HLOOKUP($A$1,+[53]İcmal!$B$19:$AG$49,ROW(A5)+1,FALSE)</f>
        <v>0</v>
      </c>
      <c r="AG7" s="15" cm="1">
        <f t="array" ref="AG7">+HLOOKUP($A$1,+[54]İcmal!$B$19:$AG$49,ROW(A5)+1,FALSE)</f>
        <v>0</v>
      </c>
      <c r="AH7" s="15" cm="1">
        <f t="array" ref="AH7">+HLOOKUP($A$1,+[55]İcmal!$B$19:$AG$49,ROW(A5)+1,FALSE)</f>
        <v>0</v>
      </c>
      <c r="AI7" s="15" cm="1">
        <f t="array" ref="AI7">+HLOOKUP($A$1,+[56]İcmal!$B$19:$AG$49,ROW(A5)+1,FALSE)</f>
        <v>0</v>
      </c>
      <c r="AJ7" s="15" cm="1">
        <f t="array" ref="AJ7">+HLOOKUP($A$1,+[57]İcmal!$B$19:$AG$49,ROW(A5)+1,FALSE)</f>
        <v>0</v>
      </c>
      <c r="AK7" s="15" cm="1">
        <f t="array" ref="AK7">+HLOOKUP($A$1,+[58]İcmal!$B$19:$AG$49,ROW(B5)+1,FALSE)</f>
        <v>0</v>
      </c>
      <c r="AL7" s="15"/>
      <c r="AM7" s="15"/>
      <c r="AN7" s="15"/>
      <c r="AO7" s="13"/>
    </row>
    <row r="8" spans="1:41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+HLOOKUP($A$1,+[31]İcmal!$B$19:$AG$49,ROW(A6)+1,FALSE)</f>
        <v>0</v>
      </c>
      <c r="K8" s="15" cm="1">
        <f t="array" ref="K8">+HLOOKUP($A$1,+[32]İcmal!$B$19:$AG$49,ROW(B6)+1,FALSE)</f>
        <v>0</v>
      </c>
      <c r="L8" s="15" cm="1">
        <f t="array" ref="L8">+HLOOKUP($A$1,+[33]İcmal!$B$19:$AG$49,ROW(C6)+1,FALSE)</f>
        <v>0</v>
      </c>
      <c r="M8" s="15" cm="1">
        <f t="array" ref="M8">+HLOOKUP($A$1,+[34]İcmal!$B$19:$AG$49,ROW(D6)+1,FALSE)</f>
        <v>0</v>
      </c>
      <c r="N8" s="15" cm="1">
        <f t="array" ref="N8">+HLOOKUP($A$1,+[35]İcmal!$B$19:$AG$49,ROW(A6)+1,FALSE)</f>
        <v>0</v>
      </c>
      <c r="O8" s="15" cm="1">
        <f t="array" ref="O8">+HLOOKUP($A$1,+[36]İcmal!$B$19:$AG$49,ROW(B6)+1,FALSE)</f>
        <v>0</v>
      </c>
      <c r="P8" s="15" cm="1">
        <f t="array" ref="P8">+HLOOKUP($A$1,+[37]İcmal!$B$19:$AG$49,ROW(C6)+1,FALSE)</f>
        <v>0</v>
      </c>
      <c r="Q8" s="15" cm="1">
        <f t="array" ref="Q8">+HLOOKUP($A$1,+[38]İcmal!$B$19:$AG$49,ROW(D6)+1,FALSE)</f>
        <v>0</v>
      </c>
      <c r="R8" s="15" cm="1">
        <f t="array" ref="R8">+HLOOKUP($A$1,+[39]İcmal!$B$19:$AG$49,ROW(A6)+1,FALSE)</f>
        <v>0</v>
      </c>
      <c r="S8" s="15" cm="1">
        <f t="array" ref="S8">+HLOOKUP($A$1,+[40]İcmal!$B$19:$AG$49,ROW(B6)+1,FALSE)</f>
        <v>0</v>
      </c>
      <c r="T8" s="15" cm="1">
        <f t="array" ref="T8">+HLOOKUP($A$1,+[41]İcmal!$B$19:$AG$49,ROW(C6)+1,FALSE)</f>
        <v>0</v>
      </c>
      <c r="U8" s="15" cm="1">
        <f t="array" ref="U8">+HLOOKUP($A$1,+[42]İcmal!$B$19:$AG$49,ROW(D6)+1,FALSE)</f>
        <v>0</v>
      </c>
      <c r="V8" s="15" cm="1">
        <f t="array" ref="V8">+HLOOKUP($A$1,+[43]İcmal!$B$19:$AG$49,ROW(A6)+1,FALSE)</f>
        <v>0</v>
      </c>
      <c r="W8" s="15" cm="1">
        <f t="array" ref="W8">+HLOOKUP($A$1,+[44]İcmal!$B$19:$AG$49,ROW(B6)+1,FALSE)</f>
        <v>0</v>
      </c>
      <c r="X8" s="15" cm="1">
        <f t="array" ref="X8">+HLOOKUP($A$1,+[45]İcmal!$B$19:$AG$49,ROW(C6)+1,FALSE)</f>
        <v>0</v>
      </c>
      <c r="Y8" s="15" cm="1">
        <f t="array" ref="Y8">+HLOOKUP($A$1,+[46]İcmal!$B$19:$AG$49,ROW(D6)+1,FALSE)</f>
        <v>0</v>
      </c>
      <c r="Z8" s="15" cm="1">
        <f t="array" ref="Z8">+HLOOKUP($A$1,+[47]İcmal!$B$19:$AG$49,ROW(A6)+1,FALSE)</f>
        <v>0</v>
      </c>
      <c r="AA8" s="15" cm="1">
        <f t="array" ref="AA8">+HLOOKUP($A$1,+[48]İcmal!$B$19:$AG$49,ROW(B6)+1,FALSE)</f>
        <v>0</v>
      </c>
      <c r="AB8" s="15" cm="1">
        <f t="array" ref="AB8">+HLOOKUP($A$1,+[49]İcmal!$B$19:$AG$49,ROW(A6)+1,FALSE)</f>
        <v>0</v>
      </c>
      <c r="AC8" s="15" cm="1">
        <f t="array" ref="AC8">+HLOOKUP($A$1,+[50]İcmal!$B$19:$AG$49,ROW(A6)+1,FALSE)</f>
        <v>0</v>
      </c>
      <c r="AD8" s="15" cm="1">
        <f t="array" ref="AD8">+HLOOKUP($A$1,+[51]İcmal!$B$19:$AG$49,ROW(A6)+1,FALSE)</f>
        <v>0</v>
      </c>
      <c r="AE8" s="15" cm="1">
        <f t="array" ref="AE8">+HLOOKUP($A$1,+[52]İcmal!$B$19:$AG$49,ROW(A6)+1,FALSE)</f>
        <v>0</v>
      </c>
      <c r="AF8" s="50" cm="1">
        <f t="array" ref="AF8">+HLOOKUP($A$1,+[53]İcmal!$B$19:$AG$49,ROW(A6)+1,FALSE)</f>
        <v>0</v>
      </c>
      <c r="AG8" s="15" cm="1">
        <f t="array" ref="AG8">+HLOOKUP($A$1,+[54]İcmal!$B$19:$AG$49,ROW(A6)+1,FALSE)</f>
        <v>0</v>
      </c>
      <c r="AH8" s="15" cm="1">
        <f t="array" ref="AH8">+HLOOKUP($A$1,+[55]İcmal!$B$19:$AG$49,ROW(A6)+1,FALSE)</f>
        <v>0</v>
      </c>
      <c r="AI8" s="15" cm="1">
        <f t="array" ref="AI8">+HLOOKUP($A$1,+[56]İcmal!$B$19:$AG$49,ROW(A6)+1,FALSE)</f>
        <v>0</v>
      </c>
      <c r="AJ8" s="15" cm="1">
        <f t="array" ref="AJ8">+HLOOKUP($A$1,+[57]İcmal!$B$19:$AG$49,ROW(A6)+1,FALSE)</f>
        <v>0</v>
      </c>
      <c r="AK8" s="15" cm="1">
        <f t="array" ref="AK8">+HLOOKUP($A$1,+[58]İcmal!$B$19:$AG$49,ROW(B6)+1,FALSE)</f>
        <v>0</v>
      </c>
      <c r="AL8" s="15"/>
      <c r="AM8" s="15"/>
      <c r="AN8" s="15"/>
      <c r="AO8" s="13"/>
    </row>
    <row r="9" spans="1:41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+HLOOKUP($A$1,+[31]İcmal!$B$19:$AG$49,ROW(A7)+1,FALSE)</f>
        <v>0</v>
      </c>
      <c r="K9" s="15" cm="1">
        <f t="array" ref="K9">+HLOOKUP($A$1,+[32]İcmal!$B$19:$AG$49,ROW(B7)+1,FALSE)</f>
        <v>0</v>
      </c>
      <c r="L9" s="15" cm="1">
        <f t="array" ref="L9">+HLOOKUP($A$1,+[33]İcmal!$B$19:$AG$49,ROW(C7)+1,FALSE)</f>
        <v>0</v>
      </c>
      <c r="M9" s="15" cm="1">
        <f t="array" ref="M9">+HLOOKUP($A$1,+[34]İcmal!$B$19:$AG$49,ROW(D7)+1,FALSE)</f>
        <v>0</v>
      </c>
      <c r="N9" s="15" cm="1">
        <f t="array" ref="N9">+HLOOKUP($A$1,+[35]İcmal!$B$19:$AG$49,ROW(A7)+1,FALSE)</f>
        <v>0</v>
      </c>
      <c r="O9" s="15" cm="1">
        <f t="array" ref="O9">+HLOOKUP($A$1,+[36]İcmal!$B$19:$AG$49,ROW(B7)+1,FALSE)</f>
        <v>0</v>
      </c>
      <c r="P9" s="15" cm="1">
        <f t="array" ref="P9">+HLOOKUP($A$1,+[37]İcmal!$B$19:$AG$49,ROW(C7)+1,FALSE)</f>
        <v>0</v>
      </c>
      <c r="Q9" s="15" cm="1">
        <f t="array" ref="Q9">+HLOOKUP($A$1,+[38]İcmal!$B$19:$AG$49,ROW(D7)+1,FALSE)</f>
        <v>0</v>
      </c>
      <c r="R9" s="15" cm="1">
        <f t="array" ref="R9">+HLOOKUP($A$1,+[39]İcmal!$B$19:$AG$49,ROW(A7)+1,FALSE)</f>
        <v>0</v>
      </c>
      <c r="S9" s="15" cm="1">
        <f t="array" ref="S9">+HLOOKUP($A$1,+[40]İcmal!$B$19:$AG$49,ROW(B7)+1,FALSE)</f>
        <v>0</v>
      </c>
      <c r="T9" s="15" cm="1">
        <f t="array" ref="T9">+HLOOKUP($A$1,+[41]İcmal!$B$19:$AG$49,ROW(C7)+1,FALSE)</f>
        <v>0</v>
      </c>
      <c r="U9" s="15" cm="1">
        <f t="array" ref="U9">+HLOOKUP($A$1,+[42]İcmal!$B$19:$AG$49,ROW(D7)+1,FALSE)</f>
        <v>0</v>
      </c>
      <c r="V9" s="15" cm="1">
        <f t="array" ref="V9">+HLOOKUP($A$1,+[43]İcmal!$B$19:$AG$49,ROW(A7)+1,FALSE)</f>
        <v>0</v>
      </c>
      <c r="W9" s="15" cm="1">
        <f t="array" ref="W9">+HLOOKUP($A$1,+[44]İcmal!$B$19:$AG$49,ROW(B7)+1,FALSE)</f>
        <v>0</v>
      </c>
      <c r="X9" s="15" cm="1">
        <f t="array" ref="X9">+HLOOKUP($A$1,+[45]İcmal!$B$19:$AG$49,ROW(C7)+1,FALSE)</f>
        <v>0</v>
      </c>
      <c r="Y9" s="15" cm="1">
        <f t="array" ref="Y9">+HLOOKUP($A$1,+[46]İcmal!$B$19:$AG$49,ROW(D7)+1,FALSE)</f>
        <v>0</v>
      </c>
      <c r="Z9" s="15" cm="1">
        <f t="array" ref="Z9">+HLOOKUP($A$1,+[47]İcmal!$B$19:$AG$49,ROW(A7)+1,FALSE)</f>
        <v>0</v>
      </c>
      <c r="AA9" s="15" cm="1">
        <f t="array" ref="AA9">+HLOOKUP($A$1,+[48]İcmal!$B$19:$AG$49,ROW(B7)+1,FALSE)</f>
        <v>0</v>
      </c>
      <c r="AB9" s="15" cm="1">
        <f t="array" ref="AB9">+HLOOKUP($A$1,+[49]İcmal!$B$19:$AG$49,ROW(A7)+1,FALSE)</f>
        <v>0</v>
      </c>
      <c r="AC9" s="15" cm="1">
        <f t="array" ref="AC9">+HLOOKUP($A$1,+[50]İcmal!$B$19:$AG$49,ROW(A7)+1,FALSE)</f>
        <v>0</v>
      </c>
      <c r="AD9" s="15" cm="1">
        <f t="array" ref="AD9">+HLOOKUP($A$1,+[51]İcmal!$B$19:$AG$49,ROW(A7)+1,FALSE)</f>
        <v>0</v>
      </c>
      <c r="AE9" s="15" cm="1">
        <f t="array" ref="AE9">+HLOOKUP($A$1,+[52]İcmal!$B$19:$AG$49,ROW(A7)+1,FALSE)</f>
        <v>0</v>
      </c>
      <c r="AF9" s="50" cm="1">
        <f t="array" ref="AF9">+HLOOKUP($A$1,+[53]İcmal!$B$19:$AG$49,ROW(A7)+1,FALSE)</f>
        <v>0</v>
      </c>
      <c r="AG9" s="15" cm="1">
        <f t="array" ref="AG9">+HLOOKUP($A$1,+[54]İcmal!$B$19:$AG$49,ROW(A7)+1,FALSE)</f>
        <v>0</v>
      </c>
      <c r="AH9" s="15" cm="1">
        <f t="array" ref="AH9">+HLOOKUP($A$1,+[55]İcmal!$B$19:$AG$49,ROW(A7)+1,FALSE)</f>
        <v>0</v>
      </c>
      <c r="AI9" s="15" cm="1">
        <f t="array" ref="AI9">+HLOOKUP($A$1,+[56]İcmal!$B$19:$AG$49,ROW(A7)+1,FALSE)</f>
        <v>0</v>
      </c>
      <c r="AJ9" s="15" cm="1">
        <f t="array" ref="AJ9">+HLOOKUP($A$1,+[57]İcmal!$B$19:$AG$49,ROW(A7)+1,FALSE)</f>
        <v>0</v>
      </c>
      <c r="AK9" s="15" cm="1">
        <f t="array" ref="AK9">+HLOOKUP($A$1,+[58]İcmal!$B$19:$AG$49,ROW(B7)+1,FALSE)</f>
        <v>0</v>
      </c>
      <c r="AL9" s="15"/>
      <c r="AM9" s="15"/>
      <c r="AN9" s="15"/>
      <c r="AO9" s="13"/>
    </row>
    <row r="10" spans="1:41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476</v>
      </c>
      <c r="I10" s="9">
        <f t="shared" si="2"/>
        <v>3808000</v>
      </c>
      <c r="J10" s="15" cm="1">
        <f t="array" ref="J10">+HLOOKUP($A$1,+[31]İcmal!$B$19:$AG$49,ROW(A8)+1,FALSE)</f>
        <v>0</v>
      </c>
      <c r="K10" s="15" cm="1">
        <f t="array" ref="K10">+HLOOKUP($A$1,+[32]İcmal!$B$19:$AG$49,ROW(B8)+1,FALSE)</f>
        <v>0</v>
      </c>
      <c r="L10" s="15" cm="1">
        <f t="array" ref="L10">+HLOOKUP($A$1,+[33]İcmal!$B$19:$AG$49,ROW(C8)+1,FALSE)</f>
        <v>0</v>
      </c>
      <c r="M10" s="15" cm="1">
        <f t="array" ref="M10">+HLOOKUP($A$1,+[34]İcmal!$B$19:$AG$49,ROW(D8)+1,FALSE)</f>
        <v>0</v>
      </c>
      <c r="N10" s="15" cm="1">
        <f t="array" ref="N10">+HLOOKUP($A$1,+[35]İcmal!$B$19:$AG$49,ROW(A8)+1,FALSE)</f>
        <v>149</v>
      </c>
      <c r="O10" s="15" cm="1">
        <f t="array" ref="O10">+HLOOKUP($A$1,+[36]İcmal!$B$19:$AG$49,ROW(B8)+1,FALSE)</f>
        <v>42</v>
      </c>
      <c r="P10" s="15" cm="1">
        <f t="array" ref="P10">+HLOOKUP($A$1,+[37]İcmal!$B$19:$AG$49,ROW(C8)+1,FALSE)</f>
        <v>0</v>
      </c>
      <c r="Q10" s="15" cm="1">
        <f t="array" ref="Q10">+HLOOKUP($A$1,+[38]İcmal!$B$19:$AG$49,ROW(D8)+1,FALSE)</f>
        <v>0</v>
      </c>
      <c r="R10" s="15" cm="1">
        <f t="array" ref="R10">+HLOOKUP($A$1,+[39]İcmal!$B$19:$AG$49,ROW(A8)+1,FALSE)</f>
        <v>243</v>
      </c>
      <c r="S10" s="15" cm="1">
        <f t="array" ref="S10">+HLOOKUP($A$1,+[40]İcmal!$B$19:$AG$49,ROW(B8)+1,FALSE)</f>
        <v>42</v>
      </c>
      <c r="T10" s="15" cm="1">
        <f t="array" ref="T10">+HLOOKUP($A$1,+[41]İcmal!$B$19:$AG$49,ROW(C8)+1,FALSE)</f>
        <v>0</v>
      </c>
      <c r="U10" s="15" cm="1">
        <f t="array" ref="U10">+HLOOKUP($A$1,+[42]İcmal!$B$19:$AG$49,ROW(D8)+1,FALSE)</f>
        <v>0</v>
      </c>
      <c r="V10" s="15" cm="1">
        <f t="array" ref="V10">+HLOOKUP($A$1,+[43]İcmal!$B$19:$AG$49,ROW(A8)+1,FALSE)</f>
        <v>0</v>
      </c>
      <c r="W10" s="15" cm="1">
        <f t="array" ref="W10">+HLOOKUP($A$1,+[44]İcmal!$B$19:$AG$49,ROW(B8)+1,FALSE)</f>
        <v>0</v>
      </c>
      <c r="X10" s="15" cm="1">
        <f t="array" ref="X10">+HLOOKUP($A$1,+[45]İcmal!$B$19:$AG$49,ROW(C8)+1,FALSE)</f>
        <v>0</v>
      </c>
      <c r="Y10" s="15" cm="1">
        <f t="array" ref="Y10">+HLOOKUP($A$1,+[46]İcmal!$B$19:$AG$49,ROW(D8)+1,FALSE)</f>
        <v>0</v>
      </c>
      <c r="Z10" s="15" cm="1">
        <f t="array" ref="Z10">+HLOOKUP($A$1,+[47]İcmal!$B$19:$AG$49,ROW(A8)+1,FALSE)</f>
        <v>0</v>
      </c>
      <c r="AA10" s="15" cm="1">
        <f t="array" ref="AA10">+HLOOKUP($A$1,+[48]İcmal!$B$19:$AG$49,ROW(B8)+1,FALSE)</f>
        <v>0</v>
      </c>
      <c r="AB10" s="15" cm="1">
        <f t="array" ref="AB10">+HLOOKUP($A$1,+[49]İcmal!$B$19:$AG$49,ROW(A8)+1,FALSE)</f>
        <v>0</v>
      </c>
      <c r="AC10" s="15" cm="1">
        <f t="array" ref="AC10">+HLOOKUP($A$1,+[50]İcmal!$B$19:$AG$49,ROW(A8)+1,FALSE)</f>
        <v>0</v>
      </c>
      <c r="AD10" s="15" cm="1">
        <f t="array" ref="AD10">+HLOOKUP($A$1,+[51]İcmal!$B$19:$AG$49,ROW(A8)+1,FALSE)</f>
        <v>0</v>
      </c>
      <c r="AE10" s="15" cm="1">
        <f t="array" ref="AE10">+HLOOKUP($A$1,+[52]İcmal!$B$19:$AG$49,ROW(A8)+1,FALSE)</f>
        <v>0</v>
      </c>
      <c r="AF10" s="50" cm="1">
        <f t="array" ref="AF10">+HLOOKUP($A$1,+[53]İcmal!$B$19:$AG$49,ROW(A8)+1,FALSE)</f>
        <v>0</v>
      </c>
      <c r="AG10" s="15" cm="1">
        <f t="array" ref="AG10">+HLOOKUP($A$1,+[54]İcmal!$B$19:$AG$49,ROW(A8)+1,FALSE)</f>
        <v>0</v>
      </c>
      <c r="AH10" s="15" cm="1">
        <f t="array" ref="AH10">+HLOOKUP($A$1,+[55]İcmal!$B$19:$AG$49,ROW(A8)+1,FALSE)</f>
        <v>0</v>
      </c>
      <c r="AI10" s="15" cm="1">
        <f t="array" ref="AI10">+HLOOKUP($A$1,+[56]İcmal!$B$19:$AG$49,ROW(A8)+1,FALSE)</f>
        <v>0</v>
      </c>
      <c r="AJ10" s="15" cm="1">
        <f t="array" ref="AJ10">+HLOOKUP($A$1,+[57]İcmal!$B$19:$AG$49,ROW(A8)+1,FALSE)</f>
        <v>0</v>
      </c>
      <c r="AK10" s="15" cm="1">
        <f t="array" ref="AK10">+HLOOKUP($A$1,+[58]İcmal!$B$19:$AG$49,ROW(B8)+1,FALSE)</f>
        <v>0</v>
      </c>
      <c r="AL10" s="15"/>
      <c r="AM10" s="15"/>
      <c r="AN10" s="15"/>
      <c r="AO10" s="13"/>
    </row>
    <row r="11" spans="1:41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+HLOOKUP($A$1,+[31]İcmal!$B$19:$AG$49,ROW(A9)+1,FALSE)</f>
        <v>0</v>
      </c>
      <c r="K11" s="15" cm="1">
        <f t="array" ref="K11">+HLOOKUP($A$1,+[32]İcmal!$B$19:$AG$49,ROW(B9)+1,FALSE)</f>
        <v>0</v>
      </c>
      <c r="L11" s="15" cm="1">
        <f t="array" ref="L11">+HLOOKUP($A$1,+[33]İcmal!$B$19:$AG$49,ROW(C9)+1,FALSE)</f>
        <v>0</v>
      </c>
      <c r="M11" s="15" cm="1">
        <f t="array" ref="M11">+HLOOKUP($A$1,+[34]İcmal!$B$19:$AG$49,ROW(D9)+1,FALSE)</f>
        <v>0</v>
      </c>
      <c r="N11" s="15" cm="1">
        <f t="array" ref="N11">+HLOOKUP($A$1,+[35]İcmal!$B$19:$AG$49,ROW(A9)+1,FALSE)</f>
        <v>0</v>
      </c>
      <c r="O11" s="15" cm="1">
        <f t="array" ref="O11">+HLOOKUP($A$1,+[36]İcmal!$B$19:$AG$49,ROW(B9)+1,FALSE)</f>
        <v>0</v>
      </c>
      <c r="P11" s="15" cm="1">
        <f t="array" ref="P11">+HLOOKUP($A$1,+[37]İcmal!$B$19:$AG$49,ROW(C9)+1,FALSE)</f>
        <v>0</v>
      </c>
      <c r="Q11" s="15" cm="1">
        <f t="array" ref="Q11">+HLOOKUP($A$1,+[38]İcmal!$B$19:$AG$49,ROW(D9)+1,FALSE)</f>
        <v>0</v>
      </c>
      <c r="R11" s="15" cm="1">
        <f t="array" ref="R11">+HLOOKUP($A$1,+[39]İcmal!$B$19:$AG$49,ROW(A9)+1,FALSE)</f>
        <v>0</v>
      </c>
      <c r="S11" s="15" cm="1">
        <f t="array" ref="S11">+HLOOKUP($A$1,+[40]İcmal!$B$19:$AG$49,ROW(B9)+1,FALSE)</f>
        <v>0</v>
      </c>
      <c r="T11" s="15" cm="1">
        <f t="array" ref="T11">+HLOOKUP($A$1,+[41]İcmal!$B$19:$AG$49,ROW(C9)+1,FALSE)</f>
        <v>0</v>
      </c>
      <c r="U11" s="15" cm="1">
        <f t="array" ref="U11">+HLOOKUP($A$1,+[42]İcmal!$B$19:$AG$49,ROW(D9)+1,FALSE)</f>
        <v>0</v>
      </c>
      <c r="V11" s="15" cm="1">
        <f t="array" ref="V11">+HLOOKUP($A$1,+[43]İcmal!$B$19:$AG$49,ROW(A9)+1,FALSE)</f>
        <v>0</v>
      </c>
      <c r="W11" s="15" cm="1">
        <f t="array" ref="W11">+HLOOKUP($A$1,+[44]İcmal!$B$19:$AG$49,ROW(B9)+1,FALSE)</f>
        <v>0</v>
      </c>
      <c r="X11" s="15" cm="1">
        <f t="array" ref="X11">+HLOOKUP($A$1,+[45]İcmal!$B$19:$AG$49,ROW(C9)+1,FALSE)</f>
        <v>0</v>
      </c>
      <c r="Y11" s="15" cm="1">
        <f t="array" ref="Y11">+HLOOKUP($A$1,+[46]İcmal!$B$19:$AG$49,ROW(D9)+1,FALSE)</f>
        <v>0</v>
      </c>
      <c r="Z11" s="15" cm="1">
        <f t="array" ref="Z11">+HLOOKUP($A$1,+[47]İcmal!$B$19:$AG$49,ROW(A9)+1,FALSE)</f>
        <v>0</v>
      </c>
      <c r="AA11" s="15" cm="1">
        <f t="array" ref="AA11">+HLOOKUP($A$1,+[48]İcmal!$B$19:$AG$49,ROW(B9)+1,FALSE)</f>
        <v>0</v>
      </c>
      <c r="AB11" s="15" cm="1">
        <f t="array" ref="AB11">+HLOOKUP($A$1,+[49]İcmal!$B$19:$AG$49,ROW(A9)+1,FALSE)</f>
        <v>0</v>
      </c>
      <c r="AC11" s="15" cm="1">
        <f t="array" ref="AC11">+HLOOKUP($A$1,+[50]İcmal!$B$19:$AG$49,ROW(A9)+1,FALSE)</f>
        <v>0</v>
      </c>
      <c r="AD11" s="15" cm="1">
        <f t="array" ref="AD11">+HLOOKUP($A$1,+[51]İcmal!$B$19:$AG$49,ROW(A9)+1,FALSE)</f>
        <v>0</v>
      </c>
      <c r="AE11" s="15" cm="1">
        <f t="array" ref="AE11">+HLOOKUP($A$1,+[52]İcmal!$B$19:$AG$49,ROW(A9)+1,FALSE)</f>
        <v>0</v>
      </c>
      <c r="AF11" s="50" cm="1">
        <f t="array" ref="AF11">+HLOOKUP($A$1,+[53]İcmal!$B$19:$AG$49,ROW(A9)+1,FALSE)</f>
        <v>0</v>
      </c>
      <c r="AG11" s="15" cm="1">
        <f t="array" ref="AG11">+HLOOKUP($A$1,+[54]İcmal!$B$19:$AG$49,ROW(A9)+1,FALSE)</f>
        <v>0</v>
      </c>
      <c r="AH11" s="15" cm="1">
        <f t="array" ref="AH11">+HLOOKUP($A$1,+[55]İcmal!$B$19:$AG$49,ROW(A9)+1,FALSE)</f>
        <v>0</v>
      </c>
      <c r="AI11" s="15" cm="1">
        <f t="array" ref="AI11">+HLOOKUP($A$1,+[56]İcmal!$B$19:$AG$49,ROW(A9)+1,FALSE)</f>
        <v>0</v>
      </c>
      <c r="AJ11" s="15" cm="1">
        <f t="array" ref="AJ11">+HLOOKUP($A$1,+[57]İcmal!$B$19:$AG$49,ROW(A9)+1,FALSE)</f>
        <v>0</v>
      </c>
      <c r="AK11" s="15" cm="1">
        <f t="array" ref="AK11">+HLOOKUP($A$1,+[58]İcmal!$B$19:$AG$49,ROW(B9)+1,FALSE)</f>
        <v>0</v>
      </c>
      <c r="AL11" s="15"/>
      <c r="AM11" s="15"/>
      <c r="AN11" s="15"/>
      <c r="AO11" s="13"/>
    </row>
    <row r="12" spans="1:41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+HLOOKUP($A$1,+[31]İcmal!$B$19:$AG$49,ROW(A10)+1,FALSE)</f>
        <v>0</v>
      </c>
      <c r="K12" s="15" cm="1">
        <f t="array" ref="K12">+HLOOKUP($A$1,+[32]İcmal!$B$19:$AG$49,ROW(B10)+1,FALSE)</f>
        <v>0</v>
      </c>
      <c r="L12" s="15" cm="1">
        <f t="array" ref="L12">+HLOOKUP($A$1,+[33]İcmal!$B$19:$AG$49,ROW(C10)+1,FALSE)</f>
        <v>0</v>
      </c>
      <c r="M12" s="15" cm="1">
        <f t="array" ref="M12">+HLOOKUP($A$1,+[34]İcmal!$B$19:$AG$49,ROW(D10)+1,FALSE)</f>
        <v>0</v>
      </c>
      <c r="N12" s="15" cm="1">
        <f t="array" ref="N12">+HLOOKUP($A$1,+[35]İcmal!$B$19:$AG$49,ROW(A10)+1,FALSE)</f>
        <v>0</v>
      </c>
      <c r="O12" s="15" cm="1">
        <f t="array" ref="O12">+HLOOKUP($A$1,+[36]İcmal!$B$19:$AG$49,ROW(B10)+1,FALSE)</f>
        <v>0</v>
      </c>
      <c r="P12" s="15" cm="1">
        <f t="array" ref="P12">+HLOOKUP($A$1,+[37]İcmal!$B$19:$AG$49,ROW(C10)+1,FALSE)</f>
        <v>0</v>
      </c>
      <c r="Q12" s="15" cm="1">
        <f t="array" ref="Q12">+HLOOKUP($A$1,+[38]İcmal!$B$19:$AG$49,ROW(D10)+1,FALSE)</f>
        <v>0</v>
      </c>
      <c r="R12" s="15" cm="1">
        <f t="array" ref="R12">+HLOOKUP($A$1,+[39]İcmal!$B$19:$AG$49,ROW(A10)+1,FALSE)</f>
        <v>0</v>
      </c>
      <c r="S12" s="15" cm="1">
        <f t="array" ref="S12">+HLOOKUP($A$1,+[40]İcmal!$B$19:$AG$49,ROW(B10)+1,FALSE)</f>
        <v>0</v>
      </c>
      <c r="T12" s="15" cm="1">
        <f t="array" ref="T12">+HLOOKUP($A$1,+[41]İcmal!$B$19:$AG$49,ROW(C10)+1,FALSE)</f>
        <v>0</v>
      </c>
      <c r="U12" s="15" cm="1">
        <f t="array" ref="U12">+HLOOKUP($A$1,+[42]İcmal!$B$19:$AG$49,ROW(D10)+1,FALSE)</f>
        <v>0</v>
      </c>
      <c r="V12" s="15" cm="1">
        <f t="array" ref="V12">+HLOOKUP($A$1,+[43]İcmal!$B$19:$AG$49,ROW(A10)+1,FALSE)</f>
        <v>0</v>
      </c>
      <c r="W12" s="15" cm="1">
        <f t="array" ref="W12">+HLOOKUP($A$1,+[44]İcmal!$B$19:$AG$49,ROW(B10)+1,FALSE)</f>
        <v>0</v>
      </c>
      <c r="X12" s="15" cm="1">
        <f t="array" ref="X12">+HLOOKUP($A$1,+[45]İcmal!$B$19:$AG$49,ROW(C10)+1,FALSE)</f>
        <v>0</v>
      </c>
      <c r="Y12" s="15" cm="1">
        <f t="array" ref="Y12">+HLOOKUP($A$1,+[46]İcmal!$B$19:$AG$49,ROW(D10)+1,FALSE)</f>
        <v>0</v>
      </c>
      <c r="Z12" s="15" cm="1">
        <f t="array" ref="Z12">+HLOOKUP($A$1,+[47]İcmal!$B$19:$AG$49,ROW(A10)+1,FALSE)</f>
        <v>0</v>
      </c>
      <c r="AA12" s="15" cm="1">
        <f t="array" ref="AA12">+HLOOKUP($A$1,+[48]İcmal!$B$19:$AG$49,ROW(B10)+1,FALSE)</f>
        <v>0</v>
      </c>
      <c r="AB12" s="15" cm="1">
        <f t="array" ref="AB12">+HLOOKUP($A$1,+[49]İcmal!$B$19:$AG$49,ROW(A10)+1,FALSE)</f>
        <v>0</v>
      </c>
      <c r="AC12" s="15" cm="1">
        <f t="array" ref="AC12">+HLOOKUP($A$1,+[50]İcmal!$B$19:$AG$49,ROW(A10)+1,FALSE)</f>
        <v>0</v>
      </c>
      <c r="AD12" s="15" cm="1">
        <f t="array" ref="AD12">+HLOOKUP($A$1,+[51]İcmal!$B$19:$AG$49,ROW(A10)+1,FALSE)</f>
        <v>0</v>
      </c>
      <c r="AE12" s="15" cm="1">
        <f t="array" ref="AE12">+HLOOKUP($A$1,+[52]İcmal!$B$19:$AG$49,ROW(A10)+1,FALSE)</f>
        <v>0</v>
      </c>
      <c r="AF12" s="50" cm="1">
        <f t="array" ref="AF12">+HLOOKUP($A$1,+[53]İcmal!$B$19:$AG$49,ROW(A10)+1,FALSE)</f>
        <v>0</v>
      </c>
      <c r="AG12" s="15" cm="1">
        <f t="array" ref="AG12">+HLOOKUP($A$1,+[54]İcmal!$B$19:$AG$49,ROW(A10)+1,FALSE)</f>
        <v>0</v>
      </c>
      <c r="AH12" s="15" cm="1">
        <f t="array" ref="AH12">+HLOOKUP($A$1,+[55]İcmal!$B$19:$AG$49,ROW(A10)+1,FALSE)</f>
        <v>0</v>
      </c>
      <c r="AI12" s="15" cm="1">
        <f t="array" ref="AI12">+HLOOKUP($A$1,+[56]İcmal!$B$19:$AG$49,ROW(A10)+1,FALSE)</f>
        <v>0</v>
      </c>
      <c r="AJ12" s="15" cm="1">
        <f t="array" ref="AJ12">+HLOOKUP($A$1,+[57]İcmal!$B$19:$AG$49,ROW(A10)+1,FALSE)</f>
        <v>0</v>
      </c>
      <c r="AK12" s="15" cm="1">
        <f t="array" ref="AK12">+HLOOKUP($A$1,+[58]İcmal!$B$19:$AG$49,ROW(B10)+1,FALSE)</f>
        <v>0</v>
      </c>
      <c r="AL12" s="15"/>
      <c r="AM12" s="15"/>
      <c r="AN12" s="15"/>
      <c r="AO12" s="13"/>
    </row>
    <row r="13" spans="1:41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693</v>
      </c>
      <c r="I13" s="9">
        <f t="shared" si="2"/>
        <v>19404000</v>
      </c>
      <c r="J13" s="15" cm="1">
        <f t="array" ref="J13">+HLOOKUP($A$1,+[31]İcmal!$B$19:$AG$49,ROW(A11)+1,FALSE)</f>
        <v>0</v>
      </c>
      <c r="K13" s="15" cm="1">
        <f t="array" ref="K13">+HLOOKUP($A$1,+[32]İcmal!$B$19:$AG$49,ROW(B11)+1,FALSE)</f>
        <v>0</v>
      </c>
      <c r="L13" s="15" cm="1">
        <f t="array" ref="L13">+HLOOKUP($A$1,+[33]İcmal!$B$19:$AG$49,ROW(C11)+1,FALSE)</f>
        <v>0</v>
      </c>
      <c r="M13" s="15" cm="1">
        <f t="array" ref="M13">+HLOOKUP($A$1,+[34]İcmal!$B$19:$AG$49,ROW(D11)+1,FALSE)</f>
        <v>0</v>
      </c>
      <c r="N13" s="15" cm="1">
        <f t="array" ref="N13">+HLOOKUP($A$1,+[35]İcmal!$B$19:$AG$49,ROW(A11)+1,FALSE)</f>
        <v>99</v>
      </c>
      <c r="O13" s="15" cm="1">
        <f t="array" ref="O13">+HLOOKUP($A$1,+[36]İcmal!$B$19:$AG$49,ROW(B11)+1,FALSE)</f>
        <v>69</v>
      </c>
      <c r="P13" s="15" cm="1">
        <f t="array" ref="P13">+HLOOKUP($A$1,+[37]İcmal!$B$19:$AG$49,ROW(C11)+1,FALSE)</f>
        <v>0</v>
      </c>
      <c r="Q13" s="15" cm="1">
        <f t="array" ref="Q13">+HLOOKUP($A$1,+[38]İcmal!$B$19:$AG$49,ROW(D11)+1,FALSE)</f>
        <v>0</v>
      </c>
      <c r="R13" s="15" cm="1">
        <f t="array" ref="R13">+HLOOKUP($A$1,+[39]İcmal!$B$19:$AG$49,ROW(A11)+1,FALSE)</f>
        <v>162</v>
      </c>
      <c r="S13" s="15" cm="1">
        <f t="array" ref="S13">+HLOOKUP($A$1,+[40]İcmal!$B$19:$AG$49,ROW(B11)+1,FALSE)</f>
        <v>57</v>
      </c>
      <c r="T13" s="15" cm="1">
        <f t="array" ref="T13">+HLOOKUP($A$1,+[41]İcmal!$B$19:$AG$49,ROW(C11)+1,FALSE)</f>
        <v>0</v>
      </c>
      <c r="U13" s="15" cm="1">
        <f t="array" ref="U13">+HLOOKUP($A$1,+[42]İcmal!$B$19:$AG$49,ROW(D11)+1,FALSE)</f>
        <v>0</v>
      </c>
      <c r="V13" s="15" cm="1">
        <f t="array" ref="V13">+HLOOKUP($A$1,+[43]İcmal!$B$19:$AG$49,ROW(A11)+1,FALSE)</f>
        <v>0</v>
      </c>
      <c r="W13" s="15" cm="1">
        <f t="array" ref="W13">+HLOOKUP($A$1,+[44]İcmal!$B$19:$AG$49,ROW(B11)+1,FALSE)</f>
        <v>238</v>
      </c>
      <c r="X13" s="15" cm="1">
        <f t="array" ref="X13">+HLOOKUP($A$1,+[45]İcmal!$B$19:$AG$49,ROW(C11)+1,FALSE)</f>
        <v>0</v>
      </c>
      <c r="Y13" s="15" cm="1">
        <f t="array" ref="Y13">+HLOOKUP($A$1,+[46]İcmal!$B$19:$AG$49,ROW(D11)+1,FALSE)</f>
        <v>0</v>
      </c>
      <c r="Z13" s="15" cm="1">
        <f t="array" ref="Z13">+HLOOKUP($A$1,+[47]İcmal!$B$19:$AG$49,ROW(A11)+1,FALSE)</f>
        <v>0</v>
      </c>
      <c r="AA13" s="15" cm="1">
        <f t="array" ref="AA13">+HLOOKUP($A$1,+[48]İcmal!$B$19:$AG$49,ROW(B11)+1,FALSE)</f>
        <v>0</v>
      </c>
      <c r="AB13" s="15" cm="1">
        <f t="array" ref="AB13">+HLOOKUP($A$1,+[49]İcmal!$B$19:$AG$49,ROW(A11)+1,FALSE)</f>
        <v>22</v>
      </c>
      <c r="AC13" s="15" cm="1">
        <f t="array" ref="AC13">+HLOOKUP($A$1,+[50]İcmal!$B$19:$AG$49,ROW(A11)+1,FALSE)</f>
        <v>0</v>
      </c>
      <c r="AD13" s="15" cm="1">
        <f t="array" ref="AD13">+HLOOKUP($A$1,+[51]İcmal!$B$19:$AG$49,ROW(A11)+1,FALSE)</f>
        <v>0</v>
      </c>
      <c r="AE13" s="15" cm="1">
        <f t="array" ref="AE13">+HLOOKUP($A$1,+[52]İcmal!$B$19:$AG$49,ROW(A11)+1,FALSE)</f>
        <v>0</v>
      </c>
      <c r="AF13" s="50" cm="1">
        <f t="array" ref="AF13">+HLOOKUP($A$1,+[53]İcmal!$B$19:$AG$49,ROW(A11)+1,FALSE)</f>
        <v>24</v>
      </c>
      <c r="AG13" s="15" cm="1">
        <f t="array" ref="AG13">+HLOOKUP($A$1,+[54]İcmal!$B$19:$AG$49,ROW(A11)+1,FALSE)</f>
        <v>0</v>
      </c>
      <c r="AH13" s="15" cm="1">
        <f t="array" ref="AH13">+HLOOKUP($A$1,+[55]İcmal!$B$19:$AG$49,ROW(A11)+1,FALSE)</f>
        <v>22</v>
      </c>
      <c r="AI13" s="15" cm="1">
        <f t="array" ref="AI13">+HLOOKUP($A$1,+[56]İcmal!$B$19:$AG$49,ROW(A11)+1,FALSE)</f>
        <v>0</v>
      </c>
      <c r="AJ13" s="15" cm="1">
        <f t="array" ref="AJ13">+HLOOKUP($A$1,+[57]İcmal!$B$19:$AG$49,ROW(A11)+1,FALSE)</f>
        <v>0</v>
      </c>
      <c r="AK13" s="15" cm="1">
        <f t="array" ref="AK13">+HLOOKUP($A$1,+[58]İcmal!$B$19:$AG$49,ROW(B11)+1,FALSE)</f>
        <v>0</v>
      </c>
      <c r="AL13" s="15"/>
      <c r="AM13" s="15"/>
      <c r="AN13" s="15"/>
      <c r="AO13" s="13"/>
    </row>
    <row r="14" spans="1:41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3114</v>
      </c>
      <c r="I14" s="9">
        <f t="shared" si="2"/>
        <v>1167750</v>
      </c>
      <c r="J14" s="15" cm="1">
        <f t="array" ref="J14">+HLOOKUP($A$1,+[31]İcmal!$B$19:$AG$49,ROW(A12)+1,FALSE)</f>
        <v>0</v>
      </c>
      <c r="K14" s="15" cm="1">
        <f t="array" ref="K14">+HLOOKUP($A$1,+[32]İcmal!$B$19:$AG$49,ROW(B12)+1,FALSE)</f>
        <v>0</v>
      </c>
      <c r="L14" s="15" cm="1">
        <f t="array" ref="L14">+HLOOKUP($A$1,+[33]İcmal!$B$19:$AG$49,ROW(C12)+1,FALSE)</f>
        <v>0</v>
      </c>
      <c r="M14" s="15" cm="1">
        <f t="array" ref="M14">+HLOOKUP($A$1,+[34]İcmal!$B$19:$AG$49,ROW(D12)+1,FALSE)</f>
        <v>0</v>
      </c>
      <c r="N14" s="15" cm="1">
        <f t="array" ref="N14">+HLOOKUP($A$1,+[35]İcmal!$B$19:$AG$49,ROW(A12)+1,FALSE)</f>
        <v>216</v>
      </c>
      <c r="O14" s="15" cm="1">
        <f t="array" ref="O14">+HLOOKUP($A$1,+[36]İcmal!$B$19:$AG$49,ROW(B12)+1,FALSE)</f>
        <v>810</v>
      </c>
      <c r="P14" s="15" cm="1">
        <f t="array" ref="P14">+HLOOKUP($A$1,+[37]İcmal!$B$19:$AG$49,ROW(C12)+1,FALSE)</f>
        <v>0</v>
      </c>
      <c r="Q14" s="15" cm="1">
        <f t="array" ref="Q14">+HLOOKUP($A$1,+[38]İcmal!$B$19:$AG$49,ROW(D12)+1,FALSE)</f>
        <v>0</v>
      </c>
      <c r="R14" s="15" cm="1">
        <f t="array" ref="R14">+HLOOKUP($A$1,+[39]İcmal!$B$19:$AG$49,ROW(A12)+1,FALSE)</f>
        <v>918</v>
      </c>
      <c r="S14" s="15" cm="1">
        <f t="array" ref="S14">+HLOOKUP($A$1,+[40]İcmal!$B$19:$AG$49,ROW(B12)+1,FALSE)</f>
        <v>810</v>
      </c>
      <c r="T14" s="15" cm="1">
        <f t="array" ref="T14">+HLOOKUP($A$1,+[41]İcmal!$B$19:$AG$49,ROW(C12)+1,FALSE)</f>
        <v>0</v>
      </c>
      <c r="U14" s="15" cm="1">
        <f t="array" ref="U14">+HLOOKUP($A$1,+[42]İcmal!$B$19:$AG$49,ROW(D12)+1,FALSE)</f>
        <v>0</v>
      </c>
      <c r="V14" s="15" cm="1">
        <f t="array" ref="V14">+HLOOKUP($A$1,+[43]İcmal!$B$19:$AG$49,ROW(A12)+1,FALSE)</f>
        <v>0</v>
      </c>
      <c r="W14" s="15" cm="1">
        <f t="array" ref="W14">+HLOOKUP($A$1,+[44]İcmal!$B$19:$AG$49,ROW(B12)+1,FALSE)</f>
        <v>0</v>
      </c>
      <c r="X14" s="15" cm="1">
        <f t="array" ref="X14">+HLOOKUP($A$1,+[45]İcmal!$B$19:$AG$49,ROW(C12)+1,FALSE)</f>
        <v>0</v>
      </c>
      <c r="Y14" s="15" cm="1">
        <f t="array" ref="Y14">+HLOOKUP($A$1,+[46]İcmal!$B$19:$AG$49,ROW(D12)+1,FALSE)</f>
        <v>0</v>
      </c>
      <c r="Z14" s="15" cm="1">
        <f t="array" ref="Z14">+HLOOKUP($A$1,+[47]İcmal!$B$19:$AG$49,ROW(A12)+1,FALSE)</f>
        <v>0</v>
      </c>
      <c r="AA14" s="15" cm="1">
        <f t="array" ref="AA14">+HLOOKUP($A$1,+[48]İcmal!$B$19:$AG$49,ROW(B12)+1,FALSE)</f>
        <v>0</v>
      </c>
      <c r="AB14" s="15" cm="1">
        <f t="array" ref="AB14">+HLOOKUP($A$1,+[49]İcmal!$B$19:$AG$49,ROW(A12)+1,FALSE)</f>
        <v>0</v>
      </c>
      <c r="AC14" s="15" cm="1">
        <f t="array" ref="AC14">+HLOOKUP($A$1,+[50]İcmal!$B$19:$AG$49,ROW(A12)+1,FALSE)</f>
        <v>0</v>
      </c>
      <c r="AD14" s="15" cm="1">
        <f t="array" ref="AD14">+HLOOKUP($A$1,+[51]İcmal!$B$19:$AG$49,ROW(A12)+1,FALSE)</f>
        <v>0</v>
      </c>
      <c r="AE14" s="15" cm="1">
        <f t="array" ref="AE14">+HLOOKUP($A$1,+[52]İcmal!$B$19:$AG$49,ROW(A12)+1,FALSE)</f>
        <v>0</v>
      </c>
      <c r="AF14" s="50" cm="1">
        <f t="array" ref="AF14">+HLOOKUP($A$1,+[53]İcmal!$B$19:$AG$49,ROW(A12)+1,FALSE)</f>
        <v>180</v>
      </c>
      <c r="AG14" s="15" cm="1">
        <f t="array" ref="AG14">+HLOOKUP($A$1,+[54]İcmal!$B$19:$AG$49,ROW(A12)+1,FALSE)</f>
        <v>0</v>
      </c>
      <c r="AH14" s="15" cm="1">
        <f t="array" ref="AH14">+HLOOKUP($A$1,+[55]İcmal!$B$19:$AG$49,ROW(A12)+1,FALSE)</f>
        <v>180</v>
      </c>
      <c r="AI14" s="15" cm="1">
        <f t="array" ref="AI14">+HLOOKUP($A$1,+[56]İcmal!$B$19:$AG$49,ROW(A12)+1,FALSE)</f>
        <v>0</v>
      </c>
      <c r="AJ14" s="15" cm="1">
        <f t="array" ref="AJ14">+HLOOKUP($A$1,+[57]İcmal!$B$19:$AG$49,ROW(A12)+1,FALSE)</f>
        <v>0</v>
      </c>
      <c r="AK14" s="15" cm="1">
        <f t="array" ref="AK14">+HLOOKUP($A$1,+[58]İcmal!$B$19:$AG$49,ROW(B12)+1,FALSE)</f>
        <v>0</v>
      </c>
      <c r="AL14" s="15"/>
      <c r="AM14" s="15"/>
      <c r="AN14" s="15"/>
      <c r="AO14" s="13"/>
    </row>
    <row r="15" spans="1:41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+HLOOKUP($A$1,+[31]İcmal!$B$19:$AG$49,ROW(A13)+1,FALSE)</f>
        <v>0</v>
      </c>
      <c r="K15" s="15" cm="1">
        <f t="array" ref="K15">+HLOOKUP($A$1,+[32]İcmal!$B$19:$AG$49,ROW(B13)+1,FALSE)</f>
        <v>0</v>
      </c>
      <c r="L15" s="15" cm="1">
        <f t="array" ref="L15">+HLOOKUP($A$1,+[33]İcmal!$B$19:$AG$49,ROW(C13)+1,FALSE)</f>
        <v>0</v>
      </c>
      <c r="M15" s="15" cm="1">
        <f t="array" ref="M15">+HLOOKUP($A$1,+[34]İcmal!$B$19:$AG$49,ROW(D13)+1,FALSE)</f>
        <v>0</v>
      </c>
      <c r="N15" s="15" cm="1">
        <f t="array" ref="N15">+HLOOKUP($A$1,+[35]İcmal!$B$19:$AG$49,ROW(A13)+1,FALSE)</f>
        <v>0</v>
      </c>
      <c r="O15" s="15" cm="1">
        <f t="array" ref="O15">+HLOOKUP($A$1,+[36]İcmal!$B$19:$AG$49,ROW(B13)+1,FALSE)</f>
        <v>0</v>
      </c>
      <c r="P15" s="15" cm="1">
        <f t="array" ref="P15">+HLOOKUP($A$1,+[37]İcmal!$B$19:$AG$49,ROW(C13)+1,FALSE)</f>
        <v>0</v>
      </c>
      <c r="Q15" s="15" cm="1">
        <f t="array" ref="Q15">+HLOOKUP($A$1,+[38]İcmal!$B$19:$AG$49,ROW(D13)+1,FALSE)</f>
        <v>0</v>
      </c>
      <c r="R15" s="15" cm="1">
        <f t="array" ref="R15">+HLOOKUP($A$1,+[39]İcmal!$B$19:$AG$49,ROW(A13)+1,FALSE)</f>
        <v>0</v>
      </c>
      <c r="S15" s="15" cm="1">
        <f t="array" ref="S15">+HLOOKUP($A$1,+[40]İcmal!$B$19:$AG$49,ROW(B13)+1,FALSE)</f>
        <v>0</v>
      </c>
      <c r="T15" s="15" cm="1">
        <f t="array" ref="T15">+HLOOKUP($A$1,+[41]İcmal!$B$19:$AG$49,ROW(C13)+1,FALSE)</f>
        <v>0</v>
      </c>
      <c r="U15" s="15" cm="1">
        <f t="array" ref="U15">+HLOOKUP($A$1,+[42]İcmal!$B$19:$AG$49,ROW(D13)+1,FALSE)</f>
        <v>0</v>
      </c>
      <c r="V15" s="15" cm="1">
        <f t="array" ref="V15">+HLOOKUP($A$1,+[43]İcmal!$B$19:$AG$49,ROW(A13)+1,FALSE)</f>
        <v>0</v>
      </c>
      <c r="W15" s="15" cm="1">
        <f t="array" ref="W15">+HLOOKUP($A$1,+[44]İcmal!$B$19:$AG$49,ROW(B13)+1,FALSE)</f>
        <v>0</v>
      </c>
      <c r="X15" s="15" cm="1">
        <f t="array" ref="X15">+HLOOKUP($A$1,+[45]İcmal!$B$19:$AG$49,ROW(C13)+1,FALSE)</f>
        <v>0</v>
      </c>
      <c r="Y15" s="15" cm="1">
        <f t="array" ref="Y15">+HLOOKUP($A$1,+[46]İcmal!$B$19:$AG$49,ROW(D13)+1,FALSE)</f>
        <v>0</v>
      </c>
      <c r="Z15" s="15" cm="1">
        <f t="array" ref="Z15">+HLOOKUP($A$1,+[47]İcmal!$B$19:$AG$49,ROW(A13)+1,FALSE)</f>
        <v>0</v>
      </c>
      <c r="AA15" s="15" cm="1">
        <f t="array" ref="AA15">+HLOOKUP($A$1,+[48]İcmal!$B$19:$AG$49,ROW(B13)+1,FALSE)</f>
        <v>0</v>
      </c>
      <c r="AB15" s="15" cm="1">
        <f t="array" ref="AB15">+HLOOKUP($A$1,+[49]İcmal!$B$19:$AG$49,ROW(A13)+1,FALSE)</f>
        <v>0</v>
      </c>
      <c r="AC15" s="15" cm="1">
        <f t="array" ref="AC15">+HLOOKUP($A$1,+[50]İcmal!$B$19:$AG$49,ROW(A13)+1,FALSE)</f>
        <v>0</v>
      </c>
      <c r="AD15" s="15" cm="1">
        <f t="array" ref="AD15">+HLOOKUP($A$1,+[51]İcmal!$B$19:$AG$49,ROW(A13)+1,FALSE)</f>
        <v>0</v>
      </c>
      <c r="AE15" s="15" cm="1">
        <f t="array" ref="AE15">+HLOOKUP($A$1,+[52]İcmal!$B$19:$AG$49,ROW(A13)+1,FALSE)</f>
        <v>0</v>
      </c>
      <c r="AF15" s="50" cm="1">
        <f t="array" ref="AF15">+HLOOKUP($A$1,+[53]İcmal!$B$19:$AG$49,ROW(A13)+1,FALSE)</f>
        <v>0</v>
      </c>
      <c r="AG15" s="15" cm="1">
        <f t="array" ref="AG15">+HLOOKUP($A$1,+[54]İcmal!$B$19:$AG$49,ROW(A13)+1,FALSE)</f>
        <v>0</v>
      </c>
      <c r="AH15" s="15" cm="1">
        <f t="array" ref="AH15">+HLOOKUP($A$1,+[55]İcmal!$B$19:$AG$49,ROW(A13)+1,FALSE)</f>
        <v>0</v>
      </c>
      <c r="AI15" s="15" cm="1">
        <f t="array" ref="AI15">+HLOOKUP($A$1,+[56]İcmal!$B$19:$AG$49,ROW(A13)+1,FALSE)</f>
        <v>0</v>
      </c>
      <c r="AJ15" s="15" cm="1">
        <f t="array" ref="AJ15">+HLOOKUP($A$1,+[57]İcmal!$B$19:$AG$49,ROW(A13)+1,FALSE)</f>
        <v>0</v>
      </c>
      <c r="AK15" s="15" cm="1">
        <f t="array" ref="AK15">+HLOOKUP($A$1,+[58]İcmal!$B$19:$AG$49,ROW(B13)+1,FALSE)</f>
        <v>0</v>
      </c>
      <c r="AL15" s="15"/>
      <c r="AM15" s="15"/>
      <c r="AN15" s="15"/>
      <c r="AO15" s="13"/>
    </row>
    <row r="16" spans="1:41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140.11499999999998</v>
      </c>
      <c r="I16" s="9">
        <f t="shared" si="2"/>
        <v>14291729.999999998</v>
      </c>
      <c r="J16" s="15" cm="1">
        <f t="array" ref="J16">+HLOOKUP($A$1,+[31]İcmal!$B$19:$AG$49,ROW(A14)+1,FALSE)</f>
        <v>0</v>
      </c>
      <c r="K16" s="15" cm="1">
        <f t="array" ref="K16">+HLOOKUP($A$1,+[32]İcmal!$B$19:$AG$49,ROW(B14)+1,FALSE)</f>
        <v>0</v>
      </c>
      <c r="L16" s="15" cm="1">
        <f t="array" ref="L16">+HLOOKUP($A$1,+[33]İcmal!$B$19:$AG$49,ROW(C14)+1,FALSE)</f>
        <v>0</v>
      </c>
      <c r="M16" s="15" cm="1">
        <f t="array" ref="M16">+HLOOKUP($A$1,+[34]İcmal!$B$19:$AG$49,ROW(D14)+1,FALSE)</f>
        <v>0</v>
      </c>
      <c r="N16" s="15" cm="1">
        <f t="array" ref="N16">+HLOOKUP($A$1,+[35]İcmal!$B$19:$AG$49,ROW(A14)+1,FALSE)</f>
        <v>20.893000000000001</v>
      </c>
      <c r="O16" s="15" cm="1">
        <f t="array" ref="O16">+HLOOKUP($A$1,+[36]İcmal!$B$19:$AG$49,ROW(B14)+1,FALSE)</f>
        <v>30.842000000000002</v>
      </c>
      <c r="P16" s="15" cm="1">
        <f t="array" ref="P16">+HLOOKUP($A$1,+[37]İcmal!$B$19:$AG$49,ROW(C14)+1,FALSE)</f>
        <v>0</v>
      </c>
      <c r="Q16" s="15" cm="1">
        <f t="array" ref="Q16">+HLOOKUP($A$1,+[38]İcmal!$B$19:$AG$49,ROW(D14)+1,FALSE)</f>
        <v>0</v>
      </c>
      <c r="R16" s="15" cm="1">
        <f t="array" ref="R16">+HLOOKUP($A$1,+[39]İcmal!$B$19:$AG$49,ROW(A14)+1,FALSE)</f>
        <v>37.673999999999999</v>
      </c>
      <c r="S16" s="15" cm="1">
        <f t="array" ref="S16">+HLOOKUP($A$1,+[40]İcmal!$B$19:$AG$49,ROW(B14)+1,FALSE)</f>
        <v>29.334000000000003</v>
      </c>
      <c r="T16" s="15" cm="1">
        <f t="array" ref="T16">+HLOOKUP($A$1,+[41]İcmal!$B$19:$AG$49,ROW(C14)+1,FALSE)</f>
        <v>0</v>
      </c>
      <c r="U16" s="15" cm="1">
        <f t="array" ref="U16">+HLOOKUP($A$1,+[42]İcmal!$B$19:$AG$49,ROW(D14)+1,FALSE)</f>
        <v>0</v>
      </c>
      <c r="V16" s="15" cm="1">
        <f t="array" ref="V16">+HLOOKUP($A$1,+[43]İcmal!$B$19:$AG$49,ROW(A14)+1,FALSE)</f>
        <v>0</v>
      </c>
      <c r="W16" s="15" cm="1">
        <f t="array" ref="W16">+HLOOKUP($A$1,+[44]İcmal!$B$19:$AG$49,ROW(B14)+1,FALSE)</f>
        <v>8.472999999999999</v>
      </c>
      <c r="X16" s="15" cm="1">
        <f t="array" ref="X16">+HLOOKUP($A$1,+[45]İcmal!$B$19:$AG$49,ROW(C14)+1,FALSE)</f>
        <v>0</v>
      </c>
      <c r="Y16" s="15" cm="1">
        <f t="array" ref="Y16">+HLOOKUP($A$1,+[46]İcmal!$B$19:$AG$49,ROW(D14)+1,FALSE)</f>
        <v>0</v>
      </c>
      <c r="Z16" s="15" cm="1">
        <f t="array" ref="Z16">+HLOOKUP($A$1,+[47]İcmal!$B$19:$AG$49,ROW(A14)+1,FALSE)</f>
        <v>0</v>
      </c>
      <c r="AA16" s="15" cm="1">
        <f t="array" ref="AA16">+HLOOKUP($A$1,+[48]İcmal!$B$19:$AG$49,ROW(B14)+1,FALSE)</f>
        <v>0</v>
      </c>
      <c r="AB16" s="15" cm="1">
        <f t="array" ref="AB16">+HLOOKUP($A$1,+[49]İcmal!$B$19:$AG$49,ROW(A14)+1,FALSE)</f>
        <v>0</v>
      </c>
      <c r="AC16" s="15" cm="1">
        <f t="array" ref="AC16">+HLOOKUP($A$1,+[50]İcmal!$B$19:$AG$49,ROW(A14)+1,FALSE)</f>
        <v>0</v>
      </c>
      <c r="AD16" s="15" cm="1">
        <f t="array" ref="AD16">+HLOOKUP($A$1,+[51]İcmal!$B$19:$AG$49,ROW(A14)+1,FALSE)</f>
        <v>0</v>
      </c>
      <c r="AE16" s="15" cm="1">
        <f t="array" ref="AE16">+HLOOKUP($A$1,+[52]İcmal!$B$19:$AG$49,ROW(A14)+1,FALSE)</f>
        <v>0</v>
      </c>
      <c r="AF16" s="50" cm="1">
        <f t="array" ref="AF16">+HLOOKUP($A$1,+[53]İcmal!$B$19:$AG$49,ROW(A14)+1,FALSE)</f>
        <v>8.8520000000000003</v>
      </c>
      <c r="AG16" s="15" cm="1">
        <f t="array" ref="AG16">+HLOOKUP($A$1,+[54]İcmal!$B$19:$AG$49,ROW(A14)+1,FALSE)</f>
        <v>0</v>
      </c>
      <c r="AH16" s="15" cm="1">
        <f t="array" ref="AH16">+HLOOKUP($A$1,+[55]İcmal!$B$19:$AG$49,ROW(A14)+1,FALSE)</f>
        <v>4.0470000000000006</v>
      </c>
      <c r="AI16" s="15" cm="1">
        <f t="array" ref="AI16">+HLOOKUP($A$1,+[56]İcmal!$B$19:$AG$49,ROW(A14)+1,FALSE)</f>
        <v>0</v>
      </c>
      <c r="AJ16" s="15" cm="1">
        <f t="array" ref="AJ16">+HLOOKUP($A$1,+[57]İcmal!$B$19:$AG$49,ROW(A14)+1,FALSE)</f>
        <v>0</v>
      </c>
      <c r="AK16" s="15" cm="1">
        <f t="array" ref="AK16">+HLOOKUP($A$1,+[58]İcmal!$B$19:$AG$49,ROW(B14)+1,FALSE)</f>
        <v>0</v>
      </c>
      <c r="AL16" s="15"/>
      <c r="AM16" s="15"/>
      <c r="AN16" s="15"/>
      <c r="AO16" s="13"/>
    </row>
    <row r="17" spans="1:41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8460</v>
      </c>
      <c r="I17" s="9">
        <f t="shared" si="2"/>
        <v>28764000</v>
      </c>
      <c r="J17" s="15" cm="1">
        <f t="array" ref="J17">+HLOOKUP($A$1,+[31]İcmal!$B$19:$AG$49,ROW(A15)+1,FALSE)</f>
        <v>0</v>
      </c>
      <c r="K17" s="15" cm="1">
        <f t="array" ref="K17">+HLOOKUP($A$1,+[32]İcmal!$B$19:$AG$49,ROW(B15)+1,FALSE)</f>
        <v>0</v>
      </c>
      <c r="L17" s="15" cm="1">
        <f t="array" ref="L17">+HLOOKUP($A$1,+[33]İcmal!$B$19:$AG$49,ROW(C15)+1,FALSE)</f>
        <v>0</v>
      </c>
      <c r="M17" s="15" cm="1">
        <f t="array" ref="M17">+HLOOKUP($A$1,+[34]İcmal!$B$19:$AG$49,ROW(D15)+1,FALSE)</f>
        <v>0</v>
      </c>
      <c r="N17" s="15" cm="1">
        <f t="array" ref="N17">+HLOOKUP($A$1,+[35]İcmal!$B$19:$AG$49,ROW(A15)+1,FALSE)</f>
        <v>477</v>
      </c>
      <c r="O17" s="15" cm="1">
        <f t="array" ref="O17">+HLOOKUP($A$1,+[36]İcmal!$B$19:$AG$49,ROW(B15)+1,FALSE)</f>
        <v>2115</v>
      </c>
      <c r="P17" s="15" cm="1">
        <f t="array" ref="P17">+HLOOKUP($A$1,+[37]İcmal!$B$19:$AG$49,ROW(C15)+1,FALSE)</f>
        <v>0</v>
      </c>
      <c r="Q17" s="15" cm="1">
        <f t="array" ref="Q17">+HLOOKUP($A$1,+[38]İcmal!$B$19:$AG$49,ROW(D15)+1,FALSE)</f>
        <v>0</v>
      </c>
      <c r="R17" s="15" cm="1">
        <f t="array" ref="R17">+HLOOKUP($A$1,+[39]İcmal!$B$19:$AG$49,ROW(A15)+1,FALSE)</f>
        <v>2088</v>
      </c>
      <c r="S17" s="15" cm="1">
        <f t="array" ref="S17">+HLOOKUP($A$1,+[40]İcmal!$B$19:$AG$49,ROW(B15)+1,FALSE)</f>
        <v>2115</v>
      </c>
      <c r="T17" s="15" cm="1">
        <f t="array" ref="T17">+HLOOKUP($A$1,+[41]İcmal!$B$19:$AG$49,ROW(C15)+1,FALSE)</f>
        <v>0</v>
      </c>
      <c r="U17" s="15" cm="1">
        <f t="array" ref="U17">+HLOOKUP($A$1,+[42]İcmal!$B$19:$AG$49,ROW(D15)+1,FALSE)</f>
        <v>0</v>
      </c>
      <c r="V17" s="15" cm="1">
        <f t="array" ref="V17">+HLOOKUP($A$1,+[43]İcmal!$B$19:$AG$49,ROW(A15)+1,FALSE)</f>
        <v>0</v>
      </c>
      <c r="W17" s="15" cm="1">
        <f t="array" ref="W17">+HLOOKUP($A$1,+[44]İcmal!$B$19:$AG$49,ROW(B15)+1,FALSE)</f>
        <v>0</v>
      </c>
      <c r="X17" s="15" cm="1">
        <f t="array" ref="X17">+HLOOKUP($A$1,+[45]İcmal!$B$19:$AG$49,ROW(C15)+1,FALSE)</f>
        <v>0</v>
      </c>
      <c r="Y17" s="15" cm="1">
        <f t="array" ref="Y17">+HLOOKUP($A$1,+[46]İcmal!$B$19:$AG$49,ROW(D15)+1,FALSE)</f>
        <v>0</v>
      </c>
      <c r="Z17" s="15" cm="1">
        <f t="array" ref="Z17">+HLOOKUP($A$1,+[47]İcmal!$B$19:$AG$49,ROW(A15)+1,FALSE)</f>
        <v>0</v>
      </c>
      <c r="AA17" s="15" cm="1">
        <f t="array" ref="AA17">+HLOOKUP($A$1,+[48]İcmal!$B$19:$AG$49,ROW(B15)+1,FALSE)</f>
        <v>0</v>
      </c>
      <c r="AB17" s="15" cm="1">
        <f t="array" ref="AB17">+HLOOKUP($A$1,+[49]İcmal!$B$19:$AG$49,ROW(A15)+1,FALSE)</f>
        <v>333</v>
      </c>
      <c r="AC17" s="15" cm="1">
        <f t="array" ref="AC17">+HLOOKUP($A$1,+[50]İcmal!$B$19:$AG$49,ROW(A15)+1,FALSE)</f>
        <v>0</v>
      </c>
      <c r="AD17" s="15" cm="1">
        <f t="array" ref="AD17">+HLOOKUP($A$1,+[51]İcmal!$B$19:$AG$49,ROW(A15)+1,FALSE)</f>
        <v>0</v>
      </c>
      <c r="AE17" s="15" cm="1">
        <f t="array" ref="AE17">+HLOOKUP($A$1,+[52]İcmal!$B$19:$AG$49,ROW(A15)+1,FALSE)</f>
        <v>0</v>
      </c>
      <c r="AF17" s="50" cm="1">
        <f t="array" ref="AF17">+HLOOKUP($A$1,+[53]İcmal!$B$19:$AG$49,ROW(A15)+1,FALSE)</f>
        <v>666</v>
      </c>
      <c r="AG17" s="15" cm="1">
        <f t="array" ref="AG17">+HLOOKUP($A$1,+[54]İcmal!$B$19:$AG$49,ROW(A15)+1,FALSE)</f>
        <v>0</v>
      </c>
      <c r="AH17" s="15" cm="1">
        <f t="array" ref="AH17">+HLOOKUP($A$1,+[55]İcmal!$B$19:$AG$49,ROW(A15)+1,FALSE)</f>
        <v>666</v>
      </c>
      <c r="AI17" s="15" cm="1">
        <f t="array" ref="AI17">+HLOOKUP($A$1,+[56]İcmal!$B$19:$AG$49,ROW(A15)+1,FALSE)</f>
        <v>0</v>
      </c>
      <c r="AJ17" s="15" cm="1">
        <f t="array" ref="AJ17">+HLOOKUP($A$1,+[57]İcmal!$B$19:$AG$49,ROW(A15)+1,FALSE)</f>
        <v>0</v>
      </c>
      <c r="AK17" s="15" cm="1">
        <f t="array" ref="AK17">+HLOOKUP($A$1,+[58]İcmal!$B$19:$AG$49,ROW(B15)+1,FALSE)</f>
        <v>0</v>
      </c>
      <c r="AL17" s="15"/>
      <c r="AM17" s="15"/>
      <c r="AN17" s="15"/>
      <c r="AO17" s="13"/>
    </row>
    <row r="18" spans="1:41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+HLOOKUP($A$1,+[31]İcmal!$B$19:$AG$49,ROW(A16)+1,FALSE)</f>
        <v>0</v>
      </c>
      <c r="K18" s="15" cm="1">
        <f t="array" ref="K18">+HLOOKUP($A$1,+[32]İcmal!$B$19:$AG$49,ROW(B16)+1,FALSE)</f>
        <v>0</v>
      </c>
      <c r="L18" s="15" cm="1">
        <f t="array" ref="L18">+HLOOKUP($A$1,+[33]İcmal!$B$19:$AG$49,ROW(C16)+1,FALSE)</f>
        <v>0</v>
      </c>
      <c r="M18" s="15" cm="1">
        <f t="array" ref="M18">+HLOOKUP($A$1,+[34]İcmal!$B$19:$AG$49,ROW(D16)+1,FALSE)</f>
        <v>0</v>
      </c>
      <c r="N18" s="15" cm="1">
        <f t="array" ref="N18">+HLOOKUP($A$1,+[35]İcmal!$B$19:$AG$49,ROW(A16)+1,FALSE)</f>
        <v>0</v>
      </c>
      <c r="O18" s="15" cm="1">
        <f t="array" ref="O18">+HLOOKUP($A$1,+[36]İcmal!$B$19:$AG$49,ROW(B16)+1,FALSE)</f>
        <v>0</v>
      </c>
      <c r="P18" s="15" cm="1">
        <f t="array" ref="P18">+HLOOKUP($A$1,+[37]İcmal!$B$19:$AG$49,ROW(C16)+1,FALSE)</f>
        <v>0</v>
      </c>
      <c r="Q18" s="15" cm="1">
        <f t="array" ref="Q18">+HLOOKUP($A$1,+[38]İcmal!$B$19:$AG$49,ROW(D16)+1,FALSE)</f>
        <v>0</v>
      </c>
      <c r="R18" s="15" cm="1">
        <f t="array" ref="R18">+HLOOKUP($A$1,+[39]İcmal!$B$19:$AG$49,ROW(A16)+1,FALSE)</f>
        <v>0</v>
      </c>
      <c r="S18" s="15" cm="1">
        <f t="array" ref="S18">+HLOOKUP($A$1,+[40]İcmal!$B$19:$AG$49,ROW(B16)+1,FALSE)</f>
        <v>0</v>
      </c>
      <c r="T18" s="15" cm="1">
        <f t="array" ref="T18">+HLOOKUP($A$1,+[41]İcmal!$B$19:$AG$49,ROW(C16)+1,FALSE)</f>
        <v>0</v>
      </c>
      <c r="U18" s="15" cm="1">
        <f t="array" ref="U18">+HLOOKUP($A$1,+[42]İcmal!$B$19:$AG$49,ROW(D16)+1,FALSE)</f>
        <v>0</v>
      </c>
      <c r="V18" s="15" cm="1">
        <f t="array" ref="V18">+HLOOKUP($A$1,+[43]İcmal!$B$19:$AG$49,ROW(A16)+1,FALSE)</f>
        <v>0</v>
      </c>
      <c r="W18" s="15" cm="1">
        <f t="array" ref="W18">+HLOOKUP($A$1,+[44]İcmal!$B$19:$AG$49,ROW(B16)+1,FALSE)</f>
        <v>0</v>
      </c>
      <c r="X18" s="15" cm="1">
        <f t="array" ref="X18">+HLOOKUP($A$1,+[45]İcmal!$B$19:$AG$49,ROW(C16)+1,FALSE)</f>
        <v>0</v>
      </c>
      <c r="Y18" s="15" cm="1">
        <f t="array" ref="Y18">+HLOOKUP($A$1,+[46]İcmal!$B$19:$AG$49,ROW(D16)+1,FALSE)</f>
        <v>0</v>
      </c>
      <c r="Z18" s="15" cm="1">
        <f t="array" ref="Z18">+HLOOKUP($A$1,+[47]İcmal!$B$19:$AG$49,ROW(A16)+1,FALSE)</f>
        <v>0</v>
      </c>
      <c r="AA18" s="15" cm="1">
        <f t="array" ref="AA18">+HLOOKUP($A$1,+[48]İcmal!$B$19:$AG$49,ROW(B16)+1,FALSE)</f>
        <v>0</v>
      </c>
      <c r="AB18" s="15" cm="1">
        <f t="array" ref="AB18">+HLOOKUP($A$1,+[49]İcmal!$B$19:$AG$49,ROW(A16)+1,FALSE)</f>
        <v>0</v>
      </c>
      <c r="AC18" s="15" cm="1">
        <f t="array" ref="AC18">+HLOOKUP($A$1,+[50]İcmal!$B$19:$AG$49,ROW(A16)+1,FALSE)</f>
        <v>0</v>
      </c>
      <c r="AD18" s="15" cm="1">
        <f t="array" ref="AD18">+HLOOKUP($A$1,+[51]İcmal!$B$19:$AG$49,ROW(A16)+1,FALSE)</f>
        <v>0</v>
      </c>
      <c r="AE18" s="15" cm="1">
        <f t="array" ref="AE18">+HLOOKUP($A$1,+[52]İcmal!$B$19:$AG$49,ROW(A16)+1,FALSE)</f>
        <v>0</v>
      </c>
      <c r="AF18" s="50" cm="1">
        <f t="array" ref="AF18">+HLOOKUP($A$1,+[53]İcmal!$B$19:$AG$49,ROW(A16)+1,FALSE)</f>
        <v>0</v>
      </c>
      <c r="AG18" s="15" cm="1">
        <f t="array" ref="AG18">+HLOOKUP($A$1,+[54]İcmal!$B$19:$AG$49,ROW(A16)+1,FALSE)</f>
        <v>0</v>
      </c>
      <c r="AH18" s="15" cm="1">
        <f t="array" ref="AH18">+HLOOKUP($A$1,+[55]İcmal!$B$19:$AG$49,ROW(A16)+1,FALSE)</f>
        <v>0</v>
      </c>
      <c r="AI18" s="15" cm="1">
        <f t="array" ref="AI18">+HLOOKUP($A$1,+[56]İcmal!$B$19:$AG$49,ROW(A16)+1,FALSE)</f>
        <v>0</v>
      </c>
      <c r="AJ18" s="15" cm="1">
        <f t="array" ref="AJ18">+HLOOKUP($A$1,+[57]İcmal!$B$19:$AG$49,ROW(A16)+1,FALSE)</f>
        <v>0</v>
      </c>
      <c r="AK18" s="15" cm="1">
        <f t="array" ref="AK18">+HLOOKUP($A$1,+[58]İcmal!$B$19:$AG$49,ROW(B16)+1,FALSE)</f>
        <v>0</v>
      </c>
      <c r="AL18" s="15"/>
      <c r="AM18" s="15"/>
      <c r="AN18" s="15"/>
      <c r="AO18" s="13"/>
    </row>
    <row r="19" spans="1:41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+HLOOKUP($A$1,+[31]İcmal!$B$19:$AG$49,ROW(A17)+1,FALSE)</f>
        <v>0</v>
      </c>
      <c r="K19" s="15" cm="1">
        <f t="array" ref="K19">+HLOOKUP($A$1,+[32]İcmal!$B$19:$AG$49,ROW(B17)+1,FALSE)</f>
        <v>0</v>
      </c>
      <c r="L19" s="15" cm="1">
        <f t="array" ref="L19">+HLOOKUP($A$1,+[33]İcmal!$B$19:$AG$49,ROW(C17)+1,FALSE)</f>
        <v>0</v>
      </c>
      <c r="M19" s="15" cm="1">
        <f t="array" ref="M19">+HLOOKUP($A$1,+[34]İcmal!$B$19:$AG$49,ROW(D17)+1,FALSE)</f>
        <v>0</v>
      </c>
      <c r="N19" s="15" cm="1">
        <f t="array" ref="N19">+HLOOKUP($A$1,+[35]İcmal!$B$19:$AG$49,ROW(A17)+1,FALSE)</f>
        <v>0</v>
      </c>
      <c r="O19" s="15" cm="1">
        <f t="array" ref="O19">+HLOOKUP($A$1,+[36]İcmal!$B$19:$AG$49,ROW(B17)+1,FALSE)</f>
        <v>0</v>
      </c>
      <c r="P19" s="15" cm="1">
        <f t="array" ref="P19">+HLOOKUP($A$1,+[37]İcmal!$B$19:$AG$49,ROW(C17)+1,FALSE)</f>
        <v>0</v>
      </c>
      <c r="Q19" s="15" cm="1">
        <f t="array" ref="Q19">+HLOOKUP($A$1,+[38]İcmal!$B$19:$AG$49,ROW(D17)+1,FALSE)</f>
        <v>0</v>
      </c>
      <c r="R19" s="15" cm="1">
        <f t="array" ref="R19">+HLOOKUP($A$1,+[39]İcmal!$B$19:$AG$49,ROW(A17)+1,FALSE)</f>
        <v>0</v>
      </c>
      <c r="S19" s="15" cm="1">
        <f t="array" ref="S19">+HLOOKUP($A$1,+[40]İcmal!$B$19:$AG$49,ROW(B17)+1,FALSE)</f>
        <v>0</v>
      </c>
      <c r="T19" s="15" cm="1">
        <f t="array" ref="T19">+HLOOKUP($A$1,+[41]İcmal!$B$19:$AG$49,ROW(C17)+1,FALSE)</f>
        <v>0</v>
      </c>
      <c r="U19" s="15" cm="1">
        <f t="array" ref="U19">+HLOOKUP($A$1,+[42]İcmal!$B$19:$AG$49,ROW(D17)+1,FALSE)</f>
        <v>0</v>
      </c>
      <c r="V19" s="15" cm="1">
        <f t="array" ref="V19">+HLOOKUP($A$1,+[43]İcmal!$B$19:$AG$49,ROW(A17)+1,FALSE)</f>
        <v>0</v>
      </c>
      <c r="W19" s="15" cm="1">
        <f t="array" ref="W19">+HLOOKUP($A$1,+[44]İcmal!$B$19:$AG$49,ROW(B17)+1,FALSE)</f>
        <v>0</v>
      </c>
      <c r="X19" s="15" cm="1">
        <f t="array" ref="X19">+HLOOKUP($A$1,+[45]İcmal!$B$19:$AG$49,ROW(C17)+1,FALSE)</f>
        <v>0</v>
      </c>
      <c r="Y19" s="15" cm="1">
        <f t="array" ref="Y19">+HLOOKUP($A$1,+[46]İcmal!$B$19:$AG$49,ROW(D17)+1,FALSE)</f>
        <v>0</v>
      </c>
      <c r="Z19" s="15" cm="1">
        <f t="array" ref="Z19">+HLOOKUP($A$1,+[47]İcmal!$B$19:$AG$49,ROW(A17)+1,FALSE)</f>
        <v>0</v>
      </c>
      <c r="AA19" s="15" cm="1">
        <f t="array" ref="AA19">+HLOOKUP($A$1,+[48]İcmal!$B$19:$AG$49,ROW(B17)+1,FALSE)</f>
        <v>0</v>
      </c>
      <c r="AB19" s="15" cm="1">
        <f t="array" ref="AB19">+HLOOKUP($A$1,+[49]İcmal!$B$19:$AG$49,ROW(A17)+1,FALSE)</f>
        <v>0</v>
      </c>
      <c r="AC19" s="15" cm="1">
        <f t="array" ref="AC19">+HLOOKUP($A$1,+[50]İcmal!$B$19:$AG$49,ROW(A17)+1,FALSE)</f>
        <v>0</v>
      </c>
      <c r="AD19" s="15" cm="1">
        <f t="array" ref="AD19">+HLOOKUP($A$1,+[51]İcmal!$B$19:$AG$49,ROW(A17)+1,FALSE)</f>
        <v>0</v>
      </c>
      <c r="AE19" s="15" cm="1">
        <f t="array" ref="AE19">+HLOOKUP($A$1,+[52]İcmal!$B$19:$AG$49,ROW(A17)+1,FALSE)</f>
        <v>0</v>
      </c>
      <c r="AF19" s="50" cm="1">
        <f t="array" ref="AF19">+HLOOKUP($A$1,+[53]İcmal!$B$19:$AG$49,ROW(A17)+1,FALSE)</f>
        <v>0</v>
      </c>
      <c r="AG19" s="15" cm="1">
        <f t="array" ref="AG19">+HLOOKUP($A$1,+[54]İcmal!$B$19:$AG$49,ROW(A17)+1,FALSE)</f>
        <v>0</v>
      </c>
      <c r="AH19" s="15" cm="1">
        <f t="array" ref="AH19">+HLOOKUP($A$1,+[55]İcmal!$B$19:$AG$49,ROW(A17)+1,FALSE)</f>
        <v>0</v>
      </c>
      <c r="AI19" s="15" cm="1">
        <f t="array" ref="AI19">+HLOOKUP($A$1,+[56]İcmal!$B$19:$AG$49,ROW(A17)+1,FALSE)</f>
        <v>0</v>
      </c>
      <c r="AJ19" s="15" cm="1">
        <f t="array" ref="AJ19">+HLOOKUP($A$1,+[57]İcmal!$B$19:$AG$49,ROW(A17)+1,FALSE)</f>
        <v>0</v>
      </c>
      <c r="AK19" s="15" cm="1">
        <f t="array" ref="AK19">+HLOOKUP($A$1,+[58]İcmal!$B$19:$AG$49,ROW(B17)+1,FALSE)</f>
        <v>0</v>
      </c>
      <c r="AL19" s="15"/>
      <c r="AM19" s="15"/>
      <c r="AN19" s="15"/>
      <c r="AO19" s="13"/>
    </row>
    <row r="20" spans="1:41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+HLOOKUP($A$1,+[31]İcmal!$B$19:$AG$49,ROW(A18)+1,FALSE)</f>
        <v>0</v>
      </c>
      <c r="K20" s="15" cm="1">
        <f t="array" ref="K20">+HLOOKUP($A$1,+[32]İcmal!$B$19:$AG$49,ROW(B18)+1,FALSE)</f>
        <v>0</v>
      </c>
      <c r="L20" s="15" cm="1">
        <f t="array" ref="L20">+HLOOKUP($A$1,+[33]İcmal!$B$19:$AG$49,ROW(C18)+1,FALSE)</f>
        <v>0</v>
      </c>
      <c r="M20" s="15" cm="1">
        <f t="array" ref="M20">+HLOOKUP($A$1,+[34]İcmal!$B$19:$AG$49,ROW(D18)+1,FALSE)</f>
        <v>0</v>
      </c>
      <c r="N20" s="15" cm="1">
        <f t="array" ref="N20">+HLOOKUP($A$1,+[35]İcmal!$B$19:$AG$49,ROW(A18)+1,FALSE)</f>
        <v>0</v>
      </c>
      <c r="O20" s="15" cm="1">
        <f t="array" ref="O20">+HLOOKUP($A$1,+[36]İcmal!$B$19:$AG$49,ROW(B18)+1,FALSE)</f>
        <v>0</v>
      </c>
      <c r="P20" s="15" cm="1">
        <f t="array" ref="P20">+HLOOKUP($A$1,+[37]İcmal!$B$19:$AG$49,ROW(C18)+1,FALSE)</f>
        <v>0</v>
      </c>
      <c r="Q20" s="15" cm="1">
        <f t="array" ref="Q20">+HLOOKUP($A$1,+[38]İcmal!$B$19:$AG$49,ROW(D18)+1,FALSE)</f>
        <v>0</v>
      </c>
      <c r="R20" s="15" cm="1">
        <f t="array" ref="R20">+HLOOKUP($A$1,+[39]İcmal!$B$19:$AG$49,ROW(A18)+1,FALSE)</f>
        <v>0</v>
      </c>
      <c r="S20" s="15" cm="1">
        <f t="array" ref="S20">+HLOOKUP($A$1,+[40]İcmal!$B$19:$AG$49,ROW(B18)+1,FALSE)</f>
        <v>0</v>
      </c>
      <c r="T20" s="15" cm="1">
        <f t="array" ref="T20">+HLOOKUP($A$1,+[41]İcmal!$B$19:$AG$49,ROW(C18)+1,FALSE)</f>
        <v>0</v>
      </c>
      <c r="U20" s="15" cm="1">
        <f t="array" ref="U20">+HLOOKUP($A$1,+[42]İcmal!$B$19:$AG$49,ROW(D18)+1,FALSE)</f>
        <v>0</v>
      </c>
      <c r="V20" s="15" cm="1">
        <f t="array" ref="V20">+HLOOKUP($A$1,+[43]İcmal!$B$19:$AG$49,ROW(A18)+1,FALSE)</f>
        <v>0</v>
      </c>
      <c r="W20" s="15" cm="1">
        <f t="array" ref="W20">+HLOOKUP($A$1,+[44]İcmal!$B$19:$AG$49,ROW(B18)+1,FALSE)</f>
        <v>0</v>
      </c>
      <c r="X20" s="15" cm="1">
        <f t="array" ref="X20">+HLOOKUP($A$1,+[45]İcmal!$B$19:$AG$49,ROW(C18)+1,FALSE)</f>
        <v>0</v>
      </c>
      <c r="Y20" s="15" cm="1">
        <f t="array" ref="Y20">+HLOOKUP($A$1,+[46]İcmal!$B$19:$AG$49,ROW(D18)+1,FALSE)</f>
        <v>0</v>
      </c>
      <c r="Z20" s="15" cm="1">
        <f t="array" ref="Z20">+HLOOKUP($A$1,+[47]İcmal!$B$19:$AG$49,ROW(A18)+1,FALSE)</f>
        <v>0</v>
      </c>
      <c r="AA20" s="15" cm="1">
        <f t="array" ref="AA20">+HLOOKUP($A$1,+[48]İcmal!$B$19:$AG$49,ROW(B18)+1,FALSE)</f>
        <v>0</v>
      </c>
      <c r="AB20" s="15" cm="1">
        <f t="array" ref="AB20">+HLOOKUP($A$1,+[49]İcmal!$B$19:$AG$49,ROW(A18)+1,FALSE)</f>
        <v>0</v>
      </c>
      <c r="AC20" s="15" cm="1">
        <f t="array" ref="AC20">+HLOOKUP($A$1,+[50]İcmal!$B$19:$AG$49,ROW(A18)+1,FALSE)</f>
        <v>0</v>
      </c>
      <c r="AD20" s="15" cm="1">
        <f t="array" ref="AD20">+HLOOKUP($A$1,+[51]İcmal!$B$19:$AG$49,ROW(A18)+1,FALSE)</f>
        <v>0</v>
      </c>
      <c r="AE20" s="15" cm="1">
        <f t="array" ref="AE20">+HLOOKUP($A$1,+[52]İcmal!$B$19:$AG$49,ROW(A18)+1,FALSE)</f>
        <v>0</v>
      </c>
      <c r="AF20" s="50" cm="1">
        <f t="array" ref="AF20">+HLOOKUP($A$1,+[53]İcmal!$B$19:$AG$49,ROW(A18)+1,FALSE)</f>
        <v>0</v>
      </c>
      <c r="AG20" s="15" cm="1">
        <f t="array" ref="AG20">+HLOOKUP($A$1,+[54]İcmal!$B$19:$AG$49,ROW(A18)+1,FALSE)</f>
        <v>0</v>
      </c>
      <c r="AH20" s="15" cm="1">
        <f t="array" ref="AH20">+HLOOKUP($A$1,+[55]İcmal!$B$19:$AG$49,ROW(A18)+1,FALSE)</f>
        <v>0</v>
      </c>
      <c r="AI20" s="15" cm="1">
        <f t="array" ref="AI20">+HLOOKUP($A$1,+[56]İcmal!$B$19:$AG$49,ROW(A18)+1,FALSE)</f>
        <v>0</v>
      </c>
      <c r="AJ20" s="15" cm="1">
        <f t="array" ref="AJ20">+HLOOKUP($A$1,+[57]İcmal!$B$19:$AG$49,ROW(A18)+1,FALSE)</f>
        <v>0</v>
      </c>
      <c r="AK20" s="15" cm="1">
        <f t="array" ref="AK20">+HLOOKUP($A$1,+[58]İcmal!$B$19:$AG$49,ROW(B18)+1,FALSE)</f>
        <v>0</v>
      </c>
      <c r="AL20" s="15"/>
      <c r="AM20" s="15"/>
      <c r="AN20" s="15"/>
      <c r="AO20" s="13"/>
    </row>
    <row r="21" spans="1:41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+HLOOKUP($A$1,+[31]İcmal!$B$19:$AG$49,ROW(A19)+1,FALSE)</f>
        <v>0</v>
      </c>
      <c r="K21" s="15" cm="1">
        <f t="array" ref="K21">+HLOOKUP($A$1,+[32]İcmal!$B$19:$AG$49,ROW(B19)+1,FALSE)</f>
        <v>0</v>
      </c>
      <c r="L21" s="15" cm="1">
        <f t="array" ref="L21">+HLOOKUP($A$1,+[33]İcmal!$B$19:$AG$49,ROW(C19)+1,FALSE)</f>
        <v>0</v>
      </c>
      <c r="M21" s="15" cm="1">
        <f t="array" ref="M21">+HLOOKUP($A$1,+[34]İcmal!$B$19:$AG$49,ROW(D19)+1,FALSE)</f>
        <v>0</v>
      </c>
      <c r="N21" s="15" cm="1">
        <f t="array" ref="N21">+HLOOKUP($A$1,+[35]İcmal!$B$19:$AG$49,ROW(A19)+1,FALSE)</f>
        <v>0</v>
      </c>
      <c r="O21" s="15" cm="1">
        <f t="array" ref="O21">+HLOOKUP($A$1,+[36]İcmal!$B$19:$AG$49,ROW(B19)+1,FALSE)</f>
        <v>0</v>
      </c>
      <c r="P21" s="15" cm="1">
        <f t="array" ref="P21">+HLOOKUP($A$1,+[37]İcmal!$B$19:$AG$49,ROW(C19)+1,FALSE)</f>
        <v>0</v>
      </c>
      <c r="Q21" s="15" cm="1">
        <f t="array" ref="Q21">+HLOOKUP($A$1,+[38]İcmal!$B$19:$AG$49,ROW(D19)+1,FALSE)</f>
        <v>0</v>
      </c>
      <c r="R21" s="15" cm="1">
        <f t="array" ref="R21">+HLOOKUP($A$1,+[39]İcmal!$B$19:$AG$49,ROW(A19)+1,FALSE)</f>
        <v>0</v>
      </c>
      <c r="S21" s="15" cm="1">
        <f t="array" ref="S21">+HLOOKUP($A$1,+[40]İcmal!$B$19:$AG$49,ROW(B19)+1,FALSE)</f>
        <v>0</v>
      </c>
      <c r="T21" s="15" cm="1">
        <f t="array" ref="T21">+HLOOKUP($A$1,+[41]İcmal!$B$19:$AG$49,ROW(C19)+1,FALSE)</f>
        <v>0</v>
      </c>
      <c r="U21" s="15" cm="1">
        <f t="array" ref="U21">+HLOOKUP($A$1,+[42]İcmal!$B$19:$AG$49,ROW(D19)+1,FALSE)</f>
        <v>0</v>
      </c>
      <c r="V21" s="15" cm="1">
        <f t="array" ref="V21">+HLOOKUP($A$1,+[43]İcmal!$B$19:$AG$49,ROW(A19)+1,FALSE)</f>
        <v>0</v>
      </c>
      <c r="W21" s="15" cm="1">
        <f t="array" ref="W21">+HLOOKUP($A$1,+[44]İcmal!$B$19:$AG$49,ROW(B19)+1,FALSE)</f>
        <v>0</v>
      </c>
      <c r="X21" s="15" cm="1">
        <f t="array" ref="X21">+HLOOKUP($A$1,+[45]İcmal!$B$19:$AG$49,ROW(C19)+1,FALSE)</f>
        <v>0</v>
      </c>
      <c r="Y21" s="15" cm="1">
        <f t="array" ref="Y21">+HLOOKUP($A$1,+[46]İcmal!$B$19:$AG$49,ROW(D19)+1,FALSE)</f>
        <v>0</v>
      </c>
      <c r="Z21" s="15" cm="1">
        <f t="array" ref="Z21">+HLOOKUP($A$1,+[47]İcmal!$B$19:$AG$49,ROW(A19)+1,FALSE)</f>
        <v>0</v>
      </c>
      <c r="AA21" s="15" cm="1">
        <f t="array" ref="AA21">+HLOOKUP($A$1,+[48]İcmal!$B$19:$AG$49,ROW(B19)+1,FALSE)</f>
        <v>0</v>
      </c>
      <c r="AB21" s="15" cm="1">
        <f t="array" ref="AB21">+HLOOKUP($A$1,+[49]İcmal!$B$19:$AG$49,ROW(A19)+1,FALSE)</f>
        <v>0</v>
      </c>
      <c r="AC21" s="15" cm="1">
        <f t="array" ref="AC21">+HLOOKUP($A$1,+[50]İcmal!$B$19:$AG$49,ROW(A19)+1,FALSE)</f>
        <v>0</v>
      </c>
      <c r="AD21" s="15" cm="1">
        <f t="array" ref="AD21">+HLOOKUP($A$1,+[51]İcmal!$B$19:$AG$49,ROW(A19)+1,FALSE)</f>
        <v>0</v>
      </c>
      <c r="AE21" s="15" cm="1">
        <f t="array" ref="AE21">+HLOOKUP($A$1,+[52]İcmal!$B$19:$AG$49,ROW(A19)+1,FALSE)</f>
        <v>0</v>
      </c>
      <c r="AF21" s="50" cm="1">
        <f t="array" ref="AF21">+HLOOKUP($A$1,+[53]İcmal!$B$19:$AG$49,ROW(A19)+1,FALSE)</f>
        <v>0</v>
      </c>
      <c r="AG21" s="15" cm="1">
        <f t="array" ref="AG21">+HLOOKUP($A$1,+[54]İcmal!$B$19:$AG$49,ROW(A19)+1,FALSE)</f>
        <v>0</v>
      </c>
      <c r="AH21" s="15" cm="1">
        <f t="array" ref="AH21">+HLOOKUP($A$1,+[55]İcmal!$B$19:$AG$49,ROW(A19)+1,FALSE)</f>
        <v>0</v>
      </c>
      <c r="AI21" s="15" cm="1">
        <f t="array" ref="AI21">+HLOOKUP($A$1,+[56]İcmal!$B$19:$AG$49,ROW(A19)+1,FALSE)</f>
        <v>0</v>
      </c>
      <c r="AJ21" s="15" cm="1">
        <f t="array" ref="AJ21">+HLOOKUP($A$1,+[57]İcmal!$B$19:$AG$49,ROW(A19)+1,FALSE)</f>
        <v>0</v>
      </c>
      <c r="AK21" s="15" cm="1">
        <f t="array" ref="AK21">+HLOOKUP($A$1,+[58]İcmal!$B$19:$AG$49,ROW(B19)+1,FALSE)</f>
        <v>0</v>
      </c>
      <c r="AL21" s="15"/>
      <c r="AM21" s="15"/>
      <c r="AN21" s="15"/>
      <c r="AO21" s="13"/>
    </row>
    <row r="22" spans="1:41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+HLOOKUP($A$1,+[31]İcmal!$B$19:$AG$49,ROW(A20)+1,FALSE)</f>
        <v>0</v>
      </c>
      <c r="K22" s="15" cm="1">
        <f t="array" ref="K22">+HLOOKUP($A$1,+[32]İcmal!$B$19:$AG$49,ROW(B20)+1,FALSE)</f>
        <v>0</v>
      </c>
      <c r="L22" s="15" cm="1">
        <f t="array" ref="L22">+HLOOKUP($A$1,+[33]İcmal!$B$19:$AG$49,ROW(C20)+1,FALSE)</f>
        <v>0</v>
      </c>
      <c r="M22" s="15" cm="1">
        <f t="array" ref="M22">+HLOOKUP($A$1,+[34]İcmal!$B$19:$AG$49,ROW(D20)+1,FALSE)</f>
        <v>0</v>
      </c>
      <c r="N22" s="15" cm="1">
        <f t="array" ref="N22">+HLOOKUP($A$1,+[35]İcmal!$B$19:$AG$49,ROW(A20)+1,FALSE)</f>
        <v>0</v>
      </c>
      <c r="O22" s="15" cm="1">
        <f t="array" ref="O22">+HLOOKUP($A$1,+[36]İcmal!$B$19:$AG$49,ROW(B20)+1,FALSE)</f>
        <v>0</v>
      </c>
      <c r="P22" s="15" cm="1">
        <f t="array" ref="P22">+HLOOKUP($A$1,+[37]İcmal!$B$19:$AG$49,ROW(C20)+1,FALSE)</f>
        <v>0</v>
      </c>
      <c r="Q22" s="15" cm="1">
        <f t="array" ref="Q22">+HLOOKUP($A$1,+[38]İcmal!$B$19:$AG$49,ROW(D20)+1,FALSE)</f>
        <v>0</v>
      </c>
      <c r="R22" s="15" cm="1">
        <f t="array" ref="R22">+HLOOKUP($A$1,+[39]İcmal!$B$19:$AG$49,ROW(A20)+1,FALSE)</f>
        <v>0</v>
      </c>
      <c r="S22" s="15" cm="1">
        <f t="array" ref="S22">+HLOOKUP($A$1,+[40]İcmal!$B$19:$AG$49,ROW(B20)+1,FALSE)</f>
        <v>0</v>
      </c>
      <c r="T22" s="15" cm="1">
        <f t="array" ref="T22">+HLOOKUP($A$1,+[41]İcmal!$B$19:$AG$49,ROW(C20)+1,FALSE)</f>
        <v>0</v>
      </c>
      <c r="U22" s="15" cm="1">
        <f t="array" ref="U22">+HLOOKUP($A$1,+[42]İcmal!$B$19:$AG$49,ROW(D20)+1,FALSE)</f>
        <v>0</v>
      </c>
      <c r="V22" s="15" cm="1">
        <f t="array" ref="V22">+HLOOKUP($A$1,+[43]İcmal!$B$19:$AG$49,ROW(A20)+1,FALSE)</f>
        <v>0</v>
      </c>
      <c r="W22" s="15" cm="1">
        <f t="array" ref="W22">+HLOOKUP($A$1,+[44]İcmal!$B$19:$AG$49,ROW(B20)+1,FALSE)</f>
        <v>0</v>
      </c>
      <c r="X22" s="15" cm="1">
        <f t="array" ref="X22">+HLOOKUP($A$1,+[45]İcmal!$B$19:$AG$49,ROW(C20)+1,FALSE)</f>
        <v>0</v>
      </c>
      <c r="Y22" s="15" cm="1">
        <f t="array" ref="Y22">+HLOOKUP($A$1,+[46]İcmal!$B$19:$AG$49,ROW(D20)+1,FALSE)</f>
        <v>0</v>
      </c>
      <c r="Z22" s="15" cm="1">
        <f t="array" ref="Z22">+HLOOKUP($A$1,+[47]İcmal!$B$19:$AG$49,ROW(A20)+1,FALSE)</f>
        <v>0</v>
      </c>
      <c r="AA22" s="15" cm="1">
        <f t="array" ref="AA22">+HLOOKUP($A$1,+[48]İcmal!$B$19:$AG$49,ROW(B20)+1,FALSE)</f>
        <v>0</v>
      </c>
      <c r="AB22" s="15" cm="1">
        <f t="array" ref="AB22">+HLOOKUP($A$1,+[49]İcmal!$B$19:$AG$49,ROW(A20)+1,FALSE)</f>
        <v>0</v>
      </c>
      <c r="AC22" s="15" cm="1">
        <f t="array" ref="AC22">+HLOOKUP($A$1,+[50]İcmal!$B$19:$AG$49,ROW(A20)+1,FALSE)</f>
        <v>0</v>
      </c>
      <c r="AD22" s="15" cm="1">
        <f t="array" ref="AD22">+HLOOKUP($A$1,+[51]İcmal!$B$19:$AG$49,ROW(A20)+1,FALSE)</f>
        <v>0</v>
      </c>
      <c r="AE22" s="15" cm="1">
        <f t="array" ref="AE22">+HLOOKUP($A$1,+[52]İcmal!$B$19:$AG$49,ROW(A20)+1,FALSE)</f>
        <v>0</v>
      </c>
      <c r="AF22" s="50" cm="1">
        <f t="array" ref="AF22">+HLOOKUP($A$1,+[53]İcmal!$B$19:$AG$49,ROW(A20)+1,FALSE)</f>
        <v>0</v>
      </c>
      <c r="AG22" s="15" cm="1">
        <f t="array" ref="AG22">+HLOOKUP($A$1,+[54]İcmal!$B$19:$AG$49,ROW(A20)+1,FALSE)</f>
        <v>0</v>
      </c>
      <c r="AH22" s="15" cm="1">
        <f t="array" ref="AH22">+HLOOKUP($A$1,+[55]İcmal!$B$19:$AG$49,ROW(A20)+1,FALSE)</f>
        <v>0</v>
      </c>
      <c r="AI22" s="15" cm="1">
        <f t="array" ref="AI22">+HLOOKUP($A$1,+[56]İcmal!$B$19:$AG$49,ROW(A20)+1,FALSE)</f>
        <v>0</v>
      </c>
      <c r="AJ22" s="15" cm="1">
        <f t="array" ref="AJ22">+HLOOKUP($A$1,+[57]İcmal!$B$19:$AG$49,ROW(A20)+1,FALSE)</f>
        <v>0</v>
      </c>
      <c r="AK22" s="15" cm="1">
        <f t="array" ref="AK22">+HLOOKUP($A$1,+[58]İcmal!$B$19:$AG$49,ROW(B20)+1,FALSE)</f>
        <v>0</v>
      </c>
      <c r="AL22" s="15"/>
      <c r="AM22" s="15"/>
      <c r="AN22" s="15"/>
      <c r="AO22" s="13"/>
    </row>
    <row r="23" spans="1:41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+HLOOKUP($A$1,+[31]İcmal!$B$19:$AG$49,ROW(A21)+1,FALSE)</f>
        <v>0</v>
      </c>
      <c r="K23" s="15" cm="1">
        <f t="array" ref="K23">+HLOOKUP($A$1,+[32]İcmal!$B$19:$AG$49,ROW(B21)+1,FALSE)</f>
        <v>0</v>
      </c>
      <c r="L23" s="15" cm="1">
        <f t="array" ref="L23">+HLOOKUP($A$1,+[33]İcmal!$B$19:$AG$49,ROW(C21)+1,FALSE)</f>
        <v>0</v>
      </c>
      <c r="M23" s="15" cm="1">
        <f t="array" ref="M23">+HLOOKUP($A$1,+[34]İcmal!$B$19:$AG$49,ROW(D21)+1,FALSE)</f>
        <v>0</v>
      </c>
      <c r="N23" s="15" cm="1">
        <f t="array" ref="N23">+HLOOKUP($A$1,+[35]İcmal!$B$19:$AG$49,ROW(A21)+1,FALSE)</f>
        <v>0</v>
      </c>
      <c r="O23" s="15" cm="1">
        <f t="array" ref="O23">+HLOOKUP($A$1,+[36]İcmal!$B$19:$AG$49,ROW(B21)+1,FALSE)</f>
        <v>0</v>
      </c>
      <c r="P23" s="15" cm="1">
        <f t="array" ref="P23">+HLOOKUP($A$1,+[37]İcmal!$B$19:$AG$49,ROW(C21)+1,FALSE)</f>
        <v>0</v>
      </c>
      <c r="Q23" s="15" cm="1">
        <f t="array" ref="Q23">+HLOOKUP($A$1,+[38]İcmal!$B$19:$AG$49,ROW(D21)+1,FALSE)</f>
        <v>0</v>
      </c>
      <c r="R23" s="15" cm="1">
        <f t="array" ref="R23">+HLOOKUP($A$1,+[39]İcmal!$B$19:$AG$49,ROW(A21)+1,FALSE)</f>
        <v>0</v>
      </c>
      <c r="S23" s="15" cm="1">
        <f t="array" ref="S23">+HLOOKUP($A$1,+[40]İcmal!$B$19:$AG$49,ROW(B21)+1,FALSE)</f>
        <v>0</v>
      </c>
      <c r="T23" s="15" cm="1">
        <f t="array" ref="T23">+HLOOKUP($A$1,+[41]İcmal!$B$19:$AG$49,ROW(C21)+1,FALSE)</f>
        <v>0</v>
      </c>
      <c r="U23" s="15" cm="1">
        <f t="array" ref="U23">+HLOOKUP($A$1,+[42]İcmal!$B$19:$AG$49,ROW(D21)+1,FALSE)</f>
        <v>0</v>
      </c>
      <c r="V23" s="15" cm="1">
        <f t="array" ref="V23">+HLOOKUP($A$1,+[43]İcmal!$B$19:$AG$49,ROW(A21)+1,FALSE)</f>
        <v>0</v>
      </c>
      <c r="W23" s="15" cm="1">
        <f t="array" ref="W23">+HLOOKUP($A$1,+[44]İcmal!$B$19:$AG$49,ROW(B21)+1,FALSE)</f>
        <v>0</v>
      </c>
      <c r="X23" s="15" cm="1">
        <f t="array" ref="X23">+HLOOKUP($A$1,+[45]İcmal!$B$19:$AG$49,ROW(C21)+1,FALSE)</f>
        <v>0</v>
      </c>
      <c r="Y23" s="15" cm="1">
        <f t="array" ref="Y23">+HLOOKUP($A$1,+[46]İcmal!$B$19:$AG$49,ROW(D21)+1,FALSE)</f>
        <v>0</v>
      </c>
      <c r="Z23" s="15" cm="1">
        <f t="array" ref="Z23">+HLOOKUP($A$1,+[47]İcmal!$B$19:$AG$49,ROW(A21)+1,FALSE)</f>
        <v>0</v>
      </c>
      <c r="AA23" s="15" cm="1">
        <f t="array" ref="AA23">+HLOOKUP($A$1,+[48]İcmal!$B$19:$AG$49,ROW(B21)+1,FALSE)</f>
        <v>0</v>
      </c>
      <c r="AB23" s="15" cm="1">
        <f t="array" ref="AB23">+HLOOKUP($A$1,+[49]İcmal!$B$19:$AG$49,ROW(A21)+1,FALSE)</f>
        <v>0</v>
      </c>
      <c r="AC23" s="15" cm="1">
        <f t="array" ref="AC23">+HLOOKUP($A$1,+[50]İcmal!$B$19:$AG$49,ROW(A21)+1,FALSE)</f>
        <v>0</v>
      </c>
      <c r="AD23" s="15" cm="1">
        <f t="array" ref="AD23">+HLOOKUP($A$1,+[51]İcmal!$B$19:$AG$49,ROW(A21)+1,FALSE)</f>
        <v>0</v>
      </c>
      <c r="AE23" s="15" cm="1">
        <f t="array" ref="AE23">+HLOOKUP($A$1,+[52]İcmal!$B$19:$AG$49,ROW(A21)+1,FALSE)</f>
        <v>0</v>
      </c>
      <c r="AF23" s="50" cm="1">
        <f t="array" ref="AF23">+HLOOKUP($A$1,+[53]İcmal!$B$19:$AG$49,ROW(A21)+1,FALSE)</f>
        <v>0</v>
      </c>
      <c r="AG23" s="15" cm="1">
        <f t="array" ref="AG23">+HLOOKUP($A$1,+[54]İcmal!$B$19:$AG$49,ROW(A21)+1,FALSE)</f>
        <v>0</v>
      </c>
      <c r="AH23" s="15" cm="1">
        <f t="array" ref="AH23">+HLOOKUP($A$1,+[55]İcmal!$B$19:$AG$49,ROW(A21)+1,FALSE)</f>
        <v>0</v>
      </c>
      <c r="AI23" s="15" cm="1">
        <f t="array" ref="AI23">+HLOOKUP($A$1,+[56]İcmal!$B$19:$AG$49,ROW(A21)+1,FALSE)</f>
        <v>0</v>
      </c>
      <c r="AJ23" s="15" cm="1">
        <f t="array" ref="AJ23">+HLOOKUP($A$1,+[57]İcmal!$B$19:$AG$49,ROW(A21)+1,FALSE)</f>
        <v>0</v>
      </c>
      <c r="AK23" s="15" cm="1">
        <f t="array" ref="AK23">+HLOOKUP($A$1,+[58]İcmal!$B$19:$AG$49,ROW(B21)+1,FALSE)</f>
        <v>0</v>
      </c>
      <c r="AL23" s="15"/>
      <c r="AM23" s="15"/>
      <c r="AN23" s="15"/>
      <c r="AO23" s="13"/>
    </row>
    <row r="24" spans="1:41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+HLOOKUP($A$1,+[31]İcmal!$B$19:$AG$49,ROW(A22)+1,FALSE)</f>
        <v>0</v>
      </c>
      <c r="K24" s="15" cm="1">
        <f t="array" ref="K24">+HLOOKUP($A$1,+[32]İcmal!$B$19:$AG$49,ROW(B22)+1,FALSE)</f>
        <v>0</v>
      </c>
      <c r="L24" s="15" cm="1">
        <f t="array" ref="L24">+HLOOKUP($A$1,+[33]İcmal!$B$19:$AG$49,ROW(C22)+1,FALSE)</f>
        <v>0</v>
      </c>
      <c r="M24" s="15" cm="1">
        <f t="array" ref="M24">+HLOOKUP($A$1,+[34]İcmal!$B$19:$AG$49,ROW(D22)+1,FALSE)</f>
        <v>0</v>
      </c>
      <c r="N24" s="15" cm="1">
        <f t="array" ref="N24">+HLOOKUP($A$1,+[35]İcmal!$B$19:$AG$49,ROW(A22)+1,FALSE)</f>
        <v>0</v>
      </c>
      <c r="O24" s="15" cm="1">
        <f t="array" ref="O24">+HLOOKUP($A$1,+[36]İcmal!$B$19:$AG$49,ROW(B22)+1,FALSE)</f>
        <v>0</v>
      </c>
      <c r="P24" s="15" cm="1">
        <f t="array" ref="P24">+HLOOKUP($A$1,+[37]İcmal!$B$19:$AG$49,ROW(C22)+1,FALSE)</f>
        <v>0</v>
      </c>
      <c r="Q24" s="15" cm="1">
        <f t="array" ref="Q24">+HLOOKUP($A$1,+[38]İcmal!$B$19:$AG$49,ROW(D22)+1,FALSE)</f>
        <v>0</v>
      </c>
      <c r="R24" s="15" cm="1">
        <f t="array" ref="R24">+HLOOKUP($A$1,+[39]İcmal!$B$19:$AG$49,ROW(A22)+1,FALSE)</f>
        <v>0</v>
      </c>
      <c r="S24" s="15" cm="1">
        <f t="array" ref="S24">+HLOOKUP($A$1,+[40]İcmal!$B$19:$AG$49,ROW(B22)+1,FALSE)</f>
        <v>0</v>
      </c>
      <c r="T24" s="15" cm="1">
        <f t="array" ref="T24">+HLOOKUP($A$1,+[41]İcmal!$B$19:$AG$49,ROW(C22)+1,FALSE)</f>
        <v>0</v>
      </c>
      <c r="U24" s="15" cm="1">
        <f t="array" ref="U24">+HLOOKUP($A$1,+[42]İcmal!$B$19:$AG$49,ROW(D22)+1,FALSE)</f>
        <v>0</v>
      </c>
      <c r="V24" s="15" cm="1">
        <f t="array" ref="V24">+HLOOKUP($A$1,+[43]İcmal!$B$19:$AG$49,ROW(A22)+1,FALSE)</f>
        <v>0</v>
      </c>
      <c r="W24" s="15" cm="1">
        <f t="array" ref="W24">+HLOOKUP($A$1,+[44]İcmal!$B$19:$AG$49,ROW(B22)+1,FALSE)</f>
        <v>0</v>
      </c>
      <c r="X24" s="15" cm="1">
        <f t="array" ref="X24">+HLOOKUP($A$1,+[45]İcmal!$B$19:$AG$49,ROW(C22)+1,FALSE)</f>
        <v>0</v>
      </c>
      <c r="Y24" s="15" cm="1">
        <f t="array" ref="Y24">+HLOOKUP($A$1,+[46]İcmal!$B$19:$AG$49,ROW(D22)+1,FALSE)</f>
        <v>0</v>
      </c>
      <c r="Z24" s="15" cm="1">
        <f t="array" ref="Z24">+HLOOKUP($A$1,+[47]İcmal!$B$19:$AG$49,ROW(A22)+1,FALSE)</f>
        <v>0</v>
      </c>
      <c r="AA24" s="15" cm="1">
        <f t="array" ref="AA24">+HLOOKUP($A$1,+[48]İcmal!$B$19:$AG$49,ROW(B22)+1,FALSE)</f>
        <v>0</v>
      </c>
      <c r="AB24" s="15" cm="1">
        <f t="array" ref="AB24">+HLOOKUP($A$1,+[49]İcmal!$B$19:$AG$49,ROW(A22)+1,FALSE)</f>
        <v>0</v>
      </c>
      <c r="AC24" s="15" cm="1">
        <f t="array" ref="AC24">+HLOOKUP($A$1,+[50]İcmal!$B$19:$AG$49,ROW(A22)+1,FALSE)</f>
        <v>0</v>
      </c>
      <c r="AD24" s="15" cm="1">
        <f t="array" ref="AD24">+HLOOKUP($A$1,+[51]İcmal!$B$19:$AG$49,ROW(A22)+1,FALSE)</f>
        <v>0</v>
      </c>
      <c r="AE24" s="15" cm="1">
        <f t="array" ref="AE24">+HLOOKUP($A$1,+[52]İcmal!$B$19:$AG$49,ROW(A22)+1,FALSE)</f>
        <v>0</v>
      </c>
      <c r="AF24" s="50" cm="1">
        <f t="array" ref="AF24">+HLOOKUP($A$1,+[53]İcmal!$B$19:$AG$49,ROW(A22)+1,FALSE)</f>
        <v>0</v>
      </c>
      <c r="AG24" s="15" cm="1">
        <f t="array" ref="AG24">+HLOOKUP($A$1,+[54]İcmal!$B$19:$AG$49,ROW(A22)+1,FALSE)</f>
        <v>0</v>
      </c>
      <c r="AH24" s="15" cm="1">
        <f t="array" ref="AH24">+HLOOKUP($A$1,+[55]İcmal!$B$19:$AG$49,ROW(A22)+1,FALSE)</f>
        <v>0</v>
      </c>
      <c r="AI24" s="15" cm="1">
        <f t="array" ref="AI24">+HLOOKUP($A$1,+[56]İcmal!$B$19:$AG$49,ROW(A22)+1,FALSE)</f>
        <v>0</v>
      </c>
      <c r="AJ24" s="15" cm="1">
        <f t="array" ref="AJ24">+HLOOKUP($A$1,+[57]İcmal!$B$19:$AG$49,ROW(A22)+1,FALSE)</f>
        <v>0</v>
      </c>
      <c r="AK24" s="15" cm="1">
        <f t="array" ref="AK24">+HLOOKUP($A$1,+[58]İcmal!$B$19:$AG$49,ROW(B22)+1,FALSE)</f>
        <v>0</v>
      </c>
      <c r="AL24" s="15"/>
      <c r="AM24" s="15"/>
      <c r="AN24" s="15"/>
      <c r="AO24" s="13"/>
    </row>
    <row r="25" spans="1:41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+HLOOKUP($A$1,+[31]İcmal!$B$19:$AG$49,ROW(A23)+1,FALSE)</f>
        <v>0</v>
      </c>
      <c r="K25" s="15" cm="1">
        <f t="array" ref="K25">+HLOOKUP($A$1,+[32]İcmal!$B$19:$AG$49,ROW(B23)+1,FALSE)</f>
        <v>0</v>
      </c>
      <c r="L25" s="15" cm="1">
        <f t="array" ref="L25">+HLOOKUP($A$1,+[33]İcmal!$B$19:$AG$49,ROW(C23)+1,FALSE)</f>
        <v>0</v>
      </c>
      <c r="M25" s="15" cm="1">
        <f t="array" ref="M25">+HLOOKUP($A$1,+[34]İcmal!$B$19:$AG$49,ROW(D23)+1,FALSE)</f>
        <v>0</v>
      </c>
      <c r="N25" s="15" cm="1">
        <f t="array" ref="N25">+HLOOKUP($A$1,+[35]İcmal!$B$19:$AG$49,ROW(A23)+1,FALSE)</f>
        <v>0</v>
      </c>
      <c r="O25" s="15" cm="1">
        <f t="array" ref="O25">+HLOOKUP($A$1,+[36]İcmal!$B$19:$AG$49,ROW(B23)+1,FALSE)</f>
        <v>0</v>
      </c>
      <c r="P25" s="15" cm="1">
        <f t="array" ref="P25">+HLOOKUP($A$1,+[37]İcmal!$B$19:$AG$49,ROW(C23)+1,FALSE)</f>
        <v>0</v>
      </c>
      <c r="Q25" s="15" cm="1">
        <f t="array" ref="Q25">+HLOOKUP($A$1,+[38]İcmal!$B$19:$AG$49,ROW(D23)+1,FALSE)</f>
        <v>0</v>
      </c>
      <c r="R25" s="15" cm="1">
        <f t="array" ref="R25">+HLOOKUP($A$1,+[39]İcmal!$B$19:$AG$49,ROW(A23)+1,FALSE)</f>
        <v>0</v>
      </c>
      <c r="S25" s="15" cm="1">
        <f t="array" ref="S25">+HLOOKUP($A$1,+[40]İcmal!$B$19:$AG$49,ROW(B23)+1,FALSE)</f>
        <v>0</v>
      </c>
      <c r="T25" s="15" cm="1">
        <f t="array" ref="T25">+HLOOKUP($A$1,+[41]İcmal!$B$19:$AG$49,ROW(C23)+1,FALSE)</f>
        <v>0</v>
      </c>
      <c r="U25" s="15" cm="1">
        <f t="array" ref="U25">+HLOOKUP($A$1,+[42]İcmal!$B$19:$AG$49,ROW(D23)+1,FALSE)</f>
        <v>0</v>
      </c>
      <c r="V25" s="15" cm="1">
        <f t="array" ref="V25">+HLOOKUP($A$1,+[43]İcmal!$B$19:$AG$49,ROW(A23)+1,FALSE)</f>
        <v>0</v>
      </c>
      <c r="W25" s="15" cm="1">
        <f t="array" ref="W25">+HLOOKUP($A$1,+[44]İcmal!$B$19:$AG$49,ROW(B23)+1,FALSE)</f>
        <v>0</v>
      </c>
      <c r="X25" s="15" cm="1">
        <f t="array" ref="X25">+HLOOKUP($A$1,+[45]İcmal!$B$19:$AG$49,ROW(C23)+1,FALSE)</f>
        <v>0</v>
      </c>
      <c r="Y25" s="15" cm="1">
        <f t="array" ref="Y25">+HLOOKUP($A$1,+[46]İcmal!$B$19:$AG$49,ROW(D23)+1,FALSE)</f>
        <v>0</v>
      </c>
      <c r="Z25" s="15" cm="1">
        <f t="array" ref="Z25">+HLOOKUP($A$1,+[47]İcmal!$B$19:$AG$49,ROW(A23)+1,FALSE)</f>
        <v>0</v>
      </c>
      <c r="AA25" s="15" cm="1">
        <f t="array" ref="AA25">+HLOOKUP($A$1,+[48]İcmal!$B$19:$AG$49,ROW(B23)+1,FALSE)</f>
        <v>0</v>
      </c>
      <c r="AB25" s="15" cm="1">
        <f t="array" ref="AB25">+HLOOKUP($A$1,+[49]İcmal!$B$19:$AG$49,ROW(A23)+1,FALSE)</f>
        <v>0</v>
      </c>
      <c r="AC25" s="15" cm="1">
        <f t="array" ref="AC25">+HLOOKUP($A$1,+[50]İcmal!$B$19:$AG$49,ROW(A23)+1,FALSE)</f>
        <v>0</v>
      </c>
      <c r="AD25" s="15" cm="1">
        <f t="array" ref="AD25">+HLOOKUP($A$1,+[51]İcmal!$B$19:$AG$49,ROW(A23)+1,FALSE)</f>
        <v>0</v>
      </c>
      <c r="AE25" s="15" cm="1">
        <f t="array" ref="AE25">+HLOOKUP($A$1,+[52]İcmal!$B$19:$AG$49,ROW(A23)+1,FALSE)</f>
        <v>0</v>
      </c>
      <c r="AF25" s="50" cm="1">
        <f t="array" ref="AF25">+HLOOKUP($A$1,+[53]İcmal!$B$19:$AG$49,ROW(A23)+1,FALSE)</f>
        <v>0</v>
      </c>
      <c r="AG25" s="15" cm="1">
        <f t="array" ref="AG25">+HLOOKUP($A$1,+[54]İcmal!$B$19:$AG$49,ROW(A23)+1,FALSE)</f>
        <v>0</v>
      </c>
      <c r="AH25" s="15" cm="1">
        <f t="array" ref="AH25">+HLOOKUP($A$1,+[55]İcmal!$B$19:$AG$49,ROW(A23)+1,FALSE)</f>
        <v>0</v>
      </c>
      <c r="AI25" s="15" cm="1">
        <f t="array" ref="AI25">+HLOOKUP($A$1,+[56]İcmal!$B$19:$AG$49,ROW(A23)+1,FALSE)</f>
        <v>0</v>
      </c>
      <c r="AJ25" s="15" cm="1">
        <f t="array" ref="AJ25">+HLOOKUP($A$1,+[57]İcmal!$B$19:$AG$49,ROW(A23)+1,FALSE)</f>
        <v>0</v>
      </c>
      <c r="AK25" s="15" cm="1">
        <f t="array" ref="AK25">+HLOOKUP($A$1,+[58]İcmal!$B$19:$AG$49,ROW(B23)+1,FALSE)</f>
        <v>0</v>
      </c>
      <c r="AL25" s="15"/>
      <c r="AM25" s="15"/>
      <c r="AN25" s="15"/>
      <c r="AO25" s="13"/>
    </row>
    <row r="26" spans="1:41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+HLOOKUP($A$1,+[31]İcmal!$B$19:$AG$49,ROW(A24)+1,FALSE)</f>
        <v>0</v>
      </c>
      <c r="K26" s="15" cm="1">
        <f t="array" ref="K26">+HLOOKUP($A$1,+[32]İcmal!$B$19:$AG$49,ROW(B24)+1,FALSE)</f>
        <v>0</v>
      </c>
      <c r="L26" s="15" cm="1">
        <f t="array" ref="L26">+HLOOKUP($A$1,+[33]İcmal!$B$19:$AG$49,ROW(C24)+1,FALSE)</f>
        <v>0</v>
      </c>
      <c r="M26" s="15" cm="1">
        <f t="array" ref="M26">+HLOOKUP($A$1,+[34]İcmal!$B$19:$AG$49,ROW(D24)+1,FALSE)</f>
        <v>0</v>
      </c>
      <c r="N26" s="15" cm="1">
        <f t="array" ref="N26">+HLOOKUP($A$1,+[35]İcmal!$B$19:$AG$49,ROW(A24)+1,FALSE)</f>
        <v>0</v>
      </c>
      <c r="O26" s="15" cm="1">
        <f t="array" ref="O26">+HLOOKUP($A$1,+[36]İcmal!$B$19:$AG$49,ROW(B24)+1,FALSE)</f>
        <v>0</v>
      </c>
      <c r="P26" s="15" cm="1">
        <f t="array" ref="P26">+HLOOKUP($A$1,+[37]İcmal!$B$19:$AG$49,ROW(C24)+1,FALSE)</f>
        <v>0</v>
      </c>
      <c r="Q26" s="15" cm="1">
        <f t="array" ref="Q26">+HLOOKUP($A$1,+[38]İcmal!$B$19:$AG$49,ROW(D24)+1,FALSE)</f>
        <v>0</v>
      </c>
      <c r="R26" s="15" cm="1">
        <f t="array" ref="R26">+HLOOKUP($A$1,+[39]İcmal!$B$19:$AG$49,ROW(A24)+1,FALSE)</f>
        <v>0</v>
      </c>
      <c r="S26" s="15" cm="1">
        <f t="array" ref="S26">+HLOOKUP($A$1,+[40]İcmal!$B$19:$AG$49,ROW(B24)+1,FALSE)</f>
        <v>0</v>
      </c>
      <c r="T26" s="15" cm="1">
        <f t="array" ref="T26">+HLOOKUP($A$1,+[41]İcmal!$B$19:$AG$49,ROW(C24)+1,FALSE)</f>
        <v>0</v>
      </c>
      <c r="U26" s="15" cm="1">
        <f t="array" ref="U26">+HLOOKUP($A$1,+[42]İcmal!$B$19:$AG$49,ROW(D24)+1,FALSE)</f>
        <v>0</v>
      </c>
      <c r="V26" s="15" cm="1">
        <f t="array" ref="V26">+HLOOKUP($A$1,+[43]İcmal!$B$19:$AG$49,ROW(A24)+1,FALSE)</f>
        <v>0</v>
      </c>
      <c r="W26" s="15" cm="1">
        <f t="array" ref="W26">+HLOOKUP($A$1,+[44]İcmal!$B$19:$AG$49,ROW(B24)+1,FALSE)</f>
        <v>0</v>
      </c>
      <c r="X26" s="15" cm="1">
        <f t="array" ref="X26">+HLOOKUP($A$1,+[45]İcmal!$B$19:$AG$49,ROW(C24)+1,FALSE)</f>
        <v>0</v>
      </c>
      <c r="Y26" s="15" cm="1">
        <f t="array" ref="Y26">+HLOOKUP($A$1,+[46]İcmal!$B$19:$AG$49,ROW(D24)+1,FALSE)</f>
        <v>0</v>
      </c>
      <c r="Z26" s="15" cm="1">
        <f t="array" ref="Z26">+HLOOKUP($A$1,+[47]İcmal!$B$19:$AG$49,ROW(A24)+1,FALSE)</f>
        <v>0</v>
      </c>
      <c r="AA26" s="15" cm="1">
        <f t="array" ref="AA26">+HLOOKUP($A$1,+[48]İcmal!$B$19:$AG$49,ROW(B24)+1,FALSE)</f>
        <v>0</v>
      </c>
      <c r="AB26" s="15" cm="1">
        <f t="array" ref="AB26">+HLOOKUP($A$1,+[49]İcmal!$B$19:$AG$49,ROW(A24)+1,FALSE)</f>
        <v>0</v>
      </c>
      <c r="AC26" s="15" cm="1">
        <f t="array" ref="AC26">+HLOOKUP($A$1,+[50]İcmal!$B$19:$AG$49,ROW(A24)+1,FALSE)</f>
        <v>0</v>
      </c>
      <c r="AD26" s="15" cm="1">
        <f t="array" ref="AD26">+HLOOKUP($A$1,+[51]İcmal!$B$19:$AG$49,ROW(A24)+1,FALSE)</f>
        <v>0</v>
      </c>
      <c r="AE26" s="15" cm="1">
        <f t="array" ref="AE26">+HLOOKUP($A$1,+[52]İcmal!$B$19:$AG$49,ROW(A24)+1,FALSE)</f>
        <v>0</v>
      </c>
      <c r="AF26" s="50" cm="1">
        <f t="array" ref="AF26">+HLOOKUP($A$1,+[53]İcmal!$B$19:$AG$49,ROW(A24)+1,FALSE)</f>
        <v>0</v>
      </c>
      <c r="AG26" s="15" cm="1">
        <f t="array" ref="AG26">+HLOOKUP($A$1,+[54]İcmal!$B$19:$AG$49,ROW(A24)+1,FALSE)</f>
        <v>0</v>
      </c>
      <c r="AH26" s="15" cm="1">
        <f t="array" ref="AH26">+HLOOKUP($A$1,+[55]İcmal!$B$19:$AG$49,ROW(A24)+1,FALSE)</f>
        <v>0</v>
      </c>
      <c r="AI26" s="15" cm="1">
        <f t="array" ref="AI26">+HLOOKUP($A$1,+[56]İcmal!$B$19:$AG$49,ROW(A24)+1,FALSE)</f>
        <v>0</v>
      </c>
      <c r="AJ26" s="15" cm="1">
        <f t="array" ref="AJ26">+HLOOKUP($A$1,+[57]İcmal!$B$19:$AG$49,ROW(A24)+1,FALSE)</f>
        <v>0</v>
      </c>
      <c r="AK26" s="15" cm="1">
        <f t="array" ref="AK26">+HLOOKUP($A$1,+[58]İcmal!$B$19:$AG$49,ROW(B24)+1,FALSE)</f>
        <v>0</v>
      </c>
      <c r="AL26" s="15"/>
      <c r="AM26" s="15"/>
      <c r="AN26" s="15"/>
      <c r="AO26" s="13"/>
    </row>
    <row r="27" spans="1:41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+HLOOKUP($A$1,+[31]İcmal!$B$19:$AG$49,ROW(A25)+1,FALSE)</f>
        <v>0</v>
      </c>
      <c r="K27" s="15" cm="1">
        <f t="array" ref="K27">+HLOOKUP($A$1,+[32]İcmal!$B$19:$AG$49,ROW(B25)+1,FALSE)</f>
        <v>0</v>
      </c>
      <c r="L27" s="15" cm="1">
        <f t="array" ref="L27">+HLOOKUP($A$1,+[33]İcmal!$B$19:$AG$49,ROW(C25)+1,FALSE)</f>
        <v>0</v>
      </c>
      <c r="M27" s="15" cm="1">
        <f t="array" ref="M27">+HLOOKUP($A$1,+[34]İcmal!$B$19:$AG$49,ROW(D25)+1,FALSE)</f>
        <v>0</v>
      </c>
      <c r="N27" s="15" cm="1">
        <f t="array" ref="N27">+HLOOKUP($A$1,+[35]İcmal!$B$19:$AG$49,ROW(A25)+1,FALSE)</f>
        <v>0</v>
      </c>
      <c r="O27" s="15" cm="1">
        <f t="array" ref="O27">+HLOOKUP($A$1,+[36]İcmal!$B$19:$AG$49,ROW(B25)+1,FALSE)</f>
        <v>0</v>
      </c>
      <c r="P27" s="15" cm="1">
        <f t="array" ref="P27">+HLOOKUP($A$1,+[37]İcmal!$B$19:$AG$49,ROW(C25)+1,FALSE)</f>
        <v>0</v>
      </c>
      <c r="Q27" s="15" cm="1">
        <f t="array" ref="Q27">+HLOOKUP($A$1,+[38]İcmal!$B$19:$AG$49,ROW(D25)+1,FALSE)</f>
        <v>0</v>
      </c>
      <c r="R27" s="15" cm="1">
        <f t="array" ref="R27">+HLOOKUP($A$1,+[39]İcmal!$B$19:$AG$49,ROW(A25)+1,FALSE)</f>
        <v>0</v>
      </c>
      <c r="S27" s="15" cm="1">
        <f t="array" ref="S27">+HLOOKUP($A$1,+[40]İcmal!$B$19:$AG$49,ROW(B25)+1,FALSE)</f>
        <v>0</v>
      </c>
      <c r="T27" s="15" cm="1">
        <f t="array" ref="T27">+HLOOKUP($A$1,+[41]İcmal!$B$19:$AG$49,ROW(C25)+1,FALSE)</f>
        <v>0</v>
      </c>
      <c r="U27" s="15" cm="1">
        <f t="array" ref="U27">+HLOOKUP($A$1,+[42]İcmal!$B$19:$AG$49,ROW(D25)+1,FALSE)</f>
        <v>0</v>
      </c>
      <c r="V27" s="15" cm="1">
        <f t="array" ref="V27">+HLOOKUP($A$1,+[43]İcmal!$B$19:$AG$49,ROW(A25)+1,FALSE)</f>
        <v>0</v>
      </c>
      <c r="W27" s="15" cm="1">
        <f t="array" ref="W27">+HLOOKUP($A$1,+[44]İcmal!$B$19:$AG$49,ROW(B25)+1,FALSE)</f>
        <v>0</v>
      </c>
      <c r="X27" s="15" cm="1">
        <f t="array" ref="X27">+HLOOKUP($A$1,+[45]İcmal!$B$19:$AG$49,ROW(C25)+1,FALSE)</f>
        <v>0</v>
      </c>
      <c r="Y27" s="15" cm="1">
        <f t="array" ref="Y27">+HLOOKUP($A$1,+[46]İcmal!$B$19:$AG$49,ROW(D25)+1,FALSE)</f>
        <v>0</v>
      </c>
      <c r="Z27" s="15" cm="1">
        <f t="array" ref="Z27">+HLOOKUP($A$1,+[47]İcmal!$B$19:$AG$49,ROW(A25)+1,FALSE)</f>
        <v>0</v>
      </c>
      <c r="AA27" s="15" cm="1">
        <f t="array" ref="AA27">+HLOOKUP($A$1,+[48]İcmal!$B$19:$AG$49,ROW(B25)+1,FALSE)</f>
        <v>0</v>
      </c>
      <c r="AB27" s="15" cm="1">
        <f t="array" ref="AB27">+HLOOKUP($A$1,+[49]İcmal!$B$19:$AG$49,ROW(A25)+1,FALSE)</f>
        <v>0</v>
      </c>
      <c r="AC27" s="15" cm="1">
        <f t="array" ref="AC27">+HLOOKUP($A$1,+[50]İcmal!$B$19:$AG$49,ROW(A25)+1,FALSE)</f>
        <v>0</v>
      </c>
      <c r="AD27" s="15" cm="1">
        <f t="array" ref="AD27">+HLOOKUP($A$1,+[51]İcmal!$B$19:$AG$49,ROW(A25)+1,FALSE)</f>
        <v>0</v>
      </c>
      <c r="AE27" s="15" cm="1">
        <f t="array" ref="AE27">+HLOOKUP($A$1,+[52]İcmal!$B$19:$AG$49,ROW(A25)+1,FALSE)</f>
        <v>0</v>
      </c>
      <c r="AF27" s="50" cm="1">
        <f t="array" ref="AF27">+HLOOKUP($A$1,+[53]İcmal!$B$19:$AG$49,ROW(A25)+1,FALSE)</f>
        <v>0</v>
      </c>
      <c r="AG27" s="15" cm="1">
        <f t="array" ref="AG27">+HLOOKUP($A$1,+[54]İcmal!$B$19:$AG$49,ROW(A25)+1,FALSE)</f>
        <v>0</v>
      </c>
      <c r="AH27" s="15" cm="1">
        <f t="array" ref="AH27">+HLOOKUP($A$1,+[55]İcmal!$B$19:$AG$49,ROW(A25)+1,FALSE)</f>
        <v>0</v>
      </c>
      <c r="AI27" s="15" cm="1">
        <f t="array" ref="AI27">+HLOOKUP($A$1,+[56]İcmal!$B$19:$AG$49,ROW(A25)+1,FALSE)</f>
        <v>0</v>
      </c>
      <c r="AJ27" s="15" cm="1">
        <f t="array" ref="AJ27">+HLOOKUP($A$1,+[57]İcmal!$B$19:$AG$49,ROW(A25)+1,FALSE)</f>
        <v>0</v>
      </c>
      <c r="AK27" s="15" cm="1">
        <f t="array" ref="AK27">+HLOOKUP($A$1,+[58]İcmal!$B$19:$AG$49,ROW(B25)+1,FALSE)</f>
        <v>0</v>
      </c>
      <c r="AL27" s="15"/>
      <c r="AM27" s="15"/>
      <c r="AN27" s="15"/>
      <c r="AO27" s="13"/>
    </row>
    <row r="28" spans="1:41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8.5630000000000006</v>
      </c>
      <c r="I28" s="9">
        <f t="shared" si="2"/>
        <v>396038.75</v>
      </c>
      <c r="J28" s="15" cm="1">
        <f t="array" ref="J28">+HLOOKUP($A$1,+[31]İcmal!$B$19:$AG$49,ROW(A26)+1,FALSE)</f>
        <v>0</v>
      </c>
      <c r="K28" s="15" cm="1">
        <f t="array" ref="K28">+HLOOKUP($A$1,+[32]İcmal!$B$19:$AG$49,ROW(B26)+1,FALSE)</f>
        <v>0</v>
      </c>
      <c r="L28" s="15" cm="1">
        <f t="array" ref="L28">+HLOOKUP($A$1,+[33]İcmal!$B$19:$AG$49,ROW(C26)+1,FALSE)</f>
        <v>0</v>
      </c>
      <c r="M28" s="15" cm="1">
        <f t="array" ref="M28">+HLOOKUP($A$1,+[34]İcmal!$B$19:$AG$49,ROW(D26)+1,FALSE)</f>
        <v>0</v>
      </c>
      <c r="N28" s="15" cm="1">
        <f t="array" ref="N28">+HLOOKUP($A$1,+[35]İcmal!$B$19:$AG$49,ROW(A26)+1,FALSE)</f>
        <v>1.486</v>
      </c>
      <c r="O28" s="15" cm="1">
        <f t="array" ref="O28">+HLOOKUP($A$1,+[36]İcmal!$B$19:$AG$49,ROW(B26)+1,FALSE)</f>
        <v>1.6229999999999998</v>
      </c>
      <c r="P28" s="15" cm="1">
        <f t="array" ref="P28">+HLOOKUP($A$1,+[37]İcmal!$B$19:$AG$49,ROW(C26)+1,FALSE)</f>
        <v>0</v>
      </c>
      <c r="Q28" s="15" cm="1">
        <f t="array" ref="Q28">+HLOOKUP($A$1,+[38]İcmal!$B$19:$AG$49,ROW(D26)+1,FALSE)</f>
        <v>0</v>
      </c>
      <c r="R28" s="15" cm="1">
        <f t="array" ref="R28">+HLOOKUP($A$1,+[39]İcmal!$B$19:$AG$49,ROW(A26)+1,FALSE)</f>
        <v>2.7429999999999999</v>
      </c>
      <c r="S28" s="15" cm="1">
        <f t="array" ref="S28">+HLOOKUP($A$1,+[40]İcmal!$B$19:$AG$49,ROW(B26)+1,FALSE)</f>
        <v>1.5249999999999997</v>
      </c>
      <c r="T28" s="15" cm="1">
        <f t="array" ref="T28">+HLOOKUP($A$1,+[41]İcmal!$B$19:$AG$49,ROW(C26)+1,FALSE)</f>
        <v>0</v>
      </c>
      <c r="U28" s="15" cm="1">
        <f t="array" ref="U28">+HLOOKUP($A$1,+[42]İcmal!$B$19:$AG$49,ROW(D26)+1,FALSE)</f>
        <v>0</v>
      </c>
      <c r="V28" s="15" cm="1">
        <f t="array" ref="V28">+HLOOKUP($A$1,+[43]İcmal!$B$19:$AG$49,ROW(A26)+1,FALSE)</f>
        <v>0</v>
      </c>
      <c r="W28" s="15" cm="1">
        <f t="array" ref="W28">+HLOOKUP($A$1,+[44]İcmal!$B$19:$AG$49,ROW(B26)+1,FALSE)</f>
        <v>0.38</v>
      </c>
      <c r="X28" s="15" cm="1">
        <f t="array" ref="X28">+HLOOKUP($A$1,+[45]İcmal!$B$19:$AG$49,ROW(C26)+1,FALSE)</f>
        <v>0</v>
      </c>
      <c r="Y28" s="15" cm="1">
        <f t="array" ref="Y28">+HLOOKUP($A$1,+[46]İcmal!$B$19:$AG$49,ROW(D26)+1,FALSE)</f>
        <v>0</v>
      </c>
      <c r="Z28" s="15" cm="1">
        <f t="array" ref="Z28">+HLOOKUP($A$1,+[47]İcmal!$B$19:$AG$49,ROW(A26)+1,FALSE)</f>
        <v>0</v>
      </c>
      <c r="AA28" s="15" cm="1">
        <f t="array" ref="AA28">+HLOOKUP($A$1,+[48]İcmal!$B$19:$AG$49,ROW(B26)+1,FALSE)</f>
        <v>0</v>
      </c>
      <c r="AB28" s="15" cm="1">
        <f t="array" ref="AB28">+HLOOKUP($A$1,+[49]İcmal!$B$19:$AG$49,ROW(A26)+1,FALSE)</f>
        <v>0</v>
      </c>
      <c r="AC28" s="15" cm="1">
        <f t="array" ref="AC28">+HLOOKUP($A$1,+[50]İcmal!$B$19:$AG$49,ROW(A26)+1,FALSE)</f>
        <v>0</v>
      </c>
      <c r="AD28" s="15" cm="1">
        <f t="array" ref="AD28">+HLOOKUP($A$1,+[51]İcmal!$B$19:$AG$49,ROW(A26)+1,FALSE)</f>
        <v>0</v>
      </c>
      <c r="AE28" s="15" cm="1">
        <f t="array" ref="AE28">+HLOOKUP($A$1,+[52]İcmal!$B$19:$AG$49,ROW(A26)+1,FALSE)</f>
        <v>0</v>
      </c>
      <c r="AF28" s="50" cm="1">
        <f t="array" ref="AF28">+HLOOKUP($A$1,+[53]İcmal!$B$19:$AG$49,ROW(A26)+1,FALSE)</f>
        <v>0.56299999999999994</v>
      </c>
      <c r="AG28" s="15" cm="1">
        <f t="array" ref="AG28">+HLOOKUP($A$1,+[54]İcmal!$B$19:$AG$49,ROW(A26)+1,FALSE)</f>
        <v>0</v>
      </c>
      <c r="AH28" s="15" cm="1">
        <f t="array" ref="AH28">+HLOOKUP($A$1,+[55]İcmal!$B$19:$AG$49,ROW(A26)+1,FALSE)</f>
        <v>0.24299999999999999</v>
      </c>
      <c r="AI28" s="15" cm="1">
        <f t="array" ref="AI28">+HLOOKUP($A$1,+[56]İcmal!$B$19:$AG$49,ROW(A26)+1,FALSE)</f>
        <v>0</v>
      </c>
      <c r="AJ28" s="15" cm="1">
        <f t="array" ref="AJ28">+HLOOKUP($A$1,+[57]İcmal!$B$19:$AG$49,ROW(A26)+1,FALSE)</f>
        <v>0</v>
      </c>
      <c r="AK28" s="15" cm="1">
        <f t="array" ref="AK28">+HLOOKUP($A$1,+[58]İcmal!$B$19:$AG$49,ROW(B26)+1,FALSE)</f>
        <v>0</v>
      </c>
      <c r="AL28" s="15"/>
      <c r="AM28" s="15"/>
      <c r="AN28" s="15"/>
      <c r="AO28" s="13"/>
    </row>
    <row r="29" spans="1:41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+HLOOKUP($A$1,+[31]İcmal!$B$19:$AG$49,ROW(A27)+1,FALSE)</f>
        <v>0</v>
      </c>
      <c r="K29" s="15" cm="1">
        <f t="array" ref="K29">+HLOOKUP($A$1,+[32]İcmal!$B$19:$AG$49,ROW(B27)+1,FALSE)</f>
        <v>0</v>
      </c>
      <c r="L29" s="15" cm="1">
        <f t="array" ref="L29">+HLOOKUP($A$1,+[33]İcmal!$B$19:$AG$49,ROW(C27)+1,FALSE)</f>
        <v>0</v>
      </c>
      <c r="M29" s="15" cm="1">
        <f t="array" ref="M29">+HLOOKUP($A$1,+[34]İcmal!$B$19:$AG$49,ROW(D27)+1,FALSE)</f>
        <v>0</v>
      </c>
      <c r="N29" s="15" cm="1">
        <f t="array" ref="N29">+HLOOKUP($A$1,+[35]İcmal!$B$19:$AG$49,ROW(A27)+1,FALSE)</f>
        <v>0</v>
      </c>
      <c r="O29" s="15" cm="1">
        <f t="array" ref="O29">+HLOOKUP($A$1,+[36]İcmal!$B$19:$AG$49,ROW(B27)+1,FALSE)</f>
        <v>0</v>
      </c>
      <c r="P29" s="15" cm="1">
        <f t="array" ref="P29">+HLOOKUP($A$1,+[37]İcmal!$B$19:$AG$49,ROW(C27)+1,FALSE)</f>
        <v>0</v>
      </c>
      <c r="Q29" s="15" cm="1">
        <f t="array" ref="Q29">+HLOOKUP($A$1,+[38]İcmal!$B$19:$AG$49,ROW(D27)+1,FALSE)</f>
        <v>0</v>
      </c>
      <c r="R29" s="15" cm="1">
        <f t="array" ref="R29">+HLOOKUP($A$1,+[39]İcmal!$B$19:$AG$49,ROW(A27)+1,FALSE)</f>
        <v>0</v>
      </c>
      <c r="S29" s="15" cm="1">
        <f t="array" ref="S29">+HLOOKUP($A$1,+[40]İcmal!$B$19:$AG$49,ROW(B27)+1,FALSE)</f>
        <v>0</v>
      </c>
      <c r="T29" s="15" cm="1">
        <f t="array" ref="T29">+HLOOKUP($A$1,+[41]İcmal!$B$19:$AG$49,ROW(C27)+1,FALSE)</f>
        <v>0</v>
      </c>
      <c r="U29" s="15" cm="1">
        <f t="array" ref="U29">+HLOOKUP($A$1,+[42]İcmal!$B$19:$AG$49,ROW(D27)+1,FALSE)</f>
        <v>0</v>
      </c>
      <c r="V29" s="15" cm="1">
        <f t="array" ref="V29">+HLOOKUP($A$1,+[43]İcmal!$B$19:$AG$49,ROW(A27)+1,FALSE)</f>
        <v>0</v>
      </c>
      <c r="W29" s="15" cm="1">
        <f t="array" ref="W29">+HLOOKUP($A$1,+[44]İcmal!$B$19:$AG$49,ROW(B27)+1,FALSE)</f>
        <v>0</v>
      </c>
      <c r="X29" s="15" cm="1">
        <f t="array" ref="X29">+HLOOKUP($A$1,+[45]İcmal!$B$19:$AG$49,ROW(C27)+1,FALSE)</f>
        <v>0</v>
      </c>
      <c r="Y29" s="15" cm="1">
        <f t="array" ref="Y29">+HLOOKUP($A$1,+[46]İcmal!$B$19:$AG$49,ROW(D27)+1,FALSE)</f>
        <v>0</v>
      </c>
      <c r="Z29" s="15" cm="1">
        <f t="array" ref="Z29">+HLOOKUP($A$1,+[47]İcmal!$B$19:$AG$49,ROW(A27)+1,FALSE)</f>
        <v>0</v>
      </c>
      <c r="AA29" s="15" cm="1">
        <f t="array" ref="AA29">+HLOOKUP($A$1,+[48]İcmal!$B$19:$AG$49,ROW(B27)+1,FALSE)</f>
        <v>0</v>
      </c>
      <c r="AB29" s="15" cm="1">
        <f t="array" ref="AB29">+HLOOKUP($A$1,+[49]İcmal!$B$19:$AG$49,ROW(A27)+1,FALSE)</f>
        <v>0</v>
      </c>
      <c r="AC29" s="15" cm="1">
        <f t="array" ref="AC29">+HLOOKUP($A$1,+[50]İcmal!$B$19:$AG$49,ROW(A27)+1,FALSE)</f>
        <v>0</v>
      </c>
      <c r="AD29" s="15" cm="1">
        <f t="array" ref="AD29">+HLOOKUP($A$1,+[51]İcmal!$B$19:$AG$49,ROW(A27)+1,FALSE)</f>
        <v>0</v>
      </c>
      <c r="AE29" s="15" cm="1">
        <f t="array" ref="AE29">+HLOOKUP($A$1,+[52]İcmal!$B$19:$AG$49,ROW(A27)+1,FALSE)</f>
        <v>0</v>
      </c>
      <c r="AF29" s="50" cm="1">
        <f t="array" ref="AF29">+HLOOKUP($A$1,+[53]İcmal!$B$19:$AG$49,ROW(A27)+1,FALSE)</f>
        <v>0</v>
      </c>
      <c r="AG29" s="15" cm="1">
        <f t="array" ref="AG29">+HLOOKUP($A$1,+[54]İcmal!$B$19:$AG$49,ROW(A27)+1,FALSE)</f>
        <v>0</v>
      </c>
      <c r="AH29" s="15" cm="1">
        <f t="array" ref="AH29">+HLOOKUP($A$1,+[55]İcmal!$B$19:$AG$49,ROW(A27)+1,FALSE)</f>
        <v>0</v>
      </c>
      <c r="AI29" s="15" cm="1">
        <f t="array" ref="AI29">+HLOOKUP($A$1,+[56]İcmal!$B$19:$AG$49,ROW(A27)+1,FALSE)</f>
        <v>0</v>
      </c>
      <c r="AJ29" s="15" cm="1">
        <f t="array" ref="AJ29">+HLOOKUP($A$1,+[57]İcmal!$B$19:$AG$49,ROW(A27)+1,FALSE)</f>
        <v>0</v>
      </c>
      <c r="AK29" s="15" cm="1">
        <f t="array" ref="AK29">+HLOOKUP($A$1,+[58]İcmal!$B$19:$AG$49,ROW(B27)+1,FALSE)</f>
        <v>0</v>
      </c>
      <c r="AL29" s="15"/>
      <c r="AM29" s="15"/>
      <c r="AN29" s="15"/>
      <c r="AO29" s="13"/>
    </row>
    <row r="30" spans="1:41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41.911999999999999</v>
      </c>
      <c r="I30" s="9">
        <f t="shared" si="2"/>
        <v>4079420.696</v>
      </c>
      <c r="J30" s="15" cm="1">
        <f t="array" ref="J30">+HLOOKUP($A$1,+[31]İcmal!$B$19:$AG$49,ROW(A28)+1,FALSE)</f>
        <v>0</v>
      </c>
      <c r="K30" s="15" cm="1">
        <f t="array" ref="K30">+HLOOKUP($A$1,+[32]İcmal!$B$19:$AG$49,ROW(B28)+1,FALSE)</f>
        <v>0</v>
      </c>
      <c r="L30" s="15" cm="1">
        <f t="array" ref="L30">+HLOOKUP($A$1,+[33]İcmal!$B$19:$AG$49,ROW(C28)+1,FALSE)</f>
        <v>0</v>
      </c>
      <c r="M30" s="15" cm="1">
        <f t="array" ref="M30">+HLOOKUP($A$1,+[34]İcmal!$B$19:$AG$49,ROW(D28)+1,FALSE)</f>
        <v>0</v>
      </c>
      <c r="N30" s="15" cm="1">
        <f t="array" ref="N30">+HLOOKUP($A$1,+[35]İcmal!$B$19:$AG$49,ROW(A28)+1,FALSE)</f>
        <v>5.4109999999999996</v>
      </c>
      <c r="O30" s="15" cm="1">
        <f t="array" ref="O30">+HLOOKUP($A$1,+[36]İcmal!$B$19:$AG$49,ROW(B28)+1,FALSE)</f>
        <v>10.004</v>
      </c>
      <c r="P30" s="15" cm="1">
        <f t="array" ref="P30">+HLOOKUP($A$1,+[37]İcmal!$B$19:$AG$49,ROW(C28)+1,FALSE)</f>
        <v>0</v>
      </c>
      <c r="Q30" s="15" cm="1">
        <f t="array" ref="Q30">+HLOOKUP($A$1,+[38]İcmal!$B$19:$AG$49,ROW(D28)+1,FALSE)</f>
        <v>0</v>
      </c>
      <c r="R30" s="15" cm="1">
        <f t="array" ref="R30">+HLOOKUP($A$1,+[39]İcmal!$B$19:$AG$49,ROW(A28)+1,FALSE)</f>
        <v>12.803999999999998</v>
      </c>
      <c r="S30" s="15" cm="1">
        <f t="array" ref="S30">+HLOOKUP($A$1,+[40]İcmal!$B$19:$AG$49,ROW(B28)+1,FALSE)</f>
        <v>5.9029999999999996</v>
      </c>
      <c r="T30" s="15" cm="1">
        <f t="array" ref="T30">+HLOOKUP($A$1,+[41]İcmal!$B$19:$AG$49,ROW(C28)+1,FALSE)</f>
        <v>0</v>
      </c>
      <c r="U30" s="15" cm="1">
        <f t="array" ref="U30">+HLOOKUP($A$1,+[42]İcmal!$B$19:$AG$49,ROW(D28)+1,FALSE)</f>
        <v>0</v>
      </c>
      <c r="V30" s="15" cm="1">
        <f t="array" ref="V30">+HLOOKUP($A$1,+[43]İcmal!$B$19:$AG$49,ROW(A28)+1,FALSE)</f>
        <v>0</v>
      </c>
      <c r="W30" s="15" cm="1">
        <f t="array" ref="W30">+HLOOKUP($A$1,+[44]İcmal!$B$19:$AG$49,ROW(B28)+1,FALSE)</f>
        <v>3.5179999999999998</v>
      </c>
      <c r="X30" s="15" cm="1">
        <f t="array" ref="X30">+HLOOKUP($A$1,+[45]İcmal!$B$19:$AG$49,ROW(C28)+1,FALSE)</f>
        <v>0</v>
      </c>
      <c r="Y30" s="15" cm="1">
        <f t="array" ref="Y30">+HLOOKUP($A$1,+[46]İcmal!$B$19:$AG$49,ROW(D28)+1,FALSE)</f>
        <v>0</v>
      </c>
      <c r="Z30" s="15" cm="1">
        <f t="array" ref="Z30">+HLOOKUP($A$1,+[47]İcmal!$B$19:$AG$49,ROW(A28)+1,FALSE)</f>
        <v>0</v>
      </c>
      <c r="AA30" s="15" cm="1">
        <f t="array" ref="AA30">+HLOOKUP($A$1,+[48]İcmal!$B$19:$AG$49,ROW(B28)+1,FALSE)</f>
        <v>0</v>
      </c>
      <c r="AB30" s="15" cm="1">
        <f t="array" ref="AB30">+HLOOKUP($A$1,+[49]İcmal!$B$19:$AG$49,ROW(A28)+1,FALSE)</f>
        <v>0</v>
      </c>
      <c r="AC30" s="15" cm="1">
        <f t="array" ref="AC30">+HLOOKUP($A$1,+[50]İcmal!$B$19:$AG$49,ROW(A28)+1,FALSE)</f>
        <v>0</v>
      </c>
      <c r="AD30" s="15" cm="1">
        <f t="array" ref="AD30">+HLOOKUP($A$1,+[51]İcmal!$B$19:$AG$49,ROW(A28)+1,FALSE)</f>
        <v>0</v>
      </c>
      <c r="AE30" s="15" cm="1">
        <f t="array" ref="AE30">+HLOOKUP($A$1,+[52]İcmal!$B$19:$AG$49,ROW(A28)+1,FALSE)</f>
        <v>0</v>
      </c>
      <c r="AF30" s="50" cm="1">
        <f t="array" ref="AF30">+HLOOKUP($A$1,+[53]İcmal!$B$19:$AG$49,ROW(A28)+1,FALSE)</f>
        <v>3.2829999999999999</v>
      </c>
      <c r="AG30" s="15" cm="1">
        <f t="array" ref="AG30">+HLOOKUP($A$1,+[54]İcmal!$B$19:$AG$49,ROW(A28)+1,FALSE)</f>
        <v>0</v>
      </c>
      <c r="AH30" s="15" cm="1">
        <f t="array" ref="AH30">+HLOOKUP($A$1,+[55]İcmal!$B$19:$AG$49,ROW(A28)+1,FALSE)</f>
        <v>0.98899999999999999</v>
      </c>
      <c r="AI30" s="15" cm="1">
        <f t="array" ref="AI30">+HLOOKUP($A$1,+[56]İcmal!$B$19:$AG$49,ROW(A28)+1,FALSE)</f>
        <v>0</v>
      </c>
      <c r="AJ30" s="15" cm="1">
        <f t="array" ref="AJ30">+HLOOKUP($A$1,+[57]İcmal!$B$19:$AG$49,ROW(A28)+1,FALSE)</f>
        <v>0</v>
      </c>
      <c r="AK30" s="15" cm="1">
        <f t="array" ref="AK30">+HLOOKUP($A$1,+[58]İcmal!$B$19:$AG$49,ROW(B28)+1,FALSE)</f>
        <v>0</v>
      </c>
      <c r="AL30" s="15"/>
      <c r="AM30" s="15"/>
      <c r="AN30" s="15"/>
      <c r="AO30" s="13"/>
    </row>
    <row r="31" spans="1:41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+HLOOKUP($A$1,+[31]İcmal!$B$19:$AG$49,ROW(A29)+1,FALSE)</f>
        <v>0</v>
      </c>
      <c r="K31" s="15" cm="1">
        <f t="array" ref="K31">+HLOOKUP($A$1,+[32]İcmal!$B$19:$AG$49,ROW(B29)+1,FALSE)</f>
        <v>0</v>
      </c>
      <c r="L31" s="15" cm="1">
        <f t="array" ref="L31">+HLOOKUP($A$1,+[33]İcmal!$B$19:$AG$49,ROW(C29)+1,FALSE)</f>
        <v>0</v>
      </c>
      <c r="M31" s="15" cm="1">
        <f t="array" ref="M31">+HLOOKUP($A$1,+[34]İcmal!$B$19:$AG$49,ROW(D29)+1,FALSE)</f>
        <v>0</v>
      </c>
      <c r="N31" s="15" cm="1">
        <f t="array" ref="N31">+HLOOKUP($A$1,+[35]İcmal!$B$19:$AG$49,ROW(A29)+1,FALSE)</f>
        <v>0</v>
      </c>
      <c r="O31" s="15" cm="1">
        <f t="array" ref="O31">+HLOOKUP($A$1,+[36]İcmal!$B$19:$AG$49,ROW(B29)+1,FALSE)</f>
        <v>0</v>
      </c>
      <c r="P31" s="15" cm="1">
        <f t="array" ref="P31">+HLOOKUP($A$1,+[37]İcmal!$B$19:$AG$49,ROW(C29)+1,FALSE)</f>
        <v>0</v>
      </c>
      <c r="Q31" s="15" cm="1">
        <f t="array" ref="Q31">+HLOOKUP($A$1,+[38]İcmal!$B$19:$AG$49,ROW(D29)+1,FALSE)</f>
        <v>0</v>
      </c>
      <c r="R31" s="15" cm="1">
        <f t="array" ref="R31">+HLOOKUP($A$1,+[39]İcmal!$B$19:$AG$49,ROW(A29)+1,FALSE)</f>
        <v>0</v>
      </c>
      <c r="S31" s="15" cm="1">
        <f t="array" ref="S31">+HLOOKUP($A$1,+[40]İcmal!$B$19:$AG$49,ROW(B29)+1,FALSE)</f>
        <v>0</v>
      </c>
      <c r="T31" s="15" cm="1">
        <f t="array" ref="T31">+HLOOKUP($A$1,+[41]İcmal!$B$19:$AG$49,ROW(C29)+1,FALSE)</f>
        <v>0</v>
      </c>
      <c r="U31" s="15" cm="1">
        <f t="array" ref="U31">+HLOOKUP($A$1,+[42]İcmal!$B$19:$AG$49,ROW(D29)+1,FALSE)</f>
        <v>0</v>
      </c>
      <c r="V31" s="15" cm="1">
        <f t="array" ref="V31">+HLOOKUP($A$1,+[43]İcmal!$B$19:$AG$49,ROW(A29)+1,FALSE)</f>
        <v>0</v>
      </c>
      <c r="W31" s="15" cm="1">
        <f t="array" ref="W31">+HLOOKUP($A$1,+[44]İcmal!$B$19:$AG$49,ROW(B29)+1,FALSE)</f>
        <v>0</v>
      </c>
      <c r="X31" s="15" cm="1">
        <f t="array" ref="X31">+HLOOKUP($A$1,+[45]İcmal!$B$19:$AG$49,ROW(C29)+1,FALSE)</f>
        <v>0</v>
      </c>
      <c r="Y31" s="15" cm="1">
        <f t="array" ref="Y31">+HLOOKUP($A$1,+[46]İcmal!$B$19:$AG$49,ROW(D29)+1,FALSE)</f>
        <v>0</v>
      </c>
      <c r="Z31" s="15" cm="1">
        <f t="array" ref="Z31">+HLOOKUP($A$1,+[47]İcmal!$B$19:$AG$49,ROW(A29)+1,FALSE)</f>
        <v>0</v>
      </c>
      <c r="AA31" s="15" cm="1">
        <f t="array" ref="AA31">+HLOOKUP($A$1,+[48]İcmal!$B$19:$AG$49,ROW(B29)+1,FALSE)</f>
        <v>0</v>
      </c>
      <c r="AB31" s="15" cm="1">
        <f t="array" ref="AB31">+HLOOKUP($A$1,+[49]İcmal!$B$19:$AG$49,ROW(A29)+1,FALSE)</f>
        <v>0</v>
      </c>
      <c r="AC31" s="15" cm="1">
        <f t="array" ref="AC31">+HLOOKUP($A$1,+[50]İcmal!$B$19:$AG$49,ROW(A29)+1,FALSE)</f>
        <v>0</v>
      </c>
      <c r="AD31" s="15" cm="1">
        <f t="array" ref="AD31">+HLOOKUP($A$1,+[51]İcmal!$B$19:$AG$49,ROW(A29)+1,FALSE)</f>
        <v>0</v>
      </c>
      <c r="AE31" s="15" cm="1">
        <f t="array" ref="AE31">+HLOOKUP($A$1,+[52]İcmal!$B$19:$AG$49,ROW(A29)+1,FALSE)</f>
        <v>0</v>
      </c>
      <c r="AF31" s="50" cm="1">
        <f t="array" ref="AF31">+HLOOKUP($A$1,+[53]İcmal!$B$19:$AG$49,ROW(A29)+1,FALSE)</f>
        <v>0</v>
      </c>
      <c r="AG31" s="15" cm="1">
        <f t="array" ref="AG31">+HLOOKUP($A$1,+[54]İcmal!$B$19:$AG$49,ROW(A29)+1,FALSE)</f>
        <v>0</v>
      </c>
      <c r="AH31" s="15" cm="1">
        <f t="array" ref="AH31">+HLOOKUP($A$1,+[55]İcmal!$B$19:$AG$49,ROW(A29)+1,FALSE)</f>
        <v>0</v>
      </c>
      <c r="AI31" s="15" cm="1">
        <f t="array" ref="AI31">+HLOOKUP($A$1,+[56]İcmal!$B$19:$AG$49,ROW(A29)+1,FALSE)</f>
        <v>0</v>
      </c>
      <c r="AJ31" s="15" cm="1">
        <f t="array" ref="AJ31">+HLOOKUP($A$1,+[57]İcmal!$B$19:$AG$49,ROW(A29)+1,FALSE)</f>
        <v>0</v>
      </c>
      <c r="AK31" s="15" cm="1">
        <f t="array" ref="AK31">+HLOOKUP($A$1,+[58]İcmal!$B$19:$AG$49,ROW(B29)+1,FALSE)</f>
        <v>0</v>
      </c>
      <c r="AL31" s="15"/>
      <c r="AM31" s="15"/>
      <c r="AN31" s="15"/>
      <c r="AO31" s="13"/>
    </row>
    <row r="32" spans="1:41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+HLOOKUP($A$1,+[31]İcmal!$B$19:$AG$49,ROW(A30)+1,FALSE)</f>
        <v>0</v>
      </c>
      <c r="K32" s="15" cm="1">
        <f t="array" ref="K32">+HLOOKUP($A$1,+[32]İcmal!$B$19:$AG$49,ROW(B30)+1,FALSE)</f>
        <v>0</v>
      </c>
      <c r="L32" s="15" cm="1">
        <f t="array" ref="L32">+HLOOKUP($A$1,+[33]İcmal!$B$19:$AG$49,ROW(C30)+1,FALSE)</f>
        <v>0</v>
      </c>
      <c r="M32" s="15" cm="1">
        <f t="array" ref="M32">+HLOOKUP($A$1,+[34]İcmal!$B$19:$AG$49,ROW(D30)+1,FALSE)</f>
        <v>0</v>
      </c>
      <c r="N32" s="15" cm="1">
        <f t="array" ref="N32">+HLOOKUP($A$1,+[35]İcmal!$B$19:$AG$49,ROW(A30)+1,FALSE)</f>
        <v>0</v>
      </c>
      <c r="O32" s="15" cm="1">
        <f t="array" ref="O32">+HLOOKUP($A$1,+[36]İcmal!$B$19:$AG$49,ROW(B30)+1,FALSE)</f>
        <v>0</v>
      </c>
      <c r="P32" s="15" cm="1">
        <f t="array" ref="P32">+HLOOKUP($A$1,+[37]İcmal!$B$19:$AG$49,ROW(C30)+1,FALSE)</f>
        <v>0</v>
      </c>
      <c r="Q32" s="15" cm="1">
        <f t="array" ref="Q32">+HLOOKUP($A$1,+[38]İcmal!$B$19:$AG$49,ROW(D30)+1,FALSE)</f>
        <v>0</v>
      </c>
      <c r="R32" s="15" cm="1">
        <f t="array" ref="R32">+HLOOKUP($A$1,+[39]İcmal!$B$19:$AG$49,ROW(A30)+1,FALSE)</f>
        <v>0</v>
      </c>
      <c r="S32" s="15" cm="1">
        <f t="array" ref="S32">+HLOOKUP($A$1,+[40]İcmal!$B$19:$AG$49,ROW(B30)+1,FALSE)</f>
        <v>0</v>
      </c>
      <c r="T32" s="15" cm="1">
        <f t="array" ref="T32">+HLOOKUP($A$1,+[41]İcmal!$B$19:$AG$49,ROW(C30)+1,FALSE)</f>
        <v>0</v>
      </c>
      <c r="U32" s="15" cm="1">
        <f t="array" ref="U32">+HLOOKUP($A$1,+[42]İcmal!$B$19:$AG$49,ROW(D30)+1,FALSE)</f>
        <v>0</v>
      </c>
      <c r="V32" s="15" cm="1">
        <f t="array" ref="V32">+HLOOKUP($A$1,+[43]İcmal!$B$19:$AG$49,ROW(A30)+1,FALSE)</f>
        <v>0</v>
      </c>
      <c r="W32" s="15" cm="1">
        <f t="array" ref="W32">+HLOOKUP($A$1,+[44]İcmal!$B$19:$AG$49,ROW(B30)+1,FALSE)</f>
        <v>0</v>
      </c>
      <c r="X32" s="15" cm="1">
        <f t="array" ref="X32">+HLOOKUP($A$1,+[45]İcmal!$B$19:$AG$49,ROW(C30)+1,FALSE)</f>
        <v>0</v>
      </c>
      <c r="Y32" s="15" cm="1">
        <f t="array" ref="Y32">+HLOOKUP($A$1,+[46]İcmal!$B$19:$AG$49,ROW(D30)+1,FALSE)</f>
        <v>0</v>
      </c>
      <c r="Z32" s="15" cm="1">
        <f t="array" ref="Z32">+HLOOKUP($A$1,+[47]İcmal!$B$19:$AG$49,ROW(A30)+1,FALSE)</f>
        <v>0</v>
      </c>
      <c r="AA32" s="15" cm="1">
        <f t="array" ref="AA32">+HLOOKUP($A$1,+[48]İcmal!$B$19:$AG$49,ROW(B30)+1,FALSE)</f>
        <v>0</v>
      </c>
      <c r="AB32" s="15" cm="1">
        <f t="array" ref="AB32">+HLOOKUP($A$1,+[49]İcmal!$B$19:$AG$49,ROW(A30)+1,FALSE)</f>
        <v>0</v>
      </c>
      <c r="AC32" s="15" cm="1">
        <f t="array" ref="AC32">+HLOOKUP($A$1,+[50]İcmal!$B$19:$AG$49,ROW(A30)+1,FALSE)</f>
        <v>0</v>
      </c>
      <c r="AD32" s="15" cm="1">
        <f t="array" ref="AD32">+HLOOKUP($A$1,+[51]İcmal!$B$19:$AG$49,ROW(A30)+1,FALSE)</f>
        <v>0</v>
      </c>
      <c r="AE32" s="15" cm="1">
        <f t="array" ref="AE32">+HLOOKUP($A$1,+[52]İcmal!$B$19:$AG$49,ROW(A30)+1,FALSE)</f>
        <v>0</v>
      </c>
      <c r="AF32" s="50" cm="1">
        <f t="array" ref="AF32">+HLOOKUP($A$1,+[53]İcmal!$B$19:$AG$49,ROW(A30)+1,FALSE)</f>
        <v>0</v>
      </c>
      <c r="AG32" s="15" cm="1">
        <f t="array" ref="AG32">+HLOOKUP($A$1,+[54]İcmal!$B$19:$AG$49,ROW(A30)+1,FALSE)</f>
        <v>0</v>
      </c>
      <c r="AH32" s="15" cm="1">
        <f t="array" ref="AH32">+HLOOKUP($A$1,+[55]İcmal!$B$19:$AG$49,ROW(A30)+1,FALSE)</f>
        <v>0</v>
      </c>
      <c r="AI32" s="15" cm="1">
        <f t="array" ref="AI32">+HLOOKUP($A$1,+[56]İcmal!$B$19:$AG$49,ROW(A30)+1,FALSE)</f>
        <v>0</v>
      </c>
      <c r="AJ32" s="15" cm="1">
        <f t="array" ref="AJ32">+HLOOKUP($A$1,+[57]İcmal!$B$19:$AG$49,ROW(A30)+1,FALSE)</f>
        <v>0</v>
      </c>
      <c r="AK32" s="15" cm="1">
        <f t="array" ref="AK32">+HLOOKUP($A$1,+[58]İcmal!$B$19:$AG$49,ROW(B30)+1,FALSE)</f>
        <v>0</v>
      </c>
      <c r="AL32" s="15"/>
      <c r="AM32" s="15"/>
      <c r="AN32" s="15"/>
      <c r="AO32" s="14"/>
    </row>
    <row r="33" spans="8:40" x14ac:dyDescent="0.3">
      <c r="I33" s="16">
        <f>SUM(I3:I32)</f>
        <v>102209763.86899999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>
        <f t="shared" ref="AN33" si="3">+SUMPRODUCT(AN3:AN32,$F$3:$F$32)</f>
        <v>0</v>
      </c>
    </row>
    <row r="34" spans="8:40" x14ac:dyDescent="0.3">
      <c r="H34" s="52"/>
    </row>
    <row r="35" spans="8:40" x14ac:dyDescent="0.3">
      <c r="I35" s="16"/>
    </row>
    <row r="36" spans="8:40" x14ac:dyDescent="0.3">
      <c r="I36" s="16"/>
      <c r="K36" s="52"/>
    </row>
    <row r="37" spans="8:40" x14ac:dyDescent="0.3">
      <c r="J37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DB76-6B2A-4111-8CEC-A03529BFF0B5}">
  <sheetPr>
    <tabColor rgb="FFFF0000"/>
  </sheetPr>
  <dimension ref="A1:AO37"/>
  <sheetViews>
    <sheetView zoomScale="85" zoomScaleNormal="85" workbookViewId="0">
      <selection activeCell="K3" sqref="K3:K3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1" width="19.33203125" customWidth="1"/>
    <col min="12" max="13" width="21.109375" customWidth="1"/>
    <col min="14" max="15" width="19.21875" customWidth="1"/>
    <col min="16" max="16" width="19.33203125" customWidth="1"/>
    <col min="17" max="19" width="19.21875" customWidth="1"/>
    <col min="20" max="20" width="19.33203125" customWidth="1"/>
    <col min="21" max="21" width="19.21875" customWidth="1"/>
    <col min="22" max="24" width="46.77734375" customWidth="1"/>
    <col min="25" max="25" width="46.33203125" customWidth="1"/>
    <col min="26" max="32" width="46.77734375" customWidth="1"/>
    <col min="33" max="33" width="46.33203125" bestFit="1" customWidth="1"/>
    <col min="34" max="37" width="46.77734375" bestFit="1" customWidth="1"/>
    <col min="38" max="39" width="59.109375" customWidth="1"/>
    <col min="40" max="40" width="12.33203125" bestFit="1" customWidth="1"/>
    <col min="41" max="41" width="2.21875" customWidth="1"/>
  </cols>
  <sheetData>
    <row r="1" spans="1:41" ht="15" thickBot="1" x14ac:dyDescent="0.35">
      <c r="A1" s="17" t="s">
        <v>111</v>
      </c>
    </row>
    <row r="2" spans="1:4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3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11" t="s">
        <v>126</v>
      </c>
      <c r="AG2" s="3" t="s">
        <v>143</v>
      </c>
      <c r="AH2" s="11" t="s">
        <v>144</v>
      </c>
      <c r="AI2" s="3" t="s">
        <v>138</v>
      </c>
      <c r="AJ2" s="11" t="s">
        <v>125</v>
      </c>
      <c r="AK2" s="3" t="s">
        <v>133</v>
      </c>
      <c r="AL2" s="11"/>
      <c r="AM2" s="11"/>
      <c r="AN2" s="11"/>
      <c r="AO2" s="12"/>
    </row>
    <row r="3" spans="1:41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SUM(J3:AO3)</f>
        <v>3595.5440000000003</v>
      </c>
      <c r="I3" s="9">
        <f>+F3*H3</f>
        <v>18247385.800000001</v>
      </c>
      <c r="J3" s="15" cm="1">
        <f t="array" ref="J3">+HLOOKUP($A$1,+[31]İcmal!$B$19:$AG$49,ROW(A1)+1,FALSE)</f>
        <v>0</v>
      </c>
      <c r="K3" s="15" cm="1">
        <f t="array" ref="K3">+HLOOKUP($A$1,+[32]İcmal!$B$19:$AG$49,ROW(B1)+1,FALSE)</f>
        <v>0</v>
      </c>
      <c r="L3" s="15" cm="1">
        <f t="array" ref="L3">+HLOOKUP($A$1,+[33]İcmal!$B$19:$AG$49,ROW(C1)+1,FALSE)</f>
        <v>107.102</v>
      </c>
      <c r="M3" s="15" cm="1">
        <f t="array" ref="M3">+HLOOKUP($A$1,+[34]İcmal!$B$19:$AG$49,ROW(D1)+1,FALSE)</f>
        <v>112.96299999999999</v>
      </c>
      <c r="N3" s="15" cm="1">
        <f t="array" ref="N3">+HLOOKUP($A$1,+[35]İcmal!$B$19:$AG$49,ROW(A1)+1,FALSE)</f>
        <v>8.0960000000000001</v>
      </c>
      <c r="O3" s="15" cm="1">
        <f t="array" ref="O3">+HLOOKUP($A$1,+[36]İcmal!$B$19:$AG$49,ROW(B1)+1,FALSE)</f>
        <v>595.69999999999993</v>
      </c>
      <c r="P3" s="15" cm="1">
        <f t="array" ref="P3">+HLOOKUP($A$1,+[37]İcmal!$B$19:$AG$49,ROW(C1)+1,FALSE)</f>
        <v>0</v>
      </c>
      <c r="Q3" s="15" cm="1">
        <f t="array" ref="Q3">+HLOOKUP($A$1,+[38]İcmal!$B$19:$AG$49,ROW(D1)+1,FALSE)</f>
        <v>0</v>
      </c>
      <c r="R3" s="15" cm="1">
        <f t="array" ref="R3">+HLOOKUP($A$1,+[39]İcmal!$B$19:$AG$49,ROW(A1)+1,FALSE)</f>
        <v>428.11600000000004</v>
      </c>
      <c r="S3" s="15" cm="1">
        <f t="array" ref="S3">+HLOOKUP($A$1,+[40]İcmal!$B$19:$AG$49,ROW(B1)+1,FALSE)</f>
        <v>740.4670000000001</v>
      </c>
      <c r="T3" s="15" cm="1">
        <f t="array" ref="T3">+HLOOKUP($A$1,+[41]İcmal!$B$19:$AG$49,ROW(C1)+1,FALSE)</f>
        <v>0</v>
      </c>
      <c r="U3" s="15" cm="1">
        <f t="array" ref="U3">+HLOOKUP($A$1,+[42]İcmal!$B$19:$AG$49,ROW(D1)+1,FALSE)</f>
        <v>0</v>
      </c>
      <c r="V3" s="15" cm="1">
        <f t="array" ref="V3">+HLOOKUP($A$1,+[43]İcmal!$B$19:$AG$49,ROW(A1)+1,FALSE)</f>
        <v>0</v>
      </c>
      <c r="W3" s="15" cm="1">
        <f t="array" ref="W3">+HLOOKUP($A$1,+[44]İcmal!$B$19:$AG$49,ROW(B1)+1,FALSE)</f>
        <v>0</v>
      </c>
      <c r="X3" s="15" cm="1">
        <f t="array" ref="X3">+HLOOKUP($A$1,+[45]İcmal!$B$19:$AG$49,ROW(C1)+1,FALSE)</f>
        <v>434.62799999999999</v>
      </c>
      <c r="Y3" s="15" cm="1">
        <f t="array" ref="Y3">+HLOOKUP($A$1,+[46]İcmal!$B$19:$AG$49,ROW(D1)+1,FALSE)</f>
        <v>329.44499999999999</v>
      </c>
      <c r="Z3" s="15" cm="1">
        <f t="array" ref="Z3">+HLOOKUP($A$1,+[47]İcmal!$B$19:$AG$49,ROW(A1)+1,FALSE)</f>
        <v>0</v>
      </c>
      <c r="AA3" s="15" cm="1">
        <f t="array" ref="AA3">+HLOOKUP($A$1,+[48]İcmal!$B$19:$AG$49,ROW(B1)+1,FALSE)</f>
        <v>0</v>
      </c>
      <c r="AB3" s="15" cm="1">
        <f t="array" ref="AB3">+HLOOKUP($A$1,+[49]İcmal!$B$19:$AG$49,ROW(A1)+1,FALSE)</f>
        <v>357.16899999999998</v>
      </c>
      <c r="AC3" s="15" cm="1">
        <f t="array" ref="AC3">+HLOOKUP($A$1,+[50]İcmal!$B$19:$AG$49,ROW(A1)+1,FALSE)</f>
        <v>83.763999999999996</v>
      </c>
      <c r="AD3" s="15" cm="1">
        <f t="array" ref="AD3">+HLOOKUP($A$1,+[51]İcmal!$B$19:$AG$49,ROW(A1)+1,FALSE)</f>
        <v>0</v>
      </c>
      <c r="AE3" s="15" cm="1">
        <f t="array" ref="AE3">+HLOOKUP($A$1,+[52]İcmal!$B$19:$AG$49,ROW(A1)+1,FALSE)</f>
        <v>0</v>
      </c>
      <c r="AF3" s="50" cm="1">
        <f t="array" ref="AF3">+HLOOKUP($A$1,+[53]İcmal!$B$19:$AG$49,ROW(A1)+1,FALSE)</f>
        <v>2.145</v>
      </c>
      <c r="AG3" s="15" cm="1">
        <f t="array" ref="AG3">+HLOOKUP($A$1,+[54]İcmal!$B$19:$AG$49,ROW(A1)+1,FALSE)</f>
        <v>0</v>
      </c>
      <c r="AH3" s="15" cm="1">
        <f t="array" ref="AH3">+HLOOKUP($A$1,+[55]İcmal!$B$19:$AG$49,ROW(A1)+1,FALSE)</f>
        <v>228.42099999999999</v>
      </c>
      <c r="AI3" s="15" cm="1">
        <f t="array" ref="AI3">+HLOOKUP($A$1,+[56]İcmal!$B$19:$AG$49,ROW(A1)+1,FALSE)</f>
        <v>83.763999999999996</v>
      </c>
      <c r="AJ3" s="15" cm="1">
        <f t="array" ref="AJ3">+HLOOKUP($A$1,+[57]İcmal!$B$19:$AG$49,ROW(A1)+1,FALSE)</f>
        <v>0</v>
      </c>
      <c r="AK3" s="15" cm="1">
        <f t="array" ref="AK3">+HLOOKUP($A$1,+[58]İcmal!$B$19:$AG$49,ROW(B1)+1,FALSE)</f>
        <v>83.763999999999996</v>
      </c>
      <c r="AL3" s="15"/>
      <c r="AM3" s="15"/>
      <c r="AN3" s="15"/>
      <c r="AO3" s="13"/>
    </row>
    <row r="4" spans="1:41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+HLOOKUP($A$1,+[31]İcmal!$B$19:$AG$49,ROW(A2)+1,FALSE)</f>
        <v>0</v>
      </c>
      <c r="K4" s="15" cm="1">
        <f t="array" ref="K4">+HLOOKUP($A$1,+[32]İcmal!$B$19:$AG$49,ROW(B2)+1,FALSE)</f>
        <v>0</v>
      </c>
      <c r="L4" s="15" cm="1">
        <f t="array" ref="L4">+HLOOKUP($A$1,+[33]İcmal!$B$19:$AG$49,ROW(C2)+1,FALSE)</f>
        <v>0</v>
      </c>
      <c r="M4" s="15" cm="1">
        <f t="array" ref="M4">+HLOOKUP($A$1,+[34]İcmal!$B$19:$AG$49,ROW(D2)+1,FALSE)</f>
        <v>0</v>
      </c>
      <c r="N4" s="15" cm="1">
        <f t="array" ref="N4">+HLOOKUP($A$1,+[35]İcmal!$B$19:$AG$49,ROW(A2)+1,FALSE)</f>
        <v>0</v>
      </c>
      <c r="O4" s="15" cm="1">
        <f t="array" ref="O4">+HLOOKUP($A$1,+[36]İcmal!$B$19:$AG$49,ROW(B2)+1,FALSE)</f>
        <v>0</v>
      </c>
      <c r="P4" s="15" cm="1">
        <f t="array" ref="P4">+HLOOKUP($A$1,+[37]İcmal!$B$19:$AG$49,ROW(C2)+1,FALSE)</f>
        <v>0</v>
      </c>
      <c r="Q4" s="15" cm="1">
        <f t="array" ref="Q4">+HLOOKUP($A$1,+[38]İcmal!$B$19:$AG$49,ROW(D2)+1,FALSE)</f>
        <v>0</v>
      </c>
      <c r="R4" s="15" cm="1">
        <f t="array" ref="R4">+HLOOKUP($A$1,+[39]İcmal!$B$19:$AG$49,ROW(A2)+1,FALSE)</f>
        <v>0</v>
      </c>
      <c r="S4" s="15" cm="1">
        <f t="array" ref="S4">+HLOOKUP($A$1,+[40]İcmal!$B$19:$AG$49,ROW(B2)+1,FALSE)</f>
        <v>0</v>
      </c>
      <c r="T4" s="15" cm="1">
        <f t="array" ref="T4">+HLOOKUP($A$1,+[41]İcmal!$B$19:$AG$49,ROW(C2)+1,FALSE)</f>
        <v>0</v>
      </c>
      <c r="U4" s="15" cm="1">
        <f t="array" ref="U4">+HLOOKUP($A$1,+[42]İcmal!$B$19:$AG$49,ROW(D2)+1,FALSE)</f>
        <v>0</v>
      </c>
      <c r="V4" s="15" cm="1">
        <f t="array" ref="V4">+HLOOKUP($A$1,+[43]İcmal!$B$19:$AG$49,ROW(A2)+1,FALSE)</f>
        <v>0</v>
      </c>
      <c r="W4" s="15" cm="1">
        <f t="array" ref="W4">+HLOOKUP($A$1,+[44]İcmal!$B$19:$AG$49,ROW(B2)+1,FALSE)</f>
        <v>0</v>
      </c>
      <c r="X4" s="15" cm="1">
        <f t="array" ref="X4">+HLOOKUP($A$1,+[45]İcmal!$B$19:$AG$49,ROW(C2)+1,FALSE)</f>
        <v>0</v>
      </c>
      <c r="Y4" s="15" cm="1">
        <f t="array" ref="Y4">+HLOOKUP($A$1,+[46]İcmal!$B$19:$AG$49,ROW(D2)+1,FALSE)</f>
        <v>0</v>
      </c>
      <c r="Z4" s="15" cm="1">
        <f t="array" ref="Z4">+HLOOKUP($A$1,+[47]İcmal!$B$19:$AG$49,ROW(A2)+1,FALSE)</f>
        <v>0</v>
      </c>
      <c r="AA4" s="15" cm="1">
        <f t="array" ref="AA4">+HLOOKUP($A$1,+[48]İcmal!$B$19:$AG$49,ROW(B2)+1,FALSE)</f>
        <v>0</v>
      </c>
      <c r="AB4" s="15" cm="1">
        <f t="array" ref="AB4">+HLOOKUP($A$1,+[49]İcmal!$B$19:$AG$49,ROW(A2)+1,FALSE)</f>
        <v>0</v>
      </c>
      <c r="AC4" s="15" cm="1">
        <f t="array" ref="AC4">+HLOOKUP($A$1,+[50]İcmal!$B$19:$AG$49,ROW(A2)+1,FALSE)</f>
        <v>0</v>
      </c>
      <c r="AD4" s="15" cm="1">
        <f t="array" ref="AD4">+HLOOKUP($A$1,+[51]İcmal!$B$19:$AG$49,ROW(A2)+1,FALSE)</f>
        <v>0</v>
      </c>
      <c r="AE4" s="15" cm="1">
        <f t="array" ref="AE4">+HLOOKUP($A$1,+[52]İcmal!$B$19:$AG$49,ROW(A2)+1,FALSE)</f>
        <v>0</v>
      </c>
      <c r="AF4" s="50" cm="1">
        <f t="array" ref="AF4">+HLOOKUP($A$1,+[53]İcmal!$B$19:$AG$49,ROW(A2)+1,FALSE)</f>
        <v>0</v>
      </c>
      <c r="AG4" s="15" cm="1">
        <f t="array" ref="AG4">+HLOOKUP($A$1,+[54]İcmal!$B$19:$AG$49,ROW(A2)+1,FALSE)</f>
        <v>0</v>
      </c>
      <c r="AH4" s="15" cm="1">
        <f t="array" ref="AH4">+HLOOKUP($A$1,+[55]İcmal!$B$19:$AG$49,ROW(A2)+1,FALSE)</f>
        <v>0</v>
      </c>
      <c r="AI4" s="15" cm="1">
        <f t="array" ref="AI4">+HLOOKUP($A$1,+[56]İcmal!$B$19:$AG$49,ROW(A2)+1,FALSE)</f>
        <v>0</v>
      </c>
      <c r="AJ4" s="15" cm="1">
        <f t="array" ref="AJ4">+HLOOKUP($A$1,+[57]İcmal!$B$19:$AG$49,ROW(A2)+1,FALSE)</f>
        <v>0</v>
      </c>
      <c r="AK4" s="15" cm="1">
        <f t="array" ref="AK4">+HLOOKUP($A$1,+[58]İcmal!$B$19:$AG$49,ROW(B2)+1,FALSE)</f>
        <v>0</v>
      </c>
      <c r="AL4" s="15"/>
      <c r="AM4" s="15"/>
      <c r="AN4" s="15"/>
      <c r="AO4" s="13"/>
    </row>
    <row r="5" spans="1:41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+HLOOKUP($A$1,+[31]İcmal!$B$19:$AG$49,ROW(A3)+1,FALSE)</f>
        <v>0</v>
      </c>
      <c r="K5" s="15" cm="1">
        <f t="array" ref="K5">+HLOOKUP($A$1,+[32]İcmal!$B$19:$AG$49,ROW(B3)+1,FALSE)</f>
        <v>0</v>
      </c>
      <c r="L5" s="15" cm="1">
        <f t="array" ref="L5">+HLOOKUP($A$1,+[33]İcmal!$B$19:$AG$49,ROW(C3)+1,FALSE)</f>
        <v>0</v>
      </c>
      <c r="M5" s="15" cm="1">
        <f t="array" ref="M5">+HLOOKUP($A$1,+[34]İcmal!$B$19:$AG$49,ROW(D3)+1,FALSE)</f>
        <v>0</v>
      </c>
      <c r="N5" s="15" cm="1">
        <f t="array" ref="N5">+HLOOKUP($A$1,+[35]İcmal!$B$19:$AG$49,ROW(A3)+1,FALSE)</f>
        <v>0</v>
      </c>
      <c r="O5" s="15" cm="1">
        <f t="array" ref="O5">+HLOOKUP($A$1,+[36]İcmal!$B$19:$AG$49,ROW(B3)+1,FALSE)</f>
        <v>0</v>
      </c>
      <c r="P5" s="15" cm="1">
        <f t="array" ref="P5">+HLOOKUP($A$1,+[37]İcmal!$B$19:$AG$49,ROW(C3)+1,FALSE)</f>
        <v>0</v>
      </c>
      <c r="Q5" s="15" cm="1">
        <f t="array" ref="Q5">+HLOOKUP($A$1,+[38]İcmal!$B$19:$AG$49,ROW(D3)+1,FALSE)</f>
        <v>0</v>
      </c>
      <c r="R5" s="15" cm="1">
        <f t="array" ref="R5">+HLOOKUP($A$1,+[39]İcmal!$B$19:$AG$49,ROW(A3)+1,FALSE)</f>
        <v>0</v>
      </c>
      <c r="S5" s="15" cm="1">
        <f t="array" ref="S5">+HLOOKUP($A$1,+[40]İcmal!$B$19:$AG$49,ROW(B3)+1,FALSE)</f>
        <v>0</v>
      </c>
      <c r="T5" s="15" cm="1">
        <f t="array" ref="T5">+HLOOKUP($A$1,+[41]İcmal!$B$19:$AG$49,ROW(C3)+1,FALSE)</f>
        <v>0</v>
      </c>
      <c r="U5" s="15" cm="1">
        <f t="array" ref="U5">+HLOOKUP($A$1,+[42]İcmal!$B$19:$AG$49,ROW(D3)+1,FALSE)</f>
        <v>0</v>
      </c>
      <c r="V5" s="15" cm="1">
        <f t="array" ref="V5">+HLOOKUP($A$1,+[43]İcmal!$B$19:$AG$49,ROW(A3)+1,FALSE)</f>
        <v>0</v>
      </c>
      <c r="W5" s="15" cm="1">
        <f t="array" ref="W5">+HLOOKUP($A$1,+[44]İcmal!$B$19:$AG$49,ROW(B3)+1,FALSE)</f>
        <v>0</v>
      </c>
      <c r="X5" s="15" cm="1">
        <f t="array" ref="X5">+HLOOKUP($A$1,+[45]İcmal!$B$19:$AG$49,ROW(C3)+1,FALSE)</f>
        <v>0</v>
      </c>
      <c r="Y5" s="15" cm="1">
        <f t="array" ref="Y5">+HLOOKUP($A$1,+[46]İcmal!$B$19:$AG$49,ROW(D3)+1,FALSE)</f>
        <v>0</v>
      </c>
      <c r="Z5" s="15" cm="1">
        <f t="array" ref="Z5">+HLOOKUP($A$1,+[47]İcmal!$B$19:$AG$49,ROW(A3)+1,FALSE)</f>
        <v>0</v>
      </c>
      <c r="AA5" s="15" cm="1">
        <f t="array" ref="AA5">+HLOOKUP($A$1,+[48]İcmal!$B$19:$AG$49,ROW(B3)+1,FALSE)</f>
        <v>0</v>
      </c>
      <c r="AB5" s="15" cm="1">
        <f t="array" ref="AB5">+HLOOKUP($A$1,+[49]İcmal!$B$19:$AG$49,ROW(A3)+1,FALSE)</f>
        <v>0</v>
      </c>
      <c r="AC5" s="15" cm="1">
        <f t="array" ref="AC5">+HLOOKUP($A$1,+[50]İcmal!$B$19:$AG$49,ROW(A3)+1,FALSE)</f>
        <v>0</v>
      </c>
      <c r="AD5" s="15" cm="1">
        <f t="array" ref="AD5">+HLOOKUP($A$1,+[51]İcmal!$B$19:$AG$49,ROW(A3)+1,FALSE)</f>
        <v>0</v>
      </c>
      <c r="AE5" s="15" cm="1">
        <f t="array" ref="AE5">+HLOOKUP($A$1,+[52]İcmal!$B$19:$AG$49,ROW(A3)+1,FALSE)</f>
        <v>0</v>
      </c>
      <c r="AF5" s="50" cm="1">
        <f t="array" ref="AF5">+HLOOKUP($A$1,+[53]İcmal!$B$19:$AG$49,ROW(A3)+1,FALSE)</f>
        <v>0</v>
      </c>
      <c r="AG5" s="15" cm="1">
        <f t="array" ref="AG5">+HLOOKUP($A$1,+[54]İcmal!$B$19:$AG$49,ROW(A3)+1,FALSE)</f>
        <v>0</v>
      </c>
      <c r="AH5" s="15" cm="1">
        <f t="array" ref="AH5">+HLOOKUP($A$1,+[55]İcmal!$B$19:$AG$49,ROW(A3)+1,FALSE)</f>
        <v>0</v>
      </c>
      <c r="AI5" s="15" cm="1">
        <f t="array" ref="AI5">+HLOOKUP($A$1,+[56]İcmal!$B$19:$AG$49,ROW(A3)+1,FALSE)</f>
        <v>0</v>
      </c>
      <c r="AJ5" s="15" cm="1">
        <f t="array" ref="AJ5">+HLOOKUP($A$1,+[57]İcmal!$B$19:$AG$49,ROW(A3)+1,FALSE)</f>
        <v>0</v>
      </c>
      <c r="AK5" s="15" cm="1">
        <f t="array" ref="AK5">+HLOOKUP($A$1,+[58]İcmal!$B$19:$AG$49,ROW(B3)+1,FALSE)</f>
        <v>0</v>
      </c>
      <c r="AL5" s="15"/>
      <c r="AM5" s="15"/>
      <c r="AN5" s="15"/>
      <c r="AO5" s="13"/>
    </row>
    <row r="6" spans="1:41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707.24600000000009</v>
      </c>
      <c r="I6" s="9">
        <f t="shared" si="2"/>
        <v>10844910.164000001</v>
      </c>
      <c r="J6" s="15" cm="1">
        <f t="array" ref="J6">+HLOOKUP($A$1,+[31]İcmal!$B$19:$AG$49,ROW(A4)+1,FALSE)</f>
        <v>0</v>
      </c>
      <c r="K6" s="15" cm="1">
        <f t="array" ref="K6">+HLOOKUP($A$1,+[32]İcmal!$B$19:$AG$49,ROW(B4)+1,FALSE)</f>
        <v>0</v>
      </c>
      <c r="L6" s="15" cm="1">
        <f t="array" ref="L6">+HLOOKUP($A$1,+[33]İcmal!$B$19:$AG$49,ROW(C4)+1,FALSE)</f>
        <v>17.574999999999999</v>
      </c>
      <c r="M6" s="15" cm="1">
        <f t="array" ref="M6">+HLOOKUP($A$1,+[34]İcmal!$B$19:$AG$49,ROW(D4)+1,FALSE)</f>
        <v>20.604000000000003</v>
      </c>
      <c r="N6" s="15" cm="1">
        <f t="array" ref="N6">+HLOOKUP($A$1,+[35]İcmal!$B$19:$AG$49,ROW(A4)+1,FALSE)</f>
        <v>8.6120000000000001</v>
      </c>
      <c r="O6" s="15" cm="1">
        <f t="array" ref="O6">+HLOOKUP($A$1,+[36]İcmal!$B$19:$AG$49,ROW(B4)+1,FALSE)</f>
        <v>119.923</v>
      </c>
      <c r="P6" s="15" cm="1">
        <f t="array" ref="P6">+HLOOKUP($A$1,+[37]İcmal!$B$19:$AG$49,ROW(C4)+1,FALSE)</f>
        <v>0</v>
      </c>
      <c r="Q6" s="15" cm="1">
        <f t="array" ref="Q6">+HLOOKUP($A$1,+[38]İcmal!$B$19:$AG$49,ROW(D4)+1,FALSE)</f>
        <v>0</v>
      </c>
      <c r="R6" s="15" cm="1">
        <f t="array" ref="R6">+HLOOKUP($A$1,+[39]İcmal!$B$19:$AG$49,ROW(A4)+1,FALSE)</f>
        <v>97.484999999999999</v>
      </c>
      <c r="S6" s="15" cm="1">
        <f t="array" ref="S6">+HLOOKUP($A$1,+[40]İcmal!$B$19:$AG$49,ROW(B4)+1,FALSE)</f>
        <v>145.74299999999999</v>
      </c>
      <c r="T6" s="15" cm="1">
        <f t="array" ref="T6">+HLOOKUP($A$1,+[41]İcmal!$B$19:$AG$49,ROW(C4)+1,FALSE)</f>
        <v>0</v>
      </c>
      <c r="U6" s="15" cm="1">
        <f t="array" ref="U6">+HLOOKUP($A$1,+[42]İcmal!$B$19:$AG$49,ROW(D4)+1,FALSE)</f>
        <v>0</v>
      </c>
      <c r="V6" s="15" cm="1">
        <f t="array" ref="V6">+HLOOKUP($A$1,+[43]İcmal!$B$19:$AG$49,ROW(A4)+1,FALSE)</f>
        <v>0</v>
      </c>
      <c r="W6" s="15" cm="1">
        <f t="array" ref="W6">+HLOOKUP($A$1,+[44]İcmal!$B$19:$AG$49,ROW(B4)+1,FALSE)</f>
        <v>0</v>
      </c>
      <c r="X6" s="15" cm="1">
        <f t="array" ref="X6">+HLOOKUP($A$1,+[45]İcmal!$B$19:$AG$49,ROW(C4)+1,FALSE)</f>
        <v>70.02000000000001</v>
      </c>
      <c r="Y6" s="15" cm="1">
        <f t="array" ref="Y6">+HLOOKUP($A$1,+[46]İcmal!$B$19:$AG$49,ROW(D4)+1,FALSE)</f>
        <v>55.839000000000006</v>
      </c>
      <c r="Z6" s="15" cm="1">
        <f t="array" ref="Z6">+HLOOKUP($A$1,+[47]İcmal!$B$19:$AG$49,ROW(A4)+1,FALSE)</f>
        <v>0</v>
      </c>
      <c r="AA6" s="15" cm="1">
        <f t="array" ref="AA6">+HLOOKUP($A$1,+[48]İcmal!$B$19:$AG$49,ROW(B4)+1,FALSE)</f>
        <v>0</v>
      </c>
      <c r="AB6" s="15" cm="1">
        <f t="array" ref="AB6">+HLOOKUP($A$1,+[49]İcmal!$B$19:$AG$49,ROW(A4)+1,FALSE)</f>
        <v>72.631</v>
      </c>
      <c r="AC6" s="15" cm="1">
        <f t="array" ref="AC6">+HLOOKUP($A$1,+[50]İcmal!$B$19:$AG$49,ROW(A4)+1,FALSE)</f>
        <v>16.507999999999999</v>
      </c>
      <c r="AD6" s="15" cm="1">
        <f t="array" ref="AD6">+HLOOKUP($A$1,+[51]İcmal!$B$19:$AG$49,ROW(A4)+1,FALSE)</f>
        <v>0</v>
      </c>
      <c r="AE6" s="15" cm="1">
        <f t="array" ref="AE6">+HLOOKUP($A$1,+[52]İcmal!$B$19:$AG$49,ROW(A4)+1,FALSE)</f>
        <v>0</v>
      </c>
      <c r="AF6" s="50" cm="1">
        <f t="array" ref="AF6">+HLOOKUP($A$1,+[53]İcmal!$B$19:$AG$49,ROW(A4)+1,FALSE)</f>
        <v>2.145</v>
      </c>
      <c r="AG6" s="15" cm="1">
        <f t="array" ref="AG6">+HLOOKUP($A$1,+[54]İcmal!$B$19:$AG$49,ROW(A4)+1,FALSE)</f>
        <v>0</v>
      </c>
      <c r="AH6" s="15" cm="1">
        <f t="array" ref="AH6">+HLOOKUP($A$1,+[55]İcmal!$B$19:$AG$49,ROW(A4)+1,FALSE)</f>
        <v>47.144999999999996</v>
      </c>
      <c r="AI6" s="15" cm="1">
        <f t="array" ref="AI6">+HLOOKUP($A$1,+[56]İcmal!$B$19:$AG$49,ROW(A4)+1,FALSE)</f>
        <v>16.507999999999999</v>
      </c>
      <c r="AJ6" s="15" cm="1">
        <f t="array" ref="AJ6">+HLOOKUP($A$1,+[57]İcmal!$B$19:$AG$49,ROW(A4)+1,FALSE)</f>
        <v>0</v>
      </c>
      <c r="AK6" s="15" cm="1">
        <f t="array" ref="AK6">+HLOOKUP($A$1,+[58]İcmal!$B$19:$AG$49,ROW(B4)+1,FALSE)</f>
        <v>16.507999999999999</v>
      </c>
      <c r="AL6" s="15"/>
      <c r="AM6" s="15"/>
      <c r="AN6" s="15"/>
      <c r="AO6" s="13"/>
    </row>
    <row r="7" spans="1:41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+HLOOKUP($A$1,+[31]İcmal!$B$19:$AG$49,ROW(A5)+1,FALSE)</f>
        <v>0</v>
      </c>
      <c r="K7" s="15" cm="1">
        <f t="array" ref="K7">+HLOOKUP($A$1,+[32]İcmal!$B$19:$AG$49,ROW(B5)+1,FALSE)</f>
        <v>0</v>
      </c>
      <c r="L7" s="15" cm="1">
        <f t="array" ref="L7">+HLOOKUP($A$1,+[33]İcmal!$B$19:$AG$49,ROW(C5)+1,FALSE)</f>
        <v>0</v>
      </c>
      <c r="M7" s="15" cm="1">
        <f t="array" ref="M7">+HLOOKUP($A$1,+[34]İcmal!$B$19:$AG$49,ROW(D5)+1,FALSE)</f>
        <v>0</v>
      </c>
      <c r="N7" s="15" cm="1">
        <f t="array" ref="N7">+HLOOKUP($A$1,+[35]İcmal!$B$19:$AG$49,ROW(A5)+1,FALSE)</f>
        <v>0</v>
      </c>
      <c r="O7" s="15" cm="1">
        <f t="array" ref="O7">+HLOOKUP($A$1,+[36]İcmal!$B$19:$AG$49,ROW(B5)+1,FALSE)</f>
        <v>0</v>
      </c>
      <c r="P7" s="15" cm="1">
        <f t="array" ref="P7">+HLOOKUP($A$1,+[37]İcmal!$B$19:$AG$49,ROW(C5)+1,FALSE)</f>
        <v>0</v>
      </c>
      <c r="Q7" s="15" cm="1">
        <f t="array" ref="Q7">+HLOOKUP($A$1,+[38]İcmal!$B$19:$AG$49,ROW(D5)+1,FALSE)</f>
        <v>0</v>
      </c>
      <c r="R7" s="15" cm="1">
        <f t="array" ref="R7">+HLOOKUP($A$1,+[39]İcmal!$B$19:$AG$49,ROW(A5)+1,FALSE)</f>
        <v>0</v>
      </c>
      <c r="S7" s="15" cm="1">
        <f t="array" ref="S7">+HLOOKUP($A$1,+[40]İcmal!$B$19:$AG$49,ROW(B5)+1,FALSE)</f>
        <v>0</v>
      </c>
      <c r="T7" s="15" cm="1">
        <f t="array" ref="T7">+HLOOKUP($A$1,+[41]İcmal!$B$19:$AG$49,ROW(C5)+1,FALSE)</f>
        <v>0</v>
      </c>
      <c r="U7" s="15" cm="1">
        <f t="array" ref="U7">+HLOOKUP($A$1,+[42]İcmal!$B$19:$AG$49,ROW(D5)+1,FALSE)</f>
        <v>0</v>
      </c>
      <c r="V7" s="15" cm="1">
        <f t="array" ref="V7">+HLOOKUP($A$1,+[43]İcmal!$B$19:$AG$49,ROW(A5)+1,FALSE)</f>
        <v>0</v>
      </c>
      <c r="W7" s="15" cm="1">
        <f t="array" ref="W7">+HLOOKUP($A$1,+[44]İcmal!$B$19:$AG$49,ROW(B5)+1,FALSE)</f>
        <v>0</v>
      </c>
      <c r="X7" s="15" cm="1">
        <f t="array" ref="X7">+HLOOKUP($A$1,+[45]İcmal!$B$19:$AG$49,ROW(C5)+1,FALSE)</f>
        <v>0</v>
      </c>
      <c r="Y7" s="15" cm="1">
        <f t="array" ref="Y7">+HLOOKUP($A$1,+[46]İcmal!$B$19:$AG$49,ROW(D5)+1,FALSE)</f>
        <v>0</v>
      </c>
      <c r="Z7" s="15" cm="1">
        <f t="array" ref="Z7">+HLOOKUP($A$1,+[47]İcmal!$B$19:$AG$49,ROW(A5)+1,FALSE)</f>
        <v>0</v>
      </c>
      <c r="AA7" s="15" cm="1">
        <f t="array" ref="AA7">+HLOOKUP($A$1,+[48]İcmal!$B$19:$AG$49,ROW(B5)+1,FALSE)</f>
        <v>0</v>
      </c>
      <c r="AB7" s="15" cm="1">
        <f t="array" ref="AB7">+HLOOKUP($A$1,+[49]İcmal!$B$19:$AG$49,ROW(A5)+1,FALSE)</f>
        <v>0</v>
      </c>
      <c r="AC7" s="15" cm="1">
        <f t="array" ref="AC7">+HLOOKUP($A$1,+[50]İcmal!$B$19:$AG$49,ROW(A5)+1,FALSE)</f>
        <v>0</v>
      </c>
      <c r="AD7" s="15" cm="1">
        <f t="array" ref="AD7">+HLOOKUP($A$1,+[51]İcmal!$B$19:$AG$49,ROW(A5)+1,FALSE)</f>
        <v>0</v>
      </c>
      <c r="AE7" s="15" cm="1">
        <f t="array" ref="AE7">+HLOOKUP($A$1,+[52]İcmal!$B$19:$AG$49,ROW(A5)+1,FALSE)</f>
        <v>0</v>
      </c>
      <c r="AF7" s="50" cm="1">
        <f t="array" ref="AF7">+HLOOKUP($A$1,+[53]İcmal!$B$19:$AG$49,ROW(A5)+1,FALSE)</f>
        <v>0</v>
      </c>
      <c r="AG7" s="15" cm="1">
        <f t="array" ref="AG7">+HLOOKUP($A$1,+[54]İcmal!$B$19:$AG$49,ROW(A5)+1,FALSE)</f>
        <v>0</v>
      </c>
      <c r="AH7" s="15" cm="1">
        <f t="array" ref="AH7">+HLOOKUP($A$1,+[55]İcmal!$B$19:$AG$49,ROW(A5)+1,FALSE)</f>
        <v>0</v>
      </c>
      <c r="AI7" s="15" cm="1">
        <f t="array" ref="AI7">+HLOOKUP($A$1,+[56]İcmal!$B$19:$AG$49,ROW(A5)+1,FALSE)</f>
        <v>0</v>
      </c>
      <c r="AJ7" s="15" cm="1">
        <f t="array" ref="AJ7">+HLOOKUP($A$1,+[57]İcmal!$B$19:$AG$49,ROW(A5)+1,FALSE)</f>
        <v>0</v>
      </c>
      <c r="AK7" s="15" cm="1">
        <f t="array" ref="AK7">+HLOOKUP($A$1,+[58]İcmal!$B$19:$AG$49,ROW(B5)+1,FALSE)</f>
        <v>0</v>
      </c>
      <c r="AL7" s="15"/>
      <c r="AM7" s="15"/>
      <c r="AN7" s="15"/>
      <c r="AO7" s="13"/>
    </row>
    <row r="8" spans="1:41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+HLOOKUP($A$1,+[31]İcmal!$B$19:$AG$49,ROW(A6)+1,FALSE)</f>
        <v>0</v>
      </c>
      <c r="K8" s="15" cm="1">
        <f t="array" ref="K8">+HLOOKUP($A$1,+[32]İcmal!$B$19:$AG$49,ROW(B6)+1,FALSE)</f>
        <v>0</v>
      </c>
      <c r="L8" s="15" cm="1">
        <f t="array" ref="L8">+HLOOKUP($A$1,+[33]İcmal!$B$19:$AG$49,ROW(C6)+1,FALSE)</f>
        <v>0</v>
      </c>
      <c r="M8" s="15" cm="1">
        <f t="array" ref="M8">+HLOOKUP($A$1,+[34]İcmal!$B$19:$AG$49,ROW(D6)+1,FALSE)</f>
        <v>0</v>
      </c>
      <c r="N8" s="15" cm="1">
        <f t="array" ref="N8">+HLOOKUP($A$1,+[35]İcmal!$B$19:$AG$49,ROW(A6)+1,FALSE)</f>
        <v>0</v>
      </c>
      <c r="O8" s="15" cm="1">
        <f t="array" ref="O8">+HLOOKUP($A$1,+[36]İcmal!$B$19:$AG$49,ROW(B6)+1,FALSE)</f>
        <v>0</v>
      </c>
      <c r="P8" s="15" cm="1">
        <f t="array" ref="P8">+HLOOKUP($A$1,+[37]İcmal!$B$19:$AG$49,ROW(C6)+1,FALSE)</f>
        <v>0</v>
      </c>
      <c r="Q8" s="15" cm="1">
        <f t="array" ref="Q8">+HLOOKUP($A$1,+[38]İcmal!$B$19:$AG$49,ROW(D6)+1,FALSE)</f>
        <v>0</v>
      </c>
      <c r="R8" s="15" cm="1">
        <f t="array" ref="R8">+HLOOKUP($A$1,+[39]İcmal!$B$19:$AG$49,ROW(A6)+1,FALSE)</f>
        <v>0</v>
      </c>
      <c r="S8" s="15" cm="1">
        <f t="array" ref="S8">+HLOOKUP($A$1,+[40]İcmal!$B$19:$AG$49,ROW(B6)+1,FALSE)</f>
        <v>0</v>
      </c>
      <c r="T8" s="15" cm="1">
        <f t="array" ref="T8">+HLOOKUP($A$1,+[41]İcmal!$B$19:$AG$49,ROW(C6)+1,FALSE)</f>
        <v>0</v>
      </c>
      <c r="U8" s="15" cm="1">
        <f t="array" ref="U8">+HLOOKUP($A$1,+[42]İcmal!$B$19:$AG$49,ROW(D6)+1,FALSE)</f>
        <v>0</v>
      </c>
      <c r="V8" s="15" cm="1">
        <f t="array" ref="V8">+HLOOKUP($A$1,+[43]İcmal!$B$19:$AG$49,ROW(A6)+1,FALSE)</f>
        <v>0</v>
      </c>
      <c r="W8" s="15" cm="1">
        <f t="array" ref="W8">+HLOOKUP($A$1,+[44]İcmal!$B$19:$AG$49,ROW(B6)+1,FALSE)</f>
        <v>0</v>
      </c>
      <c r="X8" s="15" cm="1">
        <f t="array" ref="X8">+HLOOKUP($A$1,+[45]İcmal!$B$19:$AG$49,ROW(C6)+1,FALSE)</f>
        <v>0</v>
      </c>
      <c r="Y8" s="15" cm="1">
        <f t="array" ref="Y8">+HLOOKUP($A$1,+[46]İcmal!$B$19:$AG$49,ROW(D6)+1,FALSE)</f>
        <v>0</v>
      </c>
      <c r="Z8" s="15" cm="1">
        <f t="array" ref="Z8">+HLOOKUP($A$1,+[47]İcmal!$B$19:$AG$49,ROW(A6)+1,FALSE)</f>
        <v>0</v>
      </c>
      <c r="AA8" s="15" cm="1">
        <f t="array" ref="AA8">+HLOOKUP($A$1,+[48]İcmal!$B$19:$AG$49,ROW(B6)+1,FALSE)</f>
        <v>0</v>
      </c>
      <c r="AB8" s="15" cm="1">
        <f t="array" ref="AB8">+HLOOKUP($A$1,+[49]İcmal!$B$19:$AG$49,ROW(A6)+1,FALSE)</f>
        <v>0</v>
      </c>
      <c r="AC8" s="15" cm="1">
        <f t="array" ref="AC8">+HLOOKUP($A$1,+[50]İcmal!$B$19:$AG$49,ROW(A6)+1,FALSE)</f>
        <v>0</v>
      </c>
      <c r="AD8" s="15" cm="1">
        <f t="array" ref="AD8">+HLOOKUP($A$1,+[51]İcmal!$B$19:$AG$49,ROW(A6)+1,FALSE)</f>
        <v>0</v>
      </c>
      <c r="AE8" s="15" cm="1">
        <f t="array" ref="AE8">+HLOOKUP($A$1,+[52]İcmal!$B$19:$AG$49,ROW(A6)+1,FALSE)</f>
        <v>0</v>
      </c>
      <c r="AF8" s="50" cm="1">
        <f t="array" ref="AF8">+HLOOKUP($A$1,+[53]İcmal!$B$19:$AG$49,ROW(A6)+1,FALSE)</f>
        <v>0</v>
      </c>
      <c r="AG8" s="15" cm="1">
        <f t="array" ref="AG8">+HLOOKUP($A$1,+[54]İcmal!$B$19:$AG$49,ROW(A6)+1,FALSE)</f>
        <v>0</v>
      </c>
      <c r="AH8" s="15" cm="1">
        <f t="array" ref="AH8">+HLOOKUP($A$1,+[55]İcmal!$B$19:$AG$49,ROW(A6)+1,FALSE)</f>
        <v>0</v>
      </c>
      <c r="AI8" s="15" cm="1">
        <f t="array" ref="AI8">+HLOOKUP($A$1,+[56]İcmal!$B$19:$AG$49,ROW(A6)+1,FALSE)</f>
        <v>0</v>
      </c>
      <c r="AJ8" s="15" cm="1">
        <f t="array" ref="AJ8">+HLOOKUP($A$1,+[57]İcmal!$B$19:$AG$49,ROW(A6)+1,FALSE)</f>
        <v>0</v>
      </c>
      <c r="AK8" s="15" cm="1">
        <f t="array" ref="AK8">+HLOOKUP($A$1,+[58]İcmal!$B$19:$AG$49,ROW(B6)+1,FALSE)</f>
        <v>0</v>
      </c>
      <c r="AL8" s="15"/>
      <c r="AM8" s="15"/>
      <c r="AN8" s="15"/>
      <c r="AO8" s="13"/>
    </row>
    <row r="9" spans="1:41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+HLOOKUP($A$1,+[31]İcmal!$B$19:$AG$49,ROW(A7)+1,FALSE)</f>
        <v>0</v>
      </c>
      <c r="K9" s="15" cm="1">
        <f t="array" ref="K9">+HLOOKUP($A$1,+[32]İcmal!$B$19:$AG$49,ROW(B7)+1,FALSE)</f>
        <v>0</v>
      </c>
      <c r="L9" s="15" cm="1">
        <f t="array" ref="L9">+HLOOKUP($A$1,+[33]İcmal!$B$19:$AG$49,ROW(C7)+1,FALSE)</f>
        <v>0</v>
      </c>
      <c r="M9" s="15" cm="1">
        <f t="array" ref="M9">+HLOOKUP($A$1,+[34]İcmal!$B$19:$AG$49,ROW(D7)+1,FALSE)</f>
        <v>0</v>
      </c>
      <c r="N9" s="15" cm="1">
        <f t="array" ref="N9">+HLOOKUP($A$1,+[35]İcmal!$B$19:$AG$49,ROW(A7)+1,FALSE)</f>
        <v>0</v>
      </c>
      <c r="O9" s="15" cm="1">
        <f t="array" ref="O9">+HLOOKUP($A$1,+[36]İcmal!$B$19:$AG$49,ROW(B7)+1,FALSE)</f>
        <v>0</v>
      </c>
      <c r="P9" s="15" cm="1">
        <f t="array" ref="P9">+HLOOKUP($A$1,+[37]İcmal!$B$19:$AG$49,ROW(C7)+1,FALSE)</f>
        <v>0</v>
      </c>
      <c r="Q9" s="15" cm="1">
        <f t="array" ref="Q9">+HLOOKUP($A$1,+[38]İcmal!$B$19:$AG$49,ROW(D7)+1,FALSE)</f>
        <v>0</v>
      </c>
      <c r="R9" s="15" cm="1">
        <f t="array" ref="R9">+HLOOKUP($A$1,+[39]İcmal!$B$19:$AG$49,ROW(A7)+1,FALSE)</f>
        <v>0</v>
      </c>
      <c r="S9" s="15" cm="1">
        <f t="array" ref="S9">+HLOOKUP($A$1,+[40]İcmal!$B$19:$AG$49,ROW(B7)+1,FALSE)</f>
        <v>0</v>
      </c>
      <c r="T9" s="15" cm="1">
        <f t="array" ref="T9">+HLOOKUP($A$1,+[41]İcmal!$B$19:$AG$49,ROW(C7)+1,FALSE)</f>
        <v>0</v>
      </c>
      <c r="U9" s="15" cm="1">
        <f t="array" ref="U9">+HLOOKUP($A$1,+[42]İcmal!$B$19:$AG$49,ROW(D7)+1,FALSE)</f>
        <v>0</v>
      </c>
      <c r="V9" s="15" cm="1">
        <f t="array" ref="V9">+HLOOKUP($A$1,+[43]İcmal!$B$19:$AG$49,ROW(A7)+1,FALSE)</f>
        <v>0</v>
      </c>
      <c r="W9" s="15" cm="1">
        <f t="array" ref="W9">+HLOOKUP($A$1,+[44]İcmal!$B$19:$AG$49,ROW(B7)+1,FALSE)</f>
        <v>0</v>
      </c>
      <c r="X9" s="15" cm="1">
        <f t="array" ref="X9">+HLOOKUP($A$1,+[45]İcmal!$B$19:$AG$49,ROW(C7)+1,FALSE)</f>
        <v>0</v>
      </c>
      <c r="Y9" s="15" cm="1">
        <f t="array" ref="Y9">+HLOOKUP($A$1,+[46]İcmal!$B$19:$AG$49,ROW(D7)+1,FALSE)</f>
        <v>0</v>
      </c>
      <c r="Z9" s="15" cm="1">
        <f t="array" ref="Z9">+HLOOKUP($A$1,+[47]İcmal!$B$19:$AG$49,ROW(A7)+1,FALSE)</f>
        <v>0</v>
      </c>
      <c r="AA9" s="15" cm="1">
        <f t="array" ref="AA9">+HLOOKUP($A$1,+[48]İcmal!$B$19:$AG$49,ROW(B7)+1,FALSE)</f>
        <v>0</v>
      </c>
      <c r="AB9" s="15" cm="1">
        <f t="array" ref="AB9">+HLOOKUP($A$1,+[49]İcmal!$B$19:$AG$49,ROW(A7)+1,FALSE)</f>
        <v>0</v>
      </c>
      <c r="AC9" s="15" cm="1">
        <f t="array" ref="AC9">+HLOOKUP($A$1,+[50]İcmal!$B$19:$AG$49,ROW(A7)+1,FALSE)</f>
        <v>0</v>
      </c>
      <c r="AD9" s="15" cm="1">
        <f t="array" ref="AD9">+HLOOKUP($A$1,+[51]İcmal!$B$19:$AG$49,ROW(A7)+1,FALSE)</f>
        <v>0</v>
      </c>
      <c r="AE9" s="15" cm="1">
        <f t="array" ref="AE9">+HLOOKUP($A$1,+[52]İcmal!$B$19:$AG$49,ROW(A7)+1,FALSE)</f>
        <v>0</v>
      </c>
      <c r="AF9" s="50" cm="1">
        <f t="array" ref="AF9">+HLOOKUP($A$1,+[53]İcmal!$B$19:$AG$49,ROW(A7)+1,FALSE)</f>
        <v>0</v>
      </c>
      <c r="AG9" s="15" cm="1">
        <f t="array" ref="AG9">+HLOOKUP($A$1,+[54]İcmal!$B$19:$AG$49,ROW(A7)+1,FALSE)</f>
        <v>0</v>
      </c>
      <c r="AH9" s="15" cm="1">
        <f t="array" ref="AH9">+HLOOKUP($A$1,+[55]İcmal!$B$19:$AG$49,ROW(A7)+1,FALSE)</f>
        <v>0</v>
      </c>
      <c r="AI9" s="15" cm="1">
        <f t="array" ref="AI9">+HLOOKUP($A$1,+[56]İcmal!$B$19:$AG$49,ROW(A7)+1,FALSE)</f>
        <v>0</v>
      </c>
      <c r="AJ9" s="15" cm="1">
        <f t="array" ref="AJ9">+HLOOKUP($A$1,+[57]İcmal!$B$19:$AG$49,ROW(A7)+1,FALSE)</f>
        <v>0</v>
      </c>
      <c r="AK9" s="15" cm="1">
        <f t="array" ref="AK9">+HLOOKUP($A$1,+[58]İcmal!$B$19:$AG$49,ROW(B7)+1,FALSE)</f>
        <v>0</v>
      </c>
      <c r="AL9" s="15"/>
      <c r="AM9" s="15"/>
      <c r="AN9" s="15"/>
      <c r="AO9" s="13"/>
    </row>
    <row r="10" spans="1:41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0</v>
      </c>
      <c r="I10" s="9">
        <f t="shared" si="2"/>
        <v>0</v>
      </c>
      <c r="J10" s="15" cm="1">
        <f t="array" ref="J10">+HLOOKUP($A$1,+[31]İcmal!$B$19:$AG$49,ROW(A8)+1,FALSE)</f>
        <v>0</v>
      </c>
      <c r="K10" s="15" cm="1">
        <f t="array" ref="K10">+HLOOKUP($A$1,+[32]İcmal!$B$19:$AG$49,ROW(B8)+1,FALSE)</f>
        <v>0</v>
      </c>
      <c r="L10" s="15" cm="1">
        <f t="array" ref="L10">+HLOOKUP($A$1,+[33]İcmal!$B$19:$AG$49,ROW(C8)+1,FALSE)</f>
        <v>0</v>
      </c>
      <c r="M10" s="15" cm="1">
        <f t="array" ref="M10">+HLOOKUP($A$1,+[34]İcmal!$B$19:$AG$49,ROW(D8)+1,FALSE)</f>
        <v>0</v>
      </c>
      <c r="N10" s="15" cm="1">
        <f t="array" ref="N10">+HLOOKUP($A$1,+[35]İcmal!$B$19:$AG$49,ROW(A8)+1,FALSE)</f>
        <v>0</v>
      </c>
      <c r="O10" s="15" cm="1">
        <f t="array" ref="O10">+HLOOKUP($A$1,+[36]İcmal!$B$19:$AG$49,ROW(B8)+1,FALSE)</f>
        <v>0</v>
      </c>
      <c r="P10" s="15" cm="1">
        <f t="array" ref="P10">+HLOOKUP($A$1,+[37]İcmal!$B$19:$AG$49,ROW(C8)+1,FALSE)</f>
        <v>0</v>
      </c>
      <c r="Q10" s="15" cm="1">
        <f t="array" ref="Q10">+HLOOKUP($A$1,+[38]İcmal!$B$19:$AG$49,ROW(D8)+1,FALSE)</f>
        <v>0</v>
      </c>
      <c r="R10" s="15" cm="1">
        <f t="array" ref="R10">+HLOOKUP($A$1,+[39]İcmal!$B$19:$AG$49,ROW(A8)+1,FALSE)</f>
        <v>0</v>
      </c>
      <c r="S10" s="15" cm="1">
        <f t="array" ref="S10">+HLOOKUP($A$1,+[40]İcmal!$B$19:$AG$49,ROW(B8)+1,FALSE)</f>
        <v>0</v>
      </c>
      <c r="T10" s="15" cm="1">
        <f t="array" ref="T10">+HLOOKUP($A$1,+[41]İcmal!$B$19:$AG$49,ROW(C8)+1,FALSE)</f>
        <v>0</v>
      </c>
      <c r="U10" s="15" cm="1">
        <f t="array" ref="U10">+HLOOKUP($A$1,+[42]İcmal!$B$19:$AG$49,ROW(D8)+1,FALSE)</f>
        <v>0</v>
      </c>
      <c r="V10" s="15" cm="1">
        <f t="array" ref="V10">+HLOOKUP($A$1,+[43]İcmal!$B$19:$AG$49,ROW(A8)+1,FALSE)</f>
        <v>0</v>
      </c>
      <c r="W10" s="15" cm="1">
        <f t="array" ref="W10">+HLOOKUP($A$1,+[44]İcmal!$B$19:$AG$49,ROW(B8)+1,FALSE)</f>
        <v>0</v>
      </c>
      <c r="X10" s="15" cm="1">
        <f t="array" ref="X10">+HLOOKUP($A$1,+[45]İcmal!$B$19:$AG$49,ROW(C8)+1,FALSE)</f>
        <v>0</v>
      </c>
      <c r="Y10" s="15" cm="1">
        <f t="array" ref="Y10">+HLOOKUP($A$1,+[46]İcmal!$B$19:$AG$49,ROW(D8)+1,FALSE)</f>
        <v>0</v>
      </c>
      <c r="Z10" s="15" cm="1">
        <f t="array" ref="Z10">+HLOOKUP($A$1,+[47]İcmal!$B$19:$AG$49,ROW(A8)+1,FALSE)</f>
        <v>0</v>
      </c>
      <c r="AA10" s="15" cm="1">
        <f t="array" ref="AA10">+HLOOKUP($A$1,+[48]İcmal!$B$19:$AG$49,ROW(B8)+1,FALSE)</f>
        <v>0</v>
      </c>
      <c r="AB10" s="15" cm="1">
        <f t="array" ref="AB10">+HLOOKUP($A$1,+[49]İcmal!$B$19:$AG$49,ROW(A8)+1,FALSE)</f>
        <v>0</v>
      </c>
      <c r="AC10" s="15" cm="1">
        <f t="array" ref="AC10">+HLOOKUP($A$1,+[50]İcmal!$B$19:$AG$49,ROW(A8)+1,FALSE)</f>
        <v>0</v>
      </c>
      <c r="AD10" s="15" cm="1">
        <f t="array" ref="AD10">+HLOOKUP($A$1,+[51]İcmal!$B$19:$AG$49,ROW(A8)+1,FALSE)</f>
        <v>0</v>
      </c>
      <c r="AE10" s="15" cm="1">
        <f t="array" ref="AE10">+HLOOKUP($A$1,+[52]İcmal!$B$19:$AG$49,ROW(A8)+1,FALSE)</f>
        <v>0</v>
      </c>
      <c r="AF10" s="50" cm="1">
        <f t="array" ref="AF10">+HLOOKUP($A$1,+[53]İcmal!$B$19:$AG$49,ROW(A8)+1,FALSE)</f>
        <v>0</v>
      </c>
      <c r="AG10" s="15" cm="1">
        <f t="array" ref="AG10">+HLOOKUP($A$1,+[54]İcmal!$B$19:$AG$49,ROW(A8)+1,FALSE)</f>
        <v>0</v>
      </c>
      <c r="AH10" s="15" cm="1">
        <f t="array" ref="AH10">+HLOOKUP($A$1,+[55]İcmal!$B$19:$AG$49,ROW(A8)+1,FALSE)</f>
        <v>0</v>
      </c>
      <c r="AI10" s="15" cm="1">
        <f t="array" ref="AI10">+HLOOKUP($A$1,+[56]İcmal!$B$19:$AG$49,ROW(A8)+1,FALSE)</f>
        <v>0</v>
      </c>
      <c r="AJ10" s="15" cm="1">
        <f t="array" ref="AJ10">+HLOOKUP($A$1,+[57]İcmal!$B$19:$AG$49,ROW(A8)+1,FALSE)</f>
        <v>0</v>
      </c>
      <c r="AK10" s="15" cm="1">
        <f t="array" ref="AK10">+HLOOKUP($A$1,+[58]İcmal!$B$19:$AG$49,ROW(B8)+1,FALSE)</f>
        <v>0</v>
      </c>
      <c r="AL10" s="15"/>
      <c r="AM10" s="15"/>
      <c r="AN10" s="15"/>
      <c r="AO10" s="13"/>
    </row>
    <row r="11" spans="1:41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+HLOOKUP($A$1,+[31]İcmal!$B$19:$AG$49,ROW(A9)+1,FALSE)</f>
        <v>0</v>
      </c>
      <c r="K11" s="15" cm="1">
        <f t="array" ref="K11">+HLOOKUP($A$1,+[32]İcmal!$B$19:$AG$49,ROW(B9)+1,FALSE)</f>
        <v>0</v>
      </c>
      <c r="L11" s="15" cm="1">
        <f t="array" ref="L11">+HLOOKUP($A$1,+[33]İcmal!$B$19:$AG$49,ROW(C9)+1,FALSE)</f>
        <v>0</v>
      </c>
      <c r="M11" s="15" cm="1">
        <f t="array" ref="M11">+HLOOKUP($A$1,+[34]İcmal!$B$19:$AG$49,ROW(D9)+1,FALSE)</f>
        <v>0</v>
      </c>
      <c r="N11" s="15" cm="1">
        <f t="array" ref="N11">+HLOOKUP($A$1,+[35]İcmal!$B$19:$AG$49,ROW(A9)+1,FALSE)</f>
        <v>0</v>
      </c>
      <c r="O11" s="15" cm="1">
        <f t="array" ref="O11">+HLOOKUP($A$1,+[36]İcmal!$B$19:$AG$49,ROW(B9)+1,FALSE)</f>
        <v>0</v>
      </c>
      <c r="P11" s="15" cm="1">
        <f t="array" ref="P11">+HLOOKUP($A$1,+[37]İcmal!$B$19:$AG$49,ROW(C9)+1,FALSE)</f>
        <v>0</v>
      </c>
      <c r="Q11" s="15" cm="1">
        <f t="array" ref="Q11">+HLOOKUP($A$1,+[38]İcmal!$B$19:$AG$49,ROW(D9)+1,FALSE)</f>
        <v>0</v>
      </c>
      <c r="R11" s="15" cm="1">
        <f t="array" ref="R11">+HLOOKUP($A$1,+[39]İcmal!$B$19:$AG$49,ROW(A9)+1,FALSE)</f>
        <v>0</v>
      </c>
      <c r="S11" s="15" cm="1">
        <f t="array" ref="S11">+HLOOKUP($A$1,+[40]İcmal!$B$19:$AG$49,ROW(B9)+1,FALSE)</f>
        <v>0</v>
      </c>
      <c r="T11" s="15" cm="1">
        <f t="array" ref="T11">+HLOOKUP($A$1,+[41]İcmal!$B$19:$AG$49,ROW(C9)+1,FALSE)</f>
        <v>0</v>
      </c>
      <c r="U11" s="15" cm="1">
        <f t="array" ref="U11">+HLOOKUP($A$1,+[42]İcmal!$B$19:$AG$49,ROW(D9)+1,FALSE)</f>
        <v>0</v>
      </c>
      <c r="V11" s="15" cm="1">
        <f t="array" ref="V11">+HLOOKUP($A$1,+[43]İcmal!$B$19:$AG$49,ROW(A9)+1,FALSE)</f>
        <v>0</v>
      </c>
      <c r="W11" s="15" cm="1">
        <f t="array" ref="W11">+HLOOKUP($A$1,+[44]İcmal!$B$19:$AG$49,ROW(B9)+1,FALSE)</f>
        <v>0</v>
      </c>
      <c r="X11" s="15" cm="1">
        <f t="array" ref="X11">+HLOOKUP($A$1,+[45]İcmal!$B$19:$AG$49,ROW(C9)+1,FALSE)</f>
        <v>0</v>
      </c>
      <c r="Y11" s="15" cm="1">
        <f t="array" ref="Y11">+HLOOKUP($A$1,+[46]İcmal!$B$19:$AG$49,ROW(D9)+1,FALSE)</f>
        <v>0</v>
      </c>
      <c r="Z11" s="15" cm="1">
        <f t="array" ref="Z11">+HLOOKUP($A$1,+[47]İcmal!$B$19:$AG$49,ROW(A9)+1,FALSE)</f>
        <v>0</v>
      </c>
      <c r="AA11" s="15" cm="1">
        <f t="array" ref="AA11">+HLOOKUP($A$1,+[48]İcmal!$B$19:$AG$49,ROW(B9)+1,FALSE)</f>
        <v>0</v>
      </c>
      <c r="AB11" s="15" cm="1">
        <f t="array" ref="AB11">+HLOOKUP($A$1,+[49]İcmal!$B$19:$AG$49,ROW(A9)+1,FALSE)</f>
        <v>0</v>
      </c>
      <c r="AC11" s="15" cm="1">
        <f t="array" ref="AC11">+HLOOKUP($A$1,+[50]İcmal!$B$19:$AG$49,ROW(A9)+1,FALSE)</f>
        <v>0</v>
      </c>
      <c r="AD11" s="15" cm="1">
        <f t="array" ref="AD11">+HLOOKUP($A$1,+[51]İcmal!$B$19:$AG$49,ROW(A9)+1,FALSE)</f>
        <v>0</v>
      </c>
      <c r="AE11" s="15" cm="1">
        <f t="array" ref="AE11">+HLOOKUP($A$1,+[52]İcmal!$B$19:$AG$49,ROW(A9)+1,FALSE)</f>
        <v>0</v>
      </c>
      <c r="AF11" s="50" cm="1">
        <f t="array" ref="AF11">+HLOOKUP($A$1,+[53]İcmal!$B$19:$AG$49,ROW(A9)+1,FALSE)</f>
        <v>0</v>
      </c>
      <c r="AG11" s="15" cm="1">
        <f t="array" ref="AG11">+HLOOKUP($A$1,+[54]İcmal!$B$19:$AG$49,ROW(A9)+1,FALSE)</f>
        <v>0</v>
      </c>
      <c r="AH11" s="15" cm="1">
        <f t="array" ref="AH11">+HLOOKUP($A$1,+[55]İcmal!$B$19:$AG$49,ROW(A9)+1,FALSE)</f>
        <v>0</v>
      </c>
      <c r="AI11" s="15" cm="1">
        <f t="array" ref="AI11">+HLOOKUP($A$1,+[56]İcmal!$B$19:$AG$49,ROW(A9)+1,FALSE)</f>
        <v>0</v>
      </c>
      <c r="AJ11" s="15" cm="1">
        <f t="array" ref="AJ11">+HLOOKUP($A$1,+[57]İcmal!$B$19:$AG$49,ROW(A9)+1,FALSE)</f>
        <v>0</v>
      </c>
      <c r="AK11" s="15" cm="1">
        <f t="array" ref="AK11">+HLOOKUP($A$1,+[58]İcmal!$B$19:$AG$49,ROW(B9)+1,FALSE)</f>
        <v>0</v>
      </c>
      <c r="AL11" s="15"/>
      <c r="AM11" s="15"/>
      <c r="AN11" s="15"/>
      <c r="AO11" s="13"/>
    </row>
    <row r="12" spans="1:41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494</v>
      </c>
      <c r="I12" s="9">
        <f t="shared" si="2"/>
        <v>5928000</v>
      </c>
      <c r="J12" s="15" cm="1">
        <f t="array" ref="J12">+HLOOKUP($A$1,+[31]İcmal!$B$19:$AG$49,ROW(A10)+1,FALSE)</f>
        <v>0</v>
      </c>
      <c r="K12" s="15" cm="1">
        <f t="array" ref="K12">+HLOOKUP($A$1,+[32]İcmal!$B$19:$AG$49,ROW(B10)+1,FALSE)</f>
        <v>0</v>
      </c>
      <c r="L12" s="15" cm="1">
        <f t="array" ref="L12">+HLOOKUP($A$1,+[33]İcmal!$B$19:$AG$49,ROW(C10)+1,FALSE)</f>
        <v>0</v>
      </c>
      <c r="M12" s="15" cm="1">
        <f t="array" ref="M12">+HLOOKUP($A$1,+[34]İcmal!$B$19:$AG$49,ROW(D10)+1,FALSE)</f>
        <v>0</v>
      </c>
      <c r="N12" s="15" cm="1">
        <f t="array" ref="N12">+HLOOKUP($A$1,+[35]İcmal!$B$19:$AG$49,ROW(A10)+1,FALSE)</f>
        <v>0</v>
      </c>
      <c r="O12" s="15" cm="1">
        <f t="array" ref="O12">+HLOOKUP($A$1,+[36]İcmal!$B$19:$AG$49,ROW(B10)+1,FALSE)</f>
        <v>0</v>
      </c>
      <c r="P12" s="15" cm="1">
        <f t="array" ref="P12">+HLOOKUP($A$1,+[37]İcmal!$B$19:$AG$49,ROW(C10)+1,FALSE)</f>
        <v>0</v>
      </c>
      <c r="Q12" s="15" cm="1">
        <f t="array" ref="Q12">+HLOOKUP($A$1,+[38]İcmal!$B$19:$AG$49,ROW(D10)+1,FALSE)</f>
        <v>0</v>
      </c>
      <c r="R12" s="15" cm="1">
        <f t="array" ref="R12">+HLOOKUP($A$1,+[39]İcmal!$B$19:$AG$49,ROW(A10)+1,FALSE)</f>
        <v>0</v>
      </c>
      <c r="S12" s="15" cm="1">
        <f t="array" ref="S12">+HLOOKUP($A$1,+[40]İcmal!$B$19:$AG$49,ROW(B10)+1,FALSE)</f>
        <v>0</v>
      </c>
      <c r="T12" s="15" cm="1">
        <f t="array" ref="T12">+HLOOKUP($A$1,+[41]İcmal!$B$19:$AG$49,ROW(C10)+1,FALSE)</f>
        <v>0</v>
      </c>
      <c r="U12" s="15" cm="1">
        <f t="array" ref="U12">+HLOOKUP($A$1,+[42]İcmal!$B$19:$AG$49,ROW(D10)+1,FALSE)</f>
        <v>0</v>
      </c>
      <c r="V12" s="15" cm="1">
        <f t="array" ref="V12">+HLOOKUP($A$1,+[43]İcmal!$B$19:$AG$49,ROW(A10)+1,FALSE)</f>
        <v>0</v>
      </c>
      <c r="W12" s="15" cm="1">
        <f t="array" ref="W12">+HLOOKUP($A$1,+[44]İcmal!$B$19:$AG$49,ROW(B10)+1,FALSE)</f>
        <v>0</v>
      </c>
      <c r="X12" s="15" cm="1">
        <f t="array" ref="X12">+HLOOKUP($A$1,+[45]İcmal!$B$19:$AG$49,ROW(C10)+1,FALSE)</f>
        <v>0</v>
      </c>
      <c r="Y12" s="15" cm="1">
        <f t="array" ref="Y12">+HLOOKUP($A$1,+[46]İcmal!$B$19:$AG$49,ROW(D10)+1,FALSE)</f>
        <v>0</v>
      </c>
      <c r="Z12" s="15" cm="1">
        <f t="array" ref="Z12">+HLOOKUP($A$1,+[47]İcmal!$B$19:$AG$49,ROW(A10)+1,FALSE)</f>
        <v>0</v>
      </c>
      <c r="AA12" s="15" cm="1">
        <f t="array" ref="AA12">+HLOOKUP($A$1,+[48]İcmal!$B$19:$AG$49,ROW(B10)+1,FALSE)</f>
        <v>0</v>
      </c>
      <c r="AB12" s="15" cm="1">
        <f t="array" ref="AB12">+HLOOKUP($A$1,+[49]İcmal!$B$19:$AG$49,ROW(A10)+1,FALSE)</f>
        <v>159</v>
      </c>
      <c r="AC12" s="15" cm="1">
        <f t="array" ref="AC12">+HLOOKUP($A$1,+[50]İcmal!$B$19:$AG$49,ROW(A10)+1,FALSE)</f>
        <v>0</v>
      </c>
      <c r="AD12" s="15" cm="1">
        <f t="array" ref="AD12">+HLOOKUP($A$1,+[51]İcmal!$B$19:$AG$49,ROW(A10)+1,FALSE)</f>
        <v>0</v>
      </c>
      <c r="AE12" s="15" cm="1">
        <f t="array" ref="AE12">+HLOOKUP($A$1,+[52]İcmal!$B$19:$AG$49,ROW(A10)+1,FALSE)</f>
        <v>0</v>
      </c>
      <c r="AF12" s="50" cm="1">
        <f t="array" ref="AF12">+HLOOKUP($A$1,+[53]İcmal!$B$19:$AG$49,ROW(A10)+1,FALSE)</f>
        <v>158</v>
      </c>
      <c r="AG12" s="15" cm="1">
        <f t="array" ref="AG12">+HLOOKUP($A$1,+[54]İcmal!$B$19:$AG$49,ROW(A10)+1,FALSE)</f>
        <v>0</v>
      </c>
      <c r="AH12" s="15" cm="1">
        <f t="array" ref="AH12">+HLOOKUP($A$1,+[55]İcmal!$B$19:$AG$49,ROW(A10)+1,FALSE)</f>
        <v>177</v>
      </c>
      <c r="AI12" s="15" cm="1">
        <f t="array" ref="AI12">+HLOOKUP($A$1,+[56]İcmal!$B$19:$AG$49,ROW(A10)+1,FALSE)</f>
        <v>0</v>
      </c>
      <c r="AJ12" s="15" cm="1">
        <f t="array" ref="AJ12">+HLOOKUP($A$1,+[57]İcmal!$B$19:$AG$49,ROW(A10)+1,FALSE)</f>
        <v>0</v>
      </c>
      <c r="AK12" s="15" cm="1">
        <f t="array" ref="AK12">+HLOOKUP($A$1,+[58]İcmal!$B$19:$AG$49,ROW(B10)+1,FALSE)</f>
        <v>0</v>
      </c>
      <c r="AL12" s="15"/>
      <c r="AM12" s="15"/>
      <c r="AN12" s="15"/>
      <c r="AO12" s="13"/>
    </row>
    <row r="13" spans="1:41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416</v>
      </c>
      <c r="I13" s="9">
        <f t="shared" si="2"/>
        <v>11648000</v>
      </c>
      <c r="J13" s="15" cm="1">
        <f t="array" ref="J13">+HLOOKUP($A$1,+[31]İcmal!$B$19:$AG$49,ROW(A11)+1,FALSE)</f>
        <v>24</v>
      </c>
      <c r="K13" s="15" cm="1">
        <f t="array" ref="K13">+HLOOKUP($A$1,+[32]İcmal!$B$19:$AG$49,ROW(B11)+1,FALSE)</f>
        <v>66</v>
      </c>
      <c r="L13" s="15" cm="1">
        <f t="array" ref="L13">+HLOOKUP($A$1,+[33]İcmal!$B$19:$AG$49,ROW(C11)+1,FALSE)</f>
        <v>0</v>
      </c>
      <c r="M13" s="15" cm="1">
        <f t="array" ref="M13">+HLOOKUP($A$1,+[34]İcmal!$B$19:$AG$49,ROW(D11)+1,FALSE)</f>
        <v>0</v>
      </c>
      <c r="N13" s="15" cm="1">
        <f t="array" ref="N13">+HLOOKUP($A$1,+[35]İcmal!$B$19:$AG$49,ROW(A11)+1,FALSE)</f>
        <v>122</v>
      </c>
      <c r="O13" s="15" cm="1">
        <f t="array" ref="O13">+HLOOKUP($A$1,+[36]İcmal!$B$19:$AG$49,ROW(B11)+1,FALSE)</f>
        <v>114</v>
      </c>
      <c r="P13" s="15" cm="1">
        <f t="array" ref="P13">+HLOOKUP($A$1,+[37]İcmal!$B$19:$AG$49,ROW(C11)+1,FALSE)</f>
        <v>0</v>
      </c>
      <c r="Q13" s="15" cm="1">
        <f t="array" ref="Q13">+HLOOKUP($A$1,+[38]İcmal!$B$19:$AG$49,ROW(D11)+1,FALSE)</f>
        <v>0</v>
      </c>
      <c r="R13" s="15" cm="1">
        <f t="array" ref="R13">+HLOOKUP($A$1,+[39]İcmal!$B$19:$AG$49,ROW(A11)+1,FALSE)</f>
        <v>0</v>
      </c>
      <c r="S13" s="15" cm="1">
        <f t="array" ref="S13">+HLOOKUP($A$1,+[40]İcmal!$B$19:$AG$49,ROW(B11)+1,FALSE)</f>
        <v>90</v>
      </c>
      <c r="T13" s="15" cm="1">
        <f t="array" ref="T13">+HLOOKUP($A$1,+[41]İcmal!$B$19:$AG$49,ROW(C11)+1,FALSE)</f>
        <v>0</v>
      </c>
      <c r="U13" s="15" cm="1">
        <f t="array" ref="U13">+HLOOKUP($A$1,+[42]İcmal!$B$19:$AG$49,ROW(D11)+1,FALSE)</f>
        <v>0</v>
      </c>
      <c r="V13" s="15" cm="1">
        <f t="array" ref="V13">+HLOOKUP($A$1,+[43]İcmal!$B$19:$AG$49,ROW(A11)+1,FALSE)</f>
        <v>0</v>
      </c>
      <c r="W13" s="15" cm="1">
        <f t="array" ref="W13">+HLOOKUP($A$1,+[44]İcmal!$B$19:$AG$49,ROW(B11)+1,FALSE)</f>
        <v>0</v>
      </c>
      <c r="X13" s="15" cm="1">
        <f t="array" ref="X13">+HLOOKUP($A$1,+[45]İcmal!$B$19:$AG$49,ROW(C11)+1,FALSE)</f>
        <v>0</v>
      </c>
      <c r="Y13" s="15" cm="1">
        <f t="array" ref="Y13">+HLOOKUP($A$1,+[46]İcmal!$B$19:$AG$49,ROW(D11)+1,FALSE)</f>
        <v>0</v>
      </c>
      <c r="Z13" s="15" cm="1">
        <f t="array" ref="Z13">+HLOOKUP($A$1,+[47]İcmal!$B$19:$AG$49,ROW(A11)+1,FALSE)</f>
        <v>0</v>
      </c>
      <c r="AA13" s="15" cm="1">
        <f t="array" ref="AA13">+HLOOKUP($A$1,+[48]İcmal!$B$19:$AG$49,ROW(B11)+1,FALSE)</f>
        <v>0</v>
      </c>
      <c r="AB13" s="15" cm="1">
        <f t="array" ref="AB13">+HLOOKUP($A$1,+[49]İcmal!$B$19:$AG$49,ROW(A11)+1,FALSE)</f>
        <v>0</v>
      </c>
      <c r="AC13" s="15" cm="1">
        <f t="array" ref="AC13">+HLOOKUP($A$1,+[50]İcmal!$B$19:$AG$49,ROW(A11)+1,FALSE)</f>
        <v>0</v>
      </c>
      <c r="AD13" s="15" cm="1">
        <f t="array" ref="AD13">+HLOOKUP($A$1,+[51]İcmal!$B$19:$AG$49,ROW(A11)+1,FALSE)</f>
        <v>0</v>
      </c>
      <c r="AE13" s="15" cm="1">
        <f t="array" ref="AE13">+HLOOKUP($A$1,+[52]İcmal!$B$19:$AG$49,ROW(A11)+1,FALSE)</f>
        <v>0</v>
      </c>
      <c r="AF13" s="50" cm="1">
        <f t="array" ref="AF13">+HLOOKUP($A$1,+[53]İcmal!$B$19:$AG$49,ROW(A11)+1,FALSE)</f>
        <v>0</v>
      </c>
      <c r="AG13" s="15" cm="1">
        <f t="array" ref="AG13">+HLOOKUP($A$1,+[54]İcmal!$B$19:$AG$49,ROW(A11)+1,FALSE)</f>
        <v>0</v>
      </c>
      <c r="AH13" s="15" cm="1">
        <f t="array" ref="AH13">+HLOOKUP($A$1,+[55]İcmal!$B$19:$AG$49,ROW(A11)+1,FALSE)</f>
        <v>0</v>
      </c>
      <c r="AI13" s="15" cm="1">
        <f t="array" ref="AI13">+HLOOKUP($A$1,+[56]İcmal!$B$19:$AG$49,ROW(A11)+1,FALSE)</f>
        <v>0</v>
      </c>
      <c r="AJ13" s="15" cm="1">
        <f t="array" ref="AJ13">+HLOOKUP($A$1,+[57]İcmal!$B$19:$AG$49,ROW(A11)+1,FALSE)</f>
        <v>0</v>
      </c>
      <c r="AK13" s="15" cm="1">
        <f t="array" ref="AK13">+HLOOKUP($A$1,+[58]İcmal!$B$19:$AG$49,ROW(B11)+1,FALSE)</f>
        <v>0</v>
      </c>
      <c r="AL13" s="15"/>
      <c r="AM13" s="15"/>
      <c r="AN13" s="15"/>
      <c r="AO13" s="13"/>
    </row>
    <row r="14" spans="1:41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2574</v>
      </c>
      <c r="I14" s="9">
        <f t="shared" si="2"/>
        <v>965250</v>
      </c>
      <c r="J14" s="15" cm="1">
        <f t="array" ref="J14">+HLOOKUP($A$1,+[31]İcmal!$B$19:$AG$49,ROW(A12)+1,FALSE)</f>
        <v>0</v>
      </c>
      <c r="K14" s="15" cm="1">
        <f t="array" ref="K14">+HLOOKUP($A$1,+[32]İcmal!$B$19:$AG$49,ROW(B12)+1,FALSE)</f>
        <v>0</v>
      </c>
      <c r="L14" s="15" cm="1">
        <f t="array" ref="L14">+HLOOKUP($A$1,+[33]İcmal!$B$19:$AG$49,ROW(C12)+1,FALSE)</f>
        <v>0</v>
      </c>
      <c r="M14" s="15" cm="1">
        <f t="array" ref="M14">+HLOOKUP($A$1,+[34]İcmal!$B$19:$AG$49,ROW(D12)+1,FALSE)</f>
        <v>0</v>
      </c>
      <c r="N14" s="15" cm="1">
        <f t="array" ref="N14">+HLOOKUP($A$1,+[35]İcmal!$B$19:$AG$49,ROW(A12)+1,FALSE)</f>
        <v>0</v>
      </c>
      <c r="O14" s="15" cm="1">
        <f t="array" ref="O14">+HLOOKUP($A$1,+[36]İcmal!$B$19:$AG$49,ROW(B12)+1,FALSE)</f>
        <v>810</v>
      </c>
      <c r="P14" s="15" cm="1">
        <f t="array" ref="P14">+HLOOKUP($A$1,+[37]İcmal!$B$19:$AG$49,ROW(C12)+1,FALSE)</f>
        <v>0</v>
      </c>
      <c r="Q14" s="15" cm="1">
        <f t="array" ref="Q14">+HLOOKUP($A$1,+[38]İcmal!$B$19:$AG$49,ROW(D12)+1,FALSE)</f>
        <v>0</v>
      </c>
      <c r="R14" s="15" cm="1">
        <f t="array" ref="R14">+HLOOKUP($A$1,+[39]İcmal!$B$19:$AG$49,ROW(A12)+1,FALSE)</f>
        <v>234</v>
      </c>
      <c r="S14" s="15" cm="1">
        <f t="array" ref="S14">+HLOOKUP($A$1,+[40]İcmal!$B$19:$AG$49,ROW(B12)+1,FALSE)</f>
        <v>810</v>
      </c>
      <c r="T14" s="15" cm="1">
        <f t="array" ref="T14">+HLOOKUP($A$1,+[41]İcmal!$B$19:$AG$49,ROW(C12)+1,FALSE)</f>
        <v>0</v>
      </c>
      <c r="U14" s="15" cm="1">
        <f t="array" ref="U14">+HLOOKUP($A$1,+[42]İcmal!$B$19:$AG$49,ROW(D12)+1,FALSE)</f>
        <v>0</v>
      </c>
      <c r="V14" s="15" cm="1">
        <f t="array" ref="V14">+HLOOKUP($A$1,+[43]İcmal!$B$19:$AG$49,ROW(A12)+1,FALSE)</f>
        <v>0</v>
      </c>
      <c r="W14" s="15" cm="1">
        <f t="array" ref="W14">+HLOOKUP($A$1,+[44]İcmal!$B$19:$AG$49,ROW(B12)+1,FALSE)</f>
        <v>0</v>
      </c>
      <c r="X14" s="15" cm="1">
        <f t="array" ref="X14">+HLOOKUP($A$1,+[45]İcmal!$B$19:$AG$49,ROW(C12)+1,FALSE)</f>
        <v>0</v>
      </c>
      <c r="Y14" s="15" cm="1">
        <f t="array" ref="Y14">+HLOOKUP($A$1,+[46]İcmal!$B$19:$AG$49,ROW(D12)+1,FALSE)</f>
        <v>0</v>
      </c>
      <c r="Z14" s="15" cm="1">
        <f t="array" ref="Z14">+HLOOKUP($A$1,+[47]İcmal!$B$19:$AG$49,ROW(A12)+1,FALSE)</f>
        <v>0</v>
      </c>
      <c r="AA14" s="15" cm="1">
        <f t="array" ref="AA14">+HLOOKUP($A$1,+[48]İcmal!$B$19:$AG$49,ROW(B12)+1,FALSE)</f>
        <v>0</v>
      </c>
      <c r="AB14" s="15" cm="1">
        <f t="array" ref="AB14">+HLOOKUP($A$1,+[49]İcmal!$B$19:$AG$49,ROW(A12)+1,FALSE)</f>
        <v>360</v>
      </c>
      <c r="AC14" s="15" cm="1">
        <f t="array" ref="AC14">+HLOOKUP($A$1,+[50]İcmal!$B$19:$AG$49,ROW(A12)+1,FALSE)</f>
        <v>0</v>
      </c>
      <c r="AD14" s="15" cm="1">
        <f t="array" ref="AD14">+HLOOKUP($A$1,+[51]İcmal!$B$19:$AG$49,ROW(A12)+1,FALSE)</f>
        <v>0</v>
      </c>
      <c r="AE14" s="15" cm="1">
        <f t="array" ref="AE14">+HLOOKUP($A$1,+[52]İcmal!$B$19:$AG$49,ROW(A12)+1,FALSE)</f>
        <v>0</v>
      </c>
      <c r="AF14" s="50" cm="1">
        <f t="array" ref="AF14">+HLOOKUP($A$1,+[53]İcmal!$B$19:$AG$49,ROW(A12)+1,FALSE)</f>
        <v>180</v>
      </c>
      <c r="AG14" s="15" cm="1">
        <f t="array" ref="AG14">+HLOOKUP($A$1,+[54]İcmal!$B$19:$AG$49,ROW(A12)+1,FALSE)</f>
        <v>0</v>
      </c>
      <c r="AH14" s="15" cm="1">
        <f t="array" ref="AH14">+HLOOKUP($A$1,+[55]İcmal!$B$19:$AG$49,ROW(A12)+1,FALSE)</f>
        <v>180</v>
      </c>
      <c r="AI14" s="15" cm="1">
        <f t="array" ref="AI14">+HLOOKUP($A$1,+[56]İcmal!$B$19:$AG$49,ROW(A12)+1,FALSE)</f>
        <v>0</v>
      </c>
      <c r="AJ14" s="15" cm="1">
        <f t="array" ref="AJ14">+HLOOKUP($A$1,+[57]İcmal!$B$19:$AG$49,ROW(A12)+1,FALSE)</f>
        <v>0</v>
      </c>
      <c r="AK14" s="15" cm="1">
        <f t="array" ref="AK14">+HLOOKUP($A$1,+[58]İcmal!$B$19:$AG$49,ROW(B12)+1,FALSE)</f>
        <v>0</v>
      </c>
      <c r="AL14" s="15"/>
      <c r="AM14" s="15"/>
      <c r="AN14" s="15"/>
      <c r="AO14" s="13"/>
    </row>
    <row r="15" spans="1:41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+HLOOKUP($A$1,+[31]İcmal!$B$19:$AG$49,ROW(A13)+1,FALSE)</f>
        <v>0</v>
      </c>
      <c r="K15" s="15" cm="1">
        <f t="array" ref="K15">+HLOOKUP($A$1,+[32]İcmal!$B$19:$AG$49,ROW(B13)+1,FALSE)</f>
        <v>0</v>
      </c>
      <c r="L15" s="15" cm="1">
        <f t="array" ref="L15">+HLOOKUP($A$1,+[33]İcmal!$B$19:$AG$49,ROW(C13)+1,FALSE)</f>
        <v>0</v>
      </c>
      <c r="M15" s="15" cm="1">
        <f t="array" ref="M15">+HLOOKUP($A$1,+[34]İcmal!$B$19:$AG$49,ROW(D13)+1,FALSE)</f>
        <v>0</v>
      </c>
      <c r="N15" s="15" cm="1">
        <f t="array" ref="N15">+HLOOKUP($A$1,+[35]İcmal!$B$19:$AG$49,ROW(A13)+1,FALSE)</f>
        <v>0</v>
      </c>
      <c r="O15" s="15" cm="1">
        <f t="array" ref="O15">+HLOOKUP($A$1,+[36]İcmal!$B$19:$AG$49,ROW(B13)+1,FALSE)</f>
        <v>0</v>
      </c>
      <c r="P15" s="15" cm="1">
        <f t="array" ref="P15">+HLOOKUP($A$1,+[37]İcmal!$B$19:$AG$49,ROW(C13)+1,FALSE)</f>
        <v>0</v>
      </c>
      <c r="Q15" s="15" cm="1">
        <f t="array" ref="Q15">+HLOOKUP($A$1,+[38]İcmal!$B$19:$AG$49,ROW(D13)+1,FALSE)</f>
        <v>0</v>
      </c>
      <c r="R15" s="15" cm="1">
        <f t="array" ref="R15">+HLOOKUP($A$1,+[39]İcmal!$B$19:$AG$49,ROW(A13)+1,FALSE)</f>
        <v>0</v>
      </c>
      <c r="S15" s="15" cm="1">
        <f t="array" ref="S15">+HLOOKUP($A$1,+[40]İcmal!$B$19:$AG$49,ROW(B13)+1,FALSE)</f>
        <v>0</v>
      </c>
      <c r="T15" s="15" cm="1">
        <f t="array" ref="T15">+HLOOKUP($A$1,+[41]İcmal!$B$19:$AG$49,ROW(C13)+1,FALSE)</f>
        <v>0</v>
      </c>
      <c r="U15" s="15" cm="1">
        <f t="array" ref="U15">+HLOOKUP($A$1,+[42]İcmal!$B$19:$AG$49,ROW(D13)+1,FALSE)</f>
        <v>0</v>
      </c>
      <c r="V15" s="15" cm="1">
        <f t="array" ref="V15">+HLOOKUP($A$1,+[43]İcmal!$B$19:$AG$49,ROW(A13)+1,FALSE)</f>
        <v>0</v>
      </c>
      <c r="W15" s="15" cm="1">
        <f t="array" ref="W15">+HLOOKUP($A$1,+[44]İcmal!$B$19:$AG$49,ROW(B13)+1,FALSE)</f>
        <v>0</v>
      </c>
      <c r="X15" s="15" cm="1">
        <f t="array" ref="X15">+HLOOKUP($A$1,+[45]İcmal!$B$19:$AG$49,ROW(C13)+1,FALSE)</f>
        <v>0</v>
      </c>
      <c r="Y15" s="15" cm="1">
        <f t="array" ref="Y15">+HLOOKUP($A$1,+[46]İcmal!$B$19:$AG$49,ROW(D13)+1,FALSE)</f>
        <v>0</v>
      </c>
      <c r="Z15" s="15" cm="1">
        <f t="array" ref="Z15">+HLOOKUP($A$1,+[47]İcmal!$B$19:$AG$49,ROW(A13)+1,FALSE)</f>
        <v>0</v>
      </c>
      <c r="AA15" s="15" cm="1">
        <f t="array" ref="AA15">+HLOOKUP($A$1,+[48]İcmal!$B$19:$AG$49,ROW(B13)+1,FALSE)</f>
        <v>0</v>
      </c>
      <c r="AB15" s="15" cm="1">
        <f t="array" ref="AB15">+HLOOKUP($A$1,+[49]İcmal!$B$19:$AG$49,ROW(A13)+1,FALSE)</f>
        <v>0</v>
      </c>
      <c r="AC15" s="15" cm="1">
        <f t="array" ref="AC15">+HLOOKUP($A$1,+[50]İcmal!$B$19:$AG$49,ROW(A13)+1,FALSE)</f>
        <v>0</v>
      </c>
      <c r="AD15" s="15" cm="1">
        <f t="array" ref="AD15">+HLOOKUP($A$1,+[51]İcmal!$B$19:$AG$49,ROW(A13)+1,FALSE)</f>
        <v>0</v>
      </c>
      <c r="AE15" s="15" cm="1">
        <f t="array" ref="AE15">+HLOOKUP($A$1,+[52]İcmal!$B$19:$AG$49,ROW(A13)+1,FALSE)</f>
        <v>0</v>
      </c>
      <c r="AF15" s="50" cm="1">
        <f t="array" ref="AF15">+HLOOKUP($A$1,+[53]İcmal!$B$19:$AG$49,ROW(A13)+1,FALSE)</f>
        <v>0</v>
      </c>
      <c r="AG15" s="15" cm="1">
        <f t="array" ref="AG15">+HLOOKUP($A$1,+[54]İcmal!$B$19:$AG$49,ROW(A13)+1,FALSE)</f>
        <v>0</v>
      </c>
      <c r="AH15" s="15" cm="1">
        <f t="array" ref="AH15">+HLOOKUP($A$1,+[55]İcmal!$B$19:$AG$49,ROW(A13)+1,FALSE)</f>
        <v>0</v>
      </c>
      <c r="AI15" s="15" cm="1">
        <f t="array" ref="AI15">+HLOOKUP($A$1,+[56]İcmal!$B$19:$AG$49,ROW(A13)+1,FALSE)</f>
        <v>0</v>
      </c>
      <c r="AJ15" s="15" cm="1">
        <f t="array" ref="AJ15">+HLOOKUP($A$1,+[57]İcmal!$B$19:$AG$49,ROW(A13)+1,FALSE)</f>
        <v>0</v>
      </c>
      <c r="AK15" s="15" cm="1">
        <f t="array" ref="AK15">+HLOOKUP($A$1,+[58]İcmal!$B$19:$AG$49,ROW(B13)+1,FALSE)</f>
        <v>0</v>
      </c>
      <c r="AL15" s="15"/>
      <c r="AM15" s="15"/>
      <c r="AN15" s="15"/>
      <c r="AO15" s="13"/>
    </row>
    <row r="16" spans="1:41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143.29500000000004</v>
      </c>
      <c r="I16" s="9">
        <f t="shared" si="2"/>
        <v>14616090.000000004</v>
      </c>
      <c r="J16" s="15" cm="1">
        <f t="array" ref="J16">+HLOOKUP($A$1,+[31]İcmal!$B$19:$AG$49,ROW(A14)+1,FALSE)</f>
        <v>0</v>
      </c>
      <c r="K16" s="15" cm="1">
        <f t="array" ref="K16">+HLOOKUP($A$1,+[32]İcmal!$B$19:$AG$49,ROW(B14)+1,FALSE)</f>
        <v>0</v>
      </c>
      <c r="L16" s="15" cm="1">
        <f t="array" ref="L16">+HLOOKUP($A$1,+[33]İcmal!$B$19:$AG$49,ROW(C14)+1,FALSE)</f>
        <v>4.1360000000000001</v>
      </c>
      <c r="M16" s="15" cm="1">
        <f t="array" ref="M16">+HLOOKUP($A$1,+[34]İcmal!$B$19:$AG$49,ROW(D14)+1,FALSE)</f>
        <v>5.5049999999999999</v>
      </c>
      <c r="N16" s="15" cm="1">
        <f t="array" ref="N16">+HLOOKUP($A$1,+[35]İcmal!$B$19:$AG$49,ROW(A14)+1,FALSE)</f>
        <v>1.8220000000000001</v>
      </c>
      <c r="O16" s="15" cm="1">
        <f t="array" ref="O16">+HLOOKUP($A$1,+[36]İcmal!$B$19:$AG$49,ROW(B14)+1,FALSE)</f>
        <v>22.949999999999996</v>
      </c>
      <c r="P16" s="15" cm="1">
        <f t="array" ref="P16">+HLOOKUP($A$1,+[37]İcmal!$B$19:$AG$49,ROW(C14)+1,FALSE)</f>
        <v>0</v>
      </c>
      <c r="Q16" s="15" cm="1">
        <f t="array" ref="Q16">+HLOOKUP($A$1,+[38]İcmal!$B$19:$AG$49,ROW(D14)+1,FALSE)</f>
        <v>0</v>
      </c>
      <c r="R16" s="15" cm="1">
        <f t="array" ref="R16">+HLOOKUP($A$1,+[39]İcmal!$B$19:$AG$49,ROW(A14)+1,FALSE)</f>
        <v>17.614000000000001</v>
      </c>
      <c r="S16" s="15" cm="1">
        <f t="array" ref="S16">+HLOOKUP($A$1,+[40]İcmal!$B$19:$AG$49,ROW(B14)+1,FALSE)</f>
        <v>28.685000000000002</v>
      </c>
      <c r="T16" s="15" cm="1">
        <f t="array" ref="T16">+HLOOKUP($A$1,+[41]İcmal!$B$19:$AG$49,ROW(C14)+1,FALSE)</f>
        <v>0</v>
      </c>
      <c r="U16" s="15" cm="1">
        <f t="array" ref="U16">+HLOOKUP($A$1,+[42]İcmal!$B$19:$AG$49,ROW(D14)+1,FALSE)</f>
        <v>0</v>
      </c>
      <c r="V16" s="15" cm="1">
        <f t="array" ref="V16">+HLOOKUP($A$1,+[43]İcmal!$B$19:$AG$49,ROW(A14)+1,FALSE)</f>
        <v>0</v>
      </c>
      <c r="W16" s="15" cm="1">
        <f t="array" ref="W16">+HLOOKUP($A$1,+[44]İcmal!$B$19:$AG$49,ROW(B14)+1,FALSE)</f>
        <v>0</v>
      </c>
      <c r="X16" s="15" cm="1">
        <f t="array" ref="X16">+HLOOKUP($A$1,+[45]İcmal!$B$19:$AG$49,ROW(C14)+1,FALSE)</f>
        <v>18.32</v>
      </c>
      <c r="Y16" s="15" cm="1">
        <f t="array" ref="Y16">+HLOOKUP($A$1,+[46]İcmal!$B$19:$AG$49,ROW(D14)+1,FALSE)</f>
        <v>17.457000000000001</v>
      </c>
      <c r="Z16" s="15" cm="1">
        <f t="array" ref="Z16">+HLOOKUP($A$1,+[47]İcmal!$B$19:$AG$49,ROW(A14)+1,FALSE)</f>
        <v>0</v>
      </c>
      <c r="AA16" s="15" cm="1">
        <f t="array" ref="AA16">+HLOOKUP($A$1,+[48]İcmal!$B$19:$AG$49,ROW(B14)+1,FALSE)</f>
        <v>0</v>
      </c>
      <c r="AB16" s="15" cm="1">
        <f t="array" ref="AB16">+HLOOKUP($A$1,+[49]İcmal!$B$19:$AG$49,ROW(A14)+1,FALSE)</f>
        <v>8.8520000000000003</v>
      </c>
      <c r="AC16" s="15" cm="1">
        <f t="array" ref="AC16">+HLOOKUP($A$1,+[50]İcmal!$B$19:$AG$49,ROW(A14)+1,FALSE)</f>
        <v>4.383</v>
      </c>
      <c r="AD16" s="15" cm="1">
        <f t="array" ref="AD16">+HLOOKUP($A$1,+[51]İcmal!$B$19:$AG$49,ROW(A14)+1,FALSE)</f>
        <v>0</v>
      </c>
      <c r="AE16" s="15" cm="1">
        <f t="array" ref="AE16">+HLOOKUP($A$1,+[52]İcmal!$B$19:$AG$49,ROW(A14)+1,FALSE)</f>
        <v>0</v>
      </c>
      <c r="AF16" s="50" cm="1">
        <f t="array" ref="AF16">+HLOOKUP($A$1,+[53]İcmal!$B$19:$AG$49,ROW(A14)+1,FALSE)</f>
        <v>0</v>
      </c>
      <c r="AG16" s="15" cm="1">
        <f t="array" ref="AG16">+HLOOKUP($A$1,+[54]İcmal!$B$19:$AG$49,ROW(A14)+1,FALSE)</f>
        <v>0</v>
      </c>
      <c r="AH16" s="15" cm="1">
        <f t="array" ref="AH16">+HLOOKUP($A$1,+[55]İcmal!$B$19:$AG$49,ROW(A14)+1,FALSE)</f>
        <v>4.8050000000000006</v>
      </c>
      <c r="AI16" s="15" cm="1">
        <f t="array" ref="AI16">+HLOOKUP($A$1,+[56]İcmal!$B$19:$AG$49,ROW(A14)+1,FALSE)</f>
        <v>4.383</v>
      </c>
      <c r="AJ16" s="15" cm="1">
        <f t="array" ref="AJ16">+HLOOKUP($A$1,+[57]İcmal!$B$19:$AG$49,ROW(A14)+1,FALSE)</f>
        <v>0</v>
      </c>
      <c r="AK16" s="15" cm="1">
        <f t="array" ref="AK16">+HLOOKUP($A$1,+[58]İcmal!$B$19:$AG$49,ROW(B14)+1,FALSE)</f>
        <v>4.383</v>
      </c>
      <c r="AL16" s="15"/>
      <c r="AM16" s="15"/>
      <c r="AN16" s="15"/>
      <c r="AO16" s="13"/>
    </row>
    <row r="17" spans="1:41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4707</v>
      </c>
      <c r="I17" s="9">
        <f t="shared" si="2"/>
        <v>16003800</v>
      </c>
      <c r="J17" s="15" cm="1">
        <f t="array" ref="J17">+HLOOKUP($A$1,+[31]İcmal!$B$19:$AG$49,ROW(A15)+1,FALSE)</f>
        <v>0</v>
      </c>
      <c r="K17" s="15" cm="1">
        <f t="array" ref="K17">+HLOOKUP($A$1,+[32]İcmal!$B$19:$AG$49,ROW(B15)+1,FALSE)</f>
        <v>0</v>
      </c>
      <c r="L17" s="15" cm="1">
        <f t="array" ref="L17">+HLOOKUP($A$1,+[33]İcmal!$B$19:$AG$49,ROW(C15)+1,FALSE)</f>
        <v>0</v>
      </c>
      <c r="M17" s="15" cm="1">
        <f t="array" ref="M17">+HLOOKUP($A$1,+[34]İcmal!$B$19:$AG$49,ROW(D15)+1,FALSE)</f>
        <v>0</v>
      </c>
      <c r="N17" s="15" cm="1">
        <f t="array" ref="N17">+HLOOKUP($A$1,+[35]İcmal!$B$19:$AG$49,ROW(A15)+1,FALSE)</f>
        <v>0</v>
      </c>
      <c r="O17" s="15" cm="1">
        <f t="array" ref="O17">+HLOOKUP($A$1,+[36]İcmal!$B$19:$AG$49,ROW(B15)+1,FALSE)</f>
        <v>2115</v>
      </c>
      <c r="P17" s="15" cm="1">
        <f t="array" ref="P17">+HLOOKUP($A$1,+[37]İcmal!$B$19:$AG$49,ROW(C15)+1,FALSE)</f>
        <v>0</v>
      </c>
      <c r="Q17" s="15" cm="1">
        <f t="array" ref="Q17">+HLOOKUP($A$1,+[38]İcmal!$B$19:$AG$49,ROW(D15)+1,FALSE)</f>
        <v>0</v>
      </c>
      <c r="R17" s="15" cm="1">
        <f t="array" ref="R17">+HLOOKUP($A$1,+[39]İcmal!$B$19:$AG$49,ROW(A15)+1,FALSE)</f>
        <v>477</v>
      </c>
      <c r="S17" s="15" cm="1">
        <f t="array" ref="S17">+HLOOKUP($A$1,+[40]İcmal!$B$19:$AG$49,ROW(B15)+1,FALSE)</f>
        <v>2115</v>
      </c>
      <c r="T17" s="15" cm="1">
        <f t="array" ref="T17">+HLOOKUP($A$1,+[41]İcmal!$B$19:$AG$49,ROW(C15)+1,FALSE)</f>
        <v>0</v>
      </c>
      <c r="U17" s="15" cm="1">
        <f t="array" ref="U17">+HLOOKUP($A$1,+[42]İcmal!$B$19:$AG$49,ROW(D15)+1,FALSE)</f>
        <v>0</v>
      </c>
      <c r="V17" s="15" cm="1">
        <f t="array" ref="V17">+HLOOKUP($A$1,+[43]İcmal!$B$19:$AG$49,ROW(A15)+1,FALSE)</f>
        <v>0</v>
      </c>
      <c r="W17" s="15" cm="1">
        <f t="array" ref="W17">+HLOOKUP($A$1,+[44]İcmal!$B$19:$AG$49,ROW(B15)+1,FALSE)</f>
        <v>0</v>
      </c>
      <c r="X17" s="15" cm="1">
        <f t="array" ref="X17">+HLOOKUP($A$1,+[45]İcmal!$B$19:$AG$49,ROW(C15)+1,FALSE)</f>
        <v>0</v>
      </c>
      <c r="Y17" s="15" cm="1">
        <f t="array" ref="Y17">+HLOOKUP($A$1,+[46]İcmal!$B$19:$AG$49,ROW(D15)+1,FALSE)</f>
        <v>0</v>
      </c>
      <c r="Z17" s="15" cm="1">
        <f t="array" ref="Z17">+HLOOKUP($A$1,+[47]İcmal!$B$19:$AG$49,ROW(A15)+1,FALSE)</f>
        <v>0</v>
      </c>
      <c r="AA17" s="15" cm="1">
        <f t="array" ref="AA17">+HLOOKUP($A$1,+[48]İcmal!$B$19:$AG$49,ROW(B15)+1,FALSE)</f>
        <v>0</v>
      </c>
      <c r="AB17" s="15" cm="1">
        <f t="array" ref="AB17">+HLOOKUP($A$1,+[49]İcmal!$B$19:$AG$49,ROW(A15)+1,FALSE)</f>
        <v>0</v>
      </c>
      <c r="AC17" s="15" cm="1">
        <f t="array" ref="AC17">+HLOOKUP($A$1,+[50]İcmal!$B$19:$AG$49,ROW(A15)+1,FALSE)</f>
        <v>0</v>
      </c>
      <c r="AD17" s="15" cm="1">
        <f t="array" ref="AD17">+HLOOKUP($A$1,+[51]İcmal!$B$19:$AG$49,ROW(A15)+1,FALSE)</f>
        <v>0</v>
      </c>
      <c r="AE17" s="15" cm="1">
        <f t="array" ref="AE17">+HLOOKUP($A$1,+[52]İcmal!$B$19:$AG$49,ROW(A15)+1,FALSE)</f>
        <v>0</v>
      </c>
      <c r="AF17" s="50" cm="1">
        <f t="array" ref="AF17">+HLOOKUP($A$1,+[53]İcmal!$B$19:$AG$49,ROW(A15)+1,FALSE)</f>
        <v>0</v>
      </c>
      <c r="AG17" s="15" cm="1">
        <f t="array" ref="AG17">+HLOOKUP($A$1,+[54]İcmal!$B$19:$AG$49,ROW(A15)+1,FALSE)</f>
        <v>0</v>
      </c>
      <c r="AH17" s="15" cm="1">
        <f t="array" ref="AH17">+HLOOKUP($A$1,+[55]İcmal!$B$19:$AG$49,ROW(A15)+1,FALSE)</f>
        <v>0</v>
      </c>
      <c r="AI17" s="15" cm="1">
        <f t="array" ref="AI17">+HLOOKUP($A$1,+[56]İcmal!$B$19:$AG$49,ROW(A15)+1,FALSE)</f>
        <v>0</v>
      </c>
      <c r="AJ17" s="15" cm="1">
        <f t="array" ref="AJ17">+HLOOKUP($A$1,+[57]İcmal!$B$19:$AG$49,ROW(A15)+1,FALSE)</f>
        <v>0</v>
      </c>
      <c r="AK17" s="15" cm="1">
        <f t="array" ref="AK17">+HLOOKUP($A$1,+[58]İcmal!$B$19:$AG$49,ROW(B15)+1,FALSE)</f>
        <v>0</v>
      </c>
      <c r="AL17" s="15"/>
      <c r="AM17" s="15"/>
      <c r="AN17" s="15"/>
      <c r="AO17" s="13"/>
    </row>
    <row r="18" spans="1:41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+HLOOKUP($A$1,+[31]İcmal!$B$19:$AG$49,ROW(A16)+1,FALSE)</f>
        <v>0</v>
      </c>
      <c r="K18" s="15" cm="1">
        <f t="array" ref="K18">+HLOOKUP($A$1,+[32]İcmal!$B$19:$AG$49,ROW(B16)+1,FALSE)</f>
        <v>0</v>
      </c>
      <c r="L18" s="15" cm="1">
        <f t="array" ref="L18">+HLOOKUP($A$1,+[33]İcmal!$B$19:$AG$49,ROW(C16)+1,FALSE)</f>
        <v>0</v>
      </c>
      <c r="M18" s="15" cm="1">
        <f t="array" ref="M18">+HLOOKUP($A$1,+[34]İcmal!$B$19:$AG$49,ROW(D16)+1,FALSE)</f>
        <v>0</v>
      </c>
      <c r="N18" s="15" cm="1">
        <f t="array" ref="N18">+HLOOKUP($A$1,+[35]İcmal!$B$19:$AG$49,ROW(A16)+1,FALSE)</f>
        <v>0</v>
      </c>
      <c r="O18" s="15" cm="1">
        <f t="array" ref="O18">+HLOOKUP($A$1,+[36]İcmal!$B$19:$AG$49,ROW(B16)+1,FALSE)</f>
        <v>0</v>
      </c>
      <c r="P18" s="15" cm="1">
        <f t="array" ref="P18">+HLOOKUP($A$1,+[37]İcmal!$B$19:$AG$49,ROW(C16)+1,FALSE)</f>
        <v>0</v>
      </c>
      <c r="Q18" s="15" cm="1">
        <f t="array" ref="Q18">+HLOOKUP($A$1,+[38]İcmal!$B$19:$AG$49,ROW(D16)+1,FALSE)</f>
        <v>0</v>
      </c>
      <c r="R18" s="15" cm="1">
        <f t="array" ref="R18">+HLOOKUP($A$1,+[39]İcmal!$B$19:$AG$49,ROW(A16)+1,FALSE)</f>
        <v>0</v>
      </c>
      <c r="S18" s="15" cm="1">
        <f t="array" ref="S18">+HLOOKUP($A$1,+[40]İcmal!$B$19:$AG$49,ROW(B16)+1,FALSE)</f>
        <v>0</v>
      </c>
      <c r="T18" s="15" cm="1">
        <f t="array" ref="T18">+HLOOKUP($A$1,+[41]İcmal!$B$19:$AG$49,ROW(C16)+1,FALSE)</f>
        <v>0</v>
      </c>
      <c r="U18" s="15" cm="1">
        <f t="array" ref="U18">+HLOOKUP($A$1,+[42]İcmal!$B$19:$AG$49,ROW(D16)+1,FALSE)</f>
        <v>0</v>
      </c>
      <c r="V18" s="15" cm="1">
        <f t="array" ref="V18">+HLOOKUP($A$1,+[43]İcmal!$B$19:$AG$49,ROW(A16)+1,FALSE)</f>
        <v>0</v>
      </c>
      <c r="W18" s="15" cm="1">
        <f t="array" ref="W18">+HLOOKUP($A$1,+[44]İcmal!$B$19:$AG$49,ROW(B16)+1,FALSE)</f>
        <v>0</v>
      </c>
      <c r="X18" s="15" cm="1">
        <f t="array" ref="X18">+HLOOKUP($A$1,+[45]İcmal!$B$19:$AG$49,ROW(C16)+1,FALSE)</f>
        <v>0</v>
      </c>
      <c r="Y18" s="15" cm="1">
        <f t="array" ref="Y18">+HLOOKUP($A$1,+[46]İcmal!$B$19:$AG$49,ROW(D16)+1,FALSE)</f>
        <v>0</v>
      </c>
      <c r="Z18" s="15" cm="1">
        <f t="array" ref="Z18">+HLOOKUP($A$1,+[47]İcmal!$B$19:$AG$49,ROW(A16)+1,FALSE)</f>
        <v>0</v>
      </c>
      <c r="AA18" s="15" cm="1">
        <f t="array" ref="AA18">+HLOOKUP($A$1,+[48]İcmal!$B$19:$AG$49,ROW(B16)+1,FALSE)</f>
        <v>0</v>
      </c>
      <c r="AB18" s="15" cm="1">
        <f t="array" ref="AB18">+HLOOKUP($A$1,+[49]İcmal!$B$19:$AG$49,ROW(A16)+1,FALSE)</f>
        <v>0</v>
      </c>
      <c r="AC18" s="15" cm="1">
        <f t="array" ref="AC18">+HLOOKUP($A$1,+[50]İcmal!$B$19:$AG$49,ROW(A16)+1,FALSE)</f>
        <v>0</v>
      </c>
      <c r="AD18" s="15" cm="1">
        <f t="array" ref="AD18">+HLOOKUP($A$1,+[51]İcmal!$B$19:$AG$49,ROW(A16)+1,FALSE)</f>
        <v>0</v>
      </c>
      <c r="AE18" s="15" cm="1">
        <f t="array" ref="AE18">+HLOOKUP($A$1,+[52]İcmal!$B$19:$AG$49,ROW(A16)+1,FALSE)</f>
        <v>0</v>
      </c>
      <c r="AF18" s="50" cm="1">
        <f t="array" ref="AF18">+HLOOKUP($A$1,+[53]İcmal!$B$19:$AG$49,ROW(A16)+1,FALSE)</f>
        <v>0</v>
      </c>
      <c r="AG18" s="15" cm="1">
        <f t="array" ref="AG18">+HLOOKUP($A$1,+[54]İcmal!$B$19:$AG$49,ROW(A16)+1,FALSE)</f>
        <v>0</v>
      </c>
      <c r="AH18" s="15" cm="1">
        <f t="array" ref="AH18">+HLOOKUP($A$1,+[55]İcmal!$B$19:$AG$49,ROW(A16)+1,FALSE)</f>
        <v>0</v>
      </c>
      <c r="AI18" s="15" cm="1">
        <f t="array" ref="AI18">+HLOOKUP($A$1,+[56]İcmal!$B$19:$AG$49,ROW(A16)+1,FALSE)</f>
        <v>0</v>
      </c>
      <c r="AJ18" s="15" cm="1">
        <f t="array" ref="AJ18">+HLOOKUP($A$1,+[57]İcmal!$B$19:$AG$49,ROW(A16)+1,FALSE)</f>
        <v>0</v>
      </c>
      <c r="AK18" s="15" cm="1">
        <f t="array" ref="AK18">+HLOOKUP($A$1,+[58]İcmal!$B$19:$AG$49,ROW(B16)+1,FALSE)</f>
        <v>0</v>
      </c>
      <c r="AL18" s="15"/>
      <c r="AM18" s="15"/>
      <c r="AN18" s="15"/>
      <c r="AO18" s="13"/>
    </row>
    <row r="19" spans="1:41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+HLOOKUP($A$1,+[31]İcmal!$B$19:$AG$49,ROW(A17)+1,FALSE)</f>
        <v>0</v>
      </c>
      <c r="K19" s="15" cm="1">
        <f t="array" ref="K19">+HLOOKUP($A$1,+[32]İcmal!$B$19:$AG$49,ROW(B17)+1,FALSE)</f>
        <v>0</v>
      </c>
      <c r="L19" s="15" cm="1">
        <f t="array" ref="L19">+HLOOKUP($A$1,+[33]İcmal!$B$19:$AG$49,ROW(C17)+1,FALSE)</f>
        <v>0</v>
      </c>
      <c r="M19" s="15" cm="1">
        <f t="array" ref="M19">+HLOOKUP($A$1,+[34]İcmal!$B$19:$AG$49,ROW(D17)+1,FALSE)</f>
        <v>0</v>
      </c>
      <c r="N19" s="15" cm="1">
        <f t="array" ref="N19">+HLOOKUP($A$1,+[35]İcmal!$B$19:$AG$49,ROW(A17)+1,FALSE)</f>
        <v>0</v>
      </c>
      <c r="O19" s="15" cm="1">
        <f t="array" ref="O19">+HLOOKUP($A$1,+[36]İcmal!$B$19:$AG$49,ROW(B17)+1,FALSE)</f>
        <v>0</v>
      </c>
      <c r="P19" s="15" cm="1">
        <f t="array" ref="P19">+HLOOKUP($A$1,+[37]İcmal!$B$19:$AG$49,ROW(C17)+1,FALSE)</f>
        <v>0</v>
      </c>
      <c r="Q19" s="15" cm="1">
        <f t="array" ref="Q19">+HLOOKUP($A$1,+[38]İcmal!$B$19:$AG$49,ROW(D17)+1,FALSE)</f>
        <v>0</v>
      </c>
      <c r="R19" s="15" cm="1">
        <f t="array" ref="R19">+HLOOKUP($A$1,+[39]İcmal!$B$19:$AG$49,ROW(A17)+1,FALSE)</f>
        <v>0</v>
      </c>
      <c r="S19" s="15" cm="1">
        <f t="array" ref="S19">+HLOOKUP($A$1,+[40]İcmal!$B$19:$AG$49,ROW(B17)+1,FALSE)</f>
        <v>0</v>
      </c>
      <c r="T19" s="15" cm="1">
        <f t="array" ref="T19">+HLOOKUP($A$1,+[41]İcmal!$B$19:$AG$49,ROW(C17)+1,FALSE)</f>
        <v>0</v>
      </c>
      <c r="U19" s="15" cm="1">
        <f t="array" ref="U19">+HLOOKUP($A$1,+[42]İcmal!$B$19:$AG$49,ROW(D17)+1,FALSE)</f>
        <v>0</v>
      </c>
      <c r="V19" s="15" cm="1">
        <f t="array" ref="V19">+HLOOKUP($A$1,+[43]İcmal!$B$19:$AG$49,ROW(A17)+1,FALSE)</f>
        <v>0</v>
      </c>
      <c r="W19" s="15" cm="1">
        <f t="array" ref="W19">+HLOOKUP($A$1,+[44]İcmal!$B$19:$AG$49,ROW(B17)+1,FALSE)</f>
        <v>0</v>
      </c>
      <c r="X19" s="15" cm="1">
        <f t="array" ref="X19">+HLOOKUP($A$1,+[45]İcmal!$B$19:$AG$49,ROW(C17)+1,FALSE)</f>
        <v>0</v>
      </c>
      <c r="Y19" s="15" cm="1">
        <f t="array" ref="Y19">+HLOOKUP($A$1,+[46]İcmal!$B$19:$AG$49,ROW(D17)+1,FALSE)</f>
        <v>0</v>
      </c>
      <c r="Z19" s="15" cm="1">
        <f t="array" ref="Z19">+HLOOKUP($A$1,+[47]İcmal!$B$19:$AG$49,ROW(A17)+1,FALSE)</f>
        <v>0</v>
      </c>
      <c r="AA19" s="15" cm="1">
        <f t="array" ref="AA19">+HLOOKUP($A$1,+[48]İcmal!$B$19:$AG$49,ROW(B17)+1,FALSE)</f>
        <v>0</v>
      </c>
      <c r="AB19" s="15" cm="1">
        <f t="array" ref="AB19">+HLOOKUP($A$1,+[49]İcmal!$B$19:$AG$49,ROW(A17)+1,FALSE)</f>
        <v>0</v>
      </c>
      <c r="AC19" s="15" cm="1">
        <f t="array" ref="AC19">+HLOOKUP($A$1,+[50]İcmal!$B$19:$AG$49,ROW(A17)+1,FALSE)</f>
        <v>0</v>
      </c>
      <c r="AD19" s="15" cm="1">
        <f t="array" ref="AD19">+HLOOKUP($A$1,+[51]İcmal!$B$19:$AG$49,ROW(A17)+1,FALSE)</f>
        <v>0</v>
      </c>
      <c r="AE19" s="15" cm="1">
        <f t="array" ref="AE19">+HLOOKUP($A$1,+[52]İcmal!$B$19:$AG$49,ROW(A17)+1,FALSE)</f>
        <v>0</v>
      </c>
      <c r="AF19" s="50" cm="1">
        <f t="array" ref="AF19">+HLOOKUP($A$1,+[53]İcmal!$B$19:$AG$49,ROW(A17)+1,FALSE)</f>
        <v>0</v>
      </c>
      <c r="AG19" s="15" cm="1">
        <f t="array" ref="AG19">+HLOOKUP($A$1,+[54]İcmal!$B$19:$AG$49,ROW(A17)+1,FALSE)</f>
        <v>0</v>
      </c>
      <c r="AH19" s="15" cm="1">
        <f t="array" ref="AH19">+HLOOKUP($A$1,+[55]İcmal!$B$19:$AG$49,ROW(A17)+1,FALSE)</f>
        <v>0</v>
      </c>
      <c r="AI19" s="15" cm="1">
        <f t="array" ref="AI19">+HLOOKUP($A$1,+[56]İcmal!$B$19:$AG$49,ROW(A17)+1,FALSE)</f>
        <v>0</v>
      </c>
      <c r="AJ19" s="15" cm="1">
        <f t="array" ref="AJ19">+HLOOKUP($A$1,+[57]İcmal!$B$19:$AG$49,ROW(A17)+1,FALSE)</f>
        <v>0</v>
      </c>
      <c r="AK19" s="15" cm="1">
        <f t="array" ref="AK19">+HLOOKUP($A$1,+[58]İcmal!$B$19:$AG$49,ROW(B17)+1,FALSE)</f>
        <v>0</v>
      </c>
      <c r="AL19" s="15"/>
      <c r="AM19" s="15"/>
      <c r="AN19" s="15"/>
      <c r="AO19" s="13"/>
    </row>
    <row r="20" spans="1:41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+HLOOKUP($A$1,+[31]İcmal!$B$19:$AG$49,ROW(A18)+1,FALSE)</f>
        <v>0</v>
      </c>
      <c r="K20" s="15" cm="1">
        <f t="array" ref="K20">+HLOOKUP($A$1,+[32]İcmal!$B$19:$AG$49,ROW(B18)+1,FALSE)</f>
        <v>0</v>
      </c>
      <c r="L20" s="15" cm="1">
        <f t="array" ref="L20">+HLOOKUP($A$1,+[33]İcmal!$B$19:$AG$49,ROW(C18)+1,FALSE)</f>
        <v>0</v>
      </c>
      <c r="M20" s="15" cm="1">
        <f t="array" ref="M20">+HLOOKUP($A$1,+[34]İcmal!$B$19:$AG$49,ROW(D18)+1,FALSE)</f>
        <v>0</v>
      </c>
      <c r="N20" s="15" cm="1">
        <f t="array" ref="N20">+HLOOKUP($A$1,+[35]İcmal!$B$19:$AG$49,ROW(A18)+1,FALSE)</f>
        <v>0</v>
      </c>
      <c r="O20" s="15" cm="1">
        <f t="array" ref="O20">+HLOOKUP($A$1,+[36]İcmal!$B$19:$AG$49,ROW(B18)+1,FALSE)</f>
        <v>0</v>
      </c>
      <c r="P20" s="15" cm="1">
        <f t="array" ref="P20">+HLOOKUP($A$1,+[37]İcmal!$B$19:$AG$49,ROW(C18)+1,FALSE)</f>
        <v>0</v>
      </c>
      <c r="Q20" s="15" cm="1">
        <f t="array" ref="Q20">+HLOOKUP($A$1,+[38]İcmal!$B$19:$AG$49,ROW(D18)+1,FALSE)</f>
        <v>0</v>
      </c>
      <c r="R20" s="15" cm="1">
        <f t="array" ref="R20">+HLOOKUP($A$1,+[39]İcmal!$B$19:$AG$49,ROW(A18)+1,FALSE)</f>
        <v>0</v>
      </c>
      <c r="S20" s="15" cm="1">
        <f t="array" ref="S20">+HLOOKUP($A$1,+[40]İcmal!$B$19:$AG$49,ROW(B18)+1,FALSE)</f>
        <v>0</v>
      </c>
      <c r="T20" s="15" cm="1">
        <f t="array" ref="T20">+HLOOKUP($A$1,+[41]İcmal!$B$19:$AG$49,ROW(C18)+1,FALSE)</f>
        <v>0</v>
      </c>
      <c r="U20" s="15" cm="1">
        <f t="array" ref="U20">+HLOOKUP($A$1,+[42]İcmal!$B$19:$AG$49,ROW(D18)+1,FALSE)</f>
        <v>0</v>
      </c>
      <c r="V20" s="15" cm="1">
        <f t="array" ref="V20">+HLOOKUP($A$1,+[43]İcmal!$B$19:$AG$49,ROW(A18)+1,FALSE)</f>
        <v>0</v>
      </c>
      <c r="W20" s="15" cm="1">
        <f t="array" ref="W20">+HLOOKUP($A$1,+[44]İcmal!$B$19:$AG$49,ROW(B18)+1,FALSE)</f>
        <v>0</v>
      </c>
      <c r="X20" s="15" cm="1">
        <f t="array" ref="X20">+HLOOKUP($A$1,+[45]İcmal!$B$19:$AG$49,ROW(C18)+1,FALSE)</f>
        <v>0</v>
      </c>
      <c r="Y20" s="15" cm="1">
        <f t="array" ref="Y20">+HLOOKUP($A$1,+[46]İcmal!$B$19:$AG$49,ROW(D18)+1,FALSE)</f>
        <v>0</v>
      </c>
      <c r="Z20" s="15" cm="1">
        <f t="array" ref="Z20">+HLOOKUP($A$1,+[47]İcmal!$B$19:$AG$49,ROW(A18)+1,FALSE)</f>
        <v>0</v>
      </c>
      <c r="AA20" s="15" cm="1">
        <f t="array" ref="AA20">+HLOOKUP($A$1,+[48]İcmal!$B$19:$AG$49,ROW(B18)+1,FALSE)</f>
        <v>0</v>
      </c>
      <c r="AB20" s="15" cm="1">
        <f t="array" ref="AB20">+HLOOKUP($A$1,+[49]İcmal!$B$19:$AG$49,ROW(A18)+1,FALSE)</f>
        <v>0</v>
      </c>
      <c r="AC20" s="15" cm="1">
        <f t="array" ref="AC20">+HLOOKUP($A$1,+[50]İcmal!$B$19:$AG$49,ROW(A18)+1,FALSE)</f>
        <v>0</v>
      </c>
      <c r="AD20" s="15" cm="1">
        <f t="array" ref="AD20">+HLOOKUP($A$1,+[51]İcmal!$B$19:$AG$49,ROW(A18)+1,FALSE)</f>
        <v>0</v>
      </c>
      <c r="AE20" s="15" cm="1">
        <f t="array" ref="AE20">+HLOOKUP($A$1,+[52]İcmal!$B$19:$AG$49,ROW(A18)+1,FALSE)</f>
        <v>0</v>
      </c>
      <c r="AF20" s="50" cm="1">
        <f t="array" ref="AF20">+HLOOKUP($A$1,+[53]İcmal!$B$19:$AG$49,ROW(A18)+1,FALSE)</f>
        <v>0</v>
      </c>
      <c r="AG20" s="15" cm="1">
        <f t="array" ref="AG20">+HLOOKUP($A$1,+[54]İcmal!$B$19:$AG$49,ROW(A18)+1,FALSE)</f>
        <v>0</v>
      </c>
      <c r="AH20" s="15" cm="1">
        <f t="array" ref="AH20">+HLOOKUP($A$1,+[55]İcmal!$B$19:$AG$49,ROW(A18)+1,FALSE)</f>
        <v>0</v>
      </c>
      <c r="AI20" s="15" cm="1">
        <f t="array" ref="AI20">+HLOOKUP($A$1,+[56]İcmal!$B$19:$AG$49,ROW(A18)+1,FALSE)</f>
        <v>0</v>
      </c>
      <c r="AJ20" s="15" cm="1">
        <f t="array" ref="AJ20">+HLOOKUP($A$1,+[57]İcmal!$B$19:$AG$49,ROW(A18)+1,FALSE)</f>
        <v>0</v>
      </c>
      <c r="AK20" s="15" cm="1">
        <f t="array" ref="AK20">+HLOOKUP($A$1,+[58]İcmal!$B$19:$AG$49,ROW(B18)+1,FALSE)</f>
        <v>0</v>
      </c>
      <c r="AL20" s="15"/>
      <c r="AM20" s="15"/>
      <c r="AN20" s="15"/>
      <c r="AO20" s="13"/>
    </row>
    <row r="21" spans="1:41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+HLOOKUP($A$1,+[31]İcmal!$B$19:$AG$49,ROW(A19)+1,FALSE)</f>
        <v>0</v>
      </c>
      <c r="K21" s="15" cm="1">
        <f t="array" ref="K21">+HLOOKUP($A$1,+[32]İcmal!$B$19:$AG$49,ROW(B19)+1,FALSE)</f>
        <v>0</v>
      </c>
      <c r="L21" s="15" cm="1">
        <f t="array" ref="L21">+HLOOKUP($A$1,+[33]İcmal!$B$19:$AG$49,ROW(C19)+1,FALSE)</f>
        <v>0</v>
      </c>
      <c r="M21" s="15" cm="1">
        <f t="array" ref="M21">+HLOOKUP($A$1,+[34]İcmal!$B$19:$AG$49,ROW(D19)+1,FALSE)</f>
        <v>0</v>
      </c>
      <c r="N21" s="15" cm="1">
        <f t="array" ref="N21">+HLOOKUP($A$1,+[35]İcmal!$B$19:$AG$49,ROW(A19)+1,FALSE)</f>
        <v>0</v>
      </c>
      <c r="O21" s="15" cm="1">
        <f t="array" ref="O21">+HLOOKUP($A$1,+[36]İcmal!$B$19:$AG$49,ROW(B19)+1,FALSE)</f>
        <v>0</v>
      </c>
      <c r="P21" s="15" cm="1">
        <f t="array" ref="P21">+HLOOKUP($A$1,+[37]İcmal!$B$19:$AG$49,ROW(C19)+1,FALSE)</f>
        <v>0</v>
      </c>
      <c r="Q21" s="15" cm="1">
        <f t="array" ref="Q21">+HLOOKUP($A$1,+[38]İcmal!$B$19:$AG$49,ROW(D19)+1,FALSE)</f>
        <v>0</v>
      </c>
      <c r="R21" s="15" cm="1">
        <f t="array" ref="R21">+HLOOKUP($A$1,+[39]İcmal!$B$19:$AG$49,ROW(A19)+1,FALSE)</f>
        <v>0</v>
      </c>
      <c r="S21" s="15" cm="1">
        <f t="array" ref="S21">+HLOOKUP($A$1,+[40]İcmal!$B$19:$AG$49,ROW(B19)+1,FALSE)</f>
        <v>0</v>
      </c>
      <c r="T21" s="15" cm="1">
        <f t="array" ref="T21">+HLOOKUP($A$1,+[41]İcmal!$B$19:$AG$49,ROW(C19)+1,FALSE)</f>
        <v>0</v>
      </c>
      <c r="U21" s="15" cm="1">
        <f t="array" ref="U21">+HLOOKUP($A$1,+[42]İcmal!$B$19:$AG$49,ROW(D19)+1,FALSE)</f>
        <v>0</v>
      </c>
      <c r="V21" s="15" cm="1">
        <f t="array" ref="V21">+HLOOKUP($A$1,+[43]İcmal!$B$19:$AG$49,ROW(A19)+1,FALSE)</f>
        <v>0</v>
      </c>
      <c r="W21" s="15" cm="1">
        <f t="array" ref="W21">+HLOOKUP($A$1,+[44]İcmal!$B$19:$AG$49,ROW(B19)+1,FALSE)</f>
        <v>0</v>
      </c>
      <c r="X21" s="15" cm="1">
        <f t="array" ref="X21">+HLOOKUP($A$1,+[45]İcmal!$B$19:$AG$49,ROW(C19)+1,FALSE)</f>
        <v>0</v>
      </c>
      <c r="Y21" s="15" cm="1">
        <f t="array" ref="Y21">+HLOOKUP($A$1,+[46]İcmal!$B$19:$AG$49,ROW(D19)+1,FALSE)</f>
        <v>0</v>
      </c>
      <c r="Z21" s="15" cm="1">
        <f t="array" ref="Z21">+HLOOKUP($A$1,+[47]İcmal!$B$19:$AG$49,ROW(A19)+1,FALSE)</f>
        <v>0</v>
      </c>
      <c r="AA21" s="15" cm="1">
        <f t="array" ref="AA21">+HLOOKUP($A$1,+[48]İcmal!$B$19:$AG$49,ROW(B19)+1,FALSE)</f>
        <v>0</v>
      </c>
      <c r="AB21" s="15" cm="1">
        <f t="array" ref="AB21">+HLOOKUP($A$1,+[49]İcmal!$B$19:$AG$49,ROW(A19)+1,FALSE)</f>
        <v>0</v>
      </c>
      <c r="AC21" s="15" cm="1">
        <f t="array" ref="AC21">+HLOOKUP($A$1,+[50]İcmal!$B$19:$AG$49,ROW(A19)+1,FALSE)</f>
        <v>0</v>
      </c>
      <c r="AD21" s="15" cm="1">
        <f t="array" ref="AD21">+HLOOKUP($A$1,+[51]İcmal!$B$19:$AG$49,ROW(A19)+1,FALSE)</f>
        <v>0</v>
      </c>
      <c r="AE21" s="15" cm="1">
        <f t="array" ref="AE21">+HLOOKUP($A$1,+[52]İcmal!$B$19:$AG$49,ROW(A19)+1,FALSE)</f>
        <v>0</v>
      </c>
      <c r="AF21" s="50" cm="1">
        <f t="array" ref="AF21">+HLOOKUP($A$1,+[53]İcmal!$B$19:$AG$49,ROW(A19)+1,FALSE)</f>
        <v>0</v>
      </c>
      <c r="AG21" s="15" cm="1">
        <f t="array" ref="AG21">+HLOOKUP($A$1,+[54]İcmal!$B$19:$AG$49,ROW(A19)+1,FALSE)</f>
        <v>0</v>
      </c>
      <c r="AH21" s="15" cm="1">
        <f t="array" ref="AH21">+HLOOKUP($A$1,+[55]İcmal!$B$19:$AG$49,ROW(A19)+1,FALSE)</f>
        <v>0</v>
      </c>
      <c r="AI21" s="15" cm="1">
        <f t="array" ref="AI21">+HLOOKUP($A$1,+[56]İcmal!$B$19:$AG$49,ROW(A19)+1,FALSE)</f>
        <v>0</v>
      </c>
      <c r="AJ21" s="15" cm="1">
        <f t="array" ref="AJ21">+HLOOKUP($A$1,+[57]İcmal!$B$19:$AG$49,ROW(A19)+1,FALSE)</f>
        <v>0</v>
      </c>
      <c r="AK21" s="15" cm="1">
        <f t="array" ref="AK21">+HLOOKUP($A$1,+[58]İcmal!$B$19:$AG$49,ROW(B19)+1,FALSE)</f>
        <v>0</v>
      </c>
      <c r="AL21" s="15"/>
      <c r="AM21" s="15"/>
      <c r="AN21" s="15"/>
      <c r="AO21" s="13"/>
    </row>
    <row r="22" spans="1:41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+HLOOKUP($A$1,+[31]İcmal!$B$19:$AG$49,ROW(A20)+1,FALSE)</f>
        <v>0</v>
      </c>
      <c r="K22" s="15" cm="1">
        <f t="array" ref="K22">+HLOOKUP($A$1,+[32]İcmal!$B$19:$AG$49,ROW(B20)+1,FALSE)</f>
        <v>0</v>
      </c>
      <c r="L22" s="15" cm="1">
        <f t="array" ref="L22">+HLOOKUP($A$1,+[33]İcmal!$B$19:$AG$49,ROW(C20)+1,FALSE)</f>
        <v>0</v>
      </c>
      <c r="M22" s="15" cm="1">
        <f t="array" ref="M22">+HLOOKUP($A$1,+[34]İcmal!$B$19:$AG$49,ROW(D20)+1,FALSE)</f>
        <v>0</v>
      </c>
      <c r="N22" s="15" cm="1">
        <f t="array" ref="N22">+HLOOKUP($A$1,+[35]İcmal!$B$19:$AG$49,ROW(A20)+1,FALSE)</f>
        <v>0</v>
      </c>
      <c r="O22" s="15" cm="1">
        <f t="array" ref="O22">+HLOOKUP($A$1,+[36]İcmal!$B$19:$AG$49,ROW(B20)+1,FALSE)</f>
        <v>0</v>
      </c>
      <c r="P22" s="15" cm="1">
        <f t="array" ref="P22">+HLOOKUP($A$1,+[37]İcmal!$B$19:$AG$49,ROW(C20)+1,FALSE)</f>
        <v>0</v>
      </c>
      <c r="Q22" s="15" cm="1">
        <f t="array" ref="Q22">+HLOOKUP($A$1,+[38]İcmal!$B$19:$AG$49,ROW(D20)+1,FALSE)</f>
        <v>0</v>
      </c>
      <c r="R22" s="15" cm="1">
        <f t="array" ref="R22">+HLOOKUP($A$1,+[39]İcmal!$B$19:$AG$49,ROW(A20)+1,FALSE)</f>
        <v>0</v>
      </c>
      <c r="S22" s="15" cm="1">
        <f t="array" ref="S22">+HLOOKUP($A$1,+[40]İcmal!$B$19:$AG$49,ROW(B20)+1,FALSE)</f>
        <v>0</v>
      </c>
      <c r="T22" s="15" cm="1">
        <f t="array" ref="T22">+HLOOKUP($A$1,+[41]İcmal!$B$19:$AG$49,ROW(C20)+1,FALSE)</f>
        <v>0</v>
      </c>
      <c r="U22" s="15" cm="1">
        <f t="array" ref="U22">+HLOOKUP($A$1,+[42]İcmal!$B$19:$AG$49,ROW(D20)+1,FALSE)</f>
        <v>0</v>
      </c>
      <c r="V22" s="15" cm="1">
        <f t="array" ref="V22">+HLOOKUP($A$1,+[43]İcmal!$B$19:$AG$49,ROW(A20)+1,FALSE)</f>
        <v>0</v>
      </c>
      <c r="W22" s="15" cm="1">
        <f t="array" ref="W22">+HLOOKUP($A$1,+[44]İcmal!$B$19:$AG$49,ROW(B20)+1,FALSE)</f>
        <v>0</v>
      </c>
      <c r="X22" s="15" cm="1">
        <f t="array" ref="X22">+HLOOKUP($A$1,+[45]İcmal!$B$19:$AG$49,ROW(C20)+1,FALSE)</f>
        <v>0</v>
      </c>
      <c r="Y22" s="15" cm="1">
        <f t="array" ref="Y22">+HLOOKUP($A$1,+[46]İcmal!$B$19:$AG$49,ROW(D20)+1,FALSE)</f>
        <v>0</v>
      </c>
      <c r="Z22" s="15" cm="1">
        <f t="array" ref="Z22">+HLOOKUP($A$1,+[47]İcmal!$B$19:$AG$49,ROW(A20)+1,FALSE)</f>
        <v>0</v>
      </c>
      <c r="AA22" s="15" cm="1">
        <f t="array" ref="AA22">+HLOOKUP($A$1,+[48]İcmal!$B$19:$AG$49,ROW(B20)+1,FALSE)</f>
        <v>0</v>
      </c>
      <c r="AB22" s="15" cm="1">
        <f t="array" ref="AB22">+HLOOKUP($A$1,+[49]İcmal!$B$19:$AG$49,ROW(A20)+1,FALSE)</f>
        <v>0</v>
      </c>
      <c r="AC22" s="15" cm="1">
        <f t="array" ref="AC22">+HLOOKUP($A$1,+[50]İcmal!$B$19:$AG$49,ROW(A20)+1,FALSE)</f>
        <v>0</v>
      </c>
      <c r="AD22" s="15" cm="1">
        <f t="array" ref="AD22">+HLOOKUP($A$1,+[51]İcmal!$B$19:$AG$49,ROW(A20)+1,FALSE)</f>
        <v>0</v>
      </c>
      <c r="AE22" s="15" cm="1">
        <f t="array" ref="AE22">+HLOOKUP($A$1,+[52]İcmal!$B$19:$AG$49,ROW(A20)+1,FALSE)</f>
        <v>0</v>
      </c>
      <c r="AF22" s="50" cm="1">
        <f t="array" ref="AF22">+HLOOKUP($A$1,+[53]İcmal!$B$19:$AG$49,ROW(A20)+1,FALSE)</f>
        <v>0</v>
      </c>
      <c r="AG22" s="15" cm="1">
        <f t="array" ref="AG22">+HLOOKUP($A$1,+[54]İcmal!$B$19:$AG$49,ROW(A20)+1,FALSE)</f>
        <v>0</v>
      </c>
      <c r="AH22" s="15" cm="1">
        <f t="array" ref="AH22">+HLOOKUP($A$1,+[55]İcmal!$B$19:$AG$49,ROW(A20)+1,FALSE)</f>
        <v>0</v>
      </c>
      <c r="AI22" s="15" cm="1">
        <f t="array" ref="AI22">+HLOOKUP($A$1,+[56]İcmal!$B$19:$AG$49,ROW(A20)+1,FALSE)</f>
        <v>0</v>
      </c>
      <c r="AJ22" s="15" cm="1">
        <f t="array" ref="AJ22">+HLOOKUP($A$1,+[57]İcmal!$B$19:$AG$49,ROW(A20)+1,FALSE)</f>
        <v>0</v>
      </c>
      <c r="AK22" s="15" cm="1">
        <f t="array" ref="AK22">+HLOOKUP($A$1,+[58]İcmal!$B$19:$AG$49,ROW(B20)+1,FALSE)</f>
        <v>0</v>
      </c>
      <c r="AL22" s="15"/>
      <c r="AM22" s="15"/>
      <c r="AN22" s="15"/>
      <c r="AO22" s="13"/>
    </row>
    <row r="23" spans="1:41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+HLOOKUP($A$1,+[31]İcmal!$B$19:$AG$49,ROW(A21)+1,FALSE)</f>
        <v>0</v>
      </c>
      <c r="K23" s="15" cm="1">
        <f t="array" ref="K23">+HLOOKUP($A$1,+[32]İcmal!$B$19:$AG$49,ROW(B21)+1,FALSE)</f>
        <v>0</v>
      </c>
      <c r="L23" s="15" cm="1">
        <f t="array" ref="L23">+HLOOKUP($A$1,+[33]İcmal!$B$19:$AG$49,ROW(C21)+1,FALSE)</f>
        <v>0</v>
      </c>
      <c r="M23" s="15" cm="1">
        <f t="array" ref="M23">+HLOOKUP($A$1,+[34]İcmal!$B$19:$AG$49,ROW(D21)+1,FALSE)</f>
        <v>0</v>
      </c>
      <c r="N23" s="15" cm="1">
        <f t="array" ref="N23">+HLOOKUP($A$1,+[35]İcmal!$B$19:$AG$49,ROW(A21)+1,FALSE)</f>
        <v>0</v>
      </c>
      <c r="O23" s="15" cm="1">
        <f t="array" ref="O23">+HLOOKUP($A$1,+[36]İcmal!$B$19:$AG$49,ROW(B21)+1,FALSE)</f>
        <v>0</v>
      </c>
      <c r="P23" s="15" cm="1">
        <f t="array" ref="P23">+HLOOKUP($A$1,+[37]İcmal!$B$19:$AG$49,ROW(C21)+1,FALSE)</f>
        <v>0</v>
      </c>
      <c r="Q23" s="15" cm="1">
        <f t="array" ref="Q23">+HLOOKUP($A$1,+[38]İcmal!$B$19:$AG$49,ROW(D21)+1,FALSE)</f>
        <v>0</v>
      </c>
      <c r="R23" s="15" cm="1">
        <f t="array" ref="R23">+HLOOKUP($A$1,+[39]İcmal!$B$19:$AG$49,ROW(A21)+1,FALSE)</f>
        <v>0</v>
      </c>
      <c r="S23" s="15" cm="1">
        <f t="array" ref="S23">+HLOOKUP($A$1,+[40]İcmal!$B$19:$AG$49,ROW(B21)+1,FALSE)</f>
        <v>0</v>
      </c>
      <c r="T23" s="15" cm="1">
        <f t="array" ref="T23">+HLOOKUP($A$1,+[41]İcmal!$B$19:$AG$49,ROW(C21)+1,FALSE)</f>
        <v>0</v>
      </c>
      <c r="U23" s="15" cm="1">
        <f t="array" ref="U23">+HLOOKUP($A$1,+[42]İcmal!$B$19:$AG$49,ROW(D21)+1,FALSE)</f>
        <v>0</v>
      </c>
      <c r="V23" s="15" cm="1">
        <f t="array" ref="V23">+HLOOKUP($A$1,+[43]İcmal!$B$19:$AG$49,ROW(A21)+1,FALSE)</f>
        <v>0</v>
      </c>
      <c r="W23" s="15" cm="1">
        <f t="array" ref="W23">+HLOOKUP($A$1,+[44]İcmal!$B$19:$AG$49,ROW(B21)+1,FALSE)</f>
        <v>0</v>
      </c>
      <c r="X23" s="15" cm="1">
        <f t="array" ref="X23">+HLOOKUP($A$1,+[45]İcmal!$B$19:$AG$49,ROW(C21)+1,FALSE)</f>
        <v>0</v>
      </c>
      <c r="Y23" s="15" cm="1">
        <f t="array" ref="Y23">+HLOOKUP($A$1,+[46]İcmal!$B$19:$AG$49,ROW(D21)+1,FALSE)</f>
        <v>0</v>
      </c>
      <c r="Z23" s="15" cm="1">
        <f t="array" ref="Z23">+HLOOKUP($A$1,+[47]İcmal!$B$19:$AG$49,ROW(A21)+1,FALSE)</f>
        <v>0</v>
      </c>
      <c r="AA23" s="15" cm="1">
        <f t="array" ref="AA23">+HLOOKUP($A$1,+[48]İcmal!$B$19:$AG$49,ROW(B21)+1,FALSE)</f>
        <v>0</v>
      </c>
      <c r="AB23" s="15" cm="1">
        <f t="array" ref="AB23">+HLOOKUP($A$1,+[49]İcmal!$B$19:$AG$49,ROW(A21)+1,FALSE)</f>
        <v>0</v>
      </c>
      <c r="AC23" s="15" cm="1">
        <f t="array" ref="AC23">+HLOOKUP($A$1,+[50]İcmal!$B$19:$AG$49,ROW(A21)+1,FALSE)</f>
        <v>0</v>
      </c>
      <c r="AD23" s="15" cm="1">
        <f t="array" ref="AD23">+HLOOKUP($A$1,+[51]İcmal!$B$19:$AG$49,ROW(A21)+1,FALSE)</f>
        <v>0</v>
      </c>
      <c r="AE23" s="15" cm="1">
        <f t="array" ref="AE23">+HLOOKUP($A$1,+[52]İcmal!$B$19:$AG$49,ROW(A21)+1,FALSE)</f>
        <v>0</v>
      </c>
      <c r="AF23" s="50" cm="1">
        <f t="array" ref="AF23">+HLOOKUP($A$1,+[53]İcmal!$B$19:$AG$49,ROW(A21)+1,FALSE)</f>
        <v>0</v>
      </c>
      <c r="AG23" s="15" cm="1">
        <f t="array" ref="AG23">+HLOOKUP($A$1,+[54]İcmal!$B$19:$AG$49,ROW(A21)+1,FALSE)</f>
        <v>0</v>
      </c>
      <c r="AH23" s="15" cm="1">
        <f t="array" ref="AH23">+HLOOKUP($A$1,+[55]İcmal!$B$19:$AG$49,ROW(A21)+1,FALSE)</f>
        <v>0</v>
      </c>
      <c r="AI23" s="15" cm="1">
        <f t="array" ref="AI23">+HLOOKUP($A$1,+[56]İcmal!$B$19:$AG$49,ROW(A21)+1,FALSE)</f>
        <v>0</v>
      </c>
      <c r="AJ23" s="15" cm="1">
        <f t="array" ref="AJ23">+HLOOKUP($A$1,+[57]İcmal!$B$19:$AG$49,ROW(A21)+1,FALSE)</f>
        <v>0</v>
      </c>
      <c r="AK23" s="15" cm="1">
        <f t="array" ref="AK23">+HLOOKUP($A$1,+[58]İcmal!$B$19:$AG$49,ROW(B21)+1,FALSE)</f>
        <v>0</v>
      </c>
      <c r="AL23" s="15"/>
      <c r="AM23" s="15"/>
      <c r="AN23" s="15"/>
      <c r="AO23" s="13"/>
    </row>
    <row r="24" spans="1:41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+HLOOKUP($A$1,+[31]İcmal!$B$19:$AG$49,ROW(A22)+1,FALSE)</f>
        <v>0</v>
      </c>
      <c r="K24" s="15" cm="1">
        <f t="array" ref="K24">+HLOOKUP($A$1,+[32]İcmal!$B$19:$AG$49,ROW(B22)+1,FALSE)</f>
        <v>0</v>
      </c>
      <c r="L24" s="15" cm="1">
        <f t="array" ref="L24">+HLOOKUP($A$1,+[33]İcmal!$B$19:$AG$49,ROW(C22)+1,FALSE)</f>
        <v>0</v>
      </c>
      <c r="M24" s="15" cm="1">
        <f t="array" ref="M24">+HLOOKUP($A$1,+[34]İcmal!$B$19:$AG$49,ROW(D22)+1,FALSE)</f>
        <v>0</v>
      </c>
      <c r="N24" s="15" cm="1">
        <f t="array" ref="N24">+HLOOKUP($A$1,+[35]İcmal!$B$19:$AG$49,ROW(A22)+1,FALSE)</f>
        <v>0</v>
      </c>
      <c r="O24" s="15" cm="1">
        <f t="array" ref="O24">+HLOOKUP($A$1,+[36]İcmal!$B$19:$AG$49,ROW(B22)+1,FALSE)</f>
        <v>0</v>
      </c>
      <c r="P24" s="15" cm="1">
        <f t="array" ref="P24">+HLOOKUP($A$1,+[37]İcmal!$B$19:$AG$49,ROW(C22)+1,FALSE)</f>
        <v>0</v>
      </c>
      <c r="Q24" s="15" cm="1">
        <f t="array" ref="Q24">+HLOOKUP($A$1,+[38]İcmal!$B$19:$AG$49,ROW(D22)+1,FALSE)</f>
        <v>0</v>
      </c>
      <c r="R24" s="15" cm="1">
        <f t="array" ref="R24">+HLOOKUP($A$1,+[39]İcmal!$B$19:$AG$49,ROW(A22)+1,FALSE)</f>
        <v>0</v>
      </c>
      <c r="S24" s="15" cm="1">
        <f t="array" ref="S24">+HLOOKUP($A$1,+[40]İcmal!$B$19:$AG$49,ROW(B22)+1,FALSE)</f>
        <v>0</v>
      </c>
      <c r="T24" s="15" cm="1">
        <f t="array" ref="T24">+HLOOKUP($A$1,+[41]İcmal!$B$19:$AG$49,ROW(C22)+1,FALSE)</f>
        <v>0</v>
      </c>
      <c r="U24" s="15" cm="1">
        <f t="array" ref="U24">+HLOOKUP($A$1,+[42]İcmal!$B$19:$AG$49,ROW(D22)+1,FALSE)</f>
        <v>0</v>
      </c>
      <c r="V24" s="15" cm="1">
        <f t="array" ref="V24">+HLOOKUP($A$1,+[43]İcmal!$B$19:$AG$49,ROW(A22)+1,FALSE)</f>
        <v>0</v>
      </c>
      <c r="W24" s="15" cm="1">
        <f t="array" ref="W24">+HLOOKUP($A$1,+[44]İcmal!$B$19:$AG$49,ROW(B22)+1,FALSE)</f>
        <v>0</v>
      </c>
      <c r="X24" s="15" cm="1">
        <f t="array" ref="X24">+HLOOKUP($A$1,+[45]İcmal!$B$19:$AG$49,ROW(C22)+1,FALSE)</f>
        <v>0</v>
      </c>
      <c r="Y24" s="15" cm="1">
        <f t="array" ref="Y24">+HLOOKUP($A$1,+[46]İcmal!$B$19:$AG$49,ROW(D22)+1,FALSE)</f>
        <v>0</v>
      </c>
      <c r="Z24" s="15" cm="1">
        <f t="array" ref="Z24">+HLOOKUP($A$1,+[47]İcmal!$B$19:$AG$49,ROW(A22)+1,FALSE)</f>
        <v>0</v>
      </c>
      <c r="AA24" s="15" cm="1">
        <f t="array" ref="AA24">+HLOOKUP($A$1,+[48]İcmal!$B$19:$AG$49,ROW(B22)+1,FALSE)</f>
        <v>0</v>
      </c>
      <c r="AB24" s="15" cm="1">
        <f t="array" ref="AB24">+HLOOKUP($A$1,+[49]İcmal!$B$19:$AG$49,ROW(A22)+1,FALSE)</f>
        <v>0</v>
      </c>
      <c r="AC24" s="15" cm="1">
        <f t="array" ref="AC24">+HLOOKUP($A$1,+[50]İcmal!$B$19:$AG$49,ROW(A22)+1,FALSE)</f>
        <v>0</v>
      </c>
      <c r="AD24" s="15" cm="1">
        <f t="array" ref="AD24">+HLOOKUP($A$1,+[51]İcmal!$B$19:$AG$49,ROW(A22)+1,FALSE)</f>
        <v>0</v>
      </c>
      <c r="AE24" s="15" cm="1">
        <f t="array" ref="AE24">+HLOOKUP($A$1,+[52]İcmal!$B$19:$AG$49,ROW(A22)+1,FALSE)</f>
        <v>0</v>
      </c>
      <c r="AF24" s="50" cm="1">
        <f t="array" ref="AF24">+HLOOKUP($A$1,+[53]İcmal!$B$19:$AG$49,ROW(A22)+1,FALSE)</f>
        <v>0</v>
      </c>
      <c r="AG24" s="15" cm="1">
        <f t="array" ref="AG24">+HLOOKUP($A$1,+[54]İcmal!$B$19:$AG$49,ROW(A22)+1,FALSE)</f>
        <v>0</v>
      </c>
      <c r="AH24" s="15" cm="1">
        <f t="array" ref="AH24">+HLOOKUP($A$1,+[55]İcmal!$B$19:$AG$49,ROW(A22)+1,FALSE)</f>
        <v>0</v>
      </c>
      <c r="AI24" s="15" cm="1">
        <f t="array" ref="AI24">+HLOOKUP($A$1,+[56]İcmal!$B$19:$AG$49,ROW(A22)+1,FALSE)</f>
        <v>0</v>
      </c>
      <c r="AJ24" s="15" cm="1">
        <f t="array" ref="AJ24">+HLOOKUP($A$1,+[57]İcmal!$B$19:$AG$49,ROW(A22)+1,FALSE)</f>
        <v>0</v>
      </c>
      <c r="AK24" s="15" cm="1">
        <f t="array" ref="AK24">+HLOOKUP($A$1,+[58]İcmal!$B$19:$AG$49,ROW(B22)+1,FALSE)</f>
        <v>0</v>
      </c>
      <c r="AL24" s="15"/>
      <c r="AM24" s="15"/>
      <c r="AN24" s="15"/>
      <c r="AO24" s="13"/>
    </row>
    <row r="25" spans="1:41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+HLOOKUP($A$1,+[31]İcmal!$B$19:$AG$49,ROW(A23)+1,FALSE)</f>
        <v>0</v>
      </c>
      <c r="K25" s="15" cm="1">
        <f t="array" ref="K25">+HLOOKUP($A$1,+[32]İcmal!$B$19:$AG$49,ROW(B23)+1,FALSE)</f>
        <v>0</v>
      </c>
      <c r="L25" s="15" cm="1">
        <f t="array" ref="L25">+HLOOKUP($A$1,+[33]İcmal!$B$19:$AG$49,ROW(C23)+1,FALSE)</f>
        <v>0</v>
      </c>
      <c r="M25" s="15" cm="1">
        <f t="array" ref="M25">+HLOOKUP($A$1,+[34]İcmal!$B$19:$AG$49,ROW(D23)+1,FALSE)</f>
        <v>0</v>
      </c>
      <c r="N25" s="15" cm="1">
        <f t="array" ref="N25">+HLOOKUP($A$1,+[35]İcmal!$B$19:$AG$49,ROW(A23)+1,FALSE)</f>
        <v>0</v>
      </c>
      <c r="O25" s="15" cm="1">
        <f t="array" ref="O25">+HLOOKUP($A$1,+[36]İcmal!$B$19:$AG$49,ROW(B23)+1,FALSE)</f>
        <v>0</v>
      </c>
      <c r="P25" s="15" cm="1">
        <f t="array" ref="P25">+HLOOKUP($A$1,+[37]İcmal!$B$19:$AG$49,ROW(C23)+1,FALSE)</f>
        <v>0</v>
      </c>
      <c r="Q25" s="15" cm="1">
        <f t="array" ref="Q25">+HLOOKUP($A$1,+[38]İcmal!$B$19:$AG$49,ROW(D23)+1,FALSE)</f>
        <v>0</v>
      </c>
      <c r="R25" s="15" cm="1">
        <f t="array" ref="R25">+HLOOKUP($A$1,+[39]İcmal!$B$19:$AG$49,ROW(A23)+1,FALSE)</f>
        <v>0</v>
      </c>
      <c r="S25" s="15" cm="1">
        <f t="array" ref="S25">+HLOOKUP($A$1,+[40]İcmal!$B$19:$AG$49,ROW(B23)+1,FALSE)</f>
        <v>0</v>
      </c>
      <c r="T25" s="15" cm="1">
        <f t="array" ref="T25">+HLOOKUP($A$1,+[41]İcmal!$B$19:$AG$49,ROW(C23)+1,FALSE)</f>
        <v>0</v>
      </c>
      <c r="U25" s="15" cm="1">
        <f t="array" ref="U25">+HLOOKUP($A$1,+[42]İcmal!$B$19:$AG$49,ROW(D23)+1,FALSE)</f>
        <v>0</v>
      </c>
      <c r="V25" s="15" cm="1">
        <f t="array" ref="V25">+HLOOKUP($A$1,+[43]İcmal!$B$19:$AG$49,ROW(A23)+1,FALSE)</f>
        <v>0</v>
      </c>
      <c r="W25" s="15" cm="1">
        <f t="array" ref="W25">+HLOOKUP($A$1,+[44]İcmal!$B$19:$AG$49,ROW(B23)+1,FALSE)</f>
        <v>0</v>
      </c>
      <c r="X25" s="15" cm="1">
        <f t="array" ref="X25">+HLOOKUP($A$1,+[45]İcmal!$B$19:$AG$49,ROW(C23)+1,FALSE)</f>
        <v>0</v>
      </c>
      <c r="Y25" s="15" cm="1">
        <f t="array" ref="Y25">+HLOOKUP($A$1,+[46]İcmal!$B$19:$AG$49,ROW(D23)+1,FALSE)</f>
        <v>0</v>
      </c>
      <c r="Z25" s="15" cm="1">
        <f t="array" ref="Z25">+HLOOKUP($A$1,+[47]İcmal!$B$19:$AG$49,ROW(A23)+1,FALSE)</f>
        <v>0</v>
      </c>
      <c r="AA25" s="15" cm="1">
        <f t="array" ref="AA25">+HLOOKUP($A$1,+[48]İcmal!$B$19:$AG$49,ROW(B23)+1,FALSE)</f>
        <v>0</v>
      </c>
      <c r="AB25" s="15" cm="1">
        <f t="array" ref="AB25">+HLOOKUP($A$1,+[49]İcmal!$B$19:$AG$49,ROW(A23)+1,FALSE)</f>
        <v>0</v>
      </c>
      <c r="AC25" s="15" cm="1">
        <f t="array" ref="AC25">+HLOOKUP($A$1,+[50]İcmal!$B$19:$AG$49,ROW(A23)+1,FALSE)</f>
        <v>0</v>
      </c>
      <c r="AD25" s="15" cm="1">
        <f t="array" ref="AD25">+HLOOKUP($A$1,+[51]İcmal!$B$19:$AG$49,ROW(A23)+1,FALSE)</f>
        <v>0</v>
      </c>
      <c r="AE25" s="15" cm="1">
        <f t="array" ref="AE25">+HLOOKUP($A$1,+[52]İcmal!$B$19:$AG$49,ROW(A23)+1,FALSE)</f>
        <v>0</v>
      </c>
      <c r="AF25" s="50" cm="1">
        <f t="array" ref="AF25">+HLOOKUP($A$1,+[53]İcmal!$B$19:$AG$49,ROW(A23)+1,FALSE)</f>
        <v>0</v>
      </c>
      <c r="AG25" s="15" cm="1">
        <f t="array" ref="AG25">+HLOOKUP($A$1,+[54]İcmal!$B$19:$AG$49,ROW(A23)+1,FALSE)</f>
        <v>0</v>
      </c>
      <c r="AH25" s="15" cm="1">
        <f t="array" ref="AH25">+HLOOKUP($A$1,+[55]İcmal!$B$19:$AG$49,ROW(A23)+1,FALSE)</f>
        <v>0</v>
      </c>
      <c r="AI25" s="15" cm="1">
        <f t="array" ref="AI25">+HLOOKUP($A$1,+[56]İcmal!$B$19:$AG$49,ROW(A23)+1,FALSE)</f>
        <v>0</v>
      </c>
      <c r="AJ25" s="15" cm="1">
        <f t="array" ref="AJ25">+HLOOKUP($A$1,+[57]İcmal!$B$19:$AG$49,ROW(A23)+1,FALSE)</f>
        <v>0</v>
      </c>
      <c r="AK25" s="15" cm="1">
        <f t="array" ref="AK25">+HLOOKUP($A$1,+[58]İcmal!$B$19:$AG$49,ROW(B23)+1,FALSE)</f>
        <v>0</v>
      </c>
      <c r="AL25" s="15"/>
      <c r="AM25" s="15"/>
      <c r="AN25" s="15"/>
      <c r="AO25" s="13"/>
    </row>
    <row r="26" spans="1:41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+HLOOKUP($A$1,+[31]İcmal!$B$19:$AG$49,ROW(A24)+1,FALSE)</f>
        <v>0</v>
      </c>
      <c r="K26" s="15" cm="1">
        <f t="array" ref="K26">+HLOOKUP($A$1,+[32]İcmal!$B$19:$AG$49,ROW(B24)+1,FALSE)</f>
        <v>0</v>
      </c>
      <c r="L26" s="15" cm="1">
        <f t="array" ref="L26">+HLOOKUP($A$1,+[33]İcmal!$B$19:$AG$49,ROW(C24)+1,FALSE)</f>
        <v>0</v>
      </c>
      <c r="M26" s="15" cm="1">
        <f t="array" ref="M26">+HLOOKUP($A$1,+[34]İcmal!$B$19:$AG$49,ROW(D24)+1,FALSE)</f>
        <v>0</v>
      </c>
      <c r="N26" s="15" cm="1">
        <f t="array" ref="N26">+HLOOKUP($A$1,+[35]İcmal!$B$19:$AG$49,ROW(A24)+1,FALSE)</f>
        <v>0</v>
      </c>
      <c r="O26" s="15" cm="1">
        <f t="array" ref="O26">+HLOOKUP($A$1,+[36]İcmal!$B$19:$AG$49,ROW(B24)+1,FALSE)</f>
        <v>0</v>
      </c>
      <c r="P26" s="15" cm="1">
        <f t="array" ref="P26">+HLOOKUP($A$1,+[37]İcmal!$B$19:$AG$49,ROW(C24)+1,FALSE)</f>
        <v>0</v>
      </c>
      <c r="Q26" s="15" cm="1">
        <f t="array" ref="Q26">+HLOOKUP($A$1,+[38]İcmal!$B$19:$AG$49,ROW(D24)+1,FALSE)</f>
        <v>0</v>
      </c>
      <c r="R26" s="15" cm="1">
        <f t="array" ref="R26">+HLOOKUP($A$1,+[39]İcmal!$B$19:$AG$49,ROW(A24)+1,FALSE)</f>
        <v>0</v>
      </c>
      <c r="S26" s="15" cm="1">
        <f t="array" ref="S26">+HLOOKUP($A$1,+[40]İcmal!$B$19:$AG$49,ROW(B24)+1,FALSE)</f>
        <v>0</v>
      </c>
      <c r="T26" s="15" cm="1">
        <f t="array" ref="T26">+HLOOKUP($A$1,+[41]İcmal!$B$19:$AG$49,ROW(C24)+1,FALSE)</f>
        <v>0</v>
      </c>
      <c r="U26" s="15" cm="1">
        <f t="array" ref="U26">+HLOOKUP($A$1,+[42]İcmal!$B$19:$AG$49,ROW(D24)+1,FALSE)</f>
        <v>0</v>
      </c>
      <c r="V26" s="15" cm="1">
        <f t="array" ref="V26">+HLOOKUP($A$1,+[43]İcmal!$B$19:$AG$49,ROW(A24)+1,FALSE)</f>
        <v>0</v>
      </c>
      <c r="W26" s="15" cm="1">
        <f t="array" ref="W26">+HLOOKUP($A$1,+[44]İcmal!$B$19:$AG$49,ROW(B24)+1,FALSE)</f>
        <v>0</v>
      </c>
      <c r="X26" s="15" cm="1">
        <f t="array" ref="X26">+HLOOKUP($A$1,+[45]İcmal!$B$19:$AG$49,ROW(C24)+1,FALSE)</f>
        <v>0</v>
      </c>
      <c r="Y26" s="15" cm="1">
        <f t="array" ref="Y26">+HLOOKUP($A$1,+[46]İcmal!$B$19:$AG$49,ROW(D24)+1,FALSE)</f>
        <v>0</v>
      </c>
      <c r="Z26" s="15" cm="1">
        <f t="array" ref="Z26">+HLOOKUP($A$1,+[47]İcmal!$B$19:$AG$49,ROW(A24)+1,FALSE)</f>
        <v>0</v>
      </c>
      <c r="AA26" s="15" cm="1">
        <f t="array" ref="AA26">+HLOOKUP($A$1,+[48]İcmal!$B$19:$AG$49,ROW(B24)+1,FALSE)</f>
        <v>0</v>
      </c>
      <c r="AB26" s="15" cm="1">
        <f t="array" ref="AB26">+HLOOKUP($A$1,+[49]İcmal!$B$19:$AG$49,ROW(A24)+1,FALSE)</f>
        <v>0</v>
      </c>
      <c r="AC26" s="15" cm="1">
        <f t="array" ref="AC26">+HLOOKUP($A$1,+[50]İcmal!$B$19:$AG$49,ROW(A24)+1,FALSE)</f>
        <v>0</v>
      </c>
      <c r="AD26" s="15" cm="1">
        <f t="array" ref="AD26">+HLOOKUP($A$1,+[51]İcmal!$B$19:$AG$49,ROW(A24)+1,FALSE)</f>
        <v>0</v>
      </c>
      <c r="AE26" s="15" cm="1">
        <f t="array" ref="AE26">+HLOOKUP($A$1,+[52]İcmal!$B$19:$AG$49,ROW(A24)+1,FALSE)</f>
        <v>0</v>
      </c>
      <c r="AF26" s="50" cm="1">
        <f t="array" ref="AF26">+HLOOKUP($A$1,+[53]İcmal!$B$19:$AG$49,ROW(A24)+1,FALSE)</f>
        <v>0</v>
      </c>
      <c r="AG26" s="15" cm="1">
        <f t="array" ref="AG26">+HLOOKUP($A$1,+[54]İcmal!$B$19:$AG$49,ROW(A24)+1,FALSE)</f>
        <v>0</v>
      </c>
      <c r="AH26" s="15" cm="1">
        <f t="array" ref="AH26">+HLOOKUP($A$1,+[55]İcmal!$B$19:$AG$49,ROW(A24)+1,FALSE)</f>
        <v>0</v>
      </c>
      <c r="AI26" s="15" cm="1">
        <f t="array" ref="AI26">+HLOOKUP($A$1,+[56]İcmal!$B$19:$AG$49,ROW(A24)+1,FALSE)</f>
        <v>0</v>
      </c>
      <c r="AJ26" s="15" cm="1">
        <f t="array" ref="AJ26">+HLOOKUP($A$1,+[57]İcmal!$B$19:$AG$49,ROW(A24)+1,FALSE)</f>
        <v>0</v>
      </c>
      <c r="AK26" s="15" cm="1">
        <f t="array" ref="AK26">+HLOOKUP($A$1,+[58]İcmal!$B$19:$AG$49,ROW(B24)+1,FALSE)</f>
        <v>0</v>
      </c>
      <c r="AL26" s="15"/>
      <c r="AM26" s="15"/>
      <c r="AN26" s="15"/>
      <c r="AO26" s="13"/>
    </row>
    <row r="27" spans="1:41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+HLOOKUP($A$1,+[31]İcmal!$B$19:$AG$49,ROW(A25)+1,FALSE)</f>
        <v>0</v>
      </c>
      <c r="K27" s="15" cm="1">
        <f t="array" ref="K27">+HLOOKUP($A$1,+[32]İcmal!$B$19:$AG$49,ROW(B25)+1,FALSE)</f>
        <v>0</v>
      </c>
      <c r="L27" s="15" cm="1">
        <f t="array" ref="L27">+HLOOKUP($A$1,+[33]İcmal!$B$19:$AG$49,ROW(C25)+1,FALSE)</f>
        <v>0</v>
      </c>
      <c r="M27" s="15" cm="1">
        <f t="array" ref="M27">+HLOOKUP($A$1,+[34]İcmal!$B$19:$AG$49,ROW(D25)+1,FALSE)</f>
        <v>0</v>
      </c>
      <c r="N27" s="15" cm="1">
        <f t="array" ref="N27">+HLOOKUP($A$1,+[35]İcmal!$B$19:$AG$49,ROW(A25)+1,FALSE)</f>
        <v>0</v>
      </c>
      <c r="O27" s="15" cm="1">
        <f t="array" ref="O27">+HLOOKUP($A$1,+[36]İcmal!$B$19:$AG$49,ROW(B25)+1,FALSE)</f>
        <v>0</v>
      </c>
      <c r="P27" s="15" cm="1">
        <f t="array" ref="P27">+HLOOKUP($A$1,+[37]İcmal!$B$19:$AG$49,ROW(C25)+1,FALSE)</f>
        <v>0</v>
      </c>
      <c r="Q27" s="15" cm="1">
        <f t="array" ref="Q27">+HLOOKUP($A$1,+[38]İcmal!$B$19:$AG$49,ROW(D25)+1,FALSE)</f>
        <v>0</v>
      </c>
      <c r="R27" s="15" cm="1">
        <f t="array" ref="R27">+HLOOKUP($A$1,+[39]İcmal!$B$19:$AG$49,ROW(A25)+1,FALSE)</f>
        <v>0</v>
      </c>
      <c r="S27" s="15" cm="1">
        <f t="array" ref="S27">+HLOOKUP($A$1,+[40]İcmal!$B$19:$AG$49,ROW(B25)+1,FALSE)</f>
        <v>0</v>
      </c>
      <c r="T27" s="15" cm="1">
        <f t="array" ref="T27">+HLOOKUP($A$1,+[41]İcmal!$B$19:$AG$49,ROW(C25)+1,FALSE)</f>
        <v>0</v>
      </c>
      <c r="U27" s="15" cm="1">
        <f t="array" ref="U27">+HLOOKUP($A$1,+[42]İcmal!$B$19:$AG$49,ROW(D25)+1,FALSE)</f>
        <v>0</v>
      </c>
      <c r="V27" s="15" cm="1">
        <f t="array" ref="V27">+HLOOKUP($A$1,+[43]İcmal!$B$19:$AG$49,ROW(A25)+1,FALSE)</f>
        <v>0</v>
      </c>
      <c r="W27" s="15" cm="1">
        <f t="array" ref="W27">+HLOOKUP($A$1,+[44]İcmal!$B$19:$AG$49,ROW(B25)+1,FALSE)</f>
        <v>0</v>
      </c>
      <c r="X27" s="15" cm="1">
        <f t="array" ref="X27">+HLOOKUP($A$1,+[45]İcmal!$B$19:$AG$49,ROW(C25)+1,FALSE)</f>
        <v>0</v>
      </c>
      <c r="Y27" s="15" cm="1">
        <f t="array" ref="Y27">+HLOOKUP($A$1,+[46]İcmal!$B$19:$AG$49,ROW(D25)+1,FALSE)</f>
        <v>0</v>
      </c>
      <c r="Z27" s="15" cm="1">
        <f t="array" ref="Z27">+HLOOKUP($A$1,+[47]İcmal!$B$19:$AG$49,ROW(A25)+1,FALSE)</f>
        <v>0</v>
      </c>
      <c r="AA27" s="15" cm="1">
        <f t="array" ref="AA27">+HLOOKUP($A$1,+[48]İcmal!$B$19:$AG$49,ROW(B25)+1,FALSE)</f>
        <v>0</v>
      </c>
      <c r="AB27" s="15" cm="1">
        <f t="array" ref="AB27">+HLOOKUP($A$1,+[49]İcmal!$B$19:$AG$49,ROW(A25)+1,FALSE)</f>
        <v>0</v>
      </c>
      <c r="AC27" s="15" cm="1">
        <f t="array" ref="AC27">+HLOOKUP($A$1,+[50]İcmal!$B$19:$AG$49,ROW(A25)+1,FALSE)</f>
        <v>0</v>
      </c>
      <c r="AD27" s="15" cm="1">
        <f t="array" ref="AD27">+HLOOKUP($A$1,+[51]İcmal!$B$19:$AG$49,ROW(A25)+1,FALSE)</f>
        <v>0</v>
      </c>
      <c r="AE27" s="15" cm="1">
        <f t="array" ref="AE27">+HLOOKUP($A$1,+[52]İcmal!$B$19:$AG$49,ROW(A25)+1,FALSE)</f>
        <v>0</v>
      </c>
      <c r="AF27" s="50" cm="1">
        <f t="array" ref="AF27">+HLOOKUP($A$1,+[53]İcmal!$B$19:$AG$49,ROW(A25)+1,FALSE)</f>
        <v>0</v>
      </c>
      <c r="AG27" s="15" cm="1">
        <f t="array" ref="AG27">+HLOOKUP($A$1,+[54]İcmal!$B$19:$AG$49,ROW(A25)+1,FALSE)</f>
        <v>0</v>
      </c>
      <c r="AH27" s="15" cm="1">
        <f t="array" ref="AH27">+HLOOKUP($A$1,+[55]İcmal!$B$19:$AG$49,ROW(A25)+1,FALSE)</f>
        <v>0</v>
      </c>
      <c r="AI27" s="15" cm="1">
        <f t="array" ref="AI27">+HLOOKUP($A$1,+[56]İcmal!$B$19:$AG$49,ROW(A25)+1,FALSE)</f>
        <v>0</v>
      </c>
      <c r="AJ27" s="15" cm="1">
        <f t="array" ref="AJ27">+HLOOKUP($A$1,+[57]İcmal!$B$19:$AG$49,ROW(A25)+1,FALSE)</f>
        <v>0</v>
      </c>
      <c r="AK27" s="15" cm="1">
        <f t="array" ref="AK27">+HLOOKUP($A$1,+[58]İcmal!$B$19:$AG$49,ROW(B25)+1,FALSE)</f>
        <v>0</v>
      </c>
      <c r="AL27" s="15"/>
      <c r="AM27" s="15"/>
      <c r="AN27" s="15"/>
      <c r="AO27" s="13"/>
    </row>
    <row r="28" spans="1:41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7.5089999999999986</v>
      </c>
      <c r="I28" s="9">
        <f t="shared" si="2"/>
        <v>347291.24999999994</v>
      </c>
      <c r="J28" s="15" cm="1">
        <f t="array" ref="J28">+HLOOKUP($A$1,+[31]İcmal!$B$19:$AG$49,ROW(A26)+1,FALSE)</f>
        <v>0</v>
      </c>
      <c r="K28" s="15" cm="1">
        <f t="array" ref="K28">+HLOOKUP($A$1,+[32]İcmal!$B$19:$AG$49,ROW(B26)+1,FALSE)</f>
        <v>0</v>
      </c>
      <c r="L28" s="15" cm="1">
        <f t="array" ref="L28">+HLOOKUP($A$1,+[33]İcmal!$B$19:$AG$49,ROW(C26)+1,FALSE)</f>
        <v>0.182</v>
      </c>
      <c r="M28" s="15" cm="1">
        <f t="array" ref="M28">+HLOOKUP($A$1,+[34]İcmal!$B$19:$AG$49,ROW(D26)+1,FALSE)</f>
        <v>0.24299999999999999</v>
      </c>
      <c r="N28" s="15" cm="1">
        <f t="array" ref="N28">+HLOOKUP($A$1,+[35]İcmal!$B$19:$AG$49,ROW(A26)+1,FALSE)</f>
        <v>4.1000000000000002E-2</v>
      </c>
      <c r="O28" s="15" cm="1">
        <f t="array" ref="O28">+HLOOKUP($A$1,+[36]İcmal!$B$19:$AG$49,ROW(B26)+1,FALSE)</f>
        <v>1.2089999999999999</v>
      </c>
      <c r="P28" s="15" cm="1">
        <f t="array" ref="P28">+HLOOKUP($A$1,+[37]İcmal!$B$19:$AG$49,ROW(C26)+1,FALSE)</f>
        <v>0</v>
      </c>
      <c r="Q28" s="15" cm="1">
        <f t="array" ref="Q28">+HLOOKUP($A$1,+[38]İcmal!$B$19:$AG$49,ROW(D26)+1,FALSE)</f>
        <v>0</v>
      </c>
      <c r="R28" s="15" cm="1">
        <f t="array" ref="R28">+HLOOKUP($A$1,+[39]İcmal!$B$19:$AG$49,ROW(A26)+1,FALSE)</f>
        <v>1.569</v>
      </c>
      <c r="S28" s="15" cm="1">
        <f t="array" ref="S28">+HLOOKUP($A$1,+[40]İcmal!$B$19:$AG$49,ROW(B26)+1,FALSE)</f>
        <v>1.5119999999999996</v>
      </c>
      <c r="T28" s="15" cm="1">
        <f t="array" ref="T28">+HLOOKUP($A$1,+[41]İcmal!$B$19:$AG$49,ROW(C26)+1,FALSE)</f>
        <v>0</v>
      </c>
      <c r="U28" s="15" cm="1">
        <f t="array" ref="U28">+HLOOKUP($A$1,+[42]İcmal!$B$19:$AG$49,ROW(D26)+1,FALSE)</f>
        <v>0</v>
      </c>
      <c r="V28" s="15" cm="1">
        <f t="array" ref="V28">+HLOOKUP($A$1,+[43]İcmal!$B$19:$AG$49,ROW(A26)+1,FALSE)</f>
        <v>0</v>
      </c>
      <c r="W28" s="15" cm="1">
        <f t="array" ref="W28">+HLOOKUP($A$1,+[44]İcmal!$B$19:$AG$49,ROW(B26)+1,FALSE)</f>
        <v>0</v>
      </c>
      <c r="X28" s="15" cm="1">
        <f t="array" ref="X28">+HLOOKUP($A$1,+[45]İcmal!$B$19:$AG$49,ROW(C26)+1,FALSE)</f>
        <v>0.80800000000000005</v>
      </c>
      <c r="Y28" s="15" cm="1">
        <f t="array" ref="Y28">+HLOOKUP($A$1,+[46]İcmal!$B$19:$AG$49,ROW(D26)+1,FALSE)</f>
        <v>0.76800000000000002</v>
      </c>
      <c r="Z28" s="15" cm="1">
        <f t="array" ref="Z28">+HLOOKUP($A$1,+[47]İcmal!$B$19:$AG$49,ROW(A26)+1,FALSE)</f>
        <v>0</v>
      </c>
      <c r="AA28" s="15" cm="1">
        <f t="array" ref="AA28">+HLOOKUP($A$1,+[48]İcmal!$B$19:$AG$49,ROW(B26)+1,FALSE)</f>
        <v>0</v>
      </c>
      <c r="AB28" s="15" cm="1">
        <f t="array" ref="AB28">+HLOOKUP($A$1,+[49]İcmal!$B$19:$AG$49,ROW(A26)+1,FALSE)</f>
        <v>0.56299999999999994</v>
      </c>
      <c r="AC28" s="15" cm="1">
        <f t="array" ref="AC28">+HLOOKUP($A$1,+[50]İcmal!$B$19:$AG$49,ROW(A26)+1,FALSE)</f>
        <v>0.10100000000000001</v>
      </c>
      <c r="AD28" s="15" cm="1">
        <f t="array" ref="AD28">+HLOOKUP($A$1,+[51]İcmal!$B$19:$AG$49,ROW(A26)+1,FALSE)</f>
        <v>0</v>
      </c>
      <c r="AE28" s="15" cm="1">
        <f t="array" ref="AE28">+HLOOKUP($A$1,+[52]İcmal!$B$19:$AG$49,ROW(A26)+1,FALSE)</f>
        <v>0</v>
      </c>
      <c r="AF28" s="50" cm="1">
        <f t="array" ref="AF28">+HLOOKUP($A$1,+[53]İcmal!$B$19:$AG$49,ROW(A26)+1,FALSE)</f>
        <v>0</v>
      </c>
      <c r="AG28" s="15" cm="1">
        <f t="array" ref="AG28">+HLOOKUP($A$1,+[54]İcmal!$B$19:$AG$49,ROW(A26)+1,FALSE)</f>
        <v>0</v>
      </c>
      <c r="AH28" s="15" cm="1">
        <f t="array" ref="AH28">+HLOOKUP($A$1,+[55]İcmal!$B$19:$AG$49,ROW(A26)+1,FALSE)</f>
        <v>0.311</v>
      </c>
      <c r="AI28" s="15" cm="1">
        <f t="array" ref="AI28">+HLOOKUP($A$1,+[56]İcmal!$B$19:$AG$49,ROW(A26)+1,FALSE)</f>
        <v>0.10100000000000001</v>
      </c>
      <c r="AJ28" s="15" cm="1">
        <f t="array" ref="AJ28">+HLOOKUP($A$1,+[57]İcmal!$B$19:$AG$49,ROW(A26)+1,FALSE)</f>
        <v>0</v>
      </c>
      <c r="AK28" s="15" cm="1">
        <f t="array" ref="AK28">+HLOOKUP($A$1,+[58]İcmal!$B$19:$AG$49,ROW(B26)+1,FALSE)</f>
        <v>0.10100000000000001</v>
      </c>
      <c r="AL28" s="15"/>
      <c r="AM28" s="15"/>
      <c r="AN28" s="15"/>
      <c r="AO28" s="13"/>
    </row>
    <row r="29" spans="1:41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+HLOOKUP($A$1,+[31]İcmal!$B$19:$AG$49,ROW(A27)+1,FALSE)</f>
        <v>0</v>
      </c>
      <c r="K29" s="15" cm="1">
        <f t="array" ref="K29">+HLOOKUP($A$1,+[32]İcmal!$B$19:$AG$49,ROW(B27)+1,FALSE)</f>
        <v>0</v>
      </c>
      <c r="L29" s="15" cm="1">
        <f t="array" ref="L29">+HLOOKUP($A$1,+[33]İcmal!$B$19:$AG$49,ROW(C27)+1,FALSE)</f>
        <v>0</v>
      </c>
      <c r="M29" s="15" cm="1">
        <f t="array" ref="M29">+HLOOKUP($A$1,+[34]İcmal!$B$19:$AG$49,ROW(D27)+1,FALSE)</f>
        <v>0</v>
      </c>
      <c r="N29" s="15" cm="1">
        <f t="array" ref="N29">+HLOOKUP($A$1,+[35]İcmal!$B$19:$AG$49,ROW(A27)+1,FALSE)</f>
        <v>0</v>
      </c>
      <c r="O29" s="15" cm="1">
        <f t="array" ref="O29">+HLOOKUP($A$1,+[36]İcmal!$B$19:$AG$49,ROW(B27)+1,FALSE)</f>
        <v>0</v>
      </c>
      <c r="P29" s="15" cm="1">
        <f t="array" ref="P29">+HLOOKUP($A$1,+[37]İcmal!$B$19:$AG$49,ROW(C27)+1,FALSE)</f>
        <v>0</v>
      </c>
      <c r="Q29" s="15" cm="1">
        <f t="array" ref="Q29">+HLOOKUP($A$1,+[38]İcmal!$B$19:$AG$49,ROW(D27)+1,FALSE)</f>
        <v>0</v>
      </c>
      <c r="R29" s="15" cm="1">
        <f t="array" ref="R29">+HLOOKUP($A$1,+[39]İcmal!$B$19:$AG$49,ROW(A27)+1,FALSE)</f>
        <v>0</v>
      </c>
      <c r="S29" s="15" cm="1">
        <f t="array" ref="S29">+HLOOKUP($A$1,+[40]İcmal!$B$19:$AG$49,ROW(B27)+1,FALSE)</f>
        <v>0</v>
      </c>
      <c r="T29" s="15" cm="1">
        <f t="array" ref="T29">+HLOOKUP($A$1,+[41]İcmal!$B$19:$AG$49,ROW(C27)+1,FALSE)</f>
        <v>0</v>
      </c>
      <c r="U29" s="15" cm="1">
        <f t="array" ref="U29">+HLOOKUP($A$1,+[42]İcmal!$B$19:$AG$49,ROW(D27)+1,FALSE)</f>
        <v>0</v>
      </c>
      <c r="V29" s="15" cm="1">
        <f t="array" ref="V29">+HLOOKUP($A$1,+[43]İcmal!$B$19:$AG$49,ROW(A27)+1,FALSE)</f>
        <v>0</v>
      </c>
      <c r="W29" s="15" cm="1">
        <f t="array" ref="W29">+HLOOKUP($A$1,+[44]İcmal!$B$19:$AG$49,ROW(B27)+1,FALSE)</f>
        <v>0</v>
      </c>
      <c r="X29" s="15" cm="1">
        <f t="array" ref="X29">+HLOOKUP($A$1,+[45]İcmal!$B$19:$AG$49,ROW(C27)+1,FALSE)</f>
        <v>0</v>
      </c>
      <c r="Y29" s="15" cm="1">
        <f t="array" ref="Y29">+HLOOKUP($A$1,+[46]İcmal!$B$19:$AG$49,ROW(D27)+1,FALSE)</f>
        <v>0</v>
      </c>
      <c r="Z29" s="15" cm="1">
        <f t="array" ref="Z29">+HLOOKUP($A$1,+[47]İcmal!$B$19:$AG$49,ROW(A27)+1,FALSE)</f>
        <v>0</v>
      </c>
      <c r="AA29" s="15" cm="1">
        <f t="array" ref="AA29">+HLOOKUP($A$1,+[48]İcmal!$B$19:$AG$49,ROW(B27)+1,FALSE)</f>
        <v>0</v>
      </c>
      <c r="AB29" s="15" cm="1">
        <f t="array" ref="AB29">+HLOOKUP($A$1,+[49]İcmal!$B$19:$AG$49,ROW(A27)+1,FALSE)</f>
        <v>0</v>
      </c>
      <c r="AC29" s="15" cm="1">
        <f t="array" ref="AC29">+HLOOKUP($A$1,+[50]İcmal!$B$19:$AG$49,ROW(A27)+1,FALSE)</f>
        <v>0</v>
      </c>
      <c r="AD29" s="15" cm="1">
        <f t="array" ref="AD29">+HLOOKUP($A$1,+[51]İcmal!$B$19:$AG$49,ROW(A27)+1,FALSE)</f>
        <v>0</v>
      </c>
      <c r="AE29" s="15" cm="1">
        <f t="array" ref="AE29">+HLOOKUP($A$1,+[52]İcmal!$B$19:$AG$49,ROW(A27)+1,FALSE)</f>
        <v>0</v>
      </c>
      <c r="AF29" s="50" cm="1">
        <f t="array" ref="AF29">+HLOOKUP($A$1,+[53]İcmal!$B$19:$AG$49,ROW(A27)+1,FALSE)</f>
        <v>0</v>
      </c>
      <c r="AG29" s="15" cm="1">
        <f t="array" ref="AG29">+HLOOKUP($A$1,+[54]İcmal!$B$19:$AG$49,ROW(A27)+1,FALSE)</f>
        <v>0</v>
      </c>
      <c r="AH29" s="15" cm="1">
        <f t="array" ref="AH29">+HLOOKUP($A$1,+[55]İcmal!$B$19:$AG$49,ROW(A27)+1,FALSE)</f>
        <v>0</v>
      </c>
      <c r="AI29" s="15" cm="1">
        <f t="array" ref="AI29">+HLOOKUP($A$1,+[56]İcmal!$B$19:$AG$49,ROW(A27)+1,FALSE)</f>
        <v>0</v>
      </c>
      <c r="AJ29" s="15" cm="1">
        <f t="array" ref="AJ29">+HLOOKUP($A$1,+[57]İcmal!$B$19:$AG$49,ROW(A27)+1,FALSE)</f>
        <v>0</v>
      </c>
      <c r="AK29" s="15" cm="1">
        <f t="array" ref="AK29">+HLOOKUP($A$1,+[58]İcmal!$B$19:$AG$49,ROW(B27)+1,FALSE)</f>
        <v>0</v>
      </c>
      <c r="AL29" s="15"/>
      <c r="AM29" s="15"/>
      <c r="AN29" s="15"/>
      <c r="AO29" s="13"/>
    </row>
    <row r="30" spans="1:41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44.475999999999985</v>
      </c>
      <c r="I30" s="9">
        <f t="shared" si="2"/>
        <v>4328982.5079999985</v>
      </c>
      <c r="J30" s="15" cm="1">
        <f t="array" ref="J30">+HLOOKUP($A$1,+[31]İcmal!$B$19:$AG$49,ROW(A28)+1,FALSE)</f>
        <v>0</v>
      </c>
      <c r="K30" s="15" cm="1">
        <f t="array" ref="K30">+HLOOKUP($A$1,+[32]İcmal!$B$19:$AG$49,ROW(B28)+1,FALSE)</f>
        <v>0</v>
      </c>
      <c r="L30" s="15" cm="1">
        <f t="array" ref="L30">+HLOOKUP($A$1,+[33]İcmal!$B$19:$AG$49,ROW(C28)+1,FALSE)</f>
        <v>1.482</v>
      </c>
      <c r="M30" s="15" cm="1">
        <f t="array" ref="M30">+HLOOKUP($A$1,+[34]İcmal!$B$19:$AG$49,ROW(D28)+1,FALSE)</f>
        <v>1.855</v>
      </c>
      <c r="N30" s="15" cm="1">
        <f t="array" ref="N30">+HLOOKUP($A$1,+[35]İcmal!$B$19:$AG$49,ROW(A28)+1,FALSE)</f>
        <v>0.83399999999999996</v>
      </c>
      <c r="O30" s="15" cm="1">
        <f t="array" ref="O30">+HLOOKUP($A$1,+[36]İcmal!$B$19:$AG$49,ROW(B28)+1,FALSE)</f>
        <v>7.4260000000000002</v>
      </c>
      <c r="P30" s="15" cm="1">
        <f t="array" ref="P30">+HLOOKUP($A$1,+[37]İcmal!$B$19:$AG$49,ROW(C28)+1,FALSE)</f>
        <v>0</v>
      </c>
      <c r="Q30" s="15" cm="1">
        <f t="array" ref="Q30">+HLOOKUP($A$1,+[38]İcmal!$B$19:$AG$49,ROW(D28)+1,FALSE)</f>
        <v>0</v>
      </c>
      <c r="R30" s="15" cm="1">
        <f t="array" ref="R30">+HLOOKUP($A$1,+[39]İcmal!$B$19:$AG$49,ROW(A28)+1,FALSE)</f>
        <v>6.5879999999999992</v>
      </c>
      <c r="S30" s="15" cm="1">
        <f t="array" ref="S30">+HLOOKUP($A$1,+[40]İcmal!$B$19:$AG$49,ROW(B28)+1,FALSE)</f>
        <v>9.2370000000000001</v>
      </c>
      <c r="T30" s="15" cm="1">
        <f t="array" ref="T30">+HLOOKUP($A$1,+[41]İcmal!$B$19:$AG$49,ROW(C28)+1,FALSE)</f>
        <v>0</v>
      </c>
      <c r="U30" s="15" cm="1">
        <f t="array" ref="U30">+HLOOKUP($A$1,+[42]İcmal!$B$19:$AG$49,ROW(D28)+1,FALSE)</f>
        <v>0</v>
      </c>
      <c r="V30" s="15" cm="1">
        <f t="array" ref="V30">+HLOOKUP($A$1,+[43]İcmal!$B$19:$AG$49,ROW(A28)+1,FALSE)</f>
        <v>0</v>
      </c>
      <c r="W30" s="15" cm="1">
        <f t="array" ref="W30">+HLOOKUP($A$1,+[44]İcmal!$B$19:$AG$49,ROW(B28)+1,FALSE)</f>
        <v>0</v>
      </c>
      <c r="X30" s="15" cm="1">
        <f t="array" ref="X30">+HLOOKUP($A$1,+[45]İcmal!$B$19:$AG$49,ROW(C28)+1,FALSE)</f>
        <v>3.4169999999999998</v>
      </c>
      <c r="Y30" s="15" cm="1">
        <f t="array" ref="Y30">+HLOOKUP($A$1,+[46]İcmal!$B$19:$AG$49,ROW(D28)+1,FALSE)</f>
        <v>4.9619999999999997</v>
      </c>
      <c r="Z30" s="15" cm="1">
        <f t="array" ref="Z30">+HLOOKUP($A$1,+[47]İcmal!$B$19:$AG$49,ROW(A28)+1,FALSE)</f>
        <v>0</v>
      </c>
      <c r="AA30" s="15" cm="1">
        <f t="array" ref="AA30">+HLOOKUP($A$1,+[48]İcmal!$B$19:$AG$49,ROW(B28)+1,FALSE)</f>
        <v>0</v>
      </c>
      <c r="AB30" s="15" cm="1">
        <f t="array" ref="AB30">+HLOOKUP($A$1,+[49]İcmal!$B$19:$AG$49,ROW(A28)+1,FALSE)</f>
        <v>3.4699999999999998</v>
      </c>
      <c r="AC30" s="15" cm="1">
        <f t="array" ref="AC30">+HLOOKUP($A$1,+[50]İcmal!$B$19:$AG$49,ROW(A28)+1,FALSE)</f>
        <v>0.84599999999999997</v>
      </c>
      <c r="AD30" s="15" cm="1">
        <f t="array" ref="AD30">+HLOOKUP($A$1,+[51]İcmal!$B$19:$AG$49,ROW(A28)+1,FALSE)</f>
        <v>0</v>
      </c>
      <c r="AE30" s="15" cm="1">
        <f t="array" ref="AE30">+HLOOKUP($A$1,+[52]İcmal!$B$19:$AG$49,ROW(A28)+1,FALSE)</f>
        <v>0</v>
      </c>
      <c r="AF30" s="50" cm="1">
        <f t="array" ref="AF30">+HLOOKUP($A$1,+[53]İcmal!$B$19:$AG$49,ROW(A28)+1,FALSE)</f>
        <v>0.187</v>
      </c>
      <c r="AG30" s="15" cm="1">
        <f t="array" ref="AG30">+HLOOKUP($A$1,+[54]İcmal!$B$19:$AG$49,ROW(A28)+1,FALSE)</f>
        <v>0</v>
      </c>
      <c r="AH30" s="15" cm="1">
        <f t="array" ref="AH30">+HLOOKUP($A$1,+[55]İcmal!$B$19:$AG$49,ROW(A28)+1,FALSE)</f>
        <v>2.48</v>
      </c>
      <c r="AI30" s="15" cm="1">
        <f t="array" ref="AI30">+HLOOKUP($A$1,+[56]İcmal!$B$19:$AG$49,ROW(A28)+1,FALSE)</f>
        <v>0.84599999999999997</v>
      </c>
      <c r="AJ30" s="15" cm="1">
        <f t="array" ref="AJ30">+HLOOKUP($A$1,+[57]İcmal!$B$19:$AG$49,ROW(A28)+1,FALSE)</f>
        <v>0</v>
      </c>
      <c r="AK30" s="15" cm="1">
        <f t="array" ref="AK30">+HLOOKUP($A$1,+[58]İcmal!$B$19:$AG$49,ROW(B28)+1,FALSE)</f>
        <v>0.84599999999999997</v>
      </c>
      <c r="AL30" s="15"/>
      <c r="AM30" s="15"/>
      <c r="AN30" s="15"/>
      <c r="AO30" s="13"/>
    </row>
    <row r="31" spans="1:41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+HLOOKUP($A$1,+[31]İcmal!$B$19:$AG$49,ROW(A29)+1,FALSE)</f>
        <v>0</v>
      </c>
      <c r="K31" s="15" cm="1">
        <f t="array" ref="K31">+HLOOKUP($A$1,+[32]İcmal!$B$19:$AG$49,ROW(B29)+1,FALSE)</f>
        <v>0</v>
      </c>
      <c r="L31" s="15" cm="1">
        <f t="array" ref="L31">+HLOOKUP($A$1,+[33]İcmal!$B$19:$AG$49,ROW(C29)+1,FALSE)</f>
        <v>0</v>
      </c>
      <c r="M31" s="15" cm="1">
        <f t="array" ref="M31">+HLOOKUP($A$1,+[34]İcmal!$B$19:$AG$49,ROW(D29)+1,FALSE)</f>
        <v>0</v>
      </c>
      <c r="N31" s="15" cm="1">
        <f t="array" ref="N31">+HLOOKUP($A$1,+[35]İcmal!$B$19:$AG$49,ROW(A29)+1,FALSE)</f>
        <v>0</v>
      </c>
      <c r="O31" s="15" cm="1">
        <f t="array" ref="O31">+HLOOKUP($A$1,+[36]İcmal!$B$19:$AG$49,ROW(B29)+1,FALSE)</f>
        <v>0</v>
      </c>
      <c r="P31" s="15" cm="1">
        <f t="array" ref="P31">+HLOOKUP($A$1,+[37]İcmal!$B$19:$AG$49,ROW(C29)+1,FALSE)</f>
        <v>0</v>
      </c>
      <c r="Q31" s="15" cm="1">
        <f t="array" ref="Q31">+HLOOKUP($A$1,+[38]İcmal!$B$19:$AG$49,ROW(D29)+1,FALSE)</f>
        <v>0</v>
      </c>
      <c r="R31" s="15" cm="1">
        <f t="array" ref="R31">+HLOOKUP($A$1,+[39]İcmal!$B$19:$AG$49,ROW(A29)+1,FALSE)</f>
        <v>0</v>
      </c>
      <c r="S31" s="15" cm="1">
        <f t="array" ref="S31">+HLOOKUP($A$1,+[40]İcmal!$B$19:$AG$49,ROW(B29)+1,FALSE)</f>
        <v>0</v>
      </c>
      <c r="T31" s="15" cm="1">
        <f t="array" ref="T31">+HLOOKUP($A$1,+[41]İcmal!$B$19:$AG$49,ROW(C29)+1,FALSE)</f>
        <v>0</v>
      </c>
      <c r="U31" s="15" cm="1">
        <f t="array" ref="U31">+HLOOKUP($A$1,+[42]İcmal!$B$19:$AG$49,ROW(D29)+1,FALSE)</f>
        <v>0</v>
      </c>
      <c r="V31" s="15" cm="1">
        <f t="array" ref="V31">+HLOOKUP($A$1,+[43]İcmal!$B$19:$AG$49,ROW(A29)+1,FALSE)</f>
        <v>0</v>
      </c>
      <c r="W31" s="15" cm="1">
        <f t="array" ref="W31">+HLOOKUP($A$1,+[44]İcmal!$B$19:$AG$49,ROW(B29)+1,FALSE)</f>
        <v>0</v>
      </c>
      <c r="X31" s="15" cm="1">
        <f t="array" ref="X31">+HLOOKUP($A$1,+[45]İcmal!$B$19:$AG$49,ROW(C29)+1,FALSE)</f>
        <v>0</v>
      </c>
      <c r="Y31" s="15" cm="1">
        <f t="array" ref="Y31">+HLOOKUP($A$1,+[46]İcmal!$B$19:$AG$49,ROW(D29)+1,FALSE)</f>
        <v>0</v>
      </c>
      <c r="Z31" s="15" cm="1">
        <f t="array" ref="Z31">+HLOOKUP($A$1,+[47]İcmal!$B$19:$AG$49,ROW(A29)+1,FALSE)</f>
        <v>0</v>
      </c>
      <c r="AA31" s="15" cm="1">
        <f t="array" ref="AA31">+HLOOKUP($A$1,+[48]İcmal!$B$19:$AG$49,ROW(B29)+1,FALSE)</f>
        <v>0</v>
      </c>
      <c r="AB31" s="15" cm="1">
        <f t="array" ref="AB31">+HLOOKUP($A$1,+[49]İcmal!$B$19:$AG$49,ROW(A29)+1,FALSE)</f>
        <v>0</v>
      </c>
      <c r="AC31" s="15" cm="1">
        <f t="array" ref="AC31">+HLOOKUP($A$1,+[50]İcmal!$B$19:$AG$49,ROW(A29)+1,FALSE)</f>
        <v>0</v>
      </c>
      <c r="AD31" s="15" cm="1">
        <f t="array" ref="AD31">+HLOOKUP($A$1,+[51]İcmal!$B$19:$AG$49,ROW(A29)+1,FALSE)</f>
        <v>0</v>
      </c>
      <c r="AE31" s="15" cm="1">
        <f t="array" ref="AE31">+HLOOKUP($A$1,+[52]İcmal!$B$19:$AG$49,ROW(A29)+1,FALSE)</f>
        <v>0</v>
      </c>
      <c r="AF31" s="50" cm="1">
        <f t="array" ref="AF31">+HLOOKUP($A$1,+[53]İcmal!$B$19:$AG$49,ROW(A29)+1,FALSE)</f>
        <v>0</v>
      </c>
      <c r="AG31" s="15" cm="1">
        <f t="array" ref="AG31">+HLOOKUP($A$1,+[54]İcmal!$B$19:$AG$49,ROW(A29)+1,FALSE)</f>
        <v>0</v>
      </c>
      <c r="AH31" s="15" cm="1">
        <f t="array" ref="AH31">+HLOOKUP($A$1,+[55]İcmal!$B$19:$AG$49,ROW(A29)+1,FALSE)</f>
        <v>0</v>
      </c>
      <c r="AI31" s="15" cm="1">
        <f t="array" ref="AI31">+HLOOKUP($A$1,+[56]İcmal!$B$19:$AG$49,ROW(A29)+1,FALSE)</f>
        <v>0</v>
      </c>
      <c r="AJ31" s="15" cm="1">
        <f t="array" ref="AJ31">+HLOOKUP($A$1,+[57]İcmal!$B$19:$AG$49,ROW(A29)+1,FALSE)</f>
        <v>0</v>
      </c>
      <c r="AK31" s="15" cm="1">
        <f t="array" ref="AK31">+HLOOKUP($A$1,+[58]İcmal!$B$19:$AG$49,ROW(B29)+1,FALSE)</f>
        <v>0</v>
      </c>
      <c r="AL31" s="15"/>
      <c r="AM31" s="15"/>
      <c r="AN31" s="15"/>
      <c r="AO31" s="13"/>
    </row>
    <row r="32" spans="1:41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+HLOOKUP($A$1,+[31]İcmal!$B$19:$AG$49,ROW(A30)+1,FALSE)</f>
        <v>0</v>
      </c>
      <c r="K32" s="15" cm="1">
        <f t="array" ref="K32">+HLOOKUP($A$1,+[32]İcmal!$B$19:$AG$49,ROW(B30)+1,FALSE)</f>
        <v>0</v>
      </c>
      <c r="L32" s="15" cm="1">
        <f t="array" ref="L32">+HLOOKUP($A$1,+[33]İcmal!$B$19:$AG$49,ROW(C30)+1,FALSE)</f>
        <v>0</v>
      </c>
      <c r="M32" s="15" cm="1">
        <f t="array" ref="M32">+HLOOKUP($A$1,+[34]İcmal!$B$19:$AG$49,ROW(D30)+1,FALSE)</f>
        <v>0</v>
      </c>
      <c r="N32" s="15" cm="1">
        <f t="array" ref="N32">+HLOOKUP($A$1,+[35]İcmal!$B$19:$AG$49,ROW(A30)+1,FALSE)</f>
        <v>0</v>
      </c>
      <c r="O32" s="15" cm="1">
        <f t="array" ref="O32">+HLOOKUP($A$1,+[36]İcmal!$B$19:$AG$49,ROW(B30)+1,FALSE)</f>
        <v>0</v>
      </c>
      <c r="P32" s="15" cm="1">
        <f t="array" ref="P32">+HLOOKUP($A$1,+[37]İcmal!$B$19:$AG$49,ROW(C30)+1,FALSE)</f>
        <v>0</v>
      </c>
      <c r="Q32" s="15" cm="1">
        <f t="array" ref="Q32">+HLOOKUP($A$1,+[38]İcmal!$B$19:$AG$49,ROW(D30)+1,FALSE)</f>
        <v>0</v>
      </c>
      <c r="R32" s="15" cm="1">
        <f t="array" ref="R32">+HLOOKUP($A$1,+[39]İcmal!$B$19:$AG$49,ROW(A30)+1,FALSE)</f>
        <v>0</v>
      </c>
      <c r="S32" s="15" cm="1">
        <f t="array" ref="S32">+HLOOKUP($A$1,+[40]İcmal!$B$19:$AG$49,ROW(B30)+1,FALSE)</f>
        <v>0</v>
      </c>
      <c r="T32" s="15" cm="1">
        <f t="array" ref="T32">+HLOOKUP($A$1,+[41]İcmal!$B$19:$AG$49,ROW(C30)+1,FALSE)</f>
        <v>0</v>
      </c>
      <c r="U32" s="15" cm="1">
        <f t="array" ref="U32">+HLOOKUP($A$1,+[42]İcmal!$B$19:$AG$49,ROW(D30)+1,FALSE)</f>
        <v>0</v>
      </c>
      <c r="V32" s="15" cm="1">
        <f t="array" ref="V32">+HLOOKUP($A$1,+[43]İcmal!$B$19:$AG$49,ROW(A30)+1,FALSE)</f>
        <v>0</v>
      </c>
      <c r="W32" s="15" cm="1">
        <f t="array" ref="W32">+HLOOKUP($A$1,+[44]İcmal!$B$19:$AG$49,ROW(B30)+1,FALSE)</f>
        <v>0</v>
      </c>
      <c r="X32" s="15" cm="1">
        <f t="array" ref="X32">+HLOOKUP($A$1,+[45]İcmal!$B$19:$AG$49,ROW(C30)+1,FALSE)</f>
        <v>0</v>
      </c>
      <c r="Y32" s="15" cm="1">
        <f t="array" ref="Y32">+HLOOKUP($A$1,+[46]İcmal!$B$19:$AG$49,ROW(D30)+1,FALSE)</f>
        <v>0</v>
      </c>
      <c r="Z32" s="15" cm="1">
        <f t="array" ref="Z32">+HLOOKUP($A$1,+[47]İcmal!$B$19:$AG$49,ROW(A30)+1,FALSE)</f>
        <v>0</v>
      </c>
      <c r="AA32" s="15" cm="1">
        <f t="array" ref="AA32">+HLOOKUP($A$1,+[48]İcmal!$B$19:$AG$49,ROW(B30)+1,FALSE)</f>
        <v>0</v>
      </c>
      <c r="AB32" s="15" cm="1">
        <f t="array" ref="AB32">+HLOOKUP($A$1,+[49]İcmal!$B$19:$AG$49,ROW(A30)+1,FALSE)</f>
        <v>0</v>
      </c>
      <c r="AC32" s="15" cm="1">
        <f t="array" ref="AC32">+HLOOKUP($A$1,+[50]İcmal!$B$19:$AG$49,ROW(A30)+1,FALSE)</f>
        <v>0</v>
      </c>
      <c r="AD32" s="15" cm="1">
        <f t="array" ref="AD32">+HLOOKUP($A$1,+[51]İcmal!$B$19:$AG$49,ROW(A30)+1,FALSE)</f>
        <v>0</v>
      </c>
      <c r="AE32" s="15" cm="1">
        <f t="array" ref="AE32">+HLOOKUP($A$1,+[52]İcmal!$B$19:$AG$49,ROW(A30)+1,FALSE)</f>
        <v>0</v>
      </c>
      <c r="AF32" s="50" cm="1">
        <f t="array" ref="AF32">+HLOOKUP($A$1,+[53]İcmal!$B$19:$AG$49,ROW(A30)+1,FALSE)</f>
        <v>0</v>
      </c>
      <c r="AG32" s="15" cm="1">
        <f t="array" ref="AG32">+HLOOKUP($A$1,+[54]İcmal!$B$19:$AG$49,ROW(A30)+1,FALSE)</f>
        <v>0</v>
      </c>
      <c r="AH32" s="15" cm="1">
        <f t="array" ref="AH32">+HLOOKUP($A$1,+[55]İcmal!$B$19:$AG$49,ROW(A30)+1,FALSE)</f>
        <v>0</v>
      </c>
      <c r="AI32" s="15" cm="1">
        <f t="array" ref="AI32">+HLOOKUP($A$1,+[56]İcmal!$B$19:$AG$49,ROW(A30)+1,FALSE)</f>
        <v>0</v>
      </c>
      <c r="AJ32" s="15" cm="1">
        <f t="array" ref="AJ32">+HLOOKUP($A$1,+[57]İcmal!$B$19:$AG$49,ROW(A30)+1,FALSE)</f>
        <v>0</v>
      </c>
      <c r="AK32" s="15" cm="1">
        <f t="array" ref="AK32">+HLOOKUP($A$1,+[58]İcmal!$B$19:$AG$49,ROW(B30)+1,FALSE)</f>
        <v>0</v>
      </c>
      <c r="AL32" s="15"/>
      <c r="AM32" s="15"/>
      <c r="AN32" s="15"/>
      <c r="AO32" s="14"/>
    </row>
    <row r="33" spans="8:40" x14ac:dyDescent="0.3">
      <c r="I33" s="16">
        <f>SUM(I3:I32)</f>
        <v>82929709.722000003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>
        <f t="shared" ref="AN33" si="3">+SUMPRODUCT(AN3:AN32,$F$3:$F$32)</f>
        <v>0</v>
      </c>
    </row>
    <row r="34" spans="8:40" x14ac:dyDescent="0.3">
      <c r="H34" s="52"/>
    </row>
    <row r="35" spans="8:40" x14ac:dyDescent="0.3">
      <c r="I35" s="16"/>
    </row>
    <row r="36" spans="8:40" x14ac:dyDescent="0.3">
      <c r="I36" s="16"/>
      <c r="K36" s="52"/>
    </row>
    <row r="37" spans="8:40" x14ac:dyDescent="0.3">
      <c r="J37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D173-882E-4A4D-A204-DE7780510563}">
  <sheetPr>
    <tabColor rgb="FFFF0000"/>
  </sheetPr>
  <dimension ref="A1:AO37"/>
  <sheetViews>
    <sheetView zoomScale="85" zoomScaleNormal="85" workbookViewId="0">
      <selection activeCell="K3" sqref="K3:K3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1" width="19.33203125" customWidth="1"/>
    <col min="12" max="13" width="21.109375" customWidth="1"/>
    <col min="14" max="15" width="19.21875" customWidth="1"/>
    <col min="16" max="16" width="19.33203125" customWidth="1"/>
    <col min="17" max="19" width="19.21875" customWidth="1"/>
    <col min="20" max="20" width="19.33203125" customWidth="1"/>
    <col min="21" max="21" width="19.21875" customWidth="1"/>
    <col min="22" max="24" width="46.77734375" customWidth="1"/>
    <col min="25" max="25" width="46.33203125" customWidth="1"/>
    <col min="26" max="32" width="46.77734375" customWidth="1"/>
    <col min="33" max="33" width="46.33203125" bestFit="1" customWidth="1"/>
    <col min="34" max="37" width="46.77734375" bestFit="1" customWidth="1"/>
    <col min="38" max="39" width="59.109375" customWidth="1"/>
    <col min="40" max="40" width="12.33203125" bestFit="1" customWidth="1"/>
    <col min="41" max="41" width="2.21875" customWidth="1"/>
  </cols>
  <sheetData>
    <row r="1" spans="1:41" ht="15" thickBot="1" x14ac:dyDescent="0.35">
      <c r="A1" s="17" t="s">
        <v>110</v>
      </c>
    </row>
    <row r="2" spans="1:4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3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11" t="s">
        <v>126</v>
      </c>
      <c r="AG2" s="3" t="s">
        <v>143</v>
      </c>
      <c r="AH2" s="11" t="s">
        <v>144</v>
      </c>
      <c r="AI2" s="3" t="s">
        <v>138</v>
      </c>
      <c r="AJ2" s="11" t="s">
        <v>125</v>
      </c>
      <c r="AK2" s="3" t="s">
        <v>133</v>
      </c>
      <c r="AL2" s="11"/>
      <c r="AM2" s="11"/>
      <c r="AN2" s="11"/>
      <c r="AO2" s="12"/>
    </row>
    <row r="3" spans="1:41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SUM(J3:AO3)</f>
        <v>3680.9380000000006</v>
      </c>
      <c r="I3" s="9">
        <f>+F3*H3</f>
        <v>18680760.350000001</v>
      </c>
      <c r="J3" s="15" cm="1">
        <f t="array" ref="J3">+HLOOKUP($A$1,+[31]İcmal!$B$19:$AG$49,ROW(A1)+1,FALSE)</f>
        <v>0</v>
      </c>
      <c r="K3" s="15" cm="1">
        <f t="array" ref="K3">+HLOOKUP($A$1,+[32]İcmal!$B$19:$AG$49,ROW(B1)+1,FALSE)</f>
        <v>0</v>
      </c>
      <c r="L3" s="15" cm="1">
        <f t="array" ref="L3">+HLOOKUP($A$1,+[33]İcmal!$B$19:$AG$49,ROW(C1)+1,FALSE)</f>
        <v>619.29200000000003</v>
      </c>
      <c r="M3" s="15" cm="1">
        <f t="array" ref="M3">+HLOOKUP($A$1,+[34]İcmal!$B$19:$AG$49,ROW(D1)+1,FALSE)</f>
        <v>485.07800000000003</v>
      </c>
      <c r="N3" s="15" cm="1">
        <f t="array" ref="N3">+HLOOKUP($A$1,+[35]İcmal!$B$19:$AG$49,ROW(A1)+1,FALSE)</f>
        <v>0</v>
      </c>
      <c r="O3" s="15" cm="1">
        <f t="array" ref="O3">+HLOOKUP($A$1,+[36]İcmal!$B$19:$AG$49,ROW(B1)+1,FALSE)</f>
        <v>776.66</v>
      </c>
      <c r="P3" s="15" cm="1">
        <f t="array" ref="P3">+HLOOKUP($A$1,+[37]İcmal!$B$19:$AG$49,ROW(C1)+1,FALSE)</f>
        <v>0</v>
      </c>
      <c r="Q3" s="15" cm="1">
        <f t="array" ref="Q3">+HLOOKUP($A$1,+[38]İcmal!$B$19:$AG$49,ROW(D1)+1,FALSE)</f>
        <v>0</v>
      </c>
      <c r="R3" s="15" cm="1">
        <f t="array" ref="R3">+HLOOKUP($A$1,+[39]İcmal!$B$19:$AG$49,ROW(A1)+1,FALSE)</f>
        <v>12.498999999999999</v>
      </c>
      <c r="S3" s="15" cm="1">
        <f t="array" ref="S3">+HLOOKUP($A$1,+[40]İcmal!$B$19:$AG$49,ROW(B1)+1,FALSE)</f>
        <v>621.04600000000005</v>
      </c>
      <c r="T3" s="15" cm="1">
        <f t="array" ref="T3">+HLOOKUP($A$1,+[41]İcmal!$B$19:$AG$49,ROW(C1)+1,FALSE)</f>
        <v>0</v>
      </c>
      <c r="U3" s="15" cm="1">
        <f t="array" ref="U3">+HLOOKUP($A$1,+[42]İcmal!$B$19:$AG$49,ROW(D1)+1,FALSE)</f>
        <v>0</v>
      </c>
      <c r="V3" s="15" cm="1">
        <f t="array" ref="V3">+HLOOKUP($A$1,+[43]İcmal!$B$19:$AG$49,ROW(A1)+1,FALSE)</f>
        <v>0</v>
      </c>
      <c r="W3" s="15" cm="1">
        <f t="array" ref="W3">+HLOOKUP($A$1,+[44]İcmal!$B$19:$AG$49,ROW(B1)+1,FALSE)</f>
        <v>0</v>
      </c>
      <c r="X3" s="15" cm="1">
        <f t="array" ref="X3">+HLOOKUP($A$1,+[45]İcmal!$B$19:$AG$49,ROW(C1)+1,FALSE)</f>
        <v>543.66600000000005</v>
      </c>
      <c r="Y3" s="15" cm="1">
        <f t="array" ref="Y3">+HLOOKUP($A$1,+[46]İcmal!$B$19:$AG$49,ROW(D1)+1,FALSE)</f>
        <v>466.36</v>
      </c>
      <c r="Z3" s="15" cm="1">
        <f t="array" ref="Z3">+HLOOKUP($A$1,+[47]İcmal!$B$19:$AG$49,ROW(A1)+1,FALSE)</f>
        <v>0</v>
      </c>
      <c r="AA3" s="15" cm="1">
        <f t="array" ref="AA3">+HLOOKUP($A$1,+[48]İcmal!$B$19:$AG$49,ROW(B1)+1,FALSE)</f>
        <v>0</v>
      </c>
      <c r="AB3" s="15" cm="1">
        <f t="array" ref="AB3">+HLOOKUP($A$1,+[49]İcmal!$B$19:$AG$49,ROW(A1)+1,FALSE)</f>
        <v>0</v>
      </c>
      <c r="AC3" s="15" cm="1">
        <f t="array" ref="AC3">+HLOOKUP($A$1,+[50]İcmal!$B$19:$AG$49,ROW(A1)+1,FALSE)</f>
        <v>0</v>
      </c>
      <c r="AD3" s="15" cm="1">
        <f t="array" ref="AD3">+HLOOKUP($A$1,+[51]İcmal!$B$19:$AG$49,ROW(A1)+1,FALSE)</f>
        <v>128.74800000000002</v>
      </c>
      <c r="AE3" s="15" cm="1">
        <f t="array" ref="AE3">+HLOOKUP($A$1,+[52]İcmal!$B$19:$AG$49,ROW(A1)+1,FALSE)</f>
        <v>0</v>
      </c>
      <c r="AF3" s="50" cm="1">
        <f t="array" ref="AF3">+HLOOKUP($A$1,+[53]İcmal!$B$19:$AG$49,ROW(A1)+1,FALSE)</f>
        <v>0</v>
      </c>
      <c r="AG3" s="15" cm="1">
        <f t="array" ref="AG3">+HLOOKUP($A$1,+[54]İcmal!$B$19:$AG$49,ROW(A1)+1,FALSE)</f>
        <v>0</v>
      </c>
      <c r="AH3" s="15" cm="1">
        <f t="array" ref="AH3">+HLOOKUP($A$1,+[55]İcmal!$B$19:$AG$49,ROW(A1)+1,FALSE)</f>
        <v>0</v>
      </c>
      <c r="AI3" s="15" cm="1">
        <f t="array" ref="AI3">+HLOOKUP($A$1,+[56]İcmal!$B$19:$AG$49,ROW(A1)+1,FALSE)</f>
        <v>0</v>
      </c>
      <c r="AJ3" s="15" cm="1">
        <f t="array" ref="AJ3">+HLOOKUP($A$1,+[57]İcmal!$B$19:$AG$49,ROW(A1)+1,FALSE)</f>
        <v>27.588999999999999</v>
      </c>
      <c r="AK3" s="15" cm="1">
        <f t="array" ref="AK3">+HLOOKUP($A$1,+[58]İcmal!$B$19:$AG$49,ROW(B1)+1,FALSE)</f>
        <v>0</v>
      </c>
      <c r="AL3" s="15"/>
      <c r="AM3" s="15"/>
      <c r="AN3" s="15"/>
      <c r="AO3" s="13"/>
    </row>
    <row r="4" spans="1:41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+HLOOKUP($A$1,+[31]İcmal!$B$19:$AG$49,ROW(A2)+1,FALSE)</f>
        <v>0</v>
      </c>
      <c r="K4" s="15" cm="1">
        <f t="array" ref="K4">+HLOOKUP($A$1,+[32]İcmal!$B$19:$AG$49,ROW(B2)+1,FALSE)</f>
        <v>0</v>
      </c>
      <c r="L4" s="15" cm="1">
        <f t="array" ref="L4">+HLOOKUP($A$1,+[33]İcmal!$B$19:$AG$49,ROW(C2)+1,FALSE)</f>
        <v>0</v>
      </c>
      <c r="M4" s="15" cm="1">
        <f t="array" ref="M4">+HLOOKUP($A$1,+[34]İcmal!$B$19:$AG$49,ROW(D2)+1,FALSE)</f>
        <v>0</v>
      </c>
      <c r="N4" s="15" cm="1">
        <f t="array" ref="N4">+HLOOKUP($A$1,+[35]İcmal!$B$19:$AG$49,ROW(A2)+1,FALSE)</f>
        <v>0</v>
      </c>
      <c r="O4" s="15" cm="1">
        <f t="array" ref="O4">+HLOOKUP($A$1,+[36]İcmal!$B$19:$AG$49,ROW(B2)+1,FALSE)</f>
        <v>0</v>
      </c>
      <c r="P4" s="15" cm="1">
        <f t="array" ref="P4">+HLOOKUP($A$1,+[37]İcmal!$B$19:$AG$49,ROW(C2)+1,FALSE)</f>
        <v>0</v>
      </c>
      <c r="Q4" s="15" cm="1">
        <f t="array" ref="Q4">+HLOOKUP($A$1,+[38]İcmal!$B$19:$AG$49,ROW(D2)+1,FALSE)</f>
        <v>0</v>
      </c>
      <c r="R4" s="15" cm="1">
        <f t="array" ref="R4">+HLOOKUP($A$1,+[39]İcmal!$B$19:$AG$49,ROW(A2)+1,FALSE)</f>
        <v>0</v>
      </c>
      <c r="S4" s="15" cm="1">
        <f t="array" ref="S4">+HLOOKUP($A$1,+[40]İcmal!$B$19:$AG$49,ROW(B2)+1,FALSE)</f>
        <v>0</v>
      </c>
      <c r="T4" s="15" cm="1">
        <f t="array" ref="T4">+HLOOKUP($A$1,+[41]İcmal!$B$19:$AG$49,ROW(C2)+1,FALSE)</f>
        <v>0</v>
      </c>
      <c r="U4" s="15" cm="1">
        <f t="array" ref="U4">+HLOOKUP($A$1,+[42]İcmal!$B$19:$AG$49,ROW(D2)+1,FALSE)</f>
        <v>0</v>
      </c>
      <c r="V4" s="15" cm="1">
        <f t="array" ref="V4">+HLOOKUP($A$1,+[43]İcmal!$B$19:$AG$49,ROW(A2)+1,FALSE)</f>
        <v>0</v>
      </c>
      <c r="W4" s="15" cm="1">
        <f t="array" ref="W4">+HLOOKUP($A$1,+[44]İcmal!$B$19:$AG$49,ROW(B2)+1,FALSE)</f>
        <v>0</v>
      </c>
      <c r="X4" s="15" cm="1">
        <f t="array" ref="X4">+HLOOKUP($A$1,+[45]İcmal!$B$19:$AG$49,ROW(C2)+1,FALSE)</f>
        <v>0</v>
      </c>
      <c r="Y4" s="15" cm="1">
        <f t="array" ref="Y4">+HLOOKUP($A$1,+[46]İcmal!$B$19:$AG$49,ROW(D2)+1,FALSE)</f>
        <v>0</v>
      </c>
      <c r="Z4" s="15" cm="1">
        <f t="array" ref="Z4">+HLOOKUP($A$1,+[47]İcmal!$B$19:$AG$49,ROW(A2)+1,FALSE)</f>
        <v>0</v>
      </c>
      <c r="AA4" s="15" cm="1">
        <f t="array" ref="AA4">+HLOOKUP($A$1,+[48]İcmal!$B$19:$AG$49,ROW(B2)+1,FALSE)</f>
        <v>0</v>
      </c>
      <c r="AB4" s="15" cm="1">
        <f t="array" ref="AB4">+HLOOKUP($A$1,+[49]İcmal!$B$19:$AG$49,ROW(A2)+1,FALSE)</f>
        <v>0</v>
      </c>
      <c r="AC4" s="15" cm="1">
        <f t="array" ref="AC4">+HLOOKUP($A$1,+[50]İcmal!$B$19:$AG$49,ROW(A2)+1,FALSE)</f>
        <v>0</v>
      </c>
      <c r="AD4" s="15" cm="1">
        <f t="array" ref="AD4">+HLOOKUP($A$1,+[51]İcmal!$B$19:$AG$49,ROW(A2)+1,FALSE)</f>
        <v>0</v>
      </c>
      <c r="AE4" s="15" cm="1">
        <f t="array" ref="AE4">+HLOOKUP($A$1,+[52]İcmal!$B$19:$AG$49,ROW(A2)+1,FALSE)</f>
        <v>0</v>
      </c>
      <c r="AF4" s="50" cm="1">
        <f t="array" ref="AF4">+HLOOKUP($A$1,+[53]İcmal!$B$19:$AG$49,ROW(A2)+1,FALSE)</f>
        <v>0</v>
      </c>
      <c r="AG4" s="15" cm="1">
        <f t="array" ref="AG4">+HLOOKUP($A$1,+[54]İcmal!$B$19:$AG$49,ROW(A2)+1,FALSE)</f>
        <v>0</v>
      </c>
      <c r="AH4" s="15" cm="1">
        <f t="array" ref="AH4">+HLOOKUP($A$1,+[55]İcmal!$B$19:$AG$49,ROW(A2)+1,FALSE)</f>
        <v>0</v>
      </c>
      <c r="AI4" s="15" cm="1">
        <f t="array" ref="AI4">+HLOOKUP($A$1,+[56]İcmal!$B$19:$AG$49,ROW(A2)+1,FALSE)</f>
        <v>0</v>
      </c>
      <c r="AJ4" s="15" cm="1">
        <f t="array" ref="AJ4">+HLOOKUP($A$1,+[57]İcmal!$B$19:$AG$49,ROW(A2)+1,FALSE)</f>
        <v>0</v>
      </c>
      <c r="AK4" s="15" cm="1">
        <f t="array" ref="AK4">+HLOOKUP($A$1,+[58]İcmal!$B$19:$AG$49,ROW(B2)+1,FALSE)</f>
        <v>0</v>
      </c>
      <c r="AL4" s="15"/>
      <c r="AM4" s="15"/>
      <c r="AN4" s="15"/>
      <c r="AO4" s="13"/>
    </row>
    <row r="5" spans="1:41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+HLOOKUP($A$1,+[31]İcmal!$B$19:$AG$49,ROW(A3)+1,FALSE)</f>
        <v>0</v>
      </c>
      <c r="K5" s="15" cm="1">
        <f t="array" ref="K5">+HLOOKUP($A$1,+[32]İcmal!$B$19:$AG$49,ROW(B3)+1,FALSE)</f>
        <v>0</v>
      </c>
      <c r="L5" s="15" cm="1">
        <f t="array" ref="L5">+HLOOKUP($A$1,+[33]İcmal!$B$19:$AG$49,ROW(C3)+1,FALSE)</f>
        <v>0</v>
      </c>
      <c r="M5" s="15" cm="1">
        <f t="array" ref="M5">+HLOOKUP($A$1,+[34]İcmal!$B$19:$AG$49,ROW(D3)+1,FALSE)</f>
        <v>0</v>
      </c>
      <c r="N5" s="15" cm="1">
        <f t="array" ref="N5">+HLOOKUP($A$1,+[35]İcmal!$B$19:$AG$49,ROW(A3)+1,FALSE)</f>
        <v>0</v>
      </c>
      <c r="O5" s="15" cm="1">
        <f t="array" ref="O5">+HLOOKUP($A$1,+[36]İcmal!$B$19:$AG$49,ROW(B3)+1,FALSE)</f>
        <v>0</v>
      </c>
      <c r="P5" s="15" cm="1">
        <f t="array" ref="P5">+HLOOKUP($A$1,+[37]İcmal!$B$19:$AG$49,ROW(C3)+1,FALSE)</f>
        <v>0</v>
      </c>
      <c r="Q5" s="15" cm="1">
        <f t="array" ref="Q5">+HLOOKUP($A$1,+[38]İcmal!$B$19:$AG$49,ROW(D3)+1,FALSE)</f>
        <v>0</v>
      </c>
      <c r="R5" s="15" cm="1">
        <f t="array" ref="R5">+HLOOKUP($A$1,+[39]İcmal!$B$19:$AG$49,ROW(A3)+1,FALSE)</f>
        <v>0</v>
      </c>
      <c r="S5" s="15" cm="1">
        <f t="array" ref="S5">+HLOOKUP($A$1,+[40]İcmal!$B$19:$AG$49,ROW(B3)+1,FALSE)</f>
        <v>0</v>
      </c>
      <c r="T5" s="15" cm="1">
        <f t="array" ref="T5">+HLOOKUP($A$1,+[41]İcmal!$B$19:$AG$49,ROW(C3)+1,FALSE)</f>
        <v>0</v>
      </c>
      <c r="U5" s="15" cm="1">
        <f t="array" ref="U5">+HLOOKUP($A$1,+[42]İcmal!$B$19:$AG$49,ROW(D3)+1,FALSE)</f>
        <v>0</v>
      </c>
      <c r="V5" s="15" cm="1">
        <f t="array" ref="V5">+HLOOKUP($A$1,+[43]İcmal!$B$19:$AG$49,ROW(A3)+1,FALSE)</f>
        <v>0</v>
      </c>
      <c r="W5" s="15" cm="1">
        <f t="array" ref="W5">+HLOOKUP($A$1,+[44]İcmal!$B$19:$AG$49,ROW(B3)+1,FALSE)</f>
        <v>0</v>
      </c>
      <c r="X5" s="15" cm="1">
        <f t="array" ref="X5">+HLOOKUP($A$1,+[45]İcmal!$B$19:$AG$49,ROW(C3)+1,FALSE)</f>
        <v>0</v>
      </c>
      <c r="Y5" s="15" cm="1">
        <f t="array" ref="Y5">+HLOOKUP($A$1,+[46]İcmal!$B$19:$AG$49,ROW(D3)+1,FALSE)</f>
        <v>0</v>
      </c>
      <c r="Z5" s="15" cm="1">
        <f t="array" ref="Z5">+HLOOKUP($A$1,+[47]İcmal!$B$19:$AG$49,ROW(A3)+1,FALSE)</f>
        <v>0</v>
      </c>
      <c r="AA5" s="15" cm="1">
        <f t="array" ref="AA5">+HLOOKUP($A$1,+[48]İcmal!$B$19:$AG$49,ROW(B3)+1,FALSE)</f>
        <v>0</v>
      </c>
      <c r="AB5" s="15" cm="1">
        <f t="array" ref="AB5">+HLOOKUP($A$1,+[49]İcmal!$B$19:$AG$49,ROW(A3)+1,FALSE)</f>
        <v>0</v>
      </c>
      <c r="AC5" s="15" cm="1">
        <f t="array" ref="AC5">+HLOOKUP($A$1,+[50]İcmal!$B$19:$AG$49,ROW(A3)+1,FALSE)</f>
        <v>0</v>
      </c>
      <c r="AD5" s="15" cm="1">
        <f t="array" ref="AD5">+HLOOKUP($A$1,+[51]İcmal!$B$19:$AG$49,ROW(A3)+1,FALSE)</f>
        <v>0</v>
      </c>
      <c r="AE5" s="15" cm="1">
        <f t="array" ref="AE5">+HLOOKUP($A$1,+[52]İcmal!$B$19:$AG$49,ROW(A3)+1,FALSE)</f>
        <v>0</v>
      </c>
      <c r="AF5" s="50" cm="1">
        <f t="array" ref="AF5">+HLOOKUP($A$1,+[53]İcmal!$B$19:$AG$49,ROW(A3)+1,FALSE)</f>
        <v>0</v>
      </c>
      <c r="AG5" s="15" cm="1">
        <f t="array" ref="AG5">+HLOOKUP($A$1,+[54]İcmal!$B$19:$AG$49,ROW(A3)+1,FALSE)</f>
        <v>0</v>
      </c>
      <c r="AH5" s="15" cm="1">
        <f t="array" ref="AH5">+HLOOKUP($A$1,+[55]İcmal!$B$19:$AG$49,ROW(A3)+1,FALSE)</f>
        <v>0</v>
      </c>
      <c r="AI5" s="15" cm="1">
        <f t="array" ref="AI5">+HLOOKUP($A$1,+[56]İcmal!$B$19:$AG$49,ROW(A3)+1,FALSE)</f>
        <v>0</v>
      </c>
      <c r="AJ5" s="15" cm="1">
        <f t="array" ref="AJ5">+HLOOKUP($A$1,+[57]İcmal!$B$19:$AG$49,ROW(A3)+1,FALSE)</f>
        <v>0</v>
      </c>
      <c r="AK5" s="15" cm="1">
        <f t="array" ref="AK5">+HLOOKUP($A$1,+[58]İcmal!$B$19:$AG$49,ROW(B3)+1,FALSE)</f>
        <v>0</v>
      </c>
      <c r="AL5" s="15"/>
      <c r="AM5" s="15"/>
      <c r="AN5" s="15"/>
      <c r="AO5" s="13"/>
    </row>
    <row r="6" spans="1:41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632.76800000000003</v>
      </c>
      <c r="I6" s="9">
        <f t="shared" si="2"/>
        <v>9702864.5120000001</v>
      </c>
      <c r="J6" s="15" cm="1">
        <f t="array" ref="J6">+HLOOKUP($A$1,+[31]İcmal!$B$19:$AG$49,ROW(A4)+1,FALSE)</f>
        <v>0</v>
      </c>
      <c r="K6" s="15" cm="1">
        <f t="array" ref="K6">+HLOOKUP($A$1,+[32]İcmal!$B$19:$AG$49,ROW(B4)+1,FALSE)</f>
        <v>0</v>
      </c>
      <c r="L6" s="15" cm="1">
        <f t="array" ref="L6">+HLOOKUP($A$1,+[33]İcmal!$B$19:$AG$49,ROW(C4)+1,FALSE)</f>
        <v>79.409000000000006</v>
      </c>
      <c r="M6" s="15" cm="1">
        <f t="array" ref="M6">+HLOOKUP($A$1,+[34]İcmal!$B$19:$AG$49,ROW(D4)+1,FALSE)</f>
        <v>75.391999999999996</v>
      </c>
      <c r="N6" s="15" cm="1">
        <f t="array" ref="N6">+HLOOKUP($A$1,+[35]İcmal!$B$19:$AG$49,ROW(A4)+1,FALSE)</f>
        <v>0</v>
      </c>
      <c r="O6" s="15" cm="1">
        <f t="array" ref="O6">+HLOOKUP($A$1,+[36]İcmal!$B$19:$AG$49,ROW(B4)+1,FALSE)</f>
        <v>159.24099999999999</v>
      </c>
      <c r="P6" s="15" cm="1">
        <f t="array" ref="P6">+HLOOKUP($A$1,+[37]İcmal!$B$19:$AG$49,ROW(C4)+1,FALSE)</f>
        <v>0</v>
      </c>
      <c r="Q6" s="15" cm="1">
        <f t="array" ref="Q6">+HLOOKUP($A$1,+[38]İcmal!$B$19:$AG$49,ROW(D4)+1,FALSE)</f>
        <v>0</v>
      </c>
      <c r="R6" s="15" cm="1">
        <f t="array" ref="R6">+HLOOKUP($A$1,+[39]İcmal!$B$19:$AG$49,ROW(A4)+1,FALSE)</f>
        <v>13.014999999999999</v>
      </c>
      <c r="S6" s="15" cm="1">
        <f t="array" ref="S6">+HLOOKUP($A$1,+[40]İcmal!$B$19:$AG$49,ROW(B4)+1,FALSE)</f>
        <v>130.423</v>
      </c>
      <c r="T6" s="15" cm="1">
        <f t="array" ref="T6">+HLOOKUP($A$1,+[41]İcmal!$B$19:$AG$49,ROW(C4)+1,FALSE)</f>
        <v>0</v>
      </c>
      <c r="U6" s="15" cm="1">
        <f t="array" ref="U6">+HLOOKUP($A$1,+[42]İcmal!$B$19:$AG$49,ROW(D4)+1,FALSE)</f>
        <v>0</v>
      </c>
      <c r="V6" s="15" cm="1">
        <f t="array" ref="V6">+HLOOKUP($A$1,+[43]İcmal!$B$19:$AG$49,ROW(A4)+1,FALSE)</f>
        <v>0</v>
      </c>
      <c r="W6" s="15" cm="1">
        <f t="array" ref="W6">+HLOOKUP($A$1,+[44]İcmal!$B$19:$AG$49,ROW(B4)+1,FALSE)</f>
        <v>0</v>
      </c>
      <c r="X6" s="15" cm="1">
        <f t="array" ref="X6">+HLOOKUP($A$1,+[45]İcmal!$B$19:$AG$49,ROW(C4)+1,FALSE)</f>
        <v>70.419999999999987</v>
      </c>
      <c r="Y6" s="15" cm="1">
        <f t="array" ref="Y6">+HLOOKUP($A$1,+[46]İcmal!$B$19:$AG$49,ROW(D4)+1,FALSE)</f>
        <v>72.448000000000008</v>
      </c>
      <c r="Z6" s="15" cm="1">
        <f t="array" ref="Z6">+HLOOKUP($A$1,+[47]İcmal!$B$19:$AG$49,ROW(A4)+1,FALSE)</f>
        <v>0</v>
      </c>
      <c r="AA6" s="15" cm="1">
        <f t="array" ref="AA6">+HLOOKUP($A$1,+[48]İcmal!$B$19:$AG$49,ROW(B4)+1,FALSE)</f>
        <v>0</v>
      </c>
      <c r="AB6" s="15" cm="1">
        <f t="array" ref="AB6">+HLOOKUP($A$1,+[49]İcmal!$B$19:$AG$49,ROW(A4)+1,FALSE)</f>
        <v>0</v>
      </c>
      <c r="AC6" s="15" cm="1">
        <f t="array" ref="AC6">+HLOOKUP($A$1,+[50]İcmal!$B$19:$AG$49,ROW(A4)+1,FALSE)</f>
        <v>0</v>
      </c>
      <c r="AD6" s="15" cm="1">
        <f t="array" ref="AD6">+HLOOKUP($A$1,+[51]İcmal!$B$19:$AG$49,ROW(A4)+1,FALSE)</f>
        <v>25.483999999999998</v>
      </c>
      <c r="AE6" s="15" cm="1">
        <f t="array" ref="AE6">+HLOOKUP($A$1,+[52]İcmal!$B$19:$AG$49,ROW(A4)+1,FALSE)</f>
        <v>0</v>
      </c>
      <c r="AF6" s="50" cm="1">
        <f t="array" ref="AF6">+HLOOKUP($A$1,+[53]İcmal!$B$19:$AG$49,ROW(A4)+1,FALSE)</f>
        <v>0</v>
      </c>
      <c r="AG6" s="15" cm="1">
        <f t="array" ref="AG6">+HLOOKUP($A$1,+[54]İcmal!$B$19:$AG$49,ROW(A4)+1,FALSE)</f>
        <v>0</v>
      </c>
      <c r="AH6" s="15" cm="1">
        <f t="array" ref="AH6">+HLOOKUP($A$1,+[55]İcmal!$B$19:$AG$49,ROW(A4)+1,FALSE)</f>
        <v>0</v>
      </c>
      <c r="AI6" s="15" cm="1">
        <f t="array" ref="AI6">+HLOOKUP($A$1,+[56]İcmal!$B$19:$AG$49,ROW(A4)+1,FALSE)</f>
        <v>0</v>
      </c>
      <c r="AJ6" s="15" cm="1">
        <f t="array" ref="AJ6">+HLOOKUP($A$1,+[57]İcmal!$B$19:$AG$49,ROW(A4)+1,FALSE)</f>
        <v>6.9359999999999999</v>
      </c>
      <c r="AK6" s="15" cm="1">
        <f t="array" ref="AK6">+HLOOKUP($A$1,+[58]İcmal!$B$19:$AG$49,ROW(B4)+1,FALSE)</f>
        <v>0</v>
      </c>
      <c r="AL6" s="15"/>
      <c r="AM6" s="15"/>
      <c r="AN6" s="15"/>
      <c r="AO6" s="13"/>
    </row>
    <row r="7" spans="1:41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+HLOOKUP($A$1,+[31]İcmal!$B$19:$AG$49,ROW(A5)+1,FALSE)</f>
        <v>0</v>
      </c>
      <c r="K7" s="15" cm="1">
        <f t="array" ref="K7">+HLOOKUP($A$1,+[32]İcmal!$B$19:$AG$49,ROW(B5)+1,FALSE)</f>
        <v>0</v>
      </c>
      <c r="L7" s="15" cm="1">
        <f t="array" ref="L7">+HLOOKUP($A$1,+[33]İcmal!$B$19:$AG$49,ROW(C5)+1,FALSE)</f>
        <v>0</v>
      </c>
      <c r="M7" s="15" cm="1">
        <f t="array" ref="M7">+HLOOKUP($A$1,+[34]İcmal!$B$19:$AG$49,ROW(D5)+1,FALSE)</f>
        <v>0</v>
      </c>
      <c r="N7" s="15" cm="1">
        <f t="array" ref="N7">+HLOOKUP($A$1,+[35]İcmal!$B$19:$AG$49,ROW(A5)+1,FALSE)</f>
        <v>0</v>
      </c>
      <c r="O7" s="15" cm="1">
        <f t="array" ref="O7">+HLOOKUP($A$1,+[36]İcmal!$B$19:$AG$49,ROW(B5)+1,FALSE)</f>
        <v>0</v>
      </c>
      <c r="P7" s="15" cm="1">
        <f t="array" ref="P7">+HLOOKUP($A$1,+[37]İcmal!$B$19:$AG$49,ROW(C5)+1,FALSE)</f>
        <v>0</v>
      </c>
      <c r="Q7" s="15" cm="1">
        <f t="array" ref="Q7">+HLOOKUP($A$1,+[38]İcmal!$B$19:$AG$49,ROW(D5)+1,FALSE)</f>
        <v>0</v>
      </c>
      <c r="R7" s="15" cm="1">
        <f t="array" ref="R7">+HLOOKUP($A$1,+[39]İcmal!$B$19:$AG$49,ROW(A5)+1,FALSE)</f>
        <v>0</v>
      </c>
      <c r="S7" s="15" cm="1">
        <f t="array" ref="S7">+HLOOKUP($A$1,+[40]İcmal!$B$19:$AG$49,ROW(B5)+1,FALSE)</f>
        <v>0</v>
      </c>
      <c r="T7" s="15" cm="1">
        <f t="array" ref="T7">+HLOOKUP($A$1,+[41]İcmal!$B$19:$AG$49,ROW(C5)+1,FALSE)</f>
        <v>0</v>
      </c>
      <c r="U7" s="15" cm="1">
        <f t="array" ref="U7">+HLOOKUP($A$1,+[42]İcmal!$B$19:$AG$49,ROW(D5)+1,FALSE)</f>
        <v>0</v>
      </c>
      <c r="V7" s="15" cm="1">
        <f t="array" ref="V7">+HLOOKUP($A$1,+[43]İcmal!$B$19:$AG$49,ROW(A5)+1,FALSE)</f>
        <v>0</v>
      </c>
      <c r="W7" s="15" cm="1">
        <f t="array" ref="W7">+HLOOKUP($A$1,+[44]İcmal!$B$19:$AG$49,ROW(B5)+1,FALSE)</f>
        <v>0</v>
      </c>
      <c r="X7" s="15" cm="1">
        <f t="array" ref="X7">+HLOOKUP($A$1,+[45]İcmal!$B$19:$AG$49,ROW(C5)+1,FALSE)</f>
        <v>0</v>
      </c>
      <c r="Y7" s="15" cm="1">
        <f t="array" ref="Y7">+HLOOKUP($A$1,+[46]İcmal!$B$19:$AG$49,ROW(D5)+1,FALSE)</f>
        <v>0</v>
      </c>
      <c r="Z7" s="15" cm="1">
        <f t="array" ref="Z7">+HLOOKUP($A$1,+[47]İcmal!$B$19:$AG$49,ROW(A5)+1,FALSE)</f>
        <v>0</v>
      </c>
      <c r="AA7" s="15" cm="1">
        <f t="array" ref="AA7">+HLOOKUP($A$1,+[48]İcmal!$B$19:$AG$49,ROW(B5)+1,FALSE)</f>
        <v>0</v>
      </c>
      <c r="AB7" s="15" cm="1">
        <f t="array" ref="AB7">+HLOOKUP($A$1,+[49]İcmal!$B$19:$AG$49,ROW(A5)+1,FALSE)</f>
        <v>0</v>
      </c>
      <c r="AC7" s="15" cm="1">
        <f t="array" ref="AC7">+HLOOKUP($A$1,+[50]İcmal!$B$19:$AG$49,ROW(A5)+1,FALSE)</f>
        <v>0</v>
      </c>
      <c r="AD7" s="15" cm="1">
        <f t="array" ref="AD7">+HLOOKUP($A$1,+[51]İcmal!$B$19:$AG$49,ROW(A5)+1,FALSE)</f>
        <v>0</v>
      </c>
      <c r="AE7" s="15" cm="1">
        <f t="array" ref="AE7">+HLOOKUP($A$1,+[52]İcmal!$B$19:$AG$49,ROW(A5)+1,FALSE)</f>
        <v>0</v>
      </c>
      <c r="AF7" s="50" cm="1">
        <f t="array" ref="AF7">+HLOOKUP($A$1,+[53]İcmal!$B$19:$AG$49,ROW(A5)+1,FALSE)</f>
        <v>0</v>
      </c>
      <c r="AG7" s="15" cm="1">
        <f t="array" ref="AG7">+HLOOKUP($A$1,+[54]İcmal!$B$19:$AG$49,ROW(A5)+1,FALSE)</f>
        <v>0</v>
      </c>
      <c r="AH7" s="15" cm="1">
        <f t="array" ref="AH7">+HLOOKUP($A$1,+[55]İcmal!$B$19:$AG$49,ROW(A5)+1,FALSE)</f>
        <v>0</v>
      </c>
      <c r="AI7" s="15" cm="1">
        <f t="array" ref="AI7">+HLOOKUP($A$1,+[56]İcmal!$B$19:$AG$49,ROW(A5)+1,FALSE)</f>
        <v>0</v>
      </c>
      <c r="AJ7" s="15" cm="1">
        <f t="array" ref="AJ7">+HLOOKUP($A$1,+[57]İcmal!$B$19:$AG$49,ROW(A5)+1,FALSE)</f>
        <v>0</v>
      </c>
      <c r="AK7" s="15" cm="1">
        <f t="array" ref="AK7">+HLOOKUP($A$1,+[58]İcmal!$B$19:$AG$49,ROW(B5)+1,FALSE)</f>
        <v>0</v>
      </c>
      <c r="AL7" s="15"/>
      <c r="AM7" s="15"/>
      <c r="AN7" s="15"/>
      <c r="AO7" s="13"/>
    </row>
    <row r="8" spans="1:41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+HLOOKUP($A$1,+[31]İcmal!$B$19:$AG$49,ROW(A6)+1,FALSE)</f>
        <v>0</v>
      </c>
      <c r="K8" s="15" cm="1">
        <f t="array" ref="K8">+HLOOKUP($A$1,+[32]İcmal!$B$19:$AG$49,ROW(B6)+1,FALSE)</f>
        <v>0</v>
      </c>
      <c r="L8" s="15" cm="1">
        <f t="array" ref="L8">+HLOOKUP($A$1,+[33]İcmal!$B$19:$AG$49,ROW(C6)+1,FALSE)</f>
        <v>0</v>
      </c>
      <c r="M8" s="15" cm="1">
        <f t="array" ref="M8">+HLOOKUP($A$1,+[34]İcmal!$B$19:$AG$49,ROW(D6)+1,FALSE)</f>
        <v>0</v>
      </c>
      <c r="N8" s="15" cm="1">
        <f t="array" ref="N8">+HLOOKUP($A$1,+[35]İcmal!$B$19:$AG$49,ROW(A6)+1,FALSE)</f>
        <v>0</v>
      </c>
      <c r="O8" s="15" cm="1">
        <f t="array" ref="O8">+HLOOKUP($A$1,+[36]İcmal!$B$19:$AG$49,ROW(B6)+1,FALSE)</f>
        <v>0</v>
      </c>
      <c r="P8" s="15" cm="1">
        <f t="array" ref="P8">+HLOOKUP($A$1,+[37]İcmal!$B$19:$AG$49,ROW(C6)+1,FALSE)</f>
        <v>0</v>
      </c>
      <c r="Q8" s="15" cm="1">
        <f t="array" ref="Q8">+HLOOKUP($A$1,+[38]İcmal!$B$19:$AG$49,ROW(D6)+1,FALSE)</f>
        <v>0</v>
      </c>
      <c r="R8" s="15" cm="1">
        <f t="array" ref="R8">+HLOOKUP($A$1,+[39]İcmal!$B$19:$AG$49,ROW(A6)+1,FALSE)</f>
        <v>0</v>
      </c>
      <c r="S8" s="15" cm="1">
        <f t="array" ref="S8">+HLOOKUP($A$1,+[40]İcmal!$B$19:$AG$49,ROW(B6)+1,FALSE)</f>
        <v>0</v>
      </c>
      <c r="T8" s="15" cm="1">
        <f t="array" ref="T8">+HLOOKUP($A$1,+[41]İcmal!$B$19:$AG$49,ROW(C6)+1,FALSE)</f>
        <v>0</v>
      </c>
      <c r="U8" s="15" cm="1">
        <f t="array" ref="U8">+HLOOKUP($A$1,+[42]İcmal!$B$19:$AG$49,ROW(D6)+1,FALSE)</f>
        <v>0</v>
      </c>
      <c r="V8" s="15" cm="1">
        <f t="array" ref="V8">+HLOOKUP($A$1,+[43]İcmal!$B$19:$AG$49,ROW(A6)+1,FALSE)</f>
        <v>0</v>
      </c>
      <c r="W8" s="15" cm="1">
        <f t="array" ref="W8">+HLOOKUP($A$1,+[44]İcmal!$B$19:$AG$49,ROW(B6)+1,FALSE)</f>
        <v>0</v>
      </c>
      <c r="X8" s="15" cm="1">
        <f t="array" ref="X8">+HLOOKUP($A$1,+[45]İcmal!$B$19:$AG$49,ROW(C6)+1,FALSE)</f>
        <v>0</v>
      </c>
      <c r="Y8" s="15" cm="1">
        <f t="array" ref="Y8">+HLOOKUP($A$1,+[46]İcmal!$B$19:$AG$49,ROW(D6)+1,FALSE)</f>
        <v>0</v>
      </c>
      <c r="Z8" s="15" cm="1">
        <f t="array" ref="Z8">+HLOOKUP($A$1,+[47]İcmal!$B$19:$AG$49,ROW(A6)+1,FALSE)</f>
        <v>0</v>
      </c>
      <c r="AA8" s="15" cm="1">
        <f t="array" ref="AA8">+HLOOKUP($A$1,+[48]İcmal!$B$19:$AG$49,ROW(B6)+1,FALSE)</f>
        <v>0</v>
      </c>
      <c r="AB8" s="15" cm="1">
        <f t="array" ref="AB8">+HLOOKUP($A$1,+[49]İcmal!$B$19:$AG$49,ROW(A6)+1,FALSE)</f>
        <v>0</v>
      </c>
      <c r="AC8" s="15" cm="1">
        <f t="array" ref="AC8">+HLOOKUP($A$1,+[50]İcmal!$B$19:$AG$49,ROW(A6)+1,FALSE)</f>
        <v>0</v>
      </c>
      <c r="AD8" s="15" cm="1">
        <f t="array" ref="AD8">+HLOOKUP($A$1,+[51]İcmal!$B$19:$AG$49,ROW(A6)+1,FALSE)</f>
        <v>0</v>
      </c>
      <c r="AE8" s="15" cm="1">
        <f t="array" ref="AE8">+HLOOKUP($A$1,+[52]İcmal!$B$19:$AG$49,ROW(A6)+1,FALSE)</f>
        <v>0</v>
      </c>
      <c r="AF8" s="50" cm="1">
        <f t="array" ref="AF8">+HLOOKUP($A$1,+[53]İcmal!$B$19:$AG$49,ROW(A6)+1,FALSE)</f>
        <v>0</v>
      </c>
      <c r="AG8" s="15" cm="1">
        <f t="array" ref="AG8">+HLOOKUP($A$1,+[54]İcmal!$B$19:$AG$49,ROW(A6)+1,FALSE)</f>
        <v>0</v>
      </c>
      <c r="AH8" s="15" cm="1">
        <f t="array" ref="AH8">+HLOOKUP($A$1,+[55]İcmal!$B$19:$AG$49,ROW(A6)+1,FALSE)</f>
        <v>0</v>
      </c>
      <c r="AI8" s="15" cm="1">
        <f t="array" ref="AI8">+HLOOKUP($A$1,+[56]İcmal!$B$19:$AG$49,ROW(A6)+1,FALSE)</f>
        <v>0</v>
      </c>
      <c r="AJ8" s="15" cm="1">
        <f t="array" ref="AJ8">+HLOOKUP($A$1,+[57]İcmal!$B$19:$AG$49,ROW(A6)+1,FALSE)</f>
        <v>0</v>
      </c>
      <c r="AK8" s="15" cm="1">
        <f t="array" ref="AK8">+HLOOKUP($A$1,+[58]İcmal!$B$19:$AG$49,ROW(B6)+1,FALSE)</f>
        <v>0</v>
      </c>
      <c r="AL8" s="15"/>
      <c r="AM8" s="15"/>
      <c r="AN8" s="15"/>
      <c r="AO8" s="13"/>
    </row>
    <row r="9" spans="1:41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+HLOOKUP($A$1,+[31]İcmal!$B$19:$AG$49,ROW(A7)+1,FALSE)</f>
        <v>0</v>
      </c>
      <c r="K9" s="15" cm="1">
        <f t="array" ref="K9">+HLOOKUP($A$1,+[32]İcmal!$B$19:$AG$49,ROW(B7)+1,FALSE)</f>
        <v>0</v>
      </c>
      <c r="L9" s="15" cm="1">
        <f t="array" ref="L9">+HLOOKUP($A$1,+[33]İcmal!$B$19:$AG$49,ROW(C7)+1,FALSE)</f>
        <v>0</v>
      </c>
      <c r="M9" s="15" cm="1">
        <f t="array" ref="M9">+HLOOKUP($A$1,+[34]İcmal!$B$19:$AG$49,ROW(D7)+1,FALSE)</f>
        <v>0</v>
      </c>
      <c r="N9" s="15" cm="1">
        <f t="array" ref="N9">+HLOOKUP($A$1,+[35]İcmal!$B$19:$AG$49,ROW(A7)+1,FALSE)</f>
        <v>0</v>
      </c>
      <c r="O9" s="15" cm="1">
        <f t="array" ref="O9">+HLOOKUP($A$1,+[36]İcmal!$B$19:$AG$49,ROW(B7)+1,FALSE)</f>
        <v>0</v>
      </c>
      <c r="P9" s="15" cm="1">
        <f t="array" ref="P9">+HLOOKUP($A$1,+[37]İcmal!$B$19:$AG$49,ROW(C7)+1,FALSE)</f>
        <v>0</v>
      </c>
      <c r="Q9" s="15" cm="1">
        <f t="array" ref="Q9">+HLOOKUP($A$1,+[38]İcmal!$B$19:$AG$49,ROW(D7)+1,FALSE)</f>
        <v>0</v>
      </c>
      <c r="R9" s="15" cm="1">
        <f t="array" ref="R9">+HLOOKUP($A$1,+[39]İcmal!$B$19:$AG$49,ROW(A7)+1,FALSE)</f>
        <v>0</v>
      </c>
      <c r="S9" s="15" cm="1">
        <f t="array" ref="S9">+HLOOKUP($A$1,+[40]İcmal!$B$19:$AG$49,ROW(B7)+1,FALSE)</f>
        <v>0</v>
      </c>
      <c r="T9" s="15" cm="1">
        <f t="array" ref="T9">+HLOOKUP($A$1,+[41]İcmal!$B$19:$AG$49,ROW(C7)+1,FALSE)</f>
        <v>0</v>
      </c>
      <c r="U9" s="15" cm="1">
        <f t="array" ref="U9">+HLOOKUP($A$1,+[42]İcmal!$B$19:$AG$49,ROW(D7)+1,FALSE)</f>
        <v>0</v>
      </c>
      <c r="V9" s="15" cm="1">
        <f t="array" ref="V9">+HLOOKUP($A$1,+[43]İcmal!$B$19:$AG$49,ROW(A7)+1,FALSE)</f>
        <v>0</v>
      </c>
      <c r="W9" s="15" cm="1">
        <f t="array" ref="W9">+HLOOKUP($A$1,+[44]İcmal!$B$19:$AG$49,ROW(B7)+1,FALSE)</f>
        <v>0</v>
      </c>
      <c r="X9" s="15" cm="1">
        <f t="array" ref="X9">+HLOOKUP($A$1,+[45]İcmal!$B$19:$AG$49,ROW(C7)+1,FALSE)</f>
        <v>0</v>
      </c>
      <c r="Y9" s="15" cm="1">
        <f t="array" ref="Y9">+HLOOKUP($A$1,+[46]İcmal!$B$19:$AG$49,ROW(D7)+1,FALSE)</f>
        <v>0</v>
      </c>
      <c r="Z9" s="15" cm="1">
        <f t="array" ref="Z9">+HLOOKUP($A$1,+[47]İcmal!$B$19:$AG$49,ROW(A7)+1,FALSE)</f>
        <v>0</v>
      </c>
      <c r="AA9" s="15" cm="1">
        <f t="array" ref="AA9">+HLOOKUP($A$1,+[48]İcmal!$B$19:$AG$49,ROW(B7)+1,FALSE)</f>
        <v>0</v>
      </c>
      <c r="AB9" s="15" cm="1">
        <f t="array" ref="AB9">+HLOOKUP($A$1,+[49]İcmal!$B$19:$AG$49,ROW(A7)+1,FALSE)</f>
        <v>0</v>
      </c>
      <c r="AC9" s="15" cm="1">
        <f t="array" ref="AC9">+HLOOKUP($A$1,+[50]İcmal!$B$19:$AG$49,ROW(A7)+1,FALSE)</f>
        <v>0</v>
      </c>
      <c r="AD9" s="15" cm="1">
        <f t="array" ref="AD9">+HLOOKUP($A$1,+[51]İcmal!$B$19:$AG$49,ROW(A7)+1,FALSE)</f>
        <v>0</v>
      </c>
      <c r="AE9" s="15" cm="1">
        <f t="array" ref="AE9">+HLOOKUP($A$1,+[52]İcmal!$B$19:$AG$49,ROW(A7)+1,FALSE)</f>
        <v>0</v>
      </c>
      <c r="AF9" s="50" cm="1">
        <f t="array" ref="AF9">+HLOOKUP($A$1,+[53]İcmal!$B$19:$AG$49,ROW(A7)+1,FALSE)</f>
        <v>0</v>
      </c>
      <c r="AG9" s="15" cm="1">
        <f t="array" ref="AG9">+HLOOKUP($A$1,+[54]İcmal!$B$19:$AG$49,ROW(A7)+1,FALSE)</f>
        <v>0</v>
      </c>
      <c r="AH9" s="15" cm="1">
        <f t="array" ref="AH9">+HLOOKUP($A$1,+[55]İcmal!$B$19:$AG$49,ROW(A7)+1,FALSE)</f>
        <v>0</v>
      </c>
      <c r="AI9" s="15" cm="1">
        <f t="array" ref="AI9">+HLOOKUP($A$1,+[56]İcmal!$B$19:$AG$49,ROW(A7)+1,FALSE)</f>
        <v>0</v>
      </c>
      <c r="AJ9" s="15" cm="1">
        <f t="array" ref="AJ9">+HLOOKUP($A$1,+[57]İcmal!$B$19:$AG$49,ROW(A7)+1,FALSE)</f>
        <v>0</v>
      </c>
      <c r="AK9" s="15" cm="1">
        <f t="array" ref="AK9">+HLOOKUP($A$1,+[58]İcmal!$B$19:$AG$49,ROW(B7)+1,FALSE)</f>
        <v>0</v>
      </c>
      <c r="AL9" s="15"/>
      <c r="AM9" s="15"/>
      <c r="AN9" s="15"/>
      <c r="AO9" s="13"/>
    </row>
    <row r="10" spans="1:41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100</v>
      </c>
      <c r="I10" s="9">
        <f t="shared" si="2"/>
        <v>800000</v>
      </c>
      <c r="J10" s="15" cm="1">
        <f t="array" ref="J10">+HLOOKUP($A$1,+[31]İcmal!$B$19:$AG$49,ROW(A8)+1,FALSE)</f>
        <v>0</v>
      </c>
      <c r="K10" s="15" cm="1">
        <f t="array" ref="K10">+HLOOKUP($A$1,+[32]İcmal!$B$19:$AG$49,ROW(B8)+1,FALSE)</f>
        <v>0</v>
      </c>
      <c r="L10" s="15" cm="1">
        <f t="array" ref="L10">+HLOOKUP($A$1,+[33]İcmal!$B$19:$AG$49,ROW(C8)+1,FALSE)</f>
        <v>0</v>
      </c>
      <c r="M10" s="15" cm="1">
        <f t="array" ref="M10">+HLOOKUP($A$1,+[34]İcmal!$B$19:$AG$49,ROW(D8)+1,FALSE)</f>
        <v>0</v>
      </c>
      <c r="N10" s="15" cm="1">
        <f t="array" ref="N10">+HLOOKUP($A$1,+[35]İcmal!$B$19:$AG$49,ROW(A8)+1,FALSE)</f>
        <v>0</v>
      </c>
      <c r="O10" s="15" cm="1">
        <f t="array" ref="O10">+HLOOKUP($A$1,+[36]İcmal!$B$19:$AG$49,ROW(B8)+1,FALSE)</f>
        <v>32</v>
      </c>
      <c r="P10" s="15" cm="1">
        <f t="array" ref="P10">+HLOOKUP($A$1,+[37]İcmal!$B$19:$AG$49,ROW(C8)+1,FALSE)</f>
        <v>0</v>
      </c>
      <c r="Q10" s="15" cm="1">
        <f t="array" ref="Q10">+HLOOKUP($A$1,+[38]İcmal!$B$19:$AG$49,ROW(D8)+1,FALSE)</f>
        <v>0</v>
      </c>
      <c r="R10" s="15" cm="1">
        <f t="array" ref="R10">+HLOOKUP($A$1,+[39]İcmal!$B$19:$AG$49,ROW(A8)+1,FALSE)</f>
        <v>68</v>
      </c>
      <c r="S10" s="15" cm="1">
        <f t="array" ref="S10">+HLOOKUP($A$1,+[40]İcmal!$B$19:$AG$49,ROW(B8)+1,FALSE)</f>
        <v>0</v>
      </c>
      <c r="T10" s="15" cm="1">
        <f t="array" ref="T10">+HLOOKUP($A$1,+[41]İcmal!$B$19:$AG$49,ROW(C8)+1,FALSE)</f>
        <v>0</v>
      </c>
      <c r="U10" s="15" cm="1">
        <f t="array" ref="U10">+HLOOKUP($A$1,+[42]İcmal!$B$19:$AG$49,ROW(D8)+1,FALSE)</f>
        <v>0</v>
      </c>
      <c r="V10" s="15" cm="1">
        <f t="array" ref="V10">+HLOOKUP($A$1,+[43]İcmal!$B$19:$AG$49,ROW(A8)+1,FALSE)</f>
        <v>0</v>
      </c>
      <c r="W10" s="15" cm="1">
        <f t="array" ref="W10">+HLOOKUP($A$1,+[44]İcmal!$B$19:$AG$49,ROW(B8)+1,FALSE)</f>
        <v>0</v>
      </c>
      <c r="X10" s="15" cm="1">
        <f t="array" ref="X10">+HLOOKUP($A$1,+[45]İcmal!$B$19:$AG$49,ROW(C8)+1,FALSE)</f>
        <v>0</v>
      </c>
      <c r="Y10" s="15" cm="1">
        <f t="array" ref="Y10">+HLOOKUP($A$1,+[46]İcmal!$B$19:$AG$49,ROW(D8)+1,FALSE)</f>
        <v>0</v>
      </c>
      <c r="Z10" s="15" cm="1">
        <f t="array" ref="Z10">+HLOOKUP($A$1,+[47]İcmal!$B$19:$AG$49,ROW(A8)+1,FALSE)</f>
        <v>0</v>
      </c>
      <c r="AA10" s="15" cm="1">
        <f t="array" ref="AA10">+HLOOKUP($A$1,+[48]İcmal!$B$19:$AG$49,ROW(B8)+1,FALSE)</f>
        <v>0</v>
      </c>
      <c r="AB10" s="15" cm="1">
        <f t="array" ref="AB10">+HLOOKUP($A$1,+[49]İcmal!$B$19:$AG$49,ROW(A8)+1,FALSE)</f>
        <v>0</v>
      </c>
      <c r="AC10" s="15" cm="1">
        <f t="array" ref="AC10">+HLOOKUP($A$1,+[50]İcmal!$B$19:$AG$49,ROW(A8)+1,FALSE)</f>
        <v>0</v>
      </c>
      <c r="AD10" s="15" cm="1">
        <f t="array" ref="AD10">+HLOOKUP($A$1,+[51]İcmal!$B$19:$AG$49,ROW(A8)+1,FALSE)</f>
        <v>0</v>
      </c>
      <c r="AE10" s="15" cm="1">
        <f t="array" ref="AE10">+HLOOKUP($A$1,+[52]İcmal!$B$19:$AG$49,ROW(A8)+1,FALSE)</f>
        <v>0</v>
      </c>
      <c r="AF10" s="50" cm="1">
        <f t="array" ref="AF10">+HLOOKUP($A$1,+[53]İcmal!$B$19:$AG$49,ROW(A8)+1,FALSE)</f>
        <v>0</v>
      </c>
      <c r="AG10" s="15" cm="1">
        <f t="array" ref="AG10">+HLOOKUP($A$1,+[54]İcmal!$B$19:$AG$49,ROW(A8)+1,FALSE)</f>
        <v>0</v>
      </c>
      <c r="AH10" s="15" cm="1">
        <f t="array" ref="AH10">+HLOOKUP($A$1,+[55]İcmal!$B$19:$AG$49,ROW(A8)+1,FALSE)</f>
        <v>0</v>
      </c>
      <c r="AI10" s="15" cm="1">
        <f t="array" ref="AI10">+HLOOKUP($A$1,+[56]İcmal!$B$19:$AG$49,ROW(A8)+1,FALSE)</f>
        <v>0</v>
      </c>
      <c r="AJ10" s="15" cm="1">
        <f t="array" ref="AJ10">+HLOOKUP($A$1,+[57]İcmal!$B$19:$AG$49,ROW(A8)+1,FALSE)</f>
        <v>0</v>
      </c>
      <c r="AK10" s="15" cm="1">
        <f t="array" ref="AK10">+HLOOKUP($A$1,+[58]İcmal!$B$19:$AG$49,ROW(B8)+1,FALSE)</f>
        <v>0</v>
      </c>
      <c r="AL10" s="15"/>
      <c r="AM10" s="15"/>
      <c r="AN10" s="15"/>
      <c r="AO10" s="13"/>
    </row>
    <row r="11" spans="1:41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+HLOOKUP($A$1,+[31]İcmal!$B$19:$AG$49,ROW(A9)+1,FALSE)</f>
        <v>0</v>
      </c>
      <c r="K11" s="15" cm="1">
        <f t="array" ref="K11">+HLOOKUP($A$1,+[32]İcmal!$B$19:$AG$49,ROW(B9)+1,FALSE)</f>
        <v>0</v>
      </c>
      <c r="L11" s="15" cm="1">
        <f t="array" ref="L11">+HLOOKUP($A$1,+[33]İcmal!$B$19:$AG$49,ROW(C9)+1,FALSE)</f>
        <v>0</v>
      </c>
      <c r="M11" s="15" cm="1">
        <f t="array" ref="M11">+HLOOKUP($A$1,+[34]İcmal!$B$19:$AG$49,ROW(D9)+1,FALSE)</f>
        <v>0</v>
      </c>
      <c r="N11" s="15" cm="1">
        <f t="array" ref="N11">+HLOOKUP($A$1,+[35]İcmal!$B$19:$AG$49,ROW(A9)+1,FALSE)</f>
        <v>0</v>
      </c>
      <c r="O11" s="15" cm="1">
        <f t="array" ref="O11">+HLOOKUP($A$1,+[36]İcmal!$B$19:$AG$49,ROW(B9)+1,FALSE)</f>
        <v>0</v>
      </c>
      <c r="P11" s="15" cm="1">
        <f t="array" ref="P11">+HLOOKUP($A$1,+[37]İcmal!$B$19:$AG$49,ROW(C9)+1,FALSE)</f>
        <v>0</v>
      </c>
      <c r="Q11" s="15" cm="1">
        <f t="array" ref="Q11">+HLOOKUP($A$1,+[38]İcmal!$B$19:$AG$49,ROW(D9)+1,FALSE)</f>
        <v>0</v>
      </c>
      <c r="R11" s="15" cm="1">
        <f t="array" ref="R11">+HLOOKUP($A$1,+[39]İcmal!$B$19:$AG$49,ROW(A9)+1,FALSE)</f>
        <v>0</v>
      </c>
      <c r="S11" s="15" cm="1">
        <f t="array" ref="S11">+HLOOKUP($A$1,+[40]İcmal!$B$19:$AG$49,ROW(B9)+1,FALSE)</f>
        <v>0</v>
      </c>
      <c r="T11" s="15" cm="1">
        <f t="array" ref="T11">+HLOOKUP($A$1,+[41]İcmal!$B$19:$AG$49,ROW(C9)+1,FALSE)</f>
        <v>0</v>
      </c>
      <c r="U11" s="15" cm="1">
        <f t="array" ref="U11">+HLOOKUP($A$1,+[42]İcmal!$B$19:$AG$49,ROW(D9)+1,FALSE)</f>
        <v>0</v>
      </c>
      <c r="V11" s="15" cm="1">
        <f t="array" ref="V11">+HLOOKUP($A$1,+[43]İcmal!$B$19:$AG$49,ROW(A9)+1,FALSE)</f>
        <v>0</v>
      </c>
      <c r="W11" s="15" cm="1">
        <f t="array" ref="W11">+HLOOKUP($A$1,+[44]İcmal!$B$19:$AG$49,ROW(B9)+1,FALSE)</f>
        <v>0</v>
      </c>
      <c r="X11" s="15" cm="1">
        <f t="array" ref="X11">+HLOOKUP($A$1,+[45]İcmal!$B$19:$AG$49,ROW(C9)+1,FALSE)</f>
        <v>0</v>
      </c>
      <c r="Y11" s="15" cm="1">
        <f t="array" ref="Y11">+HLOOKUP($A$1,+[46]İcmal!$B$19:$AG$49,ROW(D9)+1,FALSE)</f>
        <v>0</v>
      </c>
      <c r="Z11" s="15" cm="1">
        <f t="array" ref="Z11">+HLOOKUP($A$1,+[47]İcmal!$B$19:$AG$49,ROW(A9)+1,FALSE)</f>
        <v>0</v>
      </c>
      <c r="AA11" s="15" cm="1">
        <f t="array" ref="AA11">+HLOOKUP($A$1,+[48]İcmal!$B$19:$AG$49,ROW(B9)+1,FALSE)</f>
        <v>0</v>
      </c>
      <c r="AB11" s="15" cm="1">
        <f t="array" ref="AB11">+HLOOKUP($A$1,+[49]İcmal!$B$19:$AG$49,ROW(A9)+1,FALSE)</f>
        <v>0</v>
      </c>
      <c r="AC11" s="15" cm="1">
        <f t="array" ref="AC11">+HLOOKUP($A$1,+[50]İcmal!$B$19:$AG$49,ROW(A9)+1,FALSE)</f>
        <v>0</v>
      </c>
      <c r="AD11" s="15" cm="1">
        <f t="array" ref="AD11">+HLOOKUP($A$1,+[51]İcmal!$B$19:$AG$49,ROW(A9)+1,FALSE)</f>
        <v>0</v>
      </c>
      <c r="AE11" s="15" cm="1">
        <f t="array" ref="AE11">+HLOOKUP($A$1,+[52]İcmal!$B$19:$AG$49,ROW(A9)+1,FALSE)</f>
        <v>0</v>
      </c>
      <c r="AF11" s="50" cm="1">
        <f t="array" ref="AF11">+HLOOKUP($A$1,+[53]İcmal!$B$19:$AG$49,ROW(A9)+1,FALSE)</f>
        <v>0</v>
      </c>
      <c r="AG11" s="15" cm="1">
        <f t="array" ref="AG11">+HLOOKUP($A$1,+[54]İcmal!$B$19:$AG$49,ROW(A9)+1,FALSE)</f>
        <v>0</v>
      </c>
      <c r="AH11" s="15" cm="1">
        <f t="array" ref="AH11">+HLOOKUP($A$1,+[55]İcmal!$B$19:$AG$49,ROW(A9)+1,FALSE)</f>
        <v>0</v>
      </c>
      <c r="AI11" s="15" cm="1">
        <f t="array" ref="AI11">+HLOOKUP($A$1,+[56]İcmal!$B$19:$AG$49,ROW(A9)+1,FALSE)</f>
        <v>0</v>
      </c>
      <c r="AJ11" s="15" cm="1">
        <f t="array" ref="AJ11">+HLOOKUP($A$1,+[57]İcmal!$B$19:$AG$49,ROW(A9)+1,FALSE)</f>
        <v>0</v>
      </c>
      <c r="AK11" s="15" cm="1">
        <f t="array" ref="AK11">+HLOOKUP($A$1,+[58]İcmal!$B$19:$AG$49,ROW(B9)+1,FALSE)</f>
        <v>0</v>
      </c>
      <c r="AL11" s="15"/>
      <c r="AM11" s="15"/>
      <c r="AN11" s="15"/>
      <c r="AO11" s="13"/>
    </row>
    <row r="12" spans="1:41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+HLOOKUP($A$1,+[31]İcmal!$B$19:$AG$49,ROW(A10)+1,FALSE)</f>
        <v>0</v>
      </c>
      <c r="K12" s="15" cm="1">
        <f t="array" ref="K12">+HLOOKUP($A$1,+[32]İcmal!$B$19:$AG$49,ROW(B10)+1,FALSE)</f>
        <v>0</v>
      </c>
      <c r="L12" s="15" cm="1">
        <f t="array" ref="L12">+HLOOKUP($A$1,+[33]İcmal!$B$19:$AG$49,ROW(C10)+1,FALSE)</f>
        <v>0</v>
      </c>
      <c r="M12" s="15" cm="1">
        <f t="array" ref="M12">+HLOOKUP($A$1,+[34]İcmal!$B$19:$AG$49,ROW(D10)+1,FALSE)</f>
        <v>0</v>
      </c>
      <c r="N12" s="15" cm="1">
        <f t="array" ref="N12">+HLOOKUP($A$1,+[35]İcmal!$B$19:$AG$49,ROW(A10)+1,FALSE)</f>
        <v>0</v>
      </c>
      <c r="O12" s="15" cm="1">
        <f t="array" ref="O12">+HLOOKUP($A$1,+[36]İcmal!$B$19:$AG$49,ROW(B10)+1,FALSE)</f>
        <v>0</v>
      </c>
      <c r="P12" s="15" cm="1">
        <f t="array" ref="P12">+HLOOKUP($A$1,+[37]İcmal!$B$19:$AG$49,ROW(C10)+1,FALSE)</f>
        <v>0</v>
      </c>
      <c r="Q12" s="15" cm="1">
        <f t="array" ref="Q12">+HLOOKUP($A$1,+[38]İcmal!$B$19:$AG$49,ROW(D10)+1,FALSE)</f>
        <v>0</v>
      </c>
      <c r="R12" s="15" cm="1">
        <f t="array" ref="R12">+HLOOKUP($A$1,+[39]İcmal!$B$19:$AG$49,ROW(A10)+1,FALSE)</f>
        <v>0</v>
      </c>
      <c r="S12" s="15" cm="1">
        <f t="array" ref="S12">+HLOOKUP($A$1,+[40]İcmal!$B$19:$AG$49,ROW(B10)+1,FALSE)</f>
        <v>0</v>
      </c>
      <c r="T12" s="15" cm="1">
        <f t="array" ref="T12">+HLOOKUP($A$1,+[41]İcmal!$B$19:$AG$49,ROW(C10)+1,FALSE)</f>
        <v>0</v>
      </c>
      <c r="U12" s="15" cm="1">
        <f t="array" ref="U12">+HLOOKUP($A$1,+[42]İcmal!$B$19:$AG$49,ROW(D10)+1,FALSE)</f>
        <v>0</v>
      </c>
      <c r="V12" s="15" cm="1">
        <f t="array" ref="V12">+HLOOKUP($A$1,+[43]İcmal!$B$19:$AG$49,ROW(A10)+1,FALSE)</f>
        <v>0</v>
      </c>
      <c r="W12" s="15" cm="1">
        <f t="array" ref="W12">+HLOOKUP($A$1,+[44]İcmal!$B$19:$AG$49,ROW(B10)+1,FALSE)</f>
        <v>0</v>
      </c>
      <c r="X12" s="15" cm="1">
        <f t="array" ref="X12">+HLOOKUP($A$1,+[45]İcmal!$B$19:$AG$49,ROW(C10)+1,FALSE)</f>
        <v>0</v>
      </c>
      <c r="Y12" s="15" cm="1">
        <f t="array" ref="Y12">+HLOOKUP($A$1,+[46]İcmal!$B$19:$AG$49,ROW(D10)+1,FALSE)</f>
        <v>0</v>
      </c>
      <c r="Z12" s="15" cm="1">
        <f t="array" ref="Z12">+HLOOKUP($A$1,+[47]İcmal!$B$19:$AG$49,ROW(A10)+1,FALSE)</f>
        <v>0</v>
      </c>
      <c r="AA12" s="15" cm="1">
        <f t="array" ref="AA12">+HLOOKUP($A$1,+[48]İcmal!$B$19:$AG$49,ROW(B10)+1,FALSE)</f>
        <v>0</v>
      </c>
      <c r="AB12" s="15" cm="1">
        <f t="array" ref="AB12">+HLOOKUP($A$1,+[49]İcmal!$B$19:$AG$49,ROW(A10)+1,FALSE)</f>
        <v>0</v>
      </c>
      <c r="AC12" s="15" cm="1">
        <f t="array" ref="AC12">+HLOOKUP($A$1,+[50]İcmal!$B$19:$AG$49,ROW(A10)+1,FALSE)</f>
        <v>0</v>
      </c>
      <c r="AD12" s="15" cm="1">
        <f t="array" ref="AD12">+HLOOKUP($A$1,+[51]İcmal!$B$19:$AG$49,ROW(A10)+1,FALSE)</f>
        <v>0</v>
      </c>
      <c r="AE12" s="15" cm="1">
        <f t="array" ref="AE12">+HLOOKUP($A$1,+[52]İcmal!$B$19:$AG$49,ROW(A10)+1,FALSE)</f>
        <v>0</v>
      </c>
      <c r="AF12" s="50" cm="1">
        <f t="array" ref="AF12">+HLOOKUP($A$1,+[53]İcmal!$B$19:$AG$49,ROW(A10)+1,FALSE)</f>
        <v>0</v>
      </c>
      <c r="AG12" s="15" cm="1">
        <f t="array" ref="AG12">+HLOOKUP($A$1,+[54]İcmal!$B$19:$AG$49,ROW(A10)+1,FALSE)</f>
        <v>0</v>
      </c>
      <c r="AH12" s="15" cm="1">
        <f t="array" ref="AH12">+HLOOKUP($A$1,+[55]İcmal!$B$19:$AG$49,ROW(A10)+1,FALSE)</f>
        <v>0</v>
      </c>
      <c r="AI12" s="15" cm="1">
        <f t="array" ref="AI12">+HLOOKUP($A$1,+[56]İcmal!$B$19:$AG$49,ROW(A10)+1,FALSE)</f>
        <v>0</v>
      </c>
      <c r="AJ12" s="15" cm="1">
        <f t="array" ref="AJ12">+HLOOKUP($A$1,+[57]İcmal!$B$19:$AG$49,ROW(A10)+1,FALSE)</f>
        <v>0</v>
      </c>
      <c r="AK12" s="15" cm="1">
        <f t="array" ref="AK12">+HLOOKUP($A$1,+[58]İcmal!$B$19:$AG$49,ROW(B10)+1,FALSE)</f>
        <v>0</v>
      </c>
      <c r="AL12" s="15"/>
      <c r="AM12" s="15"/>
      <c r="AN12" s="15"/>
      <c r="AO12" s="13"/>
    </row>
    <row r="13" spans="1:41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1088</v>
      </c>
      <c r="I13" s="9">
        <f t="shared" si="2"/>
        <v>30464000</v>
      </c>
      <c r="J13" s="15" cm="1">
        <f t="array" ref="J13">+HLOOKUP($A$1,+[31]İcmal!$B$19:$AG$49,ROW(A11)+1,FALSE)</f>
        <v>0</v>
      </c>
      <c r="K13" s="15" cm="1">
        <f t="array" ref="K13">+HLOOKUP($A$1,+[32]İcmal!$B$19:$AG$49,ROW(B11)+1,FALSE)</f>
        <v>0</v>
      </c>
      <c r="L13" s="15" cm="1">
        <f t="array" ref="L13">+HLOOKUP($A$1,+[33]İcmal!$B$19:$AG$49,ROW(C11)+1,FALSE)</f>
        <v>99</v>
      </c>
      <c r="M13" s="15" cm="1">
        <f t="array" ref="M13">+HLOOKUP($A$1,+[34]İcmal!$B$19:$AG$49,ROW(D11)+1,FALSE)</f>
        <v>138</v>
      </c>
      <c r="N13" s="15" cm="1">
        <f t="array" ref="N13">+HLOOKUP($A$1,+[35]İcmal!$B$19:$AG$49,ROW(A11)+1,FALSE)</f>
        <v>0</v>
      </c>
      <c r="O13" s="15" cm="1">
        <f t="array" ref="O13">+HLOOKUP($A$1,+[36]İcmal!$B$19:$AG$49,ROW(B11)+1,FALSE)</f>
        <v>149</v>
      </c>
      <c r="P13" s="15" cm="1">
        <f t="array" ref="P13">+HLOOKUP($A$1,+[37]İcmal!$B$19:$AG$49,ROW(C11)+1,FALSE)</f>
        <v>0</v>
      </c>
      <c r="Q13" s="15" cm="1">
        <f t="array" ref="Q13">+HLOOKUP($A$1,+[38]İcmal!$B$19:$AG$49,ROW(D11)+1,FALSE)</f>
        <v>0</v>
      </c>
      <c r="R13" s="15" cm="1">
        <f t="array" ref="R13">+HLOOKUP($A$1,+[39]İcmal!$B$19:$AG$49,ROW(A11)+1,FALSE)</f>
        <v>45</v>
      </c>
      <c r="S13" s="15" cm="1">
        <f t="array" ref="S13">+HLOOKUP($A$1,+[40]İcmal!$B$19:$AG$49,ROW(B11)+1,FALSE)</f>
        <v>72</v>
      </c>
      <c r="T13" s="15" cm="1">
        <f t="array" ref="T13">+HLOOKUP($A$1,+[41]İcmal!$B$19:$AG$49,ROW(C11)+1,FALSE)</f>
        <v>0</v>
      </c>
      <c r="U13" s="15" cm="1">
        <f t="array" ref="U13">+HLOOKUP($A$1,+[42]İcmal!$B$19:$AG$49,ROW(D11)+1,FALSE)</f>
        <v>0</v>
      </c>
      <c r="V13" s="15" cm="1">
        <f t="array" ref="V13">+HLOOKUP($A$1,+[43]İcmal!$B$19:$AG$49,ROW(A11)+1,FALSE)</f>
        <v>0</v>
      </c>
      <c r="W13" s="15" cm="1">
        <f t="array" ref="W13">+HLOOKUP($A$1,+[44]İcmal!$B$19:$AG$49,ROW(B11)+1,FALSE)</f>
        <v>0</v>
      </c>
      <c r="X13" s="15" cm="1">
        <f t="array" ref="X13">+HLOOKUP($A$1,+[45]İcmal!$B$19:$AG$49,ROW(C11)+1,FALSE)</f>
        <v>231</v>
      </c>
      <c r="Y13" s="15" cm="1">
        <f t="array" ref="Y13">+HLOOKUP($A$1,+[46]İcmal!$B$19:$AG$49,ROW(D11)+1,FALSE)</f>
        <v>270</v>
      </c>
      <c r="Z13" s="15" cm="1">
        <f t="array" ref="Z13">+HLOOKUP($A$1,+[47]İcmal!$B$19:$AG$49,ROW(A11)+1,FALSE)</f>
        <v>0</v>
      </c>
      <c r="AA13" s="15" cm="1">
        <f t="array" ref="AA13">+HLOOKUP($A$1,+[48]İcmal!$B$19:$AG$49,ROW(B11)+1,FALSE)</f>
        <v>0</v>
      </c>
      <c r="AB13" s="15" cm="1">
        <f t="array" ref="AB13">+HLOOKUP($A$1,+[49]İcmal!$B$19:$AG$49,ROW(A11)+1,FALSE)</f>
        <v>18</v>
      </c>
      <c r="AC13" s="15" cm="1">
        <f t="array" ref="AC13">+HLOOKUP($A$1,+[50]İcmal!$B$19:$AG$49,ROW(A11)+1,FALSE)</f>
        <v>0</v>
      </c>
      <c r="AD13" s="15" cm="1">
        <f t="array" ref="AD13">+HLOOKUP($A$1,+[51]İcmal!$B$19:$AG$49,ROW(A11)+1,FALSE)</f>
        <v>22</v>
      </c>
      <c r="AE13" s="15" cm="1">
        <f t="array" ref="AE13">+HLOOKUP($A$1,+[52]İcmal!$B$19:$AG$49,ROW(A11)+1,FALSE)</f>
        <v>0</v>
      </c>
      <c r="AF13" s="50" cm="1">
        <f t="array" ref="AF13">+HLOOKUP($A$1,+[53]İcmal!$B$19:$AG$49,ROW(A11)+1,FALSE)</f>
        <v>0</v>
      </c>
      <c r="AG13" s="15" cm="1">
        <f t="array" ref="AG13">+HLOOKUP($A$1,+[54]İcmal!$B$19:$AG$49,ROW(A11)+1,FALSE)</f>
        <v>0</v>
      </c>
      <c r="AH13" s="15" cm="1">
        <f t="array" ref="AH13">+HLOOKUP($A$1,+[55]İcmal!$B$19:$AG$49,ROW(A11)+1,FALSE)</f>
        <v>22</v>
      </c>
      <c r="AI13" s="15" cm="1">
        <f t="array" ref="AI13">+HLOOKUP($A$1,+[56]İcmal!$B$19:$AG$49,ROW(A11)+1,FALSE)</f>
        <v>0</v>
      </c>
      <c r="AJ13" s="15" cm="1">
        <f t="array" ref="AJ13">+HLOOKUP($A$1,+[57]İcmal!$B$19:$AG$49,ROW(A11)+1,FALSE)</f>
        <v>22</v>
      </c>
      <c r="AK13" s="15" cm="1">
        <f t="array" ref="AK13">+HLOOKUP($A$1,+[58]İcmal!$B$19:$AG$49,ROW(B11)+1,FALSE)</f>
        <v>0</v>
      </c>
      <c r="AL13" s="15"/>
      <c r="AM13" s="15"/>
      <c r="AN13" s="15"/>
      <c r="AO13" s="13"/>
    </row>
    <row r="14" spans="1:41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1638</v>
      </c>
      <c r="I14" s="9">
        <f t="shared" si="2"/>
        <v>614250</v>
      </c>
      <c r="J14" s="15" cm="1">
        <f t="array" ref="J14">+HLOOKUP($A$1,+[31]İcmal!$B$19:$AG$49,ROW(A12)+1,FALSE)</f>
        <v>0</v>
      </c>
      <c r="K14" s="15" cm="1">
        <f t="array" ref="K14">+HLOOKUP($A$1,+[32]İcmal!$B$19:$AG$49,ROW(B12)+1,FALSE)</f>
        <v>0</v>
      </c>
      <c r="L14" s="15" cm="1">
        <f t="array" ref="L14">+HLOOKUP($A$1,+[33]İcmal!$B$19:$AG$49,ROW(C12)+1,FALSE)</f>
        <v>0</v>
      </c>
      <c r="M14" s="15" cm="1">
        <f t="array" ref="M14">+HLOOKUP($A$1,+[34]İcmal!$B$19:$AG$49,ROW(D12)+1,FALSE)</f>
        <v>0</v>
      </c>
      <c r="N14" s="15" cm="1">
        <f t="array" ref="N14">+HLOOKUP($A$1,+[35]İcmal!$B$19:$AG$49,ROW(A12)+1,FALSE)</f>
        <v>0</v>
      </c>
      <c r="O14" s="15" cm="1">
        <f t="array" ref="O14">+HLOOKUP($A$1,+[36]İcmal!$B$19:$AG$49,ROW(B12)+1,FALSE)</f>
        <v>648</v>
      </c>
      <c r="P14" s="15" cm="1">
        <f t="array" ref="P14">+HLOOKUP($A$1,+[37]İcmal!$B$19:$AG$49,ROW(C12)+1,FALSE)</f>
        <v>0</v>
      </c>
      <c r="Q14" s="15" cm="1">
        <f t="array" ref="Q14">+HLOOKUP($A$1,+[38]İcmal!$B$19:$AG$49,ROW(D12)+1,FALSE)</f>
        <v>0</v>
      </c>
      <c r="R14" s="15" cm="1">
        <f t="array" ref="R14">+HLOOKUP($A$1,+[39]İcmal!$B$19:$AG$49,ROW(A12)+1,FALSE)</f>
        <v>0</v>
      </c>
      <c r="S14" s="15" cm="1">
        <f t="array" ref="S14">+HLOOKUP($A$1,+[40]İcmal!$B$19:$AG$49,ROW(B12)+1,FALSE)</f>
        <v>810</v>
      </c>
      <c r="T14" s="15" cm="1">
        <f t="array" ref="T14">+HLOOKUP($A$1,+[41]İcmal!$B$19:$AG$49,ROW(C12)+1,FALSE)</f>
        <v>0</v>
      </c>
      <c r="U14" s="15" cm="1">
        <f t="array" ref="U14">+HLOOKUP($A$1,+[42]İcmal!$B$19:$AG$49,ROW(D12)+1,FALSE)</f>
        <v>0</v>
      </c>
      <c r="V14" s="15" cm="1">
        <f t="array" ref="V14">+HLOOKUP($A$1,+[43]İcmal!$B$19:$AG$49,ROW(A12)+1,FALSE)</f>
        <v>0</v>
      </c>
      <c r="W14" s="15" cm="1">
        <f t="array" ref="W14">+HLOOKUP($A$1,+[44]İcmal!$B$19:$AG$49,ROW(B12)+1,FALSE)</f>
        <v>0</v>
      </c>
      <c r="X14" s="15" cm="1">
        <f t="array" ref="X14">+HLOOKUP($A$1,+[45]İcmal!$B$19:$AG$49,ROW(C12)+1,FALSE)</f>
        <v>0</v>
      </c>
      <c r="Y14" s="15" cm="1">
        <f t="array" ref="Y14">+HLOOKUP($A$1,+[46]İcmal!$B$19:$AG$49,ROW(D12)+1,FALSE)</f>
        <v>0</v>
      </c>
      <c r="Z14" s="15" cm="1">
        <f t="array" ref="Z14">+HLOOKUP($A$1,+[47]İcmal!$B$19:$AG$49,ROW(A12)+1,FALSE)</f>
        <v>0</v>
      </c>
      <c r="AA14" s="15" cm="1">
        <f t="array" ref="AA14">+HLOOKUP($A$1,+[48]İcmal!$B$19:$AG$49,ROW(B12)+1,FALSE)</f>
        <v>0</v>
      </c>
      <c r="AB14" s="15" cm="1">
        <f t="array" ref="AB14">+HLOOKUP($A$1,+[49]İcmal!$B$19:$AG$49,ROW(A12)+1,FALSE)</f>
        <v>0</v>
      </c>
      <c r="AC14" s="15" cm="1">
        <f t="array" ref="AC14">+HLOOKUP($A$1,+[50]İcmal!$B$19:$AG$49,ROW(A12)+1,FALSE)</f>
        <v>0</v>
      </c>
      <c r="AD14" s="15" cm="1">
        <f t="array" ref="AD14">+HLOOKUP($A$1,+[51]İcmal!$B$19:$AG$49,ROW(A12)+1,FALSE)</f>
        <v>180</v>
      </c>
      <c r="AE14" s="15" cm="1">
        <f t="array" ref="AE14">+HLOOKUP($A$1,+[52]İcmal!$B$19:$AG$49,ROW(A12)+1,FALSE)</f>
        <v>0</v>
      </c>
      <c r="AF14" s="50" cm="1">
        <f t="array" ref="AF14">+HLOOKUP($A$1,+[53]İcmal!$B$19:$AG$49,ROW(A12)+1,FALSE)</f>
        <v>0</v>
      </c>
      <c r="AG14" s="15" cm="1">
        <f t="array" ref="AG14">+HLOOKUP($A$1,+[54]İcmal!$B$19:$AG$49,ROW(A12)+1,FALSE)</f>
        <v>0</v>
      </c>
      <c r="AH14" s="15" cm="1">
        <f t="array" ref="AH14">+HLOOKUP($A$1,+[55]İcmal!$B$19:$AG$49,ROW(A12)+1,FALSE)</f>
        <v>0</v>
      </c>
      <c r="AI14" s="15" cm="1">
        <f t="array" ref="AI14">+HLOOKUP($A$1,+[56]İcmal!$B$19:$AG$49,ROW(A12)+1,FALSE)</f>
        <v>0</v>
      </c>
      <c r="AJ14" s="15" cm="1">
        <f t="array" ref="AJ14">+HLOOKUP($A$1,+[57]İcmal!$B$19:$AG$49,ROW(A12)+1,FALSE)</f>
        <v>0</v>
      </c>
      <c r="AK14" s="15" cm="1">
        <f t="array" ref="AK14">+HLOOKUP($A$1,+[58]İcmal!$B$19:$AG$49,ROW(B12)+1,FALSE)</f>
        <v>0</v>
      </c>
      <c r="AL14" s="15"/>
      <c r="AM14" s="15"/>
      <c r="AN14" s="15"/>
      <c r="AO14" s="13"/>
    </row>
    <row r="15" spans="1:41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+HLOOKUP($A$1,+[31]İcmal!$B$19:$AG$49,ROW(A13)+1,FALSE)</f>
        <v>0</v>
      </c>
      <c r="K15" s="15" cm="1">
        <f t="array" ref="K15">+HLOOKUP($A$1,+[32]İcmal!$B$19:$AG$49,ROW(B13)+1,FALSE)</f>
        <v>0</v>
      </c>
      <c r="L15" s="15" cm="1">
        <f t="array" ref="L15">+HLOOKUP($A$1,+[33]İcmal!$B$19:$AG$49,ROW(C13)+1,FALSE)</f>
        <v>0</v>
      </c>
      <c r="M15" s="15" cm="1">
        <f t="array" ref="M15">+HLOOKUP($A$1,+[34]İcmal!$B$19:$AG$49,ROW(D13)+1,FALSE)</f>
        <v>0</v>
      </c>
      <c r="N15" s="15" cm="1">
        <f t="array" ref="N15">+HLOOKUP($A$1,+[35]İcmal!$B$19:$AG$49,ROW(A13)+1,FALSE)</f>
        <v>0</v>
      </c>
      <c r="O15" s="15" cm="1">
        <f t="array" ref="O15">+HLOOKUP($A$1,+[36]İcmal!$B$19:$AG$49,ROW(B13)+1,FALSE)</f>
        <v>0</v>
      </c>
      <c r="P15" s="15" cm="1">
        <f t="array" ref="P15">+HLOOKUP($A$1,+[37]İcmal!$B$19:$AG$49,ROW(C13)+1,FALSE)</f>
        <v>0</v>
      </c>
      <c r="Q15" s="15" cm="1">
        <f t="array" ref="Q15">+HLOOKUP($A$1,+[38]İcmal!$B$19:$AG$49,ROW(D13)+1,FALSE)</f>
        <v>0</v>
      </c>
      <c r="R15" s="15" cm="1">
        <f t="array" ref="R15">+HLOOKUP($A$1,+[39]İcmal!$B$19:$AG$49,ROW(A13)+1,FALSE)</f>
        <v>0</v>
      </c>
      <c r="S15" s="15" cm="1">
        <f t="array" ref="S15">+HLOOKUP($A$1,+[40]İcmal!$B$19:$AG$49,ROW(B13)+1,FALSE)</f>
        <v>0</v>
      </c>
      <c r="T15" s="15" cm="1">
        <f t="array" ref="T15">+HLOOKUP($A$1,+[41]İcmal!$B$19:$AG$49,ROW(C13)+1,FALSE)</f>
        <v>0</v>
      </c>
      <c r="U15" s="15" cm="1">
        <f t="array" ref="U15">+HLOOKUP($A$1,+[42]İcmal!$B$19:$AG$49,ROW(D13)+1,FALSE)</f>
        <v>0</v>
      </c>
      <c r="V15" s="15" cm="1">
        <f t="array" ref="V15">+HLOOKUP($A$1,+[43]İcmal!$B$19:$AG$49,ROW(A13)+1,FALSE)</f>
        <v>0</v>
      </c>
      <c r="W15" s="15" cm="1">
        <f t="array" ref="W15">+HLOOKUP($A$1,+[44]İcmal!$B$19:$AG$49,ROW(B13)+1,FALSE)</f>
        <v>0</v>
      </c>
      <c r="X15" s="15" cm="1">
        <f t="array" ref="X15">+HLOOKUP($A$1,+[45]İcmal!$B$19:$AG$49,ROW(C13)+1,FALSE)</f>
        <v>0</v>
      </c>
      <c r="Y15" s="15" cm="1">
        <f t="array" ref="Y15">+HLOOKUP($A$1,+[46]İcmal!$B$19:$AG$49,ROW(D13)+1,FALSE)</f>
        <v>0</v>
      </c>
      <c r="Z15" s="15" cm="1">
        <f t="array" ref="Z15">+HLOOKUP($A$1,+[47]İcmal!$B$19:$AG$49,ROW(A13)+1,FALSE)</f>
        <v>0</v>
      </c>
      <c r="AA15" s="15" cm="1">
        <f t="array" ref="AA15">+HLOOKUP($A$1,+[48]İcmal!$B$19:$AG$49,ROW(B13)+1,FALSE)</f>
        <v>0</v>
      </c>
      <c r="AB15" s="15" cm="1">
        <f t="array" ref="AB15">+HLOOKUP($A$1,+[49]İcmal!$B$19:$AG$49,ROW(A13)+1,FALSE)</f>
        <v>0</v>
      </c>
      <c r="AC15" s="15" cm="1">
        <f t="array" ref="AC15">+HLOOKUP($A$1,+[50]İcmal!$B$19:$AG$49,ROW(A13)+1,FALSE)</f>
        <v>0</v>
      </c>
      <c r="AD15" s="15" cm="1">
        <f t="array" ref="AD15">+HLOOKUP($A$1,+[51]İcmal!$B$19:$AG$49,ROW(A13)+1,FALSE)</f>
        <v>0</v>
      </c>
      <c r="AE15" s="15" cm="1">
        <f t="array" ref="AE15">+HLOOKUP($A$1,+[52]İcmal!$B$19:$AG$49,ROW(A13)+1,FALSE)</f>
        <v>0</v>
      </c>
      <c r="AF15" s="50" cm="1">
        <f t="array" ref="AF15">+HLOOKUP($A$1,+[53]İcmal!$B$19:$AG$49,ROW(A13)+1,FALSE)</f>
        <v>0</v>
      </c>
      <c r="AG15" s="15" cm="1">
        <f t="array" ref="AG15">+HLOOKUP($A$1,+[54]İcmal!$B$19:$AG$49,ROW(A13)+1,FALSE)</f>
        <v>0</v>
      </c>
      <c r="AH15" s="15" cm="1">
        <f t="array" ref="AH15">+HLOOKUP($A$1,+[55]İcmal!$B$19:$AG$49,ROW(A13)+1,FALSE)</f>
        <v>0</v>
      </c>
      <c r="AI15" s="15" cm="1">
        <f t="array" ref="AI15">+HLOOKUP($A$1,+[56]İcmal!$B$19:$AG$49,ROW(A13)+1,FALSE)</f>
        <v>0</v>
      </c>
      <c r="AJ15" s="15" cm="1">
        <f t="array" ref="AJ15">+HLOOKUP($A$1,+[57]İcmal!$B$19:$AG$49,ROW(A13)+1,FALSE)</f>
        <v>0</v>
      </c>
      <c r="AK15" s="15" cm="1">
        <f t="array" ref="AK15">+HLOOKUP($A$1,+[58]İcmal!$B$19:$AG$49,ROW(B13)+1,FALSE)</f>
        <v>0</v>
      </c>
      <c r="AL15" s="15"/>
      <c r="AM15" s="15"/>
      <c r="AN15" s="15"/>
      <c r="AO15" s="13"/>
    </row>
    <row r="16" spans="1:41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160.91499999999999</v>
      </c>
      <c r="I16" s="9">
        <f t="shared" si="2"/>
        <v>16413330</v>
      </c>
      <c r="J16" s="15" cm="1">
        <f t="array" ref="J16">+HLOOKUP($A$1,+[31]İcmal!$B$19:$AG$49,ROW(A14)+1,FALSE)</f>
        <v>0</v>
      </c>
      <c r="K16" s="15" cm="1">
        <f t="array" ref="K16">+HLOOKUP($A$1,+[32]İcmal!$B$19:$AG$49,ROW(B14)+1,FALSE)</f>
        <v>0</v>
      </c>
      <c r="L16" s="15" cm="1">
        <f t="array" ref="L16">+HLOOKUP($A$1,+[33]İcmal!$B$19:$AG$49,ROW(C14)+1,FALSE)</f>
        <v>26.503</v>
      </c>
      <c r="M16" s="15" cm="1">
        <f t="array" ref="M16">+HLOOKUP($A$1,+[34]İcmal!$B$19:$AG$49,ROW(D14)+1,FALSE)</f>
        <v>25.240000000000002</v>
      </c>
      <c r="N16" s="15" cm="1">
        <f t="array" ref="N16">+HLOOKUP($A$1,+[35]İcmal!$B$19:$AG$49,ROW(A14)+1,FALSE)</f>
        <v>0</v>
      </c>
      <c r="O16" s="15" cm="1">
        <f t="array" ref="O16">+HLOOKUP($A$1,+[36]İcmal!$B$19:$AG$49,ROW(B14)+1,FALSE)</f>
        <v>29.236000000000001</v>
      </c>
      <c r="P16" s="15" cm="1">
        <f t="array" ref="P16">+HLOOKUP($A$1,+[37]İcmal!$B$19:$AG$49,ROW(C14)+1,FALSE)</f>
        <v>0</v>
      </c>
      <c r="Q16" s="15" cm="1">
        <f t="array" ref="Q16">+HLOOKUP($A$1,+[38]İcmal!$B$19:$AG$49,ROW(D14)+1,FALSE)</f>
        <v>0</v>
      </c>
      <c r="R16" s="15" cm="1">
        <f t="array" ref="R16">+HLOOKUP($A$1,+[39]İcmal!$B$19:$AG$49,ROW(A14)+1,FALSE)</f>
        <v>3.0209999999999995</v>
      </c>
      <c r="S16" s="15" cm="1">
        <f t="array" ref="S16">+HLOOKUP($A$1,+[40]İcmal!$B$19:$AG$49,ROW(B14)+1,FALSE)</f>
        <v>23.719999999999995</v>
      </c>
      <c r="T16" s="15" cm="1">
        <f t="array" ref="T16">+HLOOKUP($A$1,+[41]İcmal!$B$19:$AG$49,ROW(C14)+1,FALSE)</f>
        <v>0</v>
      </c>
      <c r="U16" s="15" cm="1">
        <f t="array" ref="U16">+HLOOKUP($A$1,+[42]İcmal!$B$19:$AG$49,ROW(D14)+1,FALSE)</f>
        <v>0</v>
      </c>
      <c r="V16" s="15" cm="1">
        <f t="array" ref="V16">+HLOOKUP($A$1,+[43]İcmal!$B$19:$AG$49,ROW(A14)+1,FALSE)</f>
        <v>0</v>
      </c>
      <c r="W16" s="15" cm="1">
        <f t="array" ref="W16">+HLOOKUP($A$1,+[44]İcmal!$B$19:$AG$49,ROW(B14)+1,FALSE)</f>
        <v>0</v>
      </c>
      <c r="X16" s="15" cm="1">
        <f t="array" ref="X16">+HLOOKUP($A$1,+[45]İcmal!$B$19:$AG$49,ROW(C14)+1,FALSE)</f>
        <v>23.291000000000004</v>
      </c>
      <c r="Y16" s="15" cm="1">
        <f t="array" ref="Y16">+HLOOKUP($A$1,+[46]İcmal!$B$19:$AG$49,ROW(D14)+1,FALSE)</f>
        <v>24.295999999999999</v>
      </c>
      <c r="Z16" s="15" cm="1">
        <f t="array" ref="Z16">+HLOOKUP($A$1,+[47]İcmal!$B$19:$AG$49,ROW(A14)+1,FALSE)</f>
        <v>0</v>
      </c>
      <c r="AA16" s="15" cm="1">
        <f t="array" ref="AA16">+HLOOKUP($A$1,+[48]İcmal!$B$19:$AG$49,ROW(B14)+1,FALSE)</f>
        <v>0</v>
      </c>
      <c r="AB16" s="15" cm="1">
        <f t="array" ref="AB16">+HLOOKUP($A$1,+[49]İcmal!$B$19:$AG$49,ROW(A14)+1,FALSE)</f>
        <v>0</v>
      </c>
      <c r="AC16" s="15" cm="1">
        <f t="array" ref="AC16">+HLOOKUP($A$1,+[50]İcmal!$B$19:$AG$49,ROW(A14)+1,FALSE)</f>
        <v>0</v>
      </c>
      <c r="AD16" s="15" cm="1">
        <f t="array" ref="AD16">+HLOOKUP($A$1,+[51]İcmal!$B$19:$AG$49,ROW(A14)+1,FALSE)</f>
        <v>4.0470000000000006</v>
      </c>
      <c r="AE16" s="15" cm="1">
        <f t="array" ref="AE16">+HLOOKUP($A$1,+[52]İcmal!$B$19:$AG$49,ROW(A14)+1,FALSE)</f>
        <v>0</v>
      </c>
      <c r="AF16" s="50" cm="1">
        <f t="array" ref="AF16">+HLOOKUP($A$1,+[53]İcmal!$B$19:$AG$49,ROW(A14)+1,FALSE)</f>
        <v>0</v>
      </c>
      <c r="AG16" s="15" cm="1">
        <f t="array" ref="AG16">+HLOOKUP($A$1,+[54]İcmal!$B$19:$AG$49,ROW(A14)+1,FALSE)</f>
        <v>0</v>
      </c>
      <c r="AH16" s="15" cm="1">
        <f t="array" ref="AH16">+HLOOKUP($A$1,+[55]İcmal!$B$19:$AG$49,ROW(A14)+1,FALSE)</f>
        <v>0</v>
      </c>
      <c r="AI16" s="15" cm="1">
        <f t="array" ref="AI16">+HLOOKUP($A$1,+[56]İcmal!$B$19:$AG$49,ROW(A14)+1,FALSE)</f>
        <v>0</v>
      </c>
      <c r="AJ16" s="15" cm="1">
        <f t="array" ref="AJ16">+HLOOKUP($A$1,+[57]İcmal!$B$19:$AG$49,ROW(A14)+1,FALSE)</f>
        <v>1.5609999999999999</v>
      </c>
      <c r="AK16" s="15" cm="1">
        <f t="array" ref="AK16">+HLOOKUP($A$1,+[58]İcmal!$B$19:$AG$49,ROW(B14)+1,FALSE)</f>
        <v>0</v>
      </c>
      <c r="AL16" s="15"/>
      <c r="AM16" s="15"/>
      <c r="AN16" s="15"/>
      <c r="AO16" s="13"/>
    </row>
    <row r="17" spans="1:41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3951</v>
      </c>
      <c r="I17" s="9">
        <f t="shared" si="2"/>
        <v>13433400</v>
      </c>
      <c r="J17" s="15" cm="1">
        <f t="array" ref="J17">+HLOOKUP($A$1,+[31]İcmal!$B$19:$AG$49,ROW(A15)+1,FALSE)</f>
        <v>0</v>
      </c>
      <c r="K17" s="15" cm="1">
        <f t="array" ref="K17">+HLOOKUP($A$1,+[32]İcmal!$B$19:$AG$49,ROW(B15)+1,FALSE)</f>
        <v>0</v>
      </c>
      <c r="L17" s="15" cm="1">
        <f t="array" ref="L17">+HLOOKUP($A$1,+[33]İcmal!$B$19:$AG$49,ROW(C15)+1,FALSE)</f>
        <v>0</v>
      </c>
      <c r="M17" s="15" cm="1">
        <f t="array" ref="M17">+HLOOKUP($A$1,+[34]İcmal!$B$19:$AG$49,ROW(D15)+1,FALSE)</f>
        <v>0</v>
      </c>
      <c r="N17" s="15" cm="1">
        <f t="array" ref="N17">+HLOOKUP($A$1,+[35]İcmal!$B$19:$AG$49,ROW(A15)+1,FALSE)</f>
        <v>0</v>
      </c>
      <c r="O17" s="15" cm="1">
        <f t="array" ref="O17">+HLOOKUP($A$1,+[36]İcmal!$B$19:$AG$49,ROW(B15)+1,FALSE)</f>
        <v>1692</v>
      </c>
      <c r="P17" s="15" cm="1">
        <f t="array" ref="P17">+HLOOKUP($A$1,+[37]İcmal!$B$19:$AG$49,ROW(C15)+1,FALSE)</f>
        <v>0</v>
      </c>
      <c r="Q17" s="15" cm="1">
        <f t="array" ref="Q17">+HLOOKUP($A$1,+[38]İcmal!$B$19:$AG$49,ROW(D15)+1,FALSE)</f>
        <v>0</v>
      </c>
      <c r="R17" s="15" cm="1">
        <f t="array" ref="R17">+HLOOKUP($A$1,+[39]İcmal!$B$19:$AG$49,ROW(A15)+1,FALSE)</f>
        <v>0</v>
      </c>
      <c r="S17" s="15" cm="1">
        <f t="array" ref="S17">+HLOOKUP($A$1,+[40]İcmal!$B$19:$AG$49,ROW(B15)+1,FALSE)</f>
        <v>1269</v>
      </c>
      <c r="T17" s="15" cm="1">
        <f t="array" ref="T17">+HLOOKUP($A$1,+[41]İcmal!$B$19:$AG$49,ROW(C15)+1,FALSE)</f>
        <v>0</v>
      </c>
      <c r="U17" s="15" cm="1">
        <f t="array" ref="U17">+HLOOKUP($A$1,+[42]İcmal!$B$19:$AG$49,ROW(D15)+1,FALSE)</f>
        <v>0</v>
      </c>
      <c r="V17" s="15" cm="1">
        <f t="array" ref="V17">+HLOOKUP($A$1,+[43]İcmal!$B$19:$AG$49,ROW(A15)+1,FALSE)</f>
        <v>0</v>
      </c>
      <c r="W17" s="15" cm="1">
        <f t="array" ref="W17">+HLOOKUP($A$1,+[44]İcmal!$B$19:$AG$49,ROW(B15)+1,FALSE)</f>
        <v>0</v>
      </c>
      <c r="X17" s="15" cm="1">
        <f t="array" ref="X17">+HLOOKUP($A$1,+[45]İcmal!$B$19:$AG$49,ROW(C15)+1,FALSE)</f>
        <v>0</v>
      </c>
      <c r="Y17" s="15" cm="1">
        <f t="array" ref="Y17">+HLOOKUP($A$1,+[46]İcmal!$B$19:$AG$49,ROW(D15)+1,FALSE)</f>
        <v>0</v>
      </c>
      <c r="Z17" s="15" cm="1">
        <f t="array" ref="Z17">+HLOOKUP($A$1,+[47]İcmal!$B$19:$AG$49,ROW(A15)+1,FALSE)</f>
        <v>0</v>
      </c>
      <c r="AA17" s="15" cm="1">
        <f t="array" ref="AA17">+HLOOKUP($A$1,+[48]İcmal!$B$19:$AG$49,ROW(B15)+1,FALSE)</f>
        <v>0</v>
      </c>
      <c r="AB17" s="15" cm="1">
        <f t="array" ref="AB17">+HLOOKUP($A$1,+[49]İcmal!$B$19:$AG$49,ROW(A15)+1,FALSE)</f>
        <v>0</v>
      </c>
      <c r="AC17" s="15" cm="1">
        <f t="array" ref="AC17">+HLOOKUP($A$1,+[50]İcmal!$B$19:$AG$49,ROW(A15)+1,FALSE)</f>
        <v>0</v>
      </c>
      <c r="AD17" s="15" cm="1">
        <f t="array" ref="AD17">+HLOOKUP($A$1,+[51]İcmal!$B$19:$AG$49,ROW(A15)+1,FALSE)</f>
        <v>657</v>
      </c>
      <c r="AE17" s="15" cm="1">
        <f t="array" ref="AE17">+HLOOKUP($A$1,+[52]İcmal!$B$19:$AG$49,ROW(A15)+1,FALSE)</f>
        <v>0</v>
      </c>
      <c r="AF17" s="50" cm="1">
        <f t="array" ref="AF17">+HLOOKUP($A$1,+[53]İcmal!$B$19:$AG$49,ROW(A15)+1,FALSE)</f>
        <v>0</v>
      </c>
      <c r="AG17" s="15" cm="1">
        <f t="array" ref="AG17">+HLOOKUP($A$1,+[54]İcmal!$B$19:$AG$49,ROW(A15)+1,FALSE)</f>
        <v>0</v>
      </c>
      <c r="AH17" s="15" cm="1">
        <f t="array" ref="AH17">+HLOOKUP($A$1,+[55]İcmal!$B$19:$AG$49,ROW(A15)+1,FALSE)</f>
        <v>0</v>
      </c>
      <c r="AI17" s="15" cm="1">
        <f t="array" ref="AI17">+HLOOKUP($A$1,+[56]İcmal!$B$19:$AG$49,ROW(A15)+1,FALSE)</f>
        <v>0</v>
      </c>
      <c r="AJ17" s="15" cm="1">
        <f t="array" ref="AJ17">+HLOOKUP($A$1,+[57]İcmal!$B$19:$AG$49,ROW(A15)+1,FALSE)</f>
        <v>333</v>
      </c>
      <c r="AK17" s="15" cm="1">
        <f t="array" ref="AK17">+HLOOKUP($A$1,+[58]İcmal!$B$19:$AG$49,ROW(B15)+1,FALSE)</f>
        <v>0</v>
      </c>
      <c r="AL17" s="15"/>
      <c r="AM17" s="15"/>
      <c r="AN17" s="15"/>
      <c r="AO17" s="13"/>
    </row>
    <row r="18" spans="1:41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+HLOOKUP($A$1,+[31]İcmal!$B$19:$AG$49,ROW(A16)+1,FALSE)</f>
        <v>0</v>
      </c>
      <c r="K18" s="15" cm="1">
        <f t="array" ref="K18">+HLOOKUP($A$1,+[32]İcmal!$B$19:$AG$49,ROW(B16)+1,FALSE)</f>
        <v>0</v>
      </c>
      <c r="L18" s="15" cm="1">
        <f t="array" ref="L18">+HLOOKUP($A$1,+[33]İcmal!$B$19:$AG$49,ROW(C16)+1,FALSE)</f>
        <v>0</v>
      </c>
      <c r="M18" s="15" cm="1">
        <f t="array" ref="M18">+HLOOKUP($A$1,+[34]İcmal!$B$19:$AG$49,ROW(D16)+1,FALSE)</f>
        <v>0</v>
      </c>
      <c r="N18" s="15" cm="1">
        <f t="array" ref="N18">+HLOOKUP($A$1,+[35]İcmal!$B$19:$AG$49,ROW(A16)+1,FALSE)</f>
        <v>0</v>
      </c>
      <c r="O18" s="15" cm="1">
        <f t="array" ref="O18">+HLOOKUP($A$1,+[36]İcmal!$B$19:$AG$49,ROW(B16)+1,FALSE)</f>
        <v>0</v>
      </c>
      <c r="P18" s="15" cm="1">
        <f t="array" ref="P18">+HLOOKUP($A$1,+[37]İcmal!$B$19:$AG$49,ROW(C16)+1,FALSE)</f>
        <v>0</v>
      </c>
      <c r="Q18" s="15" cm="1">
        <f t="array" ref="Q18">+HLOOKUP($A$1,+[38]İcmal!$B$19:$AG$49,ROW(D16)+1,FALSE)</f>
        <v>0</v>
      </c>
      <c r="R18" s="15" cm="1">
        <f t="array" ref="R18">+HLOOKUP($A$1,+[39]İcmal!$B$19:$AG$49,ROW(A16)+1,FALSE)</f>
        <v>0</v>
      </c>
      <c r="S18" s="15" cm="1">
        <f t="array" ref="S18">+HLOOKUP($A$1,+[40]İcmal!$B$19:$AG$49,ROW(B16)+1,FALSE)</f>
        <v>0</v>
      </c>
      <c r="T18" s="15" cm="1">
        <f t="array" ref="T18">+HLOOKUP($A$1,+[41]İcmal!$B$19:$AG$49,ROW(C16)+1,FALSE)</f>
        <v>0</v>
      </c>
      <c r="U18" s="15" cm="1">
        <f t="array" ref="U18">+HLOOKUP($A$1,+[42]İcmal!$B$19:$AG$49,ROW(D16)+1,FALSE)</f>
        <v>0</v>
      </c>
      <c r="V18" s="15" cm="1">
        <f t="array" ref="V18">+HLOOKUP($A$1,+[43]İcmal!$B$19:$AG$49,ROW(A16)+1,FALSE)</f>
        <v>0</v>
      </c>
      <c r="W18" s="15" cm="1">
        <f t="array" ref="W18">+HLOOKUP($A$1,+[44]İcmal!$B$19:$AG$49,ROW(B16)+1,FALSE)</f>
        <v>0</v>
      </c>
      <c r="X18" s="15" cm="1">
        <f t="array" ref="X18">+HLOOKUP($A$1,+[45]İcmal!$B$19:$AG$49,ROW(C16)+1,FALSE)</f>
        <v>0</v>
      </c>
      <c r="Y18" s="15" cm="1">
        <f t="array" ref="Y18">+HLOOKUP($A$1,+[46]İcmal!$B$19:$AG$49,ROW(D16)+1,FALSE)</f>
        <v>0</v>
      </c>
      <c r="Z18" s="15" cm="1">
        <f t="array" ref="Z18">+HLOOKUP($A$1,+[47]İcmal!$B$19:$AG$49,ROW(A16)+1,FALSE)</f>
        <v>0</v>
      </c>
      <c r="AA18" s="15" cm="1">
        <f t="array" ref="AA18">+HLOOKUP($A$1,+[48]İcmal!$B$19:$AG$49,ROW(B16)+1,FALSE)</f>
        <v>0</v>
      </c>
      <c r="AB18" s="15" cm="1">
        <f t="array" ref="AB18">+HLOOKUP($A$1,+[49]İcmal!$B$19:$AG$49,ROW(A16)+1,FALSE)</f>
        <v>0</v>
      </c>
      <c r="AC18" s="15" cm="1">
        <f t="array" ref="AC18">+HLOOKUP($A$1,+[50]İcmal!$B$19:$AG$49,ROW(A16)+1,FALSE)</f>
        <v>0</v>
      </c>
      <c r="AD18" s="15" cm="1">
        <f t="array" ref="AD18">+HLOOKUP($A$1,+[51]İcmal!$B$19:$AG$49,ROW(A16)+1,FALSE)</f>
        <v>0</v>
      </c>
      <c r="AE18" s="15" cm="1">
        <f t="array" ref="AE18">+HLOOKUP($A$1,+[52]İcmal!$B$19:$AG$49,ROW(A16)+1,FALSE)</f>
        <v>0</v>
      </c>
      <c r="AF18" s="50" cm="1">
        <f t="array" ref="AF18">+HLOOKUP($A$1,+[53]İcmal!$B$19:$AG$49,ROW(A16)+1,FALSE)</f>
        <v>0</v>
      </c>
      <c r="AG18" s="15" cm="1">
        <f t="array" ref="AG18">+HLOOKUP($A$1,+[54]İcmal!$B$19:$AG$49,ROW(A16)+1,FALSE)</f>
        <v>0</v>
      </c>
      <c r="AH18" s="15" cm="1">
        <f t="array" ref="AH18">+HLOOKUP($A$1,+[55]İcmal!$B$19:$AG$49,ROW(A16)+1,FALSE)</f>
        <v>0</v>
      </c>
      <c r="AI18" s="15" cm="1">
        <f t="array" ref="AI18">+HLOOKUP($A$1,+[56]İcmal!$B$19:$AG$49,ROW(A16)+1,FALSE)</f>
        <v>0</v>
      </c>
      <c r="AJ18" s="15" cm="1">
        <f t="array" ref="AJ18">+HLOOKUP($A$1,+[57]İcmal!$B$19:$AG$49,ROW(A16)+1,FALSE)</f>
        <v>0</v>
      </c>
      <c r="AK18" s="15" cm="1">
        <f t="array" ref="AK18">+HLOOKUP($A$1,+[58]İcmal!$B$19:$AG$49,ROW(B16)+1,FALSE)</f>
        <v>0</v>
      </c>
      <c r="AL18" s="15"/>
      <c r="AM18" s="15"/>
      <c r="AN18" s="15"/>
      <c r="AO18" s="13"/>
    </row>
    <row r="19" spans="1:41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+HLOOKUP($A$1,+[31]İcmal!$B$19:$AG$49,ROW(A17)+1,FALSE)</f>
        <v>0</v>
      </c>
      <c r="K19" s="15" cm="1">
        <f t="array" ref="K19">+HLOOKUP($A$1,+[32]İcmal!$B$19:$AG$49,ROW(B17)+1,FALSE)</f>
        <v>0</v>
      </c>
      <c r="L19" s="15" cm="1">
        <f t="array" ref="L19">+HLOOKUP($A$1,+[33]İcmal!$B$19:$AG$49,ROW(C17)+1,FALSE)</f>
        <v>0</v>
      </c>
      <c r="M19" s="15" cm="1">
        <f t="array" ref="M19">+HLOOKUP($A$1,+[34]İcmal!$B$19:$AG$49,ROW(D17)+1,FALSE)</f>
        <v>0</v>
      </c>
      <c r="N19" s="15" cm="1">
        <f t="array" ref="N19">+HLOOKUP($A$1,+[35]İcmal!$B$19:$AG$49,ROW(A17)+1,FALSE)</f>
        <v>0</v>
      </c>
      <c r="O19" s="15" cm="1">
        <f t="array" ref="O19">+HLOOKUP($A$1,+[36]İcmal!$B$19:$AG$49,ROW(B17)+1,FALSE)</f>
        <v>0</v>
      </c>
      <c r="P19" s="15" cm="1">
        <f t="array" ref="P19">+HLOOKUP($A$1,+[37]İcmal!$B$19:$AG$49,ROW(C17)+1,FALSE)</f>
        <v>0</v>
      </c>
      <c r="Q19" s="15" cm="1">
        <f t="array" ref="Q19">+HLOOKUP($A$1,+[38]İcmal!$B$19:$AG$49,ROW(D17)+1,FALSE)</f>
        <v>0</v>
      </c>
      <c r="R19" s="15" cm="1">
        <f t="array" ref="R19">+HLOOKUP($A$1,+[39]İcmal!$B$19:$AG$49,ROW(A17)+1,FALSE)</f>
        <v>0</v>
      </c>
      <c r="S19" s="15" cm="1">
        <f t="array" ref="S19">+HLOOKUP($A$1,+[40]İcmal!$B$19:$AG$49,ROW(B17)+1,FALSE)</f>
        <v>0</v>
      </c>
      <c r="T19" s="15" cm="1">
        <f t="array" ref="T19">+HLOOKUP($A$1,+[41]İcmal!$B$19:$AG$49,ROW(C17)+1,FALSE)</f>
        <v>0</v>
      </c>
      <c r="U19" s="15" cm="1">
        <f t="array" ref="U19">+HLOOKUP($A$1,+[42]İcmal!$B$19:$AG$49,ROW(D17)+1,FALSE)</f>
        <v>0</v>
      </c>
      <c r="V19" s="15" cm="1">
        <f t="array" ref="V19">+HLOOKUP($A$1,+[43]İcmal!$B$19:$AG$49,ROW(A17)+1,FALSE)</f>
        <v>0</v>
      </c>
      <c r="W19" s="15" cm="1">
        <f t="array" ref="W19">+HLOOKUP($A$1,+[44]İcmal!$B$19:$AG$49,ROW(B17)+1,FALSE)</f>
        <v>0</v>
      </c>
      <c r="X19" s="15" cm="1">
        <f t="array" ref="X19">+HLOOKUP($A$1,+[45]İcmal!$B$19:$AG$49,ROW(C17)+1,FALSE)</f>
        <v>0</v>
      </c>
      <c r="Y19" s="15" cm="1">
        <f t="array" ref="Y19">+HLOOKUP($A$1,+[46]İcmal!$B$19:$AG$49,ROW(D17)+1,FALSE)</f>
        <v>0</v>
      </c>
      <c r="Z19" s="15" cm="1">
        <f t="array" ref="Z19">+HLOOKUP($A$1,+[47]İcmal!$B$19:$AG$49,ROW(A17)+1,FALSE)</f>
        <v>0</v>
      </c>
      <c r="AA19" s="15" cm="1">
        <f t="array" ref="AA19">+HLOOKUP($A$1,+[48]İcmal!$B$19:$AG$49,ROW(B17)+1,FALSE)</f>
        <v>0</v>
      </c>
      <c r="AB19" s="15" cm="1">
        <f t="array" ref="AB19">+HLOOKUP($A$1,+[49]İcmal!$B$19:$AG$49,ROW(A17)+1,FALSE)</f>
        <v>0</v>
      </c>
      <c r="AC19" s="15" cm="1">
        <f t="array" ref="AC19">+HLOOKUP($A$1,+[50]İcmal!$B$19:$AG$49,ROW(A17)+1,FALSE)</f>
        <v>0</v>
      </c>
      <c r="AD19" s="15" cm="1">
        <f t="array" ref="AD19">+HLOOKUP($A$1,+[51]İcmal!$B$19:$AG$49,ROW(A17)+1,FALSE)</f>
        <v>0</v>
      </c>
      <c r="AE19" s="15" cm="1">
        <f t="array" ref="AE19">+HLOOKUP($A$1,+[52]İcmal!$B$19:$AG$49,ROW(A17)+1,FALSE)</f>
        <v>0</v>
      </c>
      <c r="AF19" s="50" cm="1">
        <f t="array" ref="AF19">+HLOOKUP($A$1,+[53]İcmal!$B$19:$AG$49,ROW(A17)+1,FALSE)</f>
        <v>0</v>
      </c>
      <c r="AG19" s="15" cm="1">
        <f t="array" ref="AG19">+HLOOKUP($A$1,+[54]İcmal!$B$19:$AG$49,ROW(A17)+1,FALSE)</f>
        <v>0</v>
      </c>
      <c r="AH19" s="15" cm="1">
        <f t="array" ref="AH19">+HLOOKUP($A$1,+[55]İcmal!$B$19:$AG$49,ROW(A17)+1,FALSE)</f>
        <v>0</v>
      </c>
      <c r="AI19" s="15" cm="1">
        <f t="array" ref="AI19">+HLOOKUP($A$1,+[56]İcmal!$B$19:$AG$49,ROW(A17)+1,FALSE)</f>
        <v>0</v>
      </c>
      <c r="AJ19" s="15" cm="1">
        <f t="array" ref="AJ19">+HLOOKUP($A$1,+[57]İcmal!$B$19:$AG$49,ROW(A17)+1,FALSE)</f>
        <v>0</v>
      </c>
      <c r="AK19" s="15" cm="1">
        <f t="array" ref="AK19">+HLOOKUP($A$1,+[58]İcmal!$B$19:$AG$49,ROW(B17)+1,FALSE)</f>
        <v>0</v>
      </c>
      <c r="AL19" s="15"/>
      <c r="AM19" s="15"/>
      <c r="AN19" s="15"/>
      <c r="AO19" s="13"/>
    </row>
    <row r="20" spans="1:41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+HLOOKUP($A$1,+[31]İcmal!$B$19:$AG$49,ROW(A18)+1,FALSE)</f>
        <v>0</v>
      </c>
      <c r="K20" s="15" cm="1">
        <f t="array" ref="K20">+HLOOKUP($A$1,+[32]İcmal!$B$19:$AG$49,ROW(B18)+1,FALSE)</f>
        <v>0</v>
      </c>
      <c r="L20" s="15" cm="1">
        <f t="array" ref="L20">+HLOOKUP($A$1,+[33]İcmal!$B$19:$AG$49,ROW(C18)+1,FALSE)</f>
        <v>0</v>
      </c>
      <c r="M20" s="15" cm="1">
        <f t="array" ref="M20">+HLOOKUP($A$1,+[34]İcmal!$B$19:$AG$49,ROW(D18)+1,FALSE)</f>
        <v>0</v>
      </c>
      <c r="N20" s="15" cm="1">
        <f t="array" ref="N20">+HLOOKUP($A$1,+[35]İcmal!$B$19:$AG$49,ROW(A18)+1,FALSE)</f>
        <v>0</v>
      </c>
      <c r="O20" s="15" cm="1">
        <f t="array" ref="O20">+HLOOKUP($A$1,+[36]İcmal!$B$19:$AG$49,ROW(B18)+1,FALSE)</f>
        <v>0</v>
      </c>
      <c r="P20" s="15" cm="1">
        <f t="array" ref="P20">+HLOOKUP($A$1,+[37]İcmal!$B$19:$AG$49,ROW(C18)+1,FALSE)</f>
        <v>0</v>
      </c>
      <c r="Q20" s="15" cm="1">
        <f t="array" ref="Q20">+HLOOKUP($A$1,+[38]İcmal!$B$19:$AG$49,ROW(D18)+1,FALSE)</f>
        <v>0</v>
      </c>
      <c r="R20" s="15" cm="1">
        <f t="array" ref="R20">+HLOOKUP($A$1,+[39]İcmal!$B$19:$AG$49,ROW(A18)+1,FALSE)</f>
        <v>0</v>
      </c>
      <c r="S20" s="15" cm="1">
        <f t="array" ref="S20">+HLOOKUP($A$1,+[40]İcmal!$B$19:$AG$49,ROW(B18)+1,FALSE)</f>
        <v>0</v>
      </c>
      <c r="T20" s="15" cm="1">
        <f t="array" ref="T20">+HLOOKUP($A$1,+[41]İcmal!$B$19:$AG$49,ROW(C18)+1,FALSE)</f>
        <v>0</v>
      </c>
      <c r="U20" s="15" cm="1">
        <f t="array" ref="U20">+HLOOKUP($A$1,+[42]İcmal!$B$19:$AG$49,ROW(D18)+1,FALSE)</f>
        <v>0</v>
      </c>
      <c r="V20" s="15" cm="1">
        <f t="array" ref="V20">+HLOOKUP($A$1,+[43]İcmal!$B$19:$AG$49,ROW(A18)+1,FALSE)</f>
        <v>0</v>
      </c>
      <c r="W20" s="15" cm="1">
        <f t="array" ref="W20">+HLOOKUP($A$1,+[44]İcmal!$B$19:$AG$49,ROW(B18)+1,FALSE)</f>
        <v>0</v>
      </c>
      <c r="X20" s="15" cm="1">
        <f t="array" ref="X20">+HLOOKUP($A$1,+[45]İcmal!$B$19:$AG$49,ROW(C18)+1,FALSE)</f>
        <v>0</v>
      </c>
      <c r="Y20" s="15" cm="1">
        <f t="array" ref="Y20">+HLOOKUP($A$1,+[46]İcmal!$B$19:$AG$49,ROW(D18)+1,FALSE)</f>
        <v>0</v>
      </c>
      <c r="Z20" s="15" cm="1">
        <f t="array" ref="Z20">+HLOOKUP($A$1,+[47]İcmal!$B$19:$AG$49,ROW(A18)+1,FALSE)</f>
        <v>0</v>
      </c>
      <c r="AA20" s="15" cm="1">
        <f t="array" ref="AA20">+HLOOKUP($A$1,+[48]İcmal!$B$19:$AG$49,ROW(B18)+1,FALSE)</f>
        <v>0</v>
      </c>
      <c r="AB20" s="15" cm="1">
        <f t="array" ref="AB20">+HLOOKUP($A$1,+[49]İcmal!$B$19:$AG$49,ROW(A18)+1,FALSE)</f>
        <v>0</v>
      </c>
      <c r="AC20" s="15" cm="1">
        <f t="array" ref="AC20">+HLOOKUP($A$1,+[50]İcmal!$B$19:$AG$49,ROW(A18)+1,FALSE)</f>
        <v>0</v>
      </c>
      <c r="AD20" s="15" cm="1">
        <f t="array" ref="AD20">+HLOOKUP($A$1,+[51]İcmal!$B$19:$AG$49,ROW(A18)+1,FALSE)</f>
        <v>0</v>
      </c>
      <c r="AE20" s="15" cm="1">
        <f t="array" ref="AE20">+HLOOKUP($A$1,+[52]İcmal!$B$19:$AG$49,ROW(A18)+1,FALSE)</f>
        <v>0</v>
      </c>
      <c r="AF20" s="50" cm="1">
        <f t="array" ref="AF20">+HLOOKUP($A$1,+[53]İcmal!$B$19:$AG$49,ROW(A18)+1,FALSE)</f>
        <v>0</v>
      </c>
      <c r="AG20" s="15" cm="1">
        <f t="array" ref="AG20">+HLOOKUP($A$1,+[54]İcmal!$B$19:$AG$49,ROW(A18)+1,FALSE)</f>
        <v>0</v>
      </c>
      <c r="AH20" s="15" cm="1">
        <f t="array" ref="AH20">+HLOOKUP($A$1,+[55]İcmal!$B$19:$AG$49,ROW(A18)+1,FALSE)</f>
        <v>0</v>
      </c>
      <c r="AI20" s="15" cm="1">
        <f t="array" ref="AI20">+HLOOKUP($A$1,+[56]İcmal!$B$19:$AG$49,ROW(A18)+1,FALSE)</f>
        <v>0</v>
      </c>
      <c r="AJ20" s="15" cm="1">
        <f t="array" ref="AJ20">+HLOOKUP($A$1,+[57]İcmal!$B$19:$AG$49,ROW(A18)+1,FALSE)</f>
        <v>0</v>
      </c>
      <c r="AK20" s="15" cm="1">
        <f t="array" ref="AK20">+HLOOKUP($A$1,+[58]İcmal!$B$19:$AG$49,ROW(B18)+1,FALSE)</f>
        <v>0</v>
      </c>
      <c r="AL20" s="15"/>
      <c r="AM20" s="15"/>
      <c r="AN20" s="15"/>
      <c r="AO20" s="13"/>
    </row>
    <row r="21" spans="1:41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+HLOOKUP($A$1,+[31]İcmal!$B$19:$AG$49,ROW(A19)+1,FALSE)</f>
        <v>0</v>
      </c>
      <c r="K21" s="15" cm="1">
        <f t="array" ref="K21">+HLOOKUP($A$1,+[32]İcmal!$B$19:$AG$49,ROW(B19)+1,FALSE)</f>
        <v>0</v>
      </c>
      <c r="L21" s="15" cm="1">
        <f t="array" ref="L21">+HLOOKUP($A$1,+[33]İcmal!$B$19:$AG$49,ROW(C19)+1,FALSE)</f>
        <v>0</v>
      </c>
      <c r="M21" s="15" cm="1">
        <f t="array" ref="M21">+HLOOKUP($A$1,+[34]İcmal!$B$19:$AG$49,ROW(D19)+1,FALSE)</f>
        <v>0</v>
      </c>
      <c r="N21" s="15" cm="1">
        <f t="array" ref="N21">+HLOOKUP($A$1,+[35]İcmal!$B$19:$AG$49,ROW(A19)+1,FALSE)</f>
        <v>0</v>
      </c>
      <c r="O21" s="15" cm="1">
        <f t="array" ref="O21">+HLOOKUP($A$1,+[36]İcmal!$B$19:$AG$49,ROW(B19)+1,FALSE)</f>
        <v>0</v>
      </c>
      <c r="P21" s="15" cm="1">
        <f t="array" ref="P21">+HLOOKUP($A$1,+[37]İcmal!$B$19:$AG$49,ROW(C19)+1,FALSE)</f>
        <v>0</v>
      </c>
      <c r="Q21" s="15" cm="1">
        <f t="array" ref="Q21">+HLOOKUP($A$1,+[38]İcmal!$B$19:$AG$49,ROW(D19)+1,FALSE)</f>
        <v>0</v>
      </c>
      <c r="R21" s="15" cm="1">
        <f t="array" ref="R21">+HLOOKUP($A$1,+[39]İcmal!$B$19:$AG$49,ROW(A19)+1,FALSE)</f>
        <v>0</v>
      </c>
      <c r="S21" s="15" cm="1">
        <f t="array" ref="S21">+HLOOKUP($A$1,+[40]İcmal!$B$19:$AG$49,ROW(B19)+1,FALSE)</f>
        <v>0</v>
      </c>
      <c r="T21" s="15" cm="1">
        <f t="array" ref="T21">+HLOOKUP($A$1,+[41]İcmal!$B$19:$AG$49,ROW(C19)+1,FALSE)</f>
        <v>0</v>
      </c>
      <c r="U21" s="15" cm="1">
        <f t="array" ref="U21">+HLOOKUP($A$1,+[42]İcmal!$B$19:$AG$49,ROW(D19)+1,FALSE)</f>
        <v>0</v>
      </c>
      <c r="V21" s="15" cm="1">
        <f t="array" ref="V21">+HLOOKUP($A$1,+[43]İcmal!$B$19:$AG$49,ROW(A19)+1,FALSE)</f>
        <v>0</v>
      </c>
      <c r="W21" s="15" cm="1">
        <f t="array" ref="W21">+HLOOKUP($A$1,+[44]İcmal!$B$19:$AG$49,ROW(B19)+1,FALSE)</f>
        <v>0</v>
      </c>
      <c r="X21" s="15" cm="1">
        <f t="array" ref="X21">+HLOOKUP($A$1,+[45]İcmal!$B$19:$AG$49,ROW(C19)+1,FALSE)</f>
        <v>0</v>
      </c>
      <c r="Y21" s="15" cm="1">
        <f t="array" ref="Y21">+HLOOKUP($A$1,+[46]İcmal!$B$19:$AG$49,ROW(D19)+1,FALSE)</f>
        <v>0</v>
      </c>
      <c r="Z21" s="15" cm="1">
        <f t="array" ref="Z21">+HLOOKUP($A$1,+[47]İcmal!$B$19:$AG$49,ROW(A19)+1,FALSE)</f>
        <v>0</v>
      </c>
      <c r="AA21" s="15" cm="1">
        <f t="array" ref="AA21">+HLOOKUP($A$1,+[48]İcmal!$B$19:$AG$49,ROW(B19)+1,FALSE)</f>
        <v>0</v>
      </c>
      <c r="AB21" s="15" cm="1">
        <f t="array" ref="AB21">+HLOOKUP($A$1,+[49]İcmal!$B$19:$AG$49,ROW(A19)+1,FALSE)</f>
        <v>0</v>
      </c>
      <c r="AC21" s="15" cm="1">
        <f t="array" ref="AC21">+HLOOKUP($A$1,+[50]İcmal!$B$19:$AG$49,ROW(A19)+1,FALSE)</f>
        <v>0</v>
      </c>
      <c r="AD21" s="15" cm="1">
        <f t="array" ref="AD21">+HLOOKUP($A$1,+[51]İcmal!$B$19:$AG$49,ROW(A19)+1,FALSE)</f>
        <v>0</v>
      </c>
      <c r="AE21" s="15" cm="1">
        <f t="array" ref="AE21">+HLOOKUP($A$1,+[52]İcmal!$B$19:$AG$49,ROW(A19)+1,FALSE)</f>
        <v>0</v>
      </c>
      <c r="AF21" s="50" cm="1">
        <f t="array" ref="AF21">+HLOOKUP($A$1,+[53]İcmal!$B$19:$AG$49,ROW(A19)+1,FALSE)</f>
        <v>0</v>
      </c>
      <c r="AG21" s="15" cm="1">
        <f t="array" ref="AG21">+HLOOKUP($A$1,+[54]İcmal!$B$19:$AG$49,ROW(A19)+1,FALSE)</f>
        <v>0</v>
      </c>
      <c r="AH21" s="15" cm="1">
        <f t="array" ref="AH21">+HLOOKUP($A$1,+[55]İcmal!$B$19:$AG$49,ROW(A19)+1,FALSE)</f>
        <v>0</v>
      </c>
      <c r="AI21" s="15" cm="1">
        <f t="array" ref="AI21">+HLOOKUP($A$1,+[56]İcmal!$B$19:$AG$49,ROW(A19)+1,FALSE)</f>
        <v>0</v>
      </c>
      <c r="AJ21" s="15" cm="1">
        <f t="array" ref="AJ21">+HLOOKUP($A$1,+[57]İcmal!$B$19:$AG$49,ROW(A19)+1,FALSE)</f>
        <v>0</v>
      </c>
      <c r="AK21" s="15" cm="1">
        <f t="array" ref="AK21">+HLOOKUP($A$1,+[58]İcmal!$B$19:$AG$49,ROW(B19)+1,FALSE)</f>
        <v>0</v>
      </c>
      <c r="AL21" s="15"/>
      <c r="AM21" s="15"/>
      <c r="AN21" s="15"/>
      <c r="AO21" s="13"/>
    </row>
    <row r="22" spans="1:41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+HLOOKUP($A$1,+[31]İcmal!$B$19:$AG$49,ROW(A20)+1,FALSE)</f>
        <v>0</v>
      </c>
      <c r="K22" s="15" cm="1">
        <f t="array" ref="K22">+HLOOKUP($A$1,+[32]İcmal!$B$19:$AG$49,ROW(B20)+1,FALSE)</f>
        <v>0</v>
      </c>
      <c r="L22" s="15" cm="1">
        <f t="array" ref="L22">+HLOOKUP($A$1,+[33]İcmal!$B$19:$AG$49,ROW(C20)+1,FALSE)</f>
        <v>0</v>
      </c>
      <c r="M22" s="15" cm="1">
        <f t="array" ref="M22">+HLOOKUP($A$1,+[34]İcmal!$B$19:$AG$49,ROW(D20)+1,FALSE)</f>
        <v>0</v>
      </c>
      <c r="N22" s="15" cm="1">
        <f t="array" ref="N22">+HLOOKUP($A$1,+[35]İcmal!$B$19:$AG$49,ROW(A20)+1,FALSE)</f>
        <v>0</v>
      </c>
      <c r="O22" s="15" cm="1">
        <f t="array" ref="O22">+HLOOKUP($A$1,+[36]İcmal!$B$19:$AG$49,ROW(B20)+1,FALSE)</f>
        <v>0</v>
      </c>
      <c r="P22" s="15" cm="1">
        <f t="array" ref="P22">+HLOOKUP($A$1,+[37]İcmal!$B$19:$AG$49,ROW(C20)+1,FALSE)</f>
        <v>0</v>
      </c>
      <c r="Q22" s="15" cm="1">
        <f t="array" ref="Q22">+HLOOKUP($A$1,+[38]İcmal!$B$19:$AG$49,ROW(D20)+1,FALSE)</f>
        <v>0</v>
      </c>
      <c r="R22" s="15" cm="1">
        <f t="array" ref="R22">+HLOOKUP($A$1,+[39]İcmal!$B$19:$AG$49,ROW(A20)+1,FALSE)</f>
        <v>0</v>
      </c>
      <c r="S22" s="15" cm="1">
        <f t="array" ref="S22">+HLOOKUP($A$1,+[40]İcmal!$B$19:$AG$49,ROW(B20)+1,FALSE)</f>
        <v>0</v>
      </c>
      <c r="T22" s="15" cm="1">
        <f t="array" ref="T22">+HLOOKUP($A$1,+[41]İcmal!$B$19:$AG$49,ROW(C20)+1,FALSE)</f>
        <v>0</v>
      </c>
      <c r="U22" s="15" cm="1">
        <f t="array" ref="U22">+HLOOKUP($A$1,+[42]İcmal!$B$19:$AG$49,ROW(D20)+1,FALSE)</f>
        <v>0</v>
      </c>
      <c r="V22" s="15" cm="1">
        <f t="array" ref="V22">+HLOOKUP($A$1,+[43]İcmal!$B$19:$AG$49,ROW(A20)+1,FALSE)</f>
        <v>0</v>
      </c>
      <c r="W22" s="15" cm="1">
        <f t="array" ref="W22">+HLOOKUP($A$1,+[44]İcmal!$B$19:$AG$49,ROW(B20)+1,FALSE)</f>
        <v>0</v>
      </c>
      <c r="X22" s="15" cm="1">
        <f t="array" ref="X22">+HLOOKUP($A$1,+[45]İcmal!$B$19:$AG$49,ROW(C20)+1,FALSE)</f>
        <v>0</v>
      </c>
      <c r="Y22" s="15" cm="1">
        <f t="array" ref="Y22">+HLOOKUP($A$1,+[46]İcmal!$B$19:$AG$49,ROW(D20)+1,FALSE)</f>
        <v>0</v>
      </c>
      <c r="Z22" s="15" cm="1">
        <f t="array" ref="Z22">+HLOOKUP($A$1,+[47]İcmal!$B$19:$AG$49,ROW(A20)+1,FALSE)</f>
        <v>0</v>
      </c>
      <c r="AA22" s="15" cm="1">
        <f t="array" ref="AA22">+HLOOKUP($A$1,+[48]İcmal!$B$19:$AG$49,ROW(B20)+1,FALSE)</f>
        <v>0</v>
      </c>
      <c r="AB22" s="15" cm="1">
        <f t="array" ref="AB22">+HLOOKUP($A$1,+[49]İcmal!$B$19:$AG$49,ROW(A20)+1,FALSE)</f>
        <v>0</v>
      </c>
      <c r="AC22" s="15" cm="1">
        <f t="array" ref="AC22">+HLOOKUP($A$1,+[50]İcmal!$B$19:$AG$49,ROW(A20)+1,FALSE)</f>
        <v>0</v>
      </c>
      <c r="AD22" s="15" cm="1">
        <f t="array" ref="AD22">+HLOOKUP($A$1,+[51]İcmal!$B$19:$AG$49,ROW(A20)+1,FALSE)</f>
        <v>0</v>
      </c>
      <c r="AE22" s="15" cm="1">
        <f t="array" ref="AE22">+HLOOKUP($A$1,+[52]İcmal!$B$19:$AG$49,ROW(A20)+1,FALSE)</f>
        <v>0</v>
      </c>
      <c r="AF22" s="50" cm="1">
        <f t="array" ref="AF22">+HLOOKUP($A$1,+[53]İcmal!$B$19:$AG$49,ROW(A20)+1,FALSE)</f>
        <v>0</v>
      </c>
      <c r="AG22" s="15" cm="1">
        <f t="array" ref="AG22">+HLOOKUP($A$1,+[54]İcmal!$B$19:$AG$49,ROW(A20)+1,FALSE)</f>
        <v>0</v>
      </c>
      <c r="AH22" s="15" cm="1">
        <f t="array" ref="AH22">+HLOOKUP($A$1,+[55]İcmal!$B$19:$AG$49,ROW(A20)+1,FALSE)</f>
        <v>0</v>
      </c>
      <c r="AI22" s="15" cm="1">
        <f t="array" ref="AI22">+HLOOKUP($A$1,+[56]İcmal!$B$19:$AG$49,ROW(A20)+1,FALSE)</f>
        <v>0</v>
      </c>
      <c r="AJ22" s="15" cm="1">
        <f t="array" ref="AJ22">+HLOOKUP($A$1,+[57]İcmal!$B$19:$AG$49,ROW(A20)+1,FALSE)</f>
        <v>0</v>
      </c>
      <c r="AK22" s="15" cm="1">
        <f t="array" ref="AK22">+HLOOKUP($A$1,+[58]İcmal!$B$19:$AG$49,ROW(B20)+1,FALSE)</f>
        <v>0</v>
      </c>
      <c r="AL22" s="15"/>
      <c r="AM22" s="15"/>
      <c r="AN22" s="15"/>
      <c r="AO22" s="13"/>
    </row>
    <row r="23" spans="1:41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+HLOOKUP($A$1,+[31]İcmal!$B$19:$AG$49,ROW(A21)+1,FALSE)</f>
        <v>0</v>
      </c>
      <c r="K23" s="15" cm="1">
        <f t="array" ref="K23">+HLOOKUP($A$1,+[32]İcmal!$B$19:$AG$49,ROW(B21)+1,FALSE)</f>
        <v>0</v>
      </c>
      <c r="L23" s="15" cm="1">
        <f t="array" ref="L23">+HLOOKUP($A$1,+[33]İcmal!$B$19:$AG$49,ROW(C21)+1,FALSE)</f>
        <v>0</v>
      </c>
      <c r="M23" s="15" cm="1">
        <f t="array" ref="M23">+HLOOKUP($A$1,+[34]İcmal!$B$19:$AG$49,ROW(D21)+1,FALSE)</f>
        <v>0</v>
      </c>
      <c r="N23" s="15" cm="1">
        <f t="array" ref="N23">+HLOOKUP($A$1,+[35]İcmal!$B$19:$AG$49,ROW(A21)+1,FALSE)</f>
        <v>0</v>
      </c>
      <c r="O23" s="15" cm="1">
        <f t="array" ref="O23">+HLOOKUP($A$1,+[36]İcmal!$B$19:$AG$49,ROW(B21)+1,FALSE)</f>
        <v>0</v>
      </c>
      <c r="P23" s="15" cm="1">
        <f t="array" ref="P23">+HLOOKUP($A$1,+[37]İcmal!$B$19:$AG$49,ROW(C21)+1,FALSE)</f>
        <v>0</v>
      </c>
      <c r="Q23" s="15" cm="1">
        <f t="array" ref="Q23">+HLOOKUP($A$1,+[38]İcmal!$B$19:$AG$49,ROW(D21)+1,FALSE)</f>
        <v>0</v>
      </c>
      <c r="R23" s="15" cm="1">
        <f t="array" ref="R23">+HLOOKUP($A$1,+[39]İcmal!$B$19:$AG$49,ROW(A21)+1,FALSE)</f>
        <v>0</v>
      </c>
      <c r="S23" s="15" cm="1">
        <f t="array" ref="S23">+HLOOKUP($A$1,+[40]İcmal!$B$19:$AG$49,ROW(B21)+1,FALSE)</f>
        <v>0</v>
      </c>
      <c r="T23" s="15" cm="1">
        <f t="array" ref="T23">+HLOOKUP($A$1,+[41]İcmal!$B$19:$AG$49,ROW(C21)+1,FALSE)</f>
        <v>0</v>
      </c>
      <c r="U23" s="15" cm="1">
        <f t="array" ref="U23">+HLOOKUP($A$1,+[42]İcmal!$B$19:$AG$49,ROW(D21)+1,FALSE)</f>
        <v>0</v>
      </c>
      <c r="V23" s="15" cm="1">
        <f t="array" ref="V23">+HLOOKUP($A$1,+[43]İcmal!$B$19:$AG$49,ROW(A21)+1,FALSE)</f>
        <v>0</v>
      </c>
      <c r="W23" s="15" cm="1">
        <f t="array" ref="W23">+HLOOKUP($A$1,+[44]İcmal!$B$19:$AG$49,ROW(B21)+1,FALSE)</f>
        <v>0</v>
      </c>
      <c r="X23" s="15" cm="1">
        <f t="array" ref="X23">+HLOOKUP($A$1,+[45]İcmal!$B$19:$AG$49,ROW(C21)+1,FALSE)</f>
        <v>0</v>
      </c>
      <c r="Y23" s="15" cm="1">
        <f t="array" ref="Y23">+HLOOKUP($A$1,+[46]İcmal!$B$19:$AG$49,ROW(D21)+1,FALSE)</f>
        <v>0</v>
      </c>
      <c r="Z23" s="15" cm="1">
        <f t="array" ref="Z23">+HLOOKUP($A$1,+[47]İcmal!$B$19:$AG$49,ROW(A21)+1,FALSE)</f>
        <v>0</v>
      </c>
      <c r="AA23" s="15" cm="1">
        <f t="array" ref="AA23">+HLOOKUP($A$1,+[48]İcmal!$B$19:$AG$49,ROW(B21)+1,FALSE)</f>
        <v>0</v>
      </c>
      <c r="AB23" s="15" cm="1">
        <f t="array" ref="AB23">+HLOOKUP($A$1,+[49]İcmal!$B$19:$AG$49,ROW(A21)+1,FALSE)</f>
        <v>0</v>
      </c>
      <c r="AC23" s="15" cm="1">
        <f t="array" ref="AC23">+HLOOKUP($A$1,+[50]İcmal!$B$19:$AG$49,ROW(A21)+1,FALSE)</f>
        <v>0</v>
      </c>
      <c r="AD23" s="15" cm="1">
        <f t="array" ref="AD23">+HLOOKUP($A$1,+[51]İcmal!$B$19:$AG$49,ROW(A21)+1,FALSE)</f>
        <v>0</v>
      </c>
      <c r="AE23" s="15" cm="1">
        <f t="array" ref="AE23">+HLOOKUP($A$1,+[52]İcmal!$B$19:$AG$49,ROW(A21)+1,FALSE)</f>
        <v>0</v>
      </c>
      <c r="AF23" s="50" cm="1">
        <f t="array" ref="AF23">+HLOOKUP($A$1,+[53]İcmal!$B$19:$AG$49,ROW(A21)+1,FALSE)</f>
        <v>0</v>
      </c>
      <c r="AG23" s="15" cm="1">
        <f t="array" ref="AG23">+HLOOKUP($A$1,+[54]İcmal!$B$19:$AG$49,ROW(A21)+1,FALSE)</f>
        <v>0</v>
      </c>
      <c r="AH23" s="15" cm="1">
        <f t="array" ref="AH23">+HLOOKUP($A$1,+[55]İcmal!$B$19:$AG$49,ROW(A21)+1,FALSE)</f>
        <v>0</v>
      </c>
      <c r="AI23" s="15" cm="1">
        <f t="array" ref="AI23">+HLOOKUP($A$1,+[56]İcmal!$B$19:$AG$49,ROW(A21)+1,FALSE)</f>
        <v>0</v>
      </c>
      <c r="AJ23" s="15" cm="1">
        <f t="array" ref="AJ23">+HLOOKUP($A$1,+[57]İcmal!$B$19:$AG$49,ROW(A21)+1,FALSE)</f>
        <v>0</v>
      </c>
      <c r="AK23" s="15" cm="1">
        <f t="array" ref="AK23">+HLOOKUP($A$1,+[58]İcmal!$B$19:$AG$49,ROW(B21)+1,FALSE)</f>
        <v>0</v>
      </c>
      <c r="AL23" s="15"/>
      <c r="AM23" s="15"/>
      <c r="AN23" s="15"/>
      <c r="AO23" s="13"/>
    </row>
    <row r="24" spans="1:41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+HLOOKUP($A$1,+[31]İcmal!$B$19:$AG$49,ROW(A22)+1,FALSE)</f>
        <v>0</v>
      </c>
      <c r="K24" s="15" cm="1">
        <f t="array" ref="K24">+HLOOKUP($A$1,+[32]İcmal!$B$19:$AG$49,ROW(B22)+1,FALSE)</f>
        <v>0</v>
      </c>
      <c r="L24" s="15" cm="1">
        <f t="array" ref="L24">+HLOOKUP($A$1,+[33]İcmal!$B$19:$AG$49,ROW(C22)+1,FALSE)</f>
        <v>0</v>
      </c>
      <c r="M24" s="15" cm="1">
        <f t="array" ref="M24">+HLOOKUP($A$1,+[34]İcmal!$B$19:$AG$49,ROW(D22)+1,FALSE)</f>
        <v>0</v>
      </c>
      <c r="N24" s="15" cm="1">
        <f t="array" ref="N24">+HLOOKUP($A$1,+[35]İcmal!$B$19:$AG$49,ROW(A22)+1,FALSE)</f>
        <v>0</v>
      </c>
      <c r="O24" s="15" cm="1">
        <f t="array" ref="O24">+HLOOKUP($A$1,+[36]İcmal!$B$19:$AG$49,ROW(B22)+1,FALSE)</f>
        <v>0</v>
      </c>
      <c r="P24" s="15" cm="1">
        <f t="array" ref="P24">+HLOOKUP($A$1,+[37]İcmal!$B$19:$AG$49,ROW(C22)+1,FALSE)</f>
        <v>0</v>
      </c>
      <c r="Q24" s="15" cm="1">
        <f t="array" ref="Q24">+HLOOKUP($A$1,+[38]İcmal!$B$19:$AG$49,ROW(D22)+1,FALSE)</f>
        <v>0</v>
      </c>
      <c r="R24" s="15" cm="1">
        <f t="array" ref="R24">+HLOOKUP($A$1,+[39]İcmal!$B$19:$AG$49,ROW(A22)+1,FALSE)</f>
        <v>0</v>
      </c>
      <c r="S24" s="15" cm="1">
        <f t="array" ref="S24">+HLOOKUP($A$1,+[40]İcmal!$B$19:$AG$49,ROW(B22)+1,FALSE)</f>
        <v>0</v>
      </c>
      <c r="T24" s="15" cm="1">
        <f t="array" ref="T24">+HLOOKUP($A$1,+[41]İcmal!$B$19:$AG$49,ROW(C22)+1,FALSE)</f>
        <v>0</v>
      </c>
      <c r="U24" s="15" cm="1">
        <f t="array" ref="U24">+HLOOKUP($A$1,+[42]İcmal!$B$19:$AG$49,ROW(D22)+1,FALSE)</f>
        <v>0</v>
      </c>
      <c r="V24" s="15" cm="1">
        <f t="array" ref="V24">+HLOOKUP($A$1,+[43]İcmal!$B$19:$AG$49,ROW(A22)+1,FALSE)</f>
        <v>0</v>
      </c>
      <c r="W24" s="15" cm="1">
        <f t="array" ref="W24">+HLOOKUP($A$1,+[44]İcmal!$B$19:$AG$49,ROW(B22)+1,FALSE)</f>
        <v>0</v>
      </c>
      <c r="X24" s="15" cm="1">
        <f t="array" ref="X24">+HLOOKUP($A$1,+[45]İcmal!$B$19:$AG$49,ROW(C22)+1,FALSE)</f>
        <v>0</v>
      </c>
      <c r="Y24" s="15" cm="1">
        <f t="array" ref="Y24">+HLOOKUP($A$1,+[46]İcmal!$B$19:$AG$49,ROW(D22)+1,FALSE)</f>
        <v>0</v>
      </c>
      <c r="Z24" s="15" cm="1">
        <f t="array" ref="Z24">+HLOOKUP($A$1,+[47]İcmal!$B$19:$AG$49,ROW(A22)+1,FALSE)</f>
        <v>0</v>
      </c>
      <c r="AA24" s="15" cm="1">
        <f t="array" ref="AA24">+HLOOKUP($A$1,+[48]İcmal!$B$19:$AG$49,ROW(B22)+1,FALSE)</f>
        <v>0</v>
      </c>
      <c r="AB24" s="15" cm="1">
        <f t="array" ref="AB24">+HLOOKUP($A$1,+[49]İcmal!$B$19:$AG$49,ROW(A22)+1,FALSE)</f>
        <v>0</v>
      </c>
      <c r="AC24" s="15" cm="1">
        <f t="array" ref="AC24">+HLOOKUP($A$1,+[50]İcmal!$B$19:$AG$49,ROW(A22)+1,FALSE)</f>
        <v>0</v>
      </c>
      <c r="AD24" s="15" cm="1">
        <f t="array" ref="AD24">+HLOOKUP($A$1,+[51]İcmal!$B$19:$AG$49,ROW(A22)+1,FALSE)</f>
        <v>0</v>
      </c>
      <c r="AE24" s="15" cm="1">
        <f t="array" ref="AE24">+HLOOKUP($A$1,+[52]İcmal!$B$19:$AG$49,ROW(A22)+1,FALSE)</f>
        <v>0</v>
      </c>
      <c r="AF24" s="50" cm="1">
        <f t="array" ref="AF24">+HLOOKUP($A$1,+[53]İcmal!$B$19:$AG$49,ROW(A22)+1,FALSE)</f>
        <v>0</v>
      </c>
      <c r="AG24" s="15" cm="1">
        <f t="array" ref="AG24">+HLOOKUP($A$1,+[54]İcmal!$B$19:$AG$49,ROW(A22)+1,FALSE)</f>
        <v>0</v>
      </c>
      <c r="AH24" s="15" cm="1">
        <f t="array" ref="AH24">+HLOOKUP($A$1,+[55]İcmal!$B$19:$AG$49,ROW(A22)+1,FALSE)</f>
        <v>0</v>
      </c>
      <c r="AI24" s="15" cm="1">
        <f t="array" ref="AI24">+HLOOKUP($A$1,+[56]İcmal!$B$19:$AG$49,ROW(A22)+1,FALSE)</f>
        <v>0</v>
      </c>
      <c r="AJ24" s="15" cm="1">
        <f t="array" ref="AJ24">+HLOOKUP($A$1,+[57]İcmal!$B$19:$AG$49,ROW(A22)+1,FALSE)</f>
        <v>0</v>
      </c>
      <c r="AK24" s="15" cm="1">
        <f t="array" ref="AK24">+HLOOKUP($A$1,+[58]İcmal!$B$19:$AG$49,ROW(B22)+1,FALSE)</f>
        <v>0</v>
      </c>
      <c r="AL24" s="15"/>
      <c r="AM24" s="15"/>
      <c r="AN24" s="15"/>
      <c r="AO24" s="13"/>
    </row>
    <row r="25" spans="1:41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+HLOOKUP($A$1,+[31]İcmal!$B$19:$AG$49,ROW(A23)+1,FALSE)</f>
        <v>0</v>
      </c>
      <c r="K25" s="15" cm="1">
        <f t="array" ref="K25">+HLOOKUP($A$1,+[32]İcmal!$B$19:$AG$49,ROW(B23)+1,FALSE)</f>
        <v>0</v>
      </c>
      <c r="L25" s="15" cm="1">
        <f t="array" ref="L25">+HLOOKUP($A$1,+[33]İcmal!$B$19:$AG$49,ROW(C23)+1,FALSE)</f>
        <v>0</v>
      </c>
      <c r="M25" s="15" cm="1">
        <f t="array" ref="M25">+HLOOKUP($A$1,+[34]İcmal!$B$19:$AG$49,ROW(D23)+1,FALSE)</f>
        <v>0</v>
      </c>
      <c r="N25" s="15" cm="1">
        <f t="array" ref="N25">+HLOOKUP($A$1,+[35]İcmal!$B$19:$AG$49,ROW(A23)+1,FALSE)</f>
        <v>0</v>
      </c>
      <c r="O25" s="15" cm="1">
        <f t="array" ref="O25">+HLOOKUP($A$1,+[36]İcmal!$B$19:$AG$49,ROW(B23)+1,FALSE)</f>
        <v>0</v>
      </c>
      <c r="P25" s="15" cm="1">
        <f t="array" ref="P25">+HLOOKUP($A$1,+[37]İcmal!$B$19:$AG$49,ROW(C23)+1,FALSE)</f>
        <v>0</v>
      </c>
      <c r="Q25" s="15" cm="1">
        <f t="array" ref="Q25">+HLOOKUP($A$1,+[38]İcmal!$B$19:$AG$49,ROW(D23)+1,FALSE)</f>
        <v>0</v>
      </c>
      <c r="R25" s="15" cm="1">
        <f t="array" ref="R25">+HLOOKUP($A$1,+[39]İcmal!$B$19:$AG$49,ROW(A23)+1,FALSE)</f>
        <v>0</v>
      </c>
      <c r="S25" s="15" cm="1">
        <f t="array" ref="S25">+HLOOKUP($A$1,+[40]İcmal!$B$19:$AG$49,ROW(B23)+1,FALSE)</f>
        <v>0</v>
      </c>
      <c r="T25" s="15" cm="1">
        <f t="array" ref="T25">+HLOOKUP($A$1,+[41]İcmal!$B$19:$AG$49,ROW(C23)+1,FALSE)</f>
        <v>0</v>
      </c>
      <c r="U25" s="15" cm="1">
        <f t="array" ref="U25">+HLOOKUP($A$1,+[42]İcmal!$B$19:$AG$49,ROW(D23)+1,FALSE)</f>
        <v>0</v>
      </c>
      <c r="V25" s="15" cm="1">
        <f t="array" ref="V25">+HLOOKUP($A$1,+[43]İcmal!$B$19:$AG$49,ROW(A23)+1,FALSE)</f>
        <v>0</v>
      </c>
      <c r="W25" s="15" cm="1">
        <f t="array" ref="W25">+HLOOKUP($A$1,+[44]İcmal!$B$19:$AG$49,ROW(B23)+1,FALSE)</f>
        <v>0</v>
      </c>
      <c r="X25" s="15" cm="1">
        <f t="array" ref="X25">+HLOOKUP($A$1,+[45]İcmal!$B$19:$AG$49,ROW(C23)+1,FALSE)</f>
        <v>0</v>
      </c>
      <c r="Y25" s="15" cm="1">
        <f t="array" ref="Y25">+HLOOKUP($A$1,+[46]İcmal!$B$19:$AG$49,ROW(D23)+1,FALSE)</f>
        <v>0</v>
      </c>
      <c r="Z25" s="15" cm="1">
        <f t="array" ref="Z25">+HLOOKUP($A$1,+[47]İcmal!$B$19:$AG$49,ROW(A23)+1,FALSE)</f>
        <v>0</v>
      </c>
      <c r="AA25" s="15" cm="1">
        <f t="array" ref="AA25">+HLOOKUP($A$1,+[48]İcmal!$B$19:$AG$49,ROW(B23)+1,FALSE)</f>
        <v>0</v>
      </c>
      <c r="AB25" s="15" cm="1">
        <f t="array" ref="AB25">+HLOOKUP($A$1,+[49]İcmal!$B$19:$AG$49,ROW(A23)+1,FALSE)</f>
        <v>0</v>
      </c>
      <c r="AC25" s="15" cm="1">
        <f t="array" ref="AC25">+HLOOKUP($A$1,+[50]İcmal!$B$19:$AG$49,ROW(A23)+1,FALSE)</f>
        <v>0</v>
      </c>
      <c r="AD25" s="15" cm="1">
        <f t="array" ref="AD25">+HLOOKUP($A$1,+[51]İcmal!$B$19:$AG$49,ROW(A23)+1,FALSE)</f>
        <v>0</v>
      </c>
      <c r="AE25" s="15" cm="1">
        <f t="array" ref="AE25">+HLOOKUP($A$1,+[52]İcmal!$B$19:$AG$49,ROW(A23)+1,FALSE)</f>
        <v>0</v>
      </c>
      <c r="AF25" s="50" cm="1">
        <f t="array" ref="AF25">+HLOOKUP($A$1,+[53]İcmal!$B$19:$AG$49,ROW(A23)+1,FALSE)</f>
        <v>0</v>
      </c>
      <c r="AG25" s="15" cm="1">
        <f t="array" ref="AG25">+HLOOKUP($A$1,+[54]İcmal!$B$19:$AG$49,ROW(A23)+1,FALSE)</f>
        <v>0</v>
      </c>
      <c r="AH25" s="15" cm="1">
        <f t="array" ref="AH25">+HLOOKUP($A$1,+[55]İcmal!$B$19:$AG$49,ROW(A23)+1,FALSE)</f>
        <v>0</v>
      </c>
      <c r="AI25" s="15" cm="1">
        <f t="array" ref="AI25">+HLOOKUP($A$1,+[56]İcmal!$B$19:$AG$49,ROW(A23)+1,FALSE)</f>
        <v>0</v>
      </c>
      <c r="AJ25" s="15" cm="1">
        <f t="array" ref="AJ25">+HLOOKUP($A$1,+[57]İcmal!$B$19:$AG$49,ROW(A23)+1,FALSE)</f>
        <v>0</v>
      </c>
      <c r="AK25" s="15" cm="1">
        <f t="array" ref="AK25">+HLOOKUP($A$1,+[58]İcmal!$B$19:$AG$49,ROW(B23)+1,FALSE)</f>
        <v>0</v>
      </c>
      <c r="AL25" s="15"/>
      <c r="AM25" s="15"/>
      <c r="AN25" s="15"/>
      <c r="AO25" s="13"/>
    </row>
    <row r="26" spans="1:41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+HLOOKUP($A$1,+[31]İcmal!$B$19:$AG$49,ROW(A24)+1,FALSE)</f>
        <v>0</v>
      </c>
      <c r="K26" s="15" cm="1">
        <f t="array" ref="K26">+HLOOKUP($A$1,+[32]İcmal!$B$19:$AG$49,ROW(B24)+1,FALSE)</f>
        <v>0</v>
      </c>
      <c r="L26" s="15" cm="1">
        <f t="array" ref="L26">+HLOOKUP($A$1,+[33]İcmal!$B$19:$AG$49,ROW(C24)+1,FALSE)</f>
        <v>0</v>
      </c>
      <c r="M26" s="15" cm="1">
        <f t="array" ref="M26">+HLOOKUP($A$1,+[34]İcmal!$B$19:$AG$49,ROW(D24)+1,FALSE)</f>
        <v>0</v>
      </c>
      <c r="N26" s="15" cm="1">
        <f t="array" ref="N26">+HLOOKUP($A$1,+[35]İcmal!$B$19:$AG$49,ROW(A24)+1,FALSE)</f>
        <v>0</v>
      </c>
      <c r="O26" s="15" cm="1">
        <f t="array" ref="O26">+HLOOKUP($A$1,+[36]İcmal!$B$19:$AG$49,ROW(B24)+1,FALSE)</f>
        <v>0</v>
      </c>
      <c r="P26" s="15" cm="1">
        <f t="array" ref="P26">+HLOOKUP($A$1,+[37]İcmal!$B$19:$AG$49,ROW(C24)+1,FALSE)</f>
        <v>0</v>
      </c>
      <c r="Q26" s="15" cm="1">
        <f t="array" ref="Q26">+HLOOKUP($A$1,+[38]İcmal!$B$19:$AG$49,ROW(D24)+1,FALSE)</f>
        <v>0</v>
      </c>
      <c r="R26" s="15" cm="1">
        <f t="array" ref="R26">+HLOOKUP($A$1,+[39]İcmal!$B$19:$AG$49,ROW(A24)+1,FALSE)</f>
        <v>0</v>
      </c>
      <c r="S26" s="15" cm="1">
        <f t="array" ref="S26">+HLOOKUP($A$1,+[40]İcmal!$B$19:$AG$49,ROW(B24)+1,FALSE)</f>
        <v>0</v>
      </c>
      <c r="T26" s="15" cm="1">
        <f t="array" ref="T26">+HLOOKUP($A$1,+[41]İcmal!$B$19:$AG$49,ROW(C24)+1,FALSE)</f>
        <v>0</v>
      </c>
      <c r="U26" s="15" cm="1">
        <f t="array" ref="U26">+HLOOKUP($A$1,+[42]İcmal!$B$19:$AG$49,ROW(D24)+1,FALSE)</f>
        <v>0</v>
      </c>
      <c r="V26" s="15" cm="1">
        <f t="array" ref="V26">+HLOOKUP($A$1,+[43]İcmal!$B$19:$AG$49,ROW(A24)+1,FALSE)</f>
        <v>0</v>
      </c>
      <c r="W26" s="15" cm="1">
        <f t="array" ref="W26">+HLOOKUP($A$1,+[44]İcmal!$B$19:$AG$49,ROW(B24)+1,FALSE)</f>
        <v>0</v>
      </c>
      <c r="X26" s="15" cm="1">
        <f t="array" ref="X26">+HLOOKUP($A$1,+[45]İcmal!$B$19:$AG$49,ROW(C24)+1,FALSE)</f>
        <v>0</v>
      </c>
      <c r="Y26" s="15" cm="1">
        <f t="array" ref="Y26">+HLOOKUP($A$1,+[46]İcmal!$B$19:$AG$49,ROW(D24)+1,FALSE)</f>
        <v>0</v>
      </c>
      <c r="Z26" s="15" cm="1">
        <f t="array" ref="Z26">+HLOOKUP($A$1,+[47]İcmal!$B$19:$AG$49,ROW(A24)+1,FALSE)</f>
        <v>0</v>
      </c>
      <c r="AA26" s="15" cm="1">
        <f t="array" ref="AA26">+HLOOKUP($A$1,+[48]İcmal!$B$19:$AG$49,ROW(B24)+1,FALSE)</f>
        <v>0</v>
      </c>
      <c r="AB26" s="15" cm="1">
        <f t="array" ref="AB26">+HLOOKUP($A$1,+[49]İcmal!$B$19:$AG$49,ROW(A24)+1,FALSE)</f>
        <v>0</v>
      </c>
      <c r="AC26" s="15" cm="1">
        <f t="array" ref="AC26">+HLOOKUP($A$1,+[50]İcmal!$B$19:$AG$49,ROW(A24)+1,FALSE)</f>
        <v>0</v>
      </c>
      <c r="AD26" s="15" cm="1">
        <f t="array" ref="AD26">+HLOOKUP($A$1,+[51]İcmal!$B$19:$AG$49,ROW(A24)+1,FALSE)</f>
        <v>0</v>
      </c>
      <c r="AE26" s="15" cm="1">
        <f t="array" ref="AE26">+HLOOKUP($A$1,+[52]İcmal!$B$19:$AG$49,ROW(A24)+1,FALSE)</f>
        <v>0</v>
      </c>
      <c r="AF26" s="50" cm="1">
        <f t="array" ref="AF26">+HLOOKUP($A$1,+[53]İcmal!$B$19:$AG$49,ROW(A24)+1,FALSE)</f>
        <v>0</v>
      </c>
      <c r="AG26" s="15" cm="1">
        <f t="array" ref="AG26">+HLOOKUP($A$1,+[54]İcmal!$B$19:$AG$49,ROW(A24)+1,FALSE)</f>
        <v>0</v>
      </c>
      <c r="AH26" s="15" cm="1">
        <f t="array" ref="AH26">+HLOOKUP($A$1,+[55]İcmal!$B$19:$AG$49,ROW(A24)+1,FALSE)</f>
        <v>0</v>
      </c>
      <c r="AI26" s="15" cm="1">
        <f t="array" ref="AI26">+HLOOKUP($A$1,+[56]İcmal!$B$19:$AG$49,ROW(A24)+1,FALSE)</f>
        <v>0</v>
      </c>
      <c r="AJ26" s="15" cm="1">
        <f t="array" ref="AJ26">+HLOOKUP($A$1,+[57]İcmal!$B$19:$AG$49,ROW(A24)+1,FALSE)</f>
        <v>0</v>
      </c>
      <c r="AK26" s="15" cm="1">
        <f t="array" ref="AK26">+HLOOKUP($A$1,+[58]İcmal!$B$19:$AG$49,ROW(B24)+1,FALSE)</f>
        <v>0</v>
      </c>
      <c r="AL26" s="15"/>
      <c r="AM26" s="15"/>
      <c r="AN26" s="15"/>
      <c r="AO26" s="13"/>
    </row>
    <row r="27" spans="1:41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+HLOOKUP($A$1,+[31]İcmal!$B$19:$AG$49,ROW(A25)+1,FALSE)</f>
        <v>0</v>
      </c>
      <c r="K27" s="15" cm="1">
        <f t="array" ref="K27">+HLOOKUP($A$1,+[32]İcmal!$B$19:$AG$49,ROW(B25)+1,FALSE)</f>
        <v>0</v>
      </c>
      <c r="L27" s="15" cm="1">
        <f t="array" ref="L27">+HLOOKUP($A$1,+[33]İcmal!$B$19:$AG$49,ROW(C25)+1,FALSE)</f>
        <v>0</v>
      </c>
      <c r="M27" s="15" cm="1">
        <f t="array" ref="M27">+HLOOKUP($A$1,+[34]İcmal!$B$19:$AG$49,ROW(D25)+1,FALSE)</f>
        <v>0</v>
      </c>
      <c r="N27" s="15" cm="1">
        <f t="array" ref="N27">+HLOOKUP($A$1,+[35]İcmal!$B$19:$AG$49,ROW(A25)+1,FALSE)</f>
        <v>0</v>
      </c>
      <c r="O27" s="15" cm="1">
        <f t="array" ref="O27">+HLOOKUP($A$1,+[36]İcmal!$B$19:$AG$49,ROW(B25)+1,FALSE)</f>
        <v>0</v>
      </c>
      <c r="P27" s="15" cm="1">
        <f t="array" ref="P27">+HLOOKUP($A$1,+[37]İcmal!$B$19:$AG$49,ROW(C25)+1,FALSE)</f>
        <v>0</v>
      </c>
      <c r="Q27" s="15" cm="1">
        <f t="array" ref="Q27">+HLOOKUP($A$1,+[38]İcmal!$B$19:$AG$49,ROW(D25)+1,FALSE)</f>
        <v>0</v>
      </c>
      <c r="R27" s="15" cm="1">
        <f t="array" ref="R27">+HLOOKUP($A$1,+[39]İcmal!$B$19:$AG$49,ROW(A25)+1,FALSE)</f>
        <v>0</v>
      </c>
      <c r="S27" s="15" cm="1">
        <f t="array" ref="S27">+HLOOKUP($A$1,+[40]İcmal!$B$19:$AG$49,ROW(B25)+1,FALSE)</f>
        <v>0</v>
      </c>
      <c r="T27" s="15" cm="1">
        <f t="array" ref="T27">+HLOOKUP($A$1,+[41]İcmal!$B$19:$AG$49,ROW(C25)+1,FALSE)</f>
        <v>0</v>
      </c>
      <c r="U27" s="15" cm="1">
        <f t="array" ref="U27">+HLOOKUP($A$1,+[42]İcmal!$B$19:$AG$49,ROW(D25)+1,FALSE)</f>
        <v>0</v>
      </c>
      <c r="V27" s="15" cm="1">
        <f t="array" ref="V27">+HLOOKUP($A$1,+[43]İcmal!$B$19:$AG$49,ROW(A25)+1,FALSE)</f>
        <v>0</v>
      </c>
      <c r="W27" s="15" cm="1">
        <f t="array" ref="W27">+HLOOKUP($A$1,+[44]İcmal!$B$19:$AG$49,ROW(B25)+1,FALSE)</f>
        <v>0</v>
      </c>
      <c r="X27" s="15" cm="1">
        <f t="array" ref="X27">+HLOOKUP($A$1,+[45]İcmal!$B$19:$AG$49,ROW(C25)+1,FALSE)</f>
        <v>0</v>
      </c>
      <c r="Y27" s="15" cm="1">
        <f t="array" ref="Y27">+HLOOKUP($A$1,+[46]İcmal!$B$19:$AG$49,ROW(D25)+1,FALSE)</f>
        <v>0</v>
      </c>
      <c r="Z27" s="15" cm="1">
        <f t="array" ref="Z27">+HLOOKUP($A$1,+[47]İcmal!$B$19:$AG$49,ROW(A25)+1,FALSE)</f>
        <v>0</v>
      </c>
      <c r="AA27" s="15" cm="1">
        <f t="array" ref="AA27">+HLOOKUP($A$1,+[48]İcmal!$B$19:$AG$49,ROW(B25)+1,FALSE)</f>
        <v>0</v>
      </c>
      <c r="AB27" s="15" cm="1">
        <f t="array" ref="AB27">+HLOOKUP($A$1,+[49]İcmal!$B$19:$AG$49,ROW(A25)+1,FALSE)</f>
        <v>0</v>
      </c>
      <c r="AC27" s="15" cm="1">
        <f t="array" ref="AC27">+HLOOKUP($A$1,+[50]İcmal!$B$19:$AG$49,ROW(A25)+1,FALSE)</f>
        <v>0</v>
      </c>
      <c r="AD27" s="15" cm="1">
        <f t="array" ref="AD27">+HLOOKUP($A$1,+[51]İcmal!$B$19:$AG$49,ROW(A25)+1,FALSE)</f>
        <v>0</v>
      </c>
      <c r="AE27" s="15" cm="1">
        <f t="array" ref="AE27">+HLOOKUP($A$1,+[52]İcmal!$B$19:$AG$49,ROW(A25)+1,FALSE)</f>
        <v>0</v>
      </c>
      <c r="AF27" s="50" cm="1">
        <f t="array" ref="AF27">+HLOOKUP($A$1,+[53]İcmal!$B$19:$AG$49,ROW(A25)+1,FALSE)</f>
        <v>0</v>
      </c>
      <c r="AG27" s="15" cm="1">
        <f t="array" ref="AG27">+HLOOKUP($A$1,+[54]İcmal!$B$19:$AG$49,ROW(A25)+1,FALSE)</f>
        <v>0</v>
      </c>
      <c r="AH27" s="15" cm="1">
        <f t="array" ref="AH27">+HLOOKUP($A$1,+[55]İcmal!$B$19:$AG$49,ROW(A25)+1,FALSE)</f>
        <v>0</v>
      </c>
      <c r="AI27" s="15" cm="1">
        <f t="array" ref="AI27">+HLOOKUP($A$1,+[56]İcmal!$B$19:$AG$49,ROW(A25)+1,FALSE)</f>
        <v>0</v>
      </c>
      <c r="AJ27" s="15" cm="1">
        <f t="array" ref="AJ27">+HLOOKUP($A$1,+[57]İcmal!$B$19:$AG$49,ROW(A25)+1,FALSE)</f>
        <v>0</v>
      </c>
      <c r="AK27" s="15" cm="1">
        <f t="array" ref="AK27">+HLOOKUP($A$1,+[58]İcmal!$B$19:$AG$49,ROW(B25)+1,FALSE)</f>
        <v>0</v>
      </c>
      <c r="AL27" s="15"/>
      <c r="AM27" s="15"/>
      <c r="AN27" s="15"/>
      <c r="AO27" s="13"/>
    </row>
    <row r="28" spans="1:41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7.6869999999999994</v>
      </c>
      <c r="I28" s="9">
        <f t="shared" si="2"/>
        <v>355523.75</v>
      </c>
      <c r="J28" s="15" cm="1">
        <f t="array" ref="J28">+HLOOKUP($A$1,+[31]İcmal!$B$19:$AG$49,ROW(A26)+1,FALSE)</f>
        <v>0</v>
      </c>
      <c r="K28" s="15" cm="1">
        <f t="array" ref="K28">+HLOOKUP($A$1,+[32]İcmal!$B$19:$AG$49,ROW(B26)+1,FALSE)</f>
        <v>0</v>
      </c>
      <c r="L28" s="15" cm="1">
        <f t="array" ref="L28">+HLOOKUP($A$1,+[33]İcmal!$B$19:$AG$49,ROW(C26)+1,FALSE)</f>
        <v>1.1720000000000002</v>
      </c>
      <c r="M28" s="15" cm="1">
        <f t="array" ref="M28">+HLOOKUP($A$1,+[34]İcmal!$B$19:$AG$49,ROW(D26)+1,FALSE)</f>
        <v>1.1120000000000001</v>
      </c>
      <c r="N28" s="15" cm="1">
        <f t="array" ref="N28">+HLOOKUP($A$1,+[35]İcmal!$B$19:$AG$49,ROW(A26)+1,FALSE)</f>
        <v>0</v>
      </c>
      <c r="O28" s="15" cm="1">
        <f t="array" ref="O28">+HLOOKUP($A$1,+[36]İcmal!$B$19:$AG$49,ROW(B26)+1,FALSE)</f>
        <v>1.5439999999999996</v>
      </c>
      <c r="P28" s="15" cm="1">
        <f t="array" ref="P28">+HLOOKUP($A$1,+[37]İcmal!$B$19:$AG$49,ROW(C26)+1,FALSE)</f>
        <v>0</v>
      </c>
      <c r="Q28" s="15" cm="1">
        <f t="array" ref="Q28">+HLOOKUP($A$1,+[38]İcmal!$B$19:$AG$49,ROW(D26)+1,FALSE)</f>
        <v>0</v>
      </c>
      <c r="R28" s="15" cm="1">
        <f t="array" ref="R28">+HLOOKUP($A$1,+[39]İcmal!$B$19:$AG$49,ROW(A26)+1,FALSE)</f>
        <v>6.9000000000000006E-2</v>
      </c>
      <c r="S28" s="15" cm="1">
        <f t="array" ref="S28">+HLOOKUP($A$1,+[40]İcmal!$B$19:$AG$49,ROW(B26)+1,FALSE)</f>
        <v>1.2459999999999998</v>
      </c>
      <c r="T28" s="15" cm="1">
        <f t="array" ref="T28">+HLOOKUP($A$1,+[41]İcmal!$B$19:$AG$49,ROW(C26)+1,FALSE)</f>
        <v>0</v>
      </c>
      <c r="U28" s="15" cm="1">
        <f t="array" ref="U28">+HLOOKUP($A$1,+[42]İcmal!$B$19:$AG$49,ROW(D26)+1,FALSE)</f>
        <v>0</v>
      </c>
      <c r="V28" s="15" cm="1">
        <f t="array" ref="V28">+HLOOKUP($A$1,+[43]İcmal!$B$19:$AG$49,ROW(A26)+1,FALSE)</f>
        <v>0</v>
      </c>
      <c r="W28" s="15" cm="1">
        <f t="array" ref="W28">+HLOOKUP($A$1,+[44]İcmal!$B$19:$AG$49,ROW(B26)+1,FALSE)</f>
        <v>0</v>
      </c>
      <c r="X28" s="15" cm="1">
        <f t="array" ref="X28">+HLOOKUP($A$1,+[45]İcmal!$B$19:$AG$49,ROW(C26)+1,FALSE)</f>
        <v>1.03</v>
      </c>
      <c r="Y28" s="15" cm="1">
        <f t="array" ref="Y28">+HLOOKUP($A$1,+[46]İcmal!$B$19:$AG$49,ROW(D26)+1,FALSE)</f>
        <v>1.071</v>
      </c>
      <c r="Z28" s="15" cm="1">
        <f t="array" ref="Z28">+HLOOKUP($A$1,+[47]İcmal!$B$19:$AG$49,ROW(A26)+1,FALSE)</f>
        <v>0</v>
      </c>
      <c r="AA28" s="15" cm="1">
        <f t="array" ref="AA28">+HLOOKUP($A$1,+[48]İcmal!$B$19:$AG$49,ROW(B26)+1,FALSE)</f>
        <v>0</v>
      </c>
      <c r="AB28" s="15" cm="1">
        <f t="array" ref="AB28">+HLOOKUP($A$1,+[49]İcmal!$B$19:$AG$49,ROW(A26)+1,FALSE)</f>
        <v>0</v>
      </c>
      <c r="AC28" s="15" cm="1">
        <f t="array" ref="AC28">+HLOOKUP($A$1,+[50]İcmal!$B$19:$AG$49,ROW(A26)+1,FALSE)</f>
        <v>0</v>
      </c>
      <c r="AD28" s="15" cm="1">
        <f t="array" ref="AD28">+HLOOKUP($A$1,+[51]İcmal!$B$19:$AG$49,ROW(A26)+1,FALSE)</f>
        <v>0.22500000000000001</v>
      </c>
      <c r="AE28" s="15" cm="1">
        <f t="array" ref="AE28">+HLOOKUP($A$1,+[52]İcmal!$B$19:$AG$49,ROW(A26)+1,FALSE)</f>
        <v>0</v>
      </c>
      <c r="AF28" s="50" cm="1">
        <f t="array" ref="AF28">+HLOOKUP($A$1,+[53]İcmal!$B$19:$AG$49,ROW(A26)+1,FALSE)</f>
        <v>0</v>
      </c>
      <c r="AG28" s="15" cm="1">
        <f t="array" ref="AG28">+HLOOKUP($A$1,+[54]İcmal!$B$19:$AG$49,ROW(A26)+1,FALSE)</f>
        <v>0</v>
      </c>
      <c r="AH28" s="15" cm="1">
        <f t="array" ref="AH28">+HLOOKUP($A$1,+[55]İcmal!$B$19:$AG$49,ROW(A26)+1,FALSE)</f>
        <v>0</v>
      </c>
      <c r="AI28" s="15" cm="1">
        <f t="array" ref="AI28">+HLOOKUP($A$1,+[56]İcmal!$B$19:$AG$49,ROW(A26)+1,FALSE)</f>
        <v>0</v>
      </c>
      <c r="AJ28" s="15" cm="1">
        <f t="array" ref="AJ28">+HLOOKUP($A$1,+[57]İcmal!$B$19:$AG$49,ROW(A26)+1,FALSE)</f>
        <v>0.218</v>
      </c>
      <c r="AK28" s="15" cm="1">
        <f t="array" ref="AK28">+HLOOKUP($A$1,+[58]İcmal!$B$19:$AG$49,ROW(B26)+1,FALSE)</f>
        <v>0</v>
      </c>
      <c r="AL28" s="15"/>
      <c r="AM28" s="15"/>
      <c r="AN28" s="15"/>
      <c r="AO28" s="13"/>
    </row>
    <row r="29" spans="1:41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+HLOOKUP($A$1,+[31]İcmal!$B$19:$AG$49,ROW(A27)+1,FALSE)</f>
        <v>0</v>
      </c>
      <c r="K29" s="15" cm="1">
        <f t="array" ref="K29">+HLOOKUP($A$1,+[32]İcmal!$B$19:$AG$49,ROW(B27)+1,FALSE)</f>
        <v>0</v>
      </c>
      <c r="L29" s="15" cm="1">
        <f t="array" ref="L29">+HLOOKUP($A$1,+[33]İcmal!$B$19:$AG$49,ROW(C27)+1,FALSE)</f>
        <v>0</v>
      </c>
      <c r="M29" s="15" cm="1">
        <f t="array" ref="M29">+HLOOKUP($A$1,+[34]İcmal!$B$19:$AG$49,ROW(D27)+1,FALSE)</f>
        <v>0</v>
      </c>
      <c r="N29" s="15" cm="1">
        <f t="array" ref="N29">+HLOOKUP($A$1,+[35]İcmal!$B$19:$AG$49,ROW(A27)+1,FALSE)</f>
        <v>0</v>
      </c>
      <c r="O29" s="15" cm="1">
        <f t="array" ref="O29">+HLOOKUP($A$1,+[36]İcmal!$B$19:$AG$49,ROW(B27)+1,FALSE)</f>
        <v>0</v>
      </c>
      <c r="P29" s="15" cm="1">
        <f t="array" ref="P29">+HLOOKUP($A$1,+[37]İcmal!$B$19:$AG$49,ROW(C27)+1,FALSE)</f>
        <v>0</v>
      </c>
      <c r="Q29" s="15" cm="1">
        <f t="array" ref="Q29">+HLOOKUP($A$1,+[38]İcmal!$B$19:$AG$49,ROW(D27)+1,FALSE)</f>
        <v>0</v>
      </c>
      <c r="R29" s="15" cm="1">
        <f t="array" ref="R29">+HLOOKUP($A$1,+[39]İcmal!$B$19:$AG$49,ROW(A27)+1,FALSE)</f>
        <v>0</v>
      </c>
      <c r="S29" s="15" cm="1">
        <f t="array" ref="S29">+HLOOKUP($A$1,+[40]İcmal!$B$19:$AG$49,ROW(B27)+1,FALSE)</f>
        <v>0</v>
      </c>
      <c r="T29" s="15" cm="1">
        <f t="array" ref="T29">+HLOOKUP($A$1,+[41]İcmal!$B$19:$AG$49,ROW(C27)+1,FALSE)</f>
        <v>0</v>
      </c>
      <c r="U29" s="15" cm="1">
        <f t="array" ref="U29">+HLOOKUP($A$1,+[42]İcmal!$B$19:$AG$49,ROW(D27)+1,FALSE)</f>
        <v>0</v>
      </c>
      <c r="V29" s="15" cm="1">
        <f t="array" ref="V29">+HLOOKUP($A$1,+[43]İcmal!$B$19:$AG$49,ROW(A27)+1,FALSE)</f>
        <v>0</v>
      </c>
      <c r="W29" s="15" cm="1">
        <f t="array" ref="W29">+HLOOKUP($A$1,+[44]İcmal!$B$19:$AG$49,ROW(B27)+1,FALSE)</f>
        <v>0</v>
      </c>
      <c r="X29" s="15" cm="1">
        <f t="array" ref="X29">+HLOOKUP($A$1,+[45]İcmal!$B$19:$AG$49,ROW(C27)+1,FALSE)</f>
        <v>0</v>
      </c>
      <c r="Y29" s="15" cm="1">
        <f t="array" ref="Y29">+HLOOKUP($A$1,+[46]İcmal!$B$19:$AG$49,ROW(D27)+1,FALSE)</f>
        <v>0</v>
      </c>
      <c r="Z29" s="15" cm="1">
        <f t="array" ref="Z29">+HLOOKUP($A$1,+[47]İcmal!$B$19:$AG$49,ROW(A27)+1,FALSE)</f>
        <v>0</v>
      </c>
      <c r="AA29" s="15" cm="1">
        <f t="array" ref="AA29">+HLOOKUP($A$1,+[48]İcmal!$B$19:$AG$49,ROW(B27)+1,FALSE)</f>
        <v>0</v>
      </c>
      <c r="AB29" s="15" cm="1">
        <f t="array" ref="AB29">+HLOOKUP($A$1,+[49]İcmal!$B$19:$AG$49,ROW(A27)+1,FALSE)</f>
        <v>0</v>
      </c>
      <c r="AC29" s="15" cm="1">
        <f t="array" ref="AC29">+HLOOKUP($A$1,+[50]İcmal!$B$19:$AG$49,ROW(A27)+1,FALSE)</f>
        <v>0</v>
      </c>
      <c r="AD29" s="15" cm="1">
        <f t="array" ref="AD29">+HLOOKUP($A$1,+[51]İcmal!$B$19:$AG$49,ROW(A27)+1,FALSE)</f>
        <v>0</v>
      </c>
      <c r="AE29" s="15" cm="1">
        <f t="array" ref="AE29">+HLOOKUP($A$1,+[52]İcmal!$B$19:$AG$49,ROW(A27)+1,FALSE)</f>
        <v>0</v>
      </c>
      <c r="AF29" s="50" cm="1">
        <f t="array" ref="AF29">+HLOOKUP($A$1,+[53]İcmal!$B$19:$AG$49,ROW(A27)+1,FALSE)</f>
        <v>0</v>
      </c>
      <c r="AG29" s="15" cm="1">
        <f t="array" ref="AG29">+HLOOKUP($A$1,+[54]İcmal!$B$19:$AG$49,ROW(A27)+1,FALSE)</f>
        <v>0</v>
      </c>
      <c r="AH29" s="15" cm="1">
        <f t="array" ref="AH29">+HLOOKUP($A$1,+[55]İcmal!$B$19:$AG$49,ROW(A27)+1,FALSE)</f>
        <v>0</v>
      </c>
      <c r="AI29" s="15" cm="1">
        <f t="array" ref="AI29">+HLOOKUP($A$1,+[56]İcmal!$B$19:$AG$49,ROW(A27)+1,FALSE)</f>
        <v>0</v>
      </c>
      <c r="AJ29" s="15" cm="1">
        <f t="array" ref="AJ29">+HLOOKUP($A$1,+[57]İcmal!$B$19:$AG$49,ROW(A27)+1,FALSE)</f>
        <v>0</v>
      </c>
      <c r="AK29" s="15" cm="1">
        <f t="array" ref="AK29">+HLOOKUP($A$1,+[58]İcmal!$B$19:$AG$49,ROW(B27)+1,FALSE)</f>
        <v>0</v>
      </c>
      <c r="AL29" s="15"/>
      <c r="AM29" s="15"/>
      <c r="AN29" s="15"/>
      <c r="AO29" s="13"/>
    </row>
    <row r="30" spans="1:41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49.472999999999992</v>
      </c>
      <c r="I30" s="9">
        <f t="shared" si="2"/>
        <v>4815355.5089999996</v>
      </c>
      <c r="J30" s="15" cm="1">
        <f t="array" ref="J30">+HLOOKUP($A$1,+[31]İcmal!$B$19:$AG$49,ROW(A28)+1,FALSE)</f>
        <v>0</v>
      </c>
      <c r="K30" s="15" cm="1">
        <f t="array" ref="K30">+HLOOKUP($A$1,+[32]İcmal!$B$19:$AG$49,ROW(B28)+1,FALSE)</f>
        <v>0</v>
      </c>
      <c r="L30" s="15" cm="1">
        <f t="array" ref="L30">+HLOOKUP($A$1,+[33]İcmal!$B$19:$AG$49,ROW(C28)+1,FALSE)</f>
        <v>7.4539999999999997</v>
      </c>
      <c r="M30" s="15" cm="1">
        <f t="array" ref="M30">+HLOOKUP($A$1,+[34]İcmal!$B$19:$AG$49,ROW(D28)+1,FALSE)</f>
        <v>7.0869999999999997</v>
      </c>
      <c r="N30" s="15" cm="1">
        <f t="array" ref="N30">+HLOOKUP($A$1,+[35]İcmal!$B$19:$AG$49,ROW(A28)+1,FALSE)</f>
        <v>0</v>
      </c>
      <c r="O30" s="15" cm="1">
        <f t="array" ref="O30">+HLOOKUP($A$1,+[36]İcmal!$B$19:$AG$49,ROW(B28)+1,FALSE)</f>
        <v>9.9359999999999999</v>
      </c>
      <c r="P30" s="15" cm="1">
        <f t="array" ref="P30">+HLOOKUP($A$1,+[37]İcmal!$B$19:$AG$49,ROW(C28)+1,FALSE)</f>
        <v>0</v>
      </c>
      <c r="Q30" s="15" cm="1">
        <f t="array" ref="Q30">+HLOOKUP($A$1,+[38]İcmal!$B$19:$AG$49,ROW(D28)+1,FALSE)</f>
        <v>0</v>
      </c>
      <c r="R30" s="15" cm="1">
        <f t="array" ref="R30">+HLOOKUP($A$1,+[39]İcmal!$B$19:$AG$49,ROW(A28)+1,FALSE)</f>
        <v>1.298</v>
      </c>
      <c r="S30" s="15" cm="1">
        <f t="array" ref="S30">+HLOOKUP($A$1,+[40]İcmal!$B$19:$AG$49,ROW(B28)+1,FALSE)</f>
        <v>8.2059999999999995</v>
      </c>
      <c r="T30" s="15" cm="1">
        <f t="array" ref="T30">+HLOOKUP($A$1,+[41]İcmal!$B$19:$AG$49,ROW(C28)+1,FALSE)</f>
        <v>0</v>
      </c>
      <c r="U30" s="15" cm="1">
        <f t="array" ref="U30">+HLOOKUP($A$1,+[42]İcmal!$B$19:$AG$49,ROW(D28)+1,FALSE)</f>
        <v>0</v>
      </c>
      <c r="V30" s="15" cm="1">
        <f t="array" ref="V30">+HLOOKUP($A$1,+[43]İcmal!$B$19:$AG$49,ROW(A28)+1,FALSE)</f>
        <v>0</v>
      </c>
      <c r="W30" s="15" cm="1">
        <f t="array" ref="W30">+HLOOKUP($A$1,+[44]İcmal!$B$19:$AG$49,ROW(B28)+1,FALSE)</f>
        <v>0</v>
      </c>
      <c r="X30" s="15" cm="1">
        <f t="array" ref="X30">+HLOOKUP($A$1,+[45]İcmal!$B$19:$AG$49,ROW(C28)+1,FALSE)</f>
        <v>7.8780000000000001</v>
      </c>
      <c r="Y30" s="15" cm="1">
        <f t="array" ref="Y30">+HLOOKUP($A$1,+[46]İcmal!$B$19:$AG$49,ROW(D28)+1,FALSE)</f>
        <v>6.625</v>
      </c>
      <c r="Z30" s="15" cm="1">
        <f t="array" ref="Z30">+HLOOKUP($A$1,+[47]İcmal!$B$19:$AG$49,ROW(A28)+1,FALSE)</f>
        <v>0</v>
      </c>
      <c r="AA30" s="15" cm="1">
        <f t="array" ref="AA30">+HLOOKUP($A$1,+[48]İcmal!$B$19:$AG$49,ROW(B28)+1,FALSE)</f>
        <v>0</v>
      </c>
      <c r="AB30" s="15" cm="1">
        <f t="array" ref="AB30">+HLOOKUP($A$1,+[49]İcmal!$B$19:$AG$49,ROW(A28)+1,FALSE)</f>
        <v>0</v>
      </c>
      <c r="AC30" s="15" cm="1">
        <f t="array" ref="AC30">+HLOOKUP($A$1,+[50]İcmal!$B$19:$AG$49,ROW(A28)+1,FALSE)</f>
        <v>0</v>
      </c>
      <c r="AD30" s="15" cm="1">
        <f t="array" ref="AD30">+HLOOKUP($A$1,+[51]İcmal!$B$19:$AG$49,ROW(A28)+1,FALSE)</f>
        <v>0.98899999999999999</v>
      </c>
      <c r="AE30" s="15" cm="1">
        <f t="array" ref="AE30">+HLOOKUP($A$1,+[52]İcmal!$B$19:$AG$49,ROW(A28)+1,FALSE)</f>
        <v>0</v>
      </c>
      <c r="AF30" s="50" cm="1">
        <f t="array" ref="AF30">+HLOOKUP($A$1,+[53]İcmal!$B$19:$AG$49,ROW(A28)+1,FALSE)</f>
        <v>0</v>
      </c>
      <c r="AG30" s="15" cm="1">
        <f t="array" ref="AG30">+HLOOKUP($A$1,+[54]İcmal!$B$19:$AG$49,ROW(A28)+1,FALSE)</f>
        <v>0</v>
      </c>
      <c r="AH30" s="15" cm="1">
        <f t="array" ref="AH30">+HLOOKUP($A$1,+[55]İcmal!$B$19:$AG$49,ROW(A28)+1,FALSE)</f>
        <v>0</v>
      </c>
      <c r="AI30" s="15" cm="1">
        <f t="array" ref="AI30">+HLOOKUP($A$1,+[56]İcmal!$B$19:$AG$49,ROW(A28)+1,FALSE)</f>
        <v>0</v>
      </c>
      <c r="AJ30" s="15" cm="1">
        <f t="array" ref="AJ30">+HLOOKUP($A$1,+[57]İcmal!$B$19:$AG$49,ROW(A28)+1,FALSE)</f>
        <v>0</v>
      </c>
      <c r="AK30" s="15" cm="1">
        <f t="array" ref="AK30">+HLOOKUP($A$1,+[58]İcmal!$B$19:$AG$49,ROW(B28)+1,FALSE)</f>
        <v>0</v>
      </c>
      <c r="AL30" s="15"/>
      <c r="AM30" s="15"/>
      <c r="AN30" s="15"/>
      <c r="AO30" s="13"/>
    </row>
    <row r="31" spans="1:41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+HLOOKUP($A$1,+[31]İcmal!$B$19:$AG$49,ROW(A29)+1,FALSE)</f>
        <v>0</v>
      </c>
      <c r="K31" s="15" cm="1">
        <f t="array" ref="K31">+HLOOKUP($A$1,+[32]İcmal!$B$19:$AG$49,ROW(B29)+1,FALSE)</f>
        <v>0</v>
      </c>
      <c r="L31" s="15" cm="1">
        <f t="array" ref="L31">+HLOOKUP($A$1,+[33]İcmal!$B$19:$AG$49,ROW(C29)+1,FALSE)</f>
        <v>0</v>
      </c>
      <c r="M31" s="15" cm="1">
        <f t="array" ref="M31">+HLOOKUP($A$1,+[34]İcmal!$B$19:$AG$49,ROW(D29)+1,FALSE)</f>
        <v>0</v>
      </c>
      <c r="N31" s="15" cm="1">
        <f t="array" ref="N31">+HLOOKUP($A$1,+[35]İcmal!$B$19:$AG$49,ROW(A29)+1,FALSE)</f>
        <v>0</v>
      </c>
      <c r="O31" s="15" cm="1">
        <f t="array" ref="O31">+HLOOKUP($A$1,+[36]İcmal!$B$19:$AG$49,ROW(B29)+1,FALSE)</f>
        <v>0</v>
      </c>
      <c r="P31" s="15" cm="1">
        <f t="array" ref="P31">+HLOOKUP($A$1,+[37]İcmal!$B$19:$AG$49,ROW(C29)+1,FALSE)</f>
        <v>0</v>
      </c>
      <c r="Q31" s="15" cm="1">
        <f t="array" ref="Q31">+HLOOKUP($A$1,+[38]İcmal!$B$19:$AG$49,ROW(D29)+1,FALSE)</f>
        <v>0</v>
      </c>
      <c r="R31" s="15" cm="1">
        <f t="array" ref="R31">+HLOOKUP($A$1,+[39]İcmal!$B$19:$AG$49,ROW(A29)+1,FALSE)</f>
        <v>0</v>
      </c>
      <c r="S31" s="15" cm="1">
        <f t="array" ref="S31">+HLOOKUP($A$1,+[40]İcmal!$B$19:$AG$49,ROW(B29)+1,FALSE)</f>
        <v>0</v>
      </c>
      <c r="T31" s="15" cm="1">
        <f t="array" ref="T31">+HLOOKUP($A$1,+[41]İcmal!$B$19:$AG$49,ROW(C29)+1,FALSE)</f>
        <v>0</v>
      </c>
      <c r="U31" s="15" cm="1">
        <f t="array" ref="U31">+HLOOKUP($A$1,+[42]İcmal!$B$19:$AG$49,ROW(D29)+1,FALSE)</f>
        <v>0</v>
      </c>
      <c r="V31" s="15" cm="1">
        <f t="array" ref="V31">+HLOOKUP($A$1,+[43]İcmal!$B$19:$AG$49,ROW(A29)+1,FALSE)</f>
        <v>0</v>
      </c>
      <c r="W31" s="15" cm="1">
        <f t="array" ref="W31">+HLOOKUP($A$1,+[44]İcmal!$B$19:$AG$49,ROW(B29)+1,FALSE)</f>
        <v>0</v>
      </c>
      <c r="X31" s="15" cm="1">
        <f t="array" ref="X31">+HLOOKUP($A$1,+[45]İcmal!$B$19:$AG$49,ROW(C29)+1,FALSE)</f>
        <v>0</v>
      </c>
      <c r="Y31" s="15" cm="1">
        <f t="array" ref="Y31">+HLOOKUP($A$1,+[46]İcmal!$B$19:$AG$49,ROW(D29)+1,FALSE)</f>
        <v>0</v>
      </c>
      <c r="Z31" s="15" cm="1">
        <f t="array" ref="Z31">+HLOOKUP($A$1,+[47]İcmal!$B$19:$AG$49,ROW(A29)+1,FALSE)</f>
        <v>0</v>
      </c>
      <c r="AA31" s="15" cm="1">
        <f t="array" ref="AA31">+HLOOKUP($A$1,+[48]İcmal!$B$19:$AG$49,ROW(B29)+1,FALSE)</f>
        <v>0</v>
      </c>
      <c r="AB31" s="15" cm="1">
        <f t="array" ref="AB31">+HLOOKUP($A$1,+[49]İcmal!$B$19:$AG$49,ROW(A29)+1,FALSE)</f>
        <v>0</v>
      </c>
      <c r="AC31" s="15" cm="1">
        <f t="array" ref="AC31">+HLOOKUP($A$1,+[50]İcmal!$B$19:$AG$49,ROW(A29)+1,FALSE)</f>
        <v>0</v>
      </c>
      <c r="AD31" s="15" cm="1">
        <f t="array" ref="AD31">+HLOOKUP($A$1,+[51]İcmal!$B$19:$AG$49,ROW(A29)+1,FALSE)</f>
        <v>0</v>
      </c>
      <c r="AE31" s="15" cm="1">
        <f t="array" ref="AE31">+HLOOKUP($A$1,+[52]İcmal!$B$19:$AG$49,ROW(A29)+1,FALSE)</f>
        <v>0</v>
      </c>
      <c r="AF31" s="50" cm="1">
        <f t="array" ref="AF31">+HLOOKUP($A$1,+[53]İcmal!$B$19:$AG$49,ROW(A29)+1,FALSE)</f>
        <v>0</v>
      </c>
      <c r="AG31" s="15" cm="1">
        <f t="array" ref="AG31">+HLOOKUP($A$1,+[54]İcmal!$B$19:$AG$49,ROW(A29)+1,FALSE)</f>
        <v>0</v>
      </c>
      <c r="AH31" s="15" cm="1">
        <f t="array" ref="AH31">+HLOOKUP($A$1,+[55]İcmal!$B$19:$AG$49,ROW(A29)+1,FALSE)</f>
        <v>0</v>
      </c>
      <c r="AI31" s="15" cm="1">
        <f t="array" ref="AI31">+HLOOKUP($A$1,+[56]İcmal!$B$19:$AG$49,ROW(A29)+1,FALSE)</f>
        <v>0</v>
      </c>
      <c r="AJ31" s="15" cm="1">
        <f t="array" ref="AJ31">+HLOOKUP($A$1,+[57]İcmal!$B$19:$AG$49,ROW(A29)+1,FALSE)</f>
        <v>0</v>
      </c>
      <c r="AK31" s="15" cm="1">
        <f t="array" ref="AK31">+HLOOKUP($A$1,+[58]İcmal!$B$19:$AG$49,ROW(B29)+1,FALSE)</f>
        <v>0</v>
      </c>
      <c r="AL31" s="15"/>
      <c r="AM31" s="15"/>
      <c r="AN31" s="15"/>
      <c r="AO31" s="13"/>
    </row>
    <row r="32" spans="1:41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+HLOOKUP($A$1,+[31]İcmal!$B$19:$AG$49,ROW(A30)+1,FALSE)</f>
        <v>0</v>
      </c>
      <c r="K32" s="15" cm="1">
        <f t="array" ref="K32">+HLOOKUP($A$1,+[32]İcmal!$B$19:$AG$49,ROW(B30)+1,FALSE)</f>
        <v>0</v>
      </c>
      <c r="L32" s="15" cm="1">
        <f t="array" ref="L32">+HLOOKUP($A$1,+[33]İcmal!$B$19:$AG$49,ROW(C30)+1,FALSE)</f>
        <v>0</v>
      </c>
      <c r="M32" s="15" cm="1">
        <f t="array" ref="M32">+HLOOKUP($A$1,+[34]İcmal!$B$19:$AG$49,ROW(D30)+1,FALSE)</f>
        <v>0</v>
      </c>
      <c r="N32" s="15" cm="1">
        <f t="array" ref="N32">+HLOOKUP($A$1,+[35]İcmal!$B$19:$AG$49,ROW(A30)+1,FALSE)</f>
        <v>0</v>
      </c>
      <c r="O32" s="15" cm="1">
        <f t="array" ref="O32">+HLOOKUP($A$1,+[36]İcmal!$B$19:$AG$49,ROW(B30)+1,FALSE)</f>
        <v>0</v>
      </c>
      <c r="P32" s="15" cm="1">
        <f t="array" ref="P32">+HLOOKUP($A$1,+[37]İcmal!$B$19:$AG$49,ROW(C30)+1,FALSE)</f>
        <v>0</v>
      </c>
      <c r="Q32" s="15" cm="1">
        <f t="array" ref="Q32">+HLOOKUP($A$1,+[38]İcmal!$B$19:$AG$49,ROW(D30)+1,FALSE)</f>
        <v>0</v>
      </c>
      <c r="R32" s="15" cm="1">
        <f t="array" ref="R32">+HLOOKUP($A$1,+[39]İcmal!$B$19:$AG$49,ROW(A30)+1,FALSE)</f>
        <v>0</v>
      </c>
      <c r="S32" s="15" cm="1">
        <f t="array" ref="S32">+HLOOKUP($A$1,+[40]İcmal!$B$19:$AG$49,ROW(B30)+1,FALSE)</f>
        <v>0</v>
      </c>
      <c r="T32" s="15" cm="1">
        <f t="array" ref="T32">+HLOOKUP($A$1,+[41]İcmal!$B$19:$AG$49,ROW(C30)+1,FALSE)</f>
        <v>0</v>
      </c>
      <c r="U32" s="15" cm="1">
        <f t="array" ref="U32">+HLOOKUP($A$1,+[42]İcmal!$B$19:$AG$49,ROW(D30)+1,FALSE)</f>
        <v>0</v>
      </c>
      <c r="V32" s="15" cm="1">
        <f t="array" ref="V32">+HLOOKUP($A$1,+[43]İcmal!$B$19:$AG$49,ROW(A30)+1,FALSE)</f>
        <v>0</v>
      </c>
      <c r="W32" s="15" cm="1">
        <f t="array" ref="W32">+HLOOKUP($A$1,+[44]İcmal!$B$19:$AG$49,ROW(B30)+1,FALSE)</f>
        <v>0</v>
      </c>
      <c r="X32" s="15" cm="1">
        <f t="array" ref="X32">+HLOOKUP($A$1,+[45]İcmal!$B$19:$AG$49,ROW(C30)+1,FALSE)</f>
        <v>0</v>
      </c>
      <c r="Y32" s="15" cm="1">
        <f t="array" ref="Y32">+HLOOKUP($A$1,+[46]İcmal!$B$19:$AG$49,ROW(D30)+1,FALSE)</f>
        <v>0</v>
      </c>
      <c r="Z32" s="15" cm="1">
        <f t="array" ref="Z32">+HLOOKUP($A$1,+[47]İcmal!$B$19:$AG$49,ROW(A30)+1,FALSE)</f>
        <v>0</v>
      </c>
      <c r="AA32" s="15" cm="1">
        <f t="array" ref="AA32">+HLOOKUP($A$1,+[48]İcmal!$B$19:$AG$49,ROW(B30)+1,FALSE)</f>
        <v>0</v>
      </c>
      <c r="AB32" s="15" cm="1">
        <f t="array" ref="AB32">+HLOOKUP($A$1,+[49]İcmal!$B$19:$AG$49,ROW(A30)+1,FALSE)</f>
        <v>0</v>
      </c>
      <c r="AC32" s="15" cm="1">
        <f t="array" ref="AC32">+HLOOKUP($A$1,+[50]İcmal!$B$19:$AG$49,ROW(A30)+1,FALSE)</f>
        <v>0</v>
      </c>
      <c r="AD32" s="15" cm="1">
        <f t="array" ref="AD32">+HLOOKUP($A$1,+[51]İcmal!$B$19:$AG$49,ROW(A30)+1,FALSE)</f>
        <v>0</v>
      </c>
      <c r="AE32" s="15" cm="1">
        <f t="array" ref="AE32">+HLOOKUP($A$1,+[52]İcmal!$B$19:$AG$49,ROW(A30)+1,FALSE)</f>
        <v>0</v>
      </c>
      <c r="AF32" s="50" cm="1">
        <f t="array" ref="AF32">+HLOOKUP($A$1,+[53]İcmal!$B$19:$AG$49,ROW(A30)+1,FALSE)</f>
        <v>0</v>
      </c>
      <c r="AG32" s="15" cm="1">
        <f t="array" ref="AG32">+HLOOKUP($A$1,+[54]İcmal!$B$19:$AG$49,ROW(A30)+1,FALSE)</f>
        <v>0</v>
      </c>
      <c r="AH32" s="15" cm="1">
        <f t="array" ref="AH32">+HLOOKUP($A$1,+[55]İcmal!$B$19:$AG$49,ROW(A30)+1,FALSE)</f>
        <v>0</v>
      </c>
      <c r="AI32" s="15" cm="1">
        <f t="array" ref="AI32">+HLOOKUP($A$1,+[56]İcmal!$B$19:$AG$49,ROW(A30)+1,FALSE)</f>
        <v>0</v>
      </c>
      <c r="AJ32" s="15" cm="1">
        <f t="array" ref="AJ32">+HLOOKUP($A$1,+[57]İcmal!$B$19:$AG$49,ROW(A30)+1,FALSE)</f>
        <v>0</v>
      </c>
      <c r="AK32" s="15" cm="1">
        <f t="array" ref="AK32">+HLOOKUP($A$1,+[58]İcmal!$B$19:$AG$49,ROW(B30)+1,FALSE)</f>
        <v>0</v>
      </c>
      <c r="AL32" s="15"/>
      <c r="AM32" s="15"/>
      <c r="AN32" s="15"/>
      <c r="AO32" s="14"/>
    </row>
    <row r="33" spans="8:40" x14ac:dyDescent="0.3">
      <c r="I33" s="16">
        <f>SUM(I3:I32)</f>
        <v>95279484.121000007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>
        <f t="shared" ref="AN33" si="3">+SUMPRODUCT(AN3:AN32,$F$3:$F$32)</f>
        <v>0</v>
      </c>
    </row>
    <row r="34" spans="8:40" x14ac:dyDescent="0.3">
      <c r="H34" s="52"/>
    </row>
    <row r="35" spans="8:40" x14ac:dyDescent="0.3">
      <c r="I35" s="16"/>
    </row>
    <row r="36" spans="8:40" x14ac:dyDescent="0.3">
      <c r="I36" s="16"/>
      <c r="K36" s="52"/>
    </row>
    <row r="37" spans="8:40" x14ac:dyDescent="0.3">
      <c r="J37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AAE1-F45E-46D9-B153-55084BD0D96A}">
  <sheetPr>
    <tabColor rgb="FFFF0000"/>
  </sheetPr>
  <dimension ref="A1:AO37"/>
  <sheetViews>
    <sheetView zoomScale="85" zoomScaleNormal="85" workbookViewId="0">
      <selection activeCell="K3" sqref="K3:K3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1" width="19.33203125" customWidth="1"/>
    <col min="12" max="13" width="21.109375" customWidth="1"/>
    <col min="14" max="15" width="19.21875" customWidth="1"/>
    <col min="16" max="16" width="19.33203125" customWidth="1"/>
    <col min="17" max="19" width="19.21875" customWidth="1"/>
    <col min="20" max="20" width="19.33203125" customWidth="1"/>
    <col min="21" max="21" width="19.21875" customWidth="1"/>
    <col min="22" max="24" width="46.77734375" customWidth="1"/>
    <col min="25" max="25" width="46.33203125" customWidth="1"/>
    <col min="26" max="32" width="46.77734375" customWidth="1"/>
    <col min="33" max="33" width="46.33203125" bestFit="1" customWidth="1"/>
    <col min="34" max="37" width="46.77734375" bestFit="1" customWidth="1"/>
    <col min="38" max="39" width="59.109375" customWidth="1"/>
    <col min="40" max="40" width="12.33203125" bestFit="1" customWidth="1"/>
    <col min="41" max="41" width="2.21875" customWidth="1"/>
  </cols>
  <sheetData>
    <row r="1" spans="1:41" ht="15" thickBot="1" x14ac:dyDescent="0.35">
      <c r="A1" s="17" t="s">
        <v>131</v>
      </c>
    </row>
    <row r="2" spans="1:4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3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11" t="s">
        <v>126</v>
      </c>
      <c r="AG2" s="3" t="s">
        <v>143</v>
      </c>
      <c r="AH2" s="11" t="s">
        <v>144</v>
      </c>
      <c r="AI2" s="3" t="s">
        <v>138</v>
      </c>
      <c r="AJ2" s="11" t="s">
        <v>125</v>
      </c>
      <c r="AK2" s="3" t="s">
        <v>133</v>
      </c>
      <c r="AL2" s="11"/>
      <c r="AM2" s="11"/>
      <c r="AN2" s="11"/>
      <c r="AO2" s="12"/>
    </row>
    <row r="3" spans="1:41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SUM(J3:AO3)</f>
        <v>2739.6740000000004</v>
      </c>
      <c r="I3" s="9">
        <f>+F3*H3</f>
        <v>13903845.550000003</v>
      </c>
      <c r="J3" s="15" cm="1">
        <f t="array" ref="J3">+HLOOKUP($A$1,+[31]İcmal!$B$19:$AG$49,ROW(A1)+1,FALSE)</f>
        <v>0</v>
      </c>
      <c r="K3" s="15" cm="1">
        <f t="array" ref="K3">+HLOOKUP($A$1,+[32]İcmal!$B$19:$AG$49,ROW(B1)+1,FALSE)</f>
        <v>0</v>
      </c>
      <c r="L3" s="15" cm="1">
        <f t="array" ref="L3">+HLOOKUP($A$1,+[33]İcmal!$B$19:$AG$49,ROW(C1)+1,FALSE)</f>
        <v>384.43200000000002</v>
      </c>
      <c r="M3" s="15" cm="1">
        <f t="array" ref="M3">+HLOOKUP($A$1,+[34]İcmal!$B$19:$AG$49,ROW(D1)+1,FALSE)</f>
        <v>316.88799999999992</v>
      </c>
      <c r="N3" s="15" cm="1">
        <f t="array" ref="N3">+HLOOKUP($A$1,+[35]İcmal!$B$19:$AG$49,ROW(A1)+1,FALSE)</f>
        <v>0</v>
      </c>
      <c r="O3" s="15" cm="1">
        <f t="array" ref="O3">+HLOOKUP($A$1,+[36]İcmal!$B$19:$AG$49,ROW(B1)+1,FALSE)</f>
        <v>9.4510000000000218</v>
      </c>
      <c r="P3" s="15" cm="1">
        <f t="array" ref="P3">+HLOOKUP($A$1,+[37]İcmal!$B$19:$AG$49,ROW(C1)+1,FALSE)</f>
        <v>0</v>
      </c>
      <c r="Q3" s="15" cm="1">
        <f t="array" ref="Q3">+HLOOKUP($A$1,+[38]İcmal!$B$19:$AG$49,ROW(D1)+1,FALSE)</f>
        <v>0</v>
      </c>
      <c r="R3" s="15" cm="1">
        <f t="array" ref="R3">+HLOOKUP($A$1,+[39]İcmal!$B$19:$AG$49,ROW(A1)+1,FALSE)</f>
        <v>0</v>
      </c>
      <c r="S3" s="15" cm="1">
        <f t="array" ref="S3">+HLOOKUP($A$1,+[40]İcmal!$B$19:$AG$49,ROW(B1)+1,FALSE)</f>
        <v>8.7760000000002947</v>
      </c>
      <c r="T3" s="15" cm="1">
        <f t="array" ref="T3">+HLOOKUP($A$1,+[41]İcmal!$B$19:$AG$49,ROW(C1)+1,FALSE)</f>
        <v>551.23699999999997</v>
      </c>
      <c r="U3" s="15" cm="1">
        <f t="array" ref="U3">+HLOOKUP($A$1,+[42]İcmal!$B$19:$AG$49,ROW(D1)+1,FALSE)</f>
        <v>551.23699999999997</v>
      </c>
      <c r="V3" s="15" cm="1">
        <f t="array" ref="V3">+HLOOKUP($A$1,+[43]İcmal!$B$19:$AG$49,ROW(A1)+1,FALSE)</f>
        <v>0</v>
      </c>
      <c r="W3" s="15" cm="1">
        <f t="array" ref="W3">+HLOOKUP($A$1,+[44]İcmal!$B$19:$AG$49,ROW(B1)+1,FALSE)</f>
        <v>0</v>
      </c>
      <c r="X3" s="15" cm="1">
        <f t="array" ref="X3">+HLOOKUP($A$1,+[45]İcmal!$B$19:$AG$49,ROW(C1)+1,FALSE)</f>
        <v>0</v>
      </c>
      <c r="Y3" s="15" cm="1">
        <f t="array" ref="Y3">+HLOOKUP($A$1,+[46]İcmal!$B$19:$AG$49,ROW(D1)+1,FALSE)</f>
        <v>0</v>
      </c>
      <c r="Z3" s="15" cm="1">
        <f t="array" ref="Z3">+HLOOKUP($A$1,+[47]İcmal!$B$19:$AG$49,ROW(A1)+1,FALSE)</f>
        <v>357.16899999999998</v>
      </c>
      <c r="AA3" s="15" cm="1">
        <f t="array" ref="AA3">+HLOOKUP($A$1,+[48]İcmal!$B$19:$AG$49,ROW(B1)+1,FALSE)</f>
        <v>0</v>
      </c>
      <c r="AB3" s="15" cm="1">
        <f t="array" ref="AB3">+HLOOKUP($A$1,+[49]İcmal!$B$19:$AG$49,ROW(A1)+1,FALSE)</f>
        <v>0</v>
      </c>
      <c r="AC3" s="15" cm="1">
        <f t="array" ref="AC3">+HLOOKUP($A$1,+[50]İcmal!$B$19:$AG$49,ROW(A1)+1,FALSE)</f>
        <v>0</v>
      </c>
      <c r="AD3" s="15" cm="1">
        <f t="array" ref="AD3">+HLOOKUP($A$1,+[51]İcmal!$B$19:$AG$49,ROW(A1)+1,FALSE)</f>
        <v>218.41099999999997</v>
      </c>
      <c r="AE3" s="15" cm="1">
        <f t="array" ref="AE3">+HLOOKUP($A$1,+[52]İcmal!$B$19:$AG$49,ROW(A1)+1,FALSE)</f>
        <v>0</v>
      </c>
      <c r="AF3" s="50" cm="1">
        <f t="array" ref="AF3">+HLOOKUP($A$1,+[53]İcmal!$B$19:$AG$49,ROW(A1)+1,FALSE)</f>
        <v>0</v>
      </c>
      <c r="AG3" s="15" cm="1">
        <f t="array" ref="AG3">+HLOOKUP($A$1,+[54]İcmal!$B$19:$AG$49,ROW(A1)+1,FALSE)</f>
        <v>83.763999999999996</v>
      </c>
      <c r="AH3" s="15" cm="1">
        <f t="array" ref="AH3">+HLOOKUP($A$1,+[55]İcmal!$B$19:$AG$49,ROW(A1)+1,FALSE)</f>
        <v>0</v>
      </c>
      <c r="AI3" s="15" cm="1">
        <f t="array" ref="AI3">+HLOOKUP($A$1,+[56]İcmal!$B$19:$AG$49,ROW(A1)+1,FALSE)</f>
        <v>0</v>
      </c>
      <c r="AJ3" s="15" cm="1">
        <f t="array" ref="AJ3">+HLOOKUP($A$1,+[57]İcmal!$B$19:$AG$49,ROW(A1)+1,FALSE)</f>
        <v>258.30900000000003</v>
      </c>
      <c r="AK3" s="15" cm="1">
        <f t="array" ref="AK3">+HLOOKUP($A$1,+[58]İcmal!$B$19:$AG$49,ROW(B1)+1,FALSE)</f>
        <v>0</v>
      </c>
      <c r="AL3" s="15"/>
      <c r="AM3" s="15"/>
      <c r="AN3" s="15"/>
      <c r="AO3" s="13"/>
    </row>
    <row r="4" spans="1:41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+HLOOKUP($A$1,+[31]İcmal!$B$19:$AG$49,ROW(A2)+1,FALSE)</f>
        <v>0</v>
      </c>
      <c r="K4" s="15" cm="1">
        <f t="array" ref="K4">+HLOOKUP($A$1,+[32]İcmal!$B$19:$AG$49,ROW(B2)+1,FALSE)</f>
        <v>0</v>
      </c>
      <c r="L4" s="15" cm="1">
        <f t="array" ref="L4">+HLOOKUP($A$1,+[33]İcmal!$B$19:$AG$49,ROW(C2)+1,FALSE)</f>
        <v>0</v>
      </c>
      <c r="M4" s="15" cm="1">
        <f t="array" ref="M4">+HLOOKUP($A$1,+[34]İcmal!$B$19:$AG$49,ROW(D2)+1,FALSE)</f>
        <v>0</v>
      </c>
      <c r="N4" s="15" cm="1">
        <f t="array" ref="N4">+HLOOKUP($A$1,+[35]İcmal!$B$19:$AG$49,ROW(A2)+1,FALSE)</f>
        <v>0</v>
      </c>
      <c r="O4" s="15" cm="1">
        <f t="array" ref="O4">+HLOOKUP($A$1,+[36]İcmal!$B$19:$AG$49,ROW(B2)+1,FALSE)</f>
        <v>0</v>
      </c>
      <c r="P4" s="15" cm="1">
        <f t="array" ref="P4">+HLOOKUP($A$1,+[37]İcmal!$B$19:$AG$49,ROW(C2)+1,FALSE)</f>
        <v>0</v>
      </c>
      <c r="Q4" s="15" cm="1">
        <f t="array" ref="Q4">+HLOOKUP($A$1,+[38]İcmal!$B$19:$AG$49,ROW(D2)+1,FALSE)</f>
        <v>0</v>
      </c>
      <c r="R4" s="15" cm="1">
        <f t="array" ref="R4">+HLOOKUP($A$1,+[39]İcmal!$B$19:$AG$49,ROW(A2)+1,FALSE)</f>
        <v>0</v>
      </c>
      <c r="S4" s="15" cm="1">
        <f t="array" ref="S4">+HLOOKUP($A$1,+[40]İcmal!$B$19:$AG$49,ROW(B2)+1,FALSE)</f>
        <v>0</v>
      </c>
      <c r="T4" s="15" cm="1">
        <f t="array" ref="T4">+HLOOKUP($A$1,+[41]İcmal!$B$19:$AG$49,ROW(C2)+1,FALSE)</f>
        <v>0</v>
      </c>
      <c r="U4" s="15" cm="1">
        <f t="array" ref="U4">+HLOOKUP($A$1,+[42]İcmal!$B$19:$AG$49,ROW(D2)+1,FALSE)</f>
        <v>0</v>
      </c>
      <c r="V4" s="15" cm="1">
        <f t="array" ref="V4">+HLOOKUP($A$1,+[43]İcmal!$B$19:$AG$49,ROW(A2)+1,FALSE)</f>
        <v>0</v>
      </c>
      <c r="W4" s="15" cm="1">
        <f t="array" ref="W4">+HLOOKUP($A$1,+[44]İcmal!$B$19:$AG$49,ROW(B2)+1,FALSE)</f>
        <v>0</v>
      </c>
      <c r="X4" s="15" cm="1">
        <f t="array" ref="X4">+HLOOKUP($A$1,+[45]İcmal!$B$19:$AG$49,ROW(C2)+1,FALSE)</f>
        <v>0</v>
      </c>
      <c r="Y4" s="15" cm="1">
        <f t="array" ref="Y4">+HLOOKUP($A$1,+[46]İcmal!$B$19:$AG$49,ROW(D2)+1,FALSE)</f>
        <v>0</v>
      </c>
      <c r="Z4" s="15" cm="1">
        <f t="array" ref="Z4">+HLOOKUP($A$1,+[47]İcmal!$B$19:$AG$49,ROW(A2)+1,FALSE)</f>
        <v>0</v>
      </c>
      <c r="AA4" s="15" cm="1">
        <f t="array" ref="AA4">+HLOOKUP($A$1,+[48]İcmal!$B$19:$AG$49,ROW(B2)+1,FALSE)</f>
        <v>0</v>
      </c>
      <c r="AB4" s="15" cm="1">
        <f t="array" ref="AB4">+HLOOKUP($A$1,+[49]İcmal!$B$19:$AG$49,ROW(A2)+1,FALSE)</f>
        <v>0</v>
      </c>
      <c r="AC4" s="15" cm="1">
        <f t="array" ref="AC4">+HLOOKUP($A$1,+[50]İcmal!$B$19:$AG$49,ROW(A2)+1,FALSE)</f>
        <v>0</v>
      </c>
      <c r="AD4" s="15" cm="1">
        <f t="array" ref="AD4">+HLOOKUP($A$1,+[51]İcmal!$B$19:$AG$49,ROW(A2)+1,FALSE)</f>
        <v>0</v>
      </c>
      <c r="AE4" s="15" cm="1">
        <f t="array" ref="AE4">+HLOOKUP($A$1,+[52]İcmal!$B$19:$AG$49,ROW(A2)+1,FALSE)</f>
        <v>0</v>
      </c>
      <c r="AF4" s="50" cm="1">
        <f t="array" ref="AF4">+HLOOKUP($A$1,+[53]İcmal!$B$19:$AG$49,ROW(A2)+1,FALSE)</f>
        <v>0</v>
      </c>
      <c r="AG4" s="15" cm="1">
        <f t="array" ref="AG4">+HLOOKUP($A$1,+[54]İcmal!$B$19:$AG$49,ROW(A2)+1,FALSE)</f>
        <v>0</v>
      </c>
      <c r="AH4" s="15" cm="1">
        <f t="array" ref="AH4">+HLOOKUP($A$1,+[55]İcmal!$B$19:$AG$49,ROW(A2)+1,FALSE)</f>
        <v>0</v>
      </c>
      <c r="AI4" s="15" cm="1">
        <f t="array" ref="AI4">+HLOOKUP($A$1,+[56]İcmal!$B$19:$AG$49,ROW(A2)+1,FALSE)</f>
        <v>0</v>
      </c>
      <c r="AJ4" s="15" cm="1">
        <f t="array" ref="AJ4">+HLOOKUP($A$1,+[57]İcmal!$B$19:$AG$49,ROW(A2)+1,FALSE)</f>
        <v>0</v>
      </c>
      <c r="AK4" s="15" cm="1">
        <f t="array" ref="AK4">+HLOOKUP($A$1,+[58]İcmal!$B$19:$AG$49,ROW(B2)+1,FALSE)</f>
        <v>0</v>
      </c>
      <c r="AL4" s="15"/>
      <c r="AM4" s="15"/>
      <c r="AN4" s="15"/>
      <c r="AO4" s="13"/>
    </row>
    <row r="5" spans="1:41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+HLOOKUP($A$1,+[31]İcmal!$B$19:$AG$49,ROW(A3)+1,FALSE)</f>
        <v>0</v>
      </c>
      <c r="K5" s="15" cm="1">
        <f t="array" ref="K5">+HLOOKUP($A$1,+[32]İcmal!$B$19:$AG$49,ROW(B3)+1,FALSE)</f>
        <v>0</v>
      </c>
      <c r="L5" s="15" cm="1">
        <f t="array" ref="L5">+HLOOKUP($A$1,+[33]İcmal!$B$19:$AG$49,ROW(C3)+1,FALSE)</f>
        <v>0</v>
      </c>
      <c r="M5" s="15" cm="1">
        <f t="array" ref="M5">+HLOOKUP($A$1,+[34]İcmal!$B$19:$AG$49,ROW(D3)+1,FALSE)</f>
        <v>0</v>
      </c>
      <c r="N5" s="15" cm="1">
        <f t="array" ref="N5">+HLOOKUP($A$1,+[35]İcmal!$B$19:$AG$49,ROW(A3)+1,FALSE)</f>
        <v>0</v>
      </c>
      <c r="O5" s="15" cm="1">
        <f t="array" ref="O5">+HLOOKUP($A$1,+[36]İcmal!$B$19:$AG$49,ROW(B3)+1,FALSE)</f>
        <v>0</v>
      </c>
      <c r="P5" s="15" cm="1">
        <f t="array" ref="P5">+HLOOKUP($A$1,+[37]İcmal!$B$19:$AG$49,ROW(C3)+1,FALSE)</f>
        <v>0</v>
      </c>
      <c r="Q5" s="15" cm="1">
        <f t="array" ref="Q5">+HLOOKUP($A$1,+[38]İcmal!$B$19:$AG$49,ROW(D3)+1,FALSE)</f>
        <v>0</v>
      </c>
      <c r="R5" s="15" cm="1">
        <f t="array" ref="R5">+HLOOKUP($A$1,+[39]İcmal!$B$19:$AG$49,ROW(A3)+1,FALSE)</f>
        <v>0</v>
      </c>
      <c r="S5" s="15" cm="1">
        <f t="array" ref="S5">+HLOOKUP($A$1,+[40]İcmal!$B$19:$AG$49,ROW(B3)+1,FALSE)</f>
        <v>0</v>
      </c>
      <c r="T5" s="15" cm="1">
        <f t="array" ref="T5">+HLOOKUP($A$1,+[41]İcmal!$B$19:$AG$49,ROW(C3)+1,FALSE)</f>
        <v>0</v>
      </c>
      <c r="U5" s="15" cm="1">
        <f t="array" ref="U5">+HLOOKUP($A$1,+[42]İcmal!$B$19:$AG$49,ROW(D3)+1,FALSE)</f>
        <v>0</v>
      </c>
      <c r="V5" s="15" cm="1">
        <f t="array" ref="V5">+HLOOKUP($A$1,+[43]İcmal!$B$19:$AG$49,ROW(A3)+1,FALSE)</f>
        <v>0</v>
      </c>
      <c r="W5" s="15" cm="1">
        <f t="array" ref="W5">+HLOOKUP($A$1,+[44]İcmal!$B$19:$AG$49,ROW(B3)+1,FALSE)</f>
        <v>0</v>
      </c>
      <c r="X5" s="15" cm="1">
        <f t="array" ref="X5">+HLOOKUP($A$1,+[45]İcmal!$B$19:$AG$49,ROW(C3)+1,FALSE)</f>
        <v>0</v>
      </c>
      <c r="Y5" s="15" cm="1">
        <f t="array" ref="Y5">+HLOOKUP($A$1,+[46]İcmal!$B$19:$AG$49,ROW(D3)+1,FALSE)</f>
        <v>0</v>
      </c>
      <c r="Z5" s="15" cm="1">
        <f t="array" ref="Z5">+HLOOKUP($A$1,+[47]İcmal!$B$19:$AG$49,ROW(A3)+1,FALSE)</f>
        <v>0</v>
      </c>
      <c r="AA5" s="15" cm="1">
        <f t="array" ref="AA5">+HLOOKUP($A$1,+[48]İcmal!$B$19:$AG$49,ROW(B3)+1,FALSE)</f>
        <v>0</v>
      </c>
      <c r="AB5" s="15" cm="1">
        <f t="array" ref="AB5">+HLOOKUP($A$1,+[49]İcmal!$B$19:$AG$49,ROW(A3)+1,FALSE)</f>
        <v>0</v>
      </c>
      <c r="AC5" s="15" cm="1">
        <f t="array" ref="AC5">+HLOOKUP($A$1,+[50]İcmal!$B$19:$AG$49,ROW(A3)+1,FALSE)</f>
        <v>0</v>
      </c>
      <c r="AD5" s="15" cm="1">
        <f t="array" ref="AD5">+HLOOKUP($A$1,+[51]İcmal!$B$19:$AG$49,ROW(A3)+1,FALSE)</f>
        <v>0</v>
      </c>
      <c r="AE5" s="15" cm="1">
        <f t="array" ref="AE5">+HLOOKUP($A$1,+[52]İcmal!$B$19:$AG$49,ROW(A3)+1,FALSE)</f>
        <v>0</v>
      </c>
      <c r="AF5" s="50" cm="1">
        <f t="array" ref="AF5">+HLOOKUP($A$1,+[53]İcmal!$B$19:$AG$49,ROW(A3)+1,FALSE)</f>
        <v>0</v>
      </c>
      <c r="AG5" s="15" cm="1">
        <f t="array" ref="AG5">+HLOOKUP($A$1,+[54]İcmal!$B$19:$AG$49,ROW(A3)+1,FALSE)</f>
        <v>0</v>
      </c>
      <c r="AH5" s="15" cm="1">
        <f t="array" ref="AH5">+HLOOKUP($A$1,+[55]İcmal!$B$19:$AG$49,ROW(A3)+1,FALSE)</f>
        <v>0</v>
      </c>
      <c r="AI5" s="15" cm="1">
        <f t="array" ref="AI5">+HLOOKUP($A$1,+[56]İcmal!$B$19:$AG$49,ROW(A3)+1,FALSE)</f>
        <v>0</v>
      </c>
      <c r="AJ5" s="15" cm="1">
        <f t="array" ref="AJ5">+HLOOKUP($A$1,+[57]İcmal!$B$19:$AG$49,ROW(A3)+1,FALSE)</f>
        <v>0</v>
      </c>
      <c r="AK5" s="15" cm="1">
        <f t="array" ref="AK5">+HLOOKUP($A$1,+[58]İcmal!$B$19:$AG$49,ROW(B3)+1,FALSE)</f>
        <v>0</v>
      </c>
      <c r="AL5" s="15"/>
      <c r="AM5" s="15"/>
      <c r="AN5" s="15"/>
      <c r="AO5" s="13"/>
    </row>
    <row r="6" spans="1:41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489.56899999999985</v>
      </c>
      <c r="I6" s="9">
        <f t="shared" si="2"/>
        <v>7507051.0459999973</v>
      </c>
      <c r="J6" s="15" cm="1">
        <f t="array" ref="J6">+HLOOKUP($A$1,+[31]İcmal!$B$19:$AG$49,ROW(A4)+1,FALSE)</f>
        <v>0</v>
      </c>
      <c r="K6" s="15" cm="1">
        <f t="array" ref="K6">+HLOOKUP($A$1,+[32]İcmal!$B$19:$AG$49,ROW(B4)+1,FALSE)</f>
        <v>0</v>
      </c>
      <c r="L6" s="15" cm="1">
        <f t="array" ref="L6">+HLOOKUP($A$1,+[33]İcmal!$B$19:$AG$49,ROW(C4)+1,FALSE)</f>
        <v>49.21599999999998</v>
      </c>
      <c r="M6" s="15" cm="1">
        <f t="array" ref="M6">+HLOOKUP($A$1,+[34]İcmal!$B$19:$AG$49,ROW(D4)+1,FALSE)</f>
        <v>49.239999999999995</v>
      </c>
      <c r="N6" s="15" cm="1">
        <f t="array" ref="N6">+HLOOKUP($A$1,+[35]İcmal!$B$19:$AG$49,ROW(A4)+1,FALSE)</f>
        <v>0</v>
      </c>
      <c r="O6" s="15" cm="1">
        <f t="array" ref="O6">+HLOOKUP($A$1,+[36]İcmal!$B$19:$AG$49,ROW(B4)+1,FALSE)</f>
        <v>9.1019999999999754</v>
      </c>
      <c r="P6" s="15" cm="1">
        <f t="array" ref="P6">+HLOOKUP($A$1,+[37]İcmal!$B$19:$AG$49,ROW(C4)+1,FALSE)</f>
        <v>0</v>
      </c>
      <c r="Q6" s="15" cm="1">
        <f t="array" ref="Q6">+HLOOKUP($A$1,+[38]İcmal!$B$19:$AG$49,ROW(D4)+1,FALSE)</f>
        <v>0</v>
      </c>
      <c r="R6" s="15" cm="1">
        <f t="array" ref="R6">+HLOOKUP($A$1,+[39]İcmal!$B$19:$AG$49,ROW(A4)+1,FALSE)</f>
        <v>34.399999999999864</v>
      </c>
      <c r="S6" s="15" cm="1">
        <f t="array" ref="S6">+HLOOKUP($A$1,+[40]İcmal!$B$19:$AG$49,ROW(B4)+1,FALSE)</f>
        <v>9.125</v>
      </c>
      <c r="T6" s="15" cm="1">
        <f t="array" ref="T6">+HLOOKUP($A$1,+[41]İcmal!$B$19:$AG$49,ROW(C4)+1,FALSE)</f>
        <v>60.613999999999997</v>
      </c>
      <c r="U6" s="15" cm="1">
        <f t="array" ref="U6">+HLOOKUP($A$1,+[42]İcmal!$B$19:$AG$49,ROW(D4)+1,FALSE)</f>
        <v>60.613999999999997</v>
      </c>
      <c r="V6" s="15" cm="1">
        <f t="array" ref="V6">+HLOOKUP($A$1,+[43]İcmal!$B$19:$AG$49,ROW(A4)+1,FALSE)</f>
        <v>0</v>
      </c>
      <c r="W6" s="15" cm="1">
        <f t="array" ref="W6">+HLOOKUP($A$1,+[44]İcmal!$B$19:$AG$49,ROW(B4)+1,FALSE)</f>
        <v>0</v>
      </c>
      <c r="X6" s="15" cm="1">
        <f t="array" ref="X6">+HLOOKUP($A$1,+[45]İcmal!$B$19:$AG$49,ROW(C4)+1,FALSE)</f>
        <v>0</v>
      </c>
      <c r="Y6" s="15" cm="1">
        <f t="array" ref="Y6">+HLOOKUP($A$1,+[46]İcmal!$B$19:$AG$49,ROW(D4)+1,FALSE)</f>
        <v>0</v>
      </c>
      <c r="Z6" s="15" cm="1">
        <f t="array" ref="Z6">+HLOOKUP($A$1,+[47]İcmal!$B$19:$AG$49,ROW(A4)+1,FALSE)</f>
        <v>81.826999999999998</v>
      </c>
      <c r="AA6" s="15" cm="1">
        <f t="array" ref="AA6">+HLOOKUP($A$1,+[48]İcmal!$B$19:$AG$49,ROW(B4)+1,FALSE)</f>
        <v>0</v>
      </c>
      <c r="AB6" s="15" cm="1">
        <f t="array" ref="AB6">+HLOOKUP($A$1,+[49]İcmal!$B$19:$AG$49,ROW(A4)+1,FALSE)</f>
        <v>0</v>
      </c>
      <c r="AC6" s="15" cm="1">
        <f t="array" ref="AC6">+HLOOKUP($A$1,+[50]İcmal!$B$19:$AG$49,ROW(A4)+1,FALSE)</f>
        <v>0</v>
      </c>
      <c r="AD6" s="15" cm="1">
        <f t="array" ref="AD6">+HLOOKUP($A$1,+[51]İcmal!$B$19:$AG$49,ROW(A4)+1,FALSE)</f>
        <v>46.331000000000003</v>
      </c>
      <c r="AE6" s="15" cm="1">
        <f t="array" ref="AE6">+HLOOKUP($A$1,+[52]İcmal!$B$19:$AG$49,ROW(A4)+1,FALSE)</f>
        <v>0</v>
      </c>
      <c r="AF6" s="50" cm="1">
        <f t="array" ref="AF6">+HLOOKUP($A$1,+[53]İcmal!$B$19:$AG$49,ROW(A4)+1,FALSE)</f>
        <v>0</v>
      </c>
      <c r="AG6" s="15" cm="1">
        <f t="array" ref="AG6">+HLOOKUP($A$1,+[54]İcmal!$B$19:$AG$49,ROW(A4)+1,FALSE)</f>
        <v>16.507999999999999</v>
      </c>
      <c r="AH6" s="15" cm="1">
        <f t="array" ref="AH6">+HLOOKUP($A$1,+[55]İcmal!$B$19:$AG$49,ROW(A4)+1,FALSE)</f>
        <v>0</v>
      </c>
      <c r="AI6" s="15" cm="1">
        <f t="array" ref="AI6">+HLOOKUP($A$1,+[56]İcmal!$B$19:$AG$49,ROW(A4)+1,FALSE)</f>
        <v>0</v>
      </c>
      <c r="AJ6" s="15" cm="1">
        <f t="array" ref="AJ6">+HLOOKUP($A$1,+[57]İcmal!$B$19:$AG$49,ROW(A4)+1,FALSE)</f>
        <v>72.592000000000013</v>
      </c>
      <c r="AK6" s="15" cm="1">
        <f t="array" ref="AK6">+HLOOKUP($A$1,+[58]İcmal!$B$19:$AG$49,ROW(B4)+1,FALSE)</f>
        <v>0</v>
      </c>
      <c r="AL6" s="15"/>
      <c r="AM6" s="15"/>
      <c r="AN6" s="15"/>
      <c r="AO6" s="13"/>
    </row>
    <row r="7" spans="1:41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+HLOOKUP($A$1,+[31]İcmal!$B$19:$AG$49,ROW(A5)+1,FALSE)</f>
        <v>0</v>
      </c>
      <c r="K7" s="15" cm="1">
        <f t="array" ref="K7">+HLOOKUP($A$1,+[32]İcmal!$B$19:$AG$49,ROW(B5)+1,FALSE)</f>
        <v>0</v>
      </c>
      <c r="L7" s="15" cm="1">
        <f t="array" ref="L7">+HLOOKUP($A$1,+[33]İcmal!$B$19:$AG$49,ROW(C5)+1,FALSE)</f>
        <v>0</v>
      </c>
      <c r="M7" s="15" cm="1">
        <f t="array" ref="M7">+HLOOKUP($A$1,+[34]İcmal!$B$19:$AG$49,ROW(D5)+1,FALSE)</f>
        <v>0</v>
      </c>
      <c r="N7" s="15" cm="1">
        <f t="array" ref="N7">+HLOOKUP($A$1,+[35]İcmal!$B$19:$AG$49,ROW(A5)+1,FALSE)</f>
        <v>0</v>
      </c>
      <c r="O7" s="15" cm="1">
        <f t="array" ref="O7">+HLOOKUP($A$1,+[36]İcmal!$B$19:$AG$49,ROW(B5)+1,FALSE)</f>
        <v>0</v>
      </c>
      <c r="P7" s="15" cm="1">
        <f t="array" ref="P7">+HLOOKUP($A$1,+[37]İcmal!$B$19:$AG$49,ROW(C5)+1,FALSE)</f>
        <v>0</v>
      </c>
      <c r="Q7" s="15" cm="1">
        <f t="array" ref="Q7">+HLOOKUP($A$1,+[38]İcmal!$B$19:$AG$49,ROW(D5)+1,FALSE)</f>
        <v>0</v>
      </c>
      <c r="R7" s="15" cm="1">
        <f t="array" ref="R7">+HLOOKUP($A$1,+[39]İcmal!$B$19:$AG$49,ROW(A5)+1,FALSE)</f>
        <v>0</v>
      </c>
      <c r="S7" s="15" cm="1">
        <f t="array" ref="S7">+HLOOKUP($A$1,+[40]İcmal!$B$19:$AG$49,ROW(B5)+1,FALSE)</f>
        <v>0</v>
      </c>
      <c r="T7" s="15" cm="1">
        <f t="array" ref="T7">+HLOOKUP($A$1,+[41]İcmal!$B$19:$AG$49,ROW(C5)+1,FALSE)</f>
        <v>0</v>
      </c>
      <c r="U7" s="15" cm="1">
        <f t="array" ref="U7">+HLOOKUP($A$1,+[42]İcmal!$B$19:$AG$49,ROW(D5)+1,FALSE)</f>
        <v>0</v>
      </c>
      <c r="V7" s="15" cm="1">
        <f t="array" ref="V7">+HLOOKUP($A$1,+[43]İcmal!$B$19:$AG$49,ROW(A5)+1,FALSE)</f>
        <v>0</v>
      </c>
      <c r="W7" s="15" cm="1">
        <f t="array" ref="W7">+HLOOKUP($A$1,+[44]İcmal!$B$19:$AG$49,ROW(B5)+1,FALSE)</f>
        <v>0</v>
      </c>
      <c r="X7" s="15" cm="1">
        <f t="array" ref="X7">+HLOOKUP($A$1,+[45]İcmal!$B$19:$AG$49,ROW(C5)+1,FALSE)</f>
        <v>0</v>
      </c>
      <c r="Y7" s="15" cm="1">
        <f t="array" ref="Y7">+HLOOKUP($A$1,+[46]İcmal!$B$19:$AG$49,ROW(D5)+1,FALSE)</f>
        <v>0</v>
      </c>
      <c r="Z7" s="15" cm="1">
        <f t="array" ref="Z7">+HLOOKUP($A$1,+[47]İcmal!$B$19:$AG$49,ROW(A5)+1,FALSE)</f>
        <v>0</v>
      </c>
      <c r="AA7" s="15" cm="1">
        <f t="array" ref="AA7">+HLOOKUP($A$1,+[48]İcmal!$B$19:$AG$49,ROW(B5)+1,FALSE)</f>
        <v>0</v>
      </c>
      <c r="AB7" s="15" cm="1">
        <f t="array" ref="AB7">+HLOOKUP($A$1,+[49]İcmal!$B$19:$AG$49,ROW(A5)+1,FALSE)</f>
        <v>0</v>
      </c>
      <c r="AC7" s="15" cm="1">
        <f t="array" ref="AC7">+HLOOKUP($A$1,+[50]İcmal!$B$19:$AG$49,ROW(A5)+1,FALSE)</f>
        <v>0</v>
      </c>
      <c r="AD7" s="15" cm="1">
        <f t="array" ref="AD7">+HLOOKUP($A$1,+[51]İcmal!$B$19:$AG$49,ROW(A5)+1,FALSE)</f>
        <v>0</v>
      </c>
      <c r="AE7" s="15" cm="1">
        <f t="array" ref="AE7">+HLOOKUP($A$1,+[52]İcmal!$B$19:$AG$49,ROW(A5)+1,FALSE)</f>
        <v>0</v>
      </c>
      <c r="AF7" s="50" cm="1">
        <f t="array" ref="AF7">+HLOOKUP($A$1,+[53]İcmal!$B$19:$AG$49,ROW(A5)+1,FALSE)</f>
        <v>0</v>
      </c>
      <c r="AG7" s="15" cm="1">
        <f t="array" ref="AG7">+HLOOKUP($A$1,+[54]İcmal!$B$19:$AG$49,ROW(A5)+1,FALSE)</f>
        <v>0</v>
      </c>
      <c r="AH7" s="15" cm="1">
        <f t="array" ref="AH7">+HLOOKUP($A$1,+[55]İcmal!$B$19:$AG$49,ROW(A5)+1,FALSE)</f>
        <v>0</v>
      </c>
      <c r="AI7" s="15" cm="1">
        <f t="array" ref="AI7">+HLOOKUP($A$1,+[56]İcmal!$B$19:$AG$49,ROW(A5)+1,FALSE)</f>
        <v>0</v>
      </c>
      <c r="AJ7" s="15" cm="1">
        <f t="array" ref="AJ7">+HLOOKUP($A$1,+[57]İcmal!$B$19:$AG$49,ROW(A5)+1,FALSE)</f>
        <v>0</v>
      </c>
      <c r="AK7" s="15" cm="1">
        <f t="array" ref="AK7">+HLOOKUP($A$1,+[58]İcmal!$B$19:$AG$49,ROW(B5)+1,FALSE)</f>
        <v>0</v>
      </c>
      <c r="AL7" s="15"/>
      <c r="AM7" s="15"/>
      <c r="AN7" s="15"/>
      <c r="AO7" s="13"/>
    </row>
    <row r="8" spans="1:41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+HLOOKUP($A$1,+[31]İcmal!$B$19:$AG$49,ROW(A6)+1,FALSE)</f>
        <v>0</v>
      </c>
      <c r="K8" s="15" cm="1">
        <f t="array" ref="K8">+HLOOKUP($A$1,+[32]İcmal!$B$19:$AG$49,ROW(B6)+1,FALSE)</f>
        <v>0</v>
      </c>
      <c r="L8" s="15" cm="1">
        <f t="array" ref="L8">+HLOOKUP($A$1,+[33]İcmal!$B$19:$AG$49,ROW(C6)+1,FALSE)</f>
        <v>0</v>
      </c>
      <c r="M8" s="15" cm="1">
        <f t="array" ref="M8">+HLOOKUP($A$1,+[34]İcmal!$B$19:$AG$49,ROW(D6)+1,FALSE)</f>
        <v>0</v>
      </c>
      <c r="N8" s="15" cm="1">
        <f t="array" ref="N8">+HLOOKUP($A$1,+[35]İcmal!$B$19:$AG$49,ROW(A6)+1,FALSE)</f>
        <v>0</v>
      </c>
      <c r="O8" s="15" cm="1">
        <f t="array" ref="O8">+HLOOKUP($A$1,+[36]İcmal!$B$19:$AG$49,ROW(B6)+1,FALSE)</f>
        <v>0</v>
      </c>
      <c r="P8" s="15" cm="1">
        <f t="array" ref="P8">+HLOOKUP($A$1,+[37]İcmal!$B$19:$AG$49,ROW(C6)+1,FALSE)</f>
        <v>0</v>
      </c>
      <c r="Q8" s="15" cm="1">
        <f t="array" ref="Q8">+HLOOKUP($A$1,+[38]İcmal!$B$19:$AG$49,ROW(D6)+1,FALSE)</f>
        <v>0</v>
      </c>
      <c r="R8" s="15" cm="1">
        <f t="array" ref="R8">+HLOOKUP($A$1,+[39]İcmal!$B$19:$AG$49,ROW(A6)+1,FALSE)</f>
        <v>0</v>
      </c>
      <c r="S8" s="15" cm="1">
        <f t="array" ref="S8">+HLOOKUP($A$1,+[40]İcmal!$B$19:$AG$49,ROW(B6)+1,FALSE)</f>
        <v>0</v>
      </c>
      <c r="T8" s="15" cm="1">
        <f t="array" ref="T8">+HLOOKUP($A$1,+[41]İcmal!$B$19:$AG$49,ROW(C6)+1,FALSE)</f>
        <v>0</v>
      </c>
      <c r="U8" s="15" cm="1">
        <f t="array" ref="U8">+HLOOKUP($A$1,+[42]İcmal!$B$19:$AG$49,ROW(D6)+1,FALSE)</f>
        <v>0</v>
      </c>
      <c r="V8" s="15" cm="1">
        <f t="array" ref="V8">+HLOOKUP($A$1,+[43]İcmal!$B$19:$AG$49,ROW(A6)+1,FALSE)</f>
        <v>0</v>
      </c>
      <c r="W8" s="15" cm="1">
        <f t="array" ref="W8">+HLOOKUP($A$1,+[44]İcmal!$B$19:$AG$49,ROW(B6)+1,FALSE)</f>
        <v>0</v>
      </c>
      <c r="X8" s="15" cm="1">
        <f t="array" ref="X8">+HLOOKUP($A$1,+[45]İcmal!$B$19:$AG$49,ROW(C6)+1,FALSE)</f>
        <v>0</v>
      </c>
      <c r="Y8" s="15" cm="1">
        <f t="array" ref="Y8">+HLOOKUP($A$1,+[46]İcmal!$B$19:$AG$49,ROW(D6)+1,FALSE)</f>
        <v>0</v>
      </c>
      <c r="Z8" s="15" cm="1">
        <f t="array" ref="Z8">+HLOOKUP($A$1,+[47]İcmal!$B$19:$AG$49,ROW(A6)+1,FALSE)</f>
        <v>0</v>
      </c>
      <c r="AA8" s="15" cm="1">
        <f t="array" ref="AA8">+HLOOKUP($A$1,+[48]İcmal!$B$19:$AG$49,ROW(B6)+1,FALSE)</f>
        <v>0</v>
      </c>
      <c r="AB8" s="15" cm="1">
        <f t="array" ref="AB8">+HLOOKUP($A$1,+[49]İcmal!$B$19:$AG$49,ROW(A6)+1,FALSE)</f>
        <v>0</v>
      </c>
      <c r="AC8" s="15" cm="1">
        <f t="array" ref="AC8">+HLOOKUP($A$1,+[50]İcmal!$B$19:$AG$49,ROW(A6)+1,FALSE)</f>
        <v>0</v>
      </c>
      <c r="AD8" s="15" cm="1">
        <f t="array" ref="AD8">+HLOOKUP($A$1,+[51]İcmal!$B$19:$AG$49,ROW(A6)+1,FALSE)</f>
        <v>0</v>
      </c>
      <c r="AE8" s="15" cm="1">
        <f t="array" ref="AE8">+HLOOKUP($A$1,+[52]İcmal!$B$19:$AG$49,ROW(A6)+1,FALSE)</f>
        <v>0</v>
      </c>
      <c r="AF8" s="50" cm="1">
        <f t="array" ref="AF8">+HLOOKUP($A$1,+[53]İcmal!$B$19:$AG$49,ROW(A6)+1,FALSE)</f>
        <v>0</v>
      </c>
      <c r="AG8" s="15" cm="1">
        <f t="array" ref="AG8">+HLOOKUP($A$1,+[54]İcmal!$B$19:$AG$49,ROW(A6)+1,FALSE)</f>
        <v>0</v>
      </c>
      <c r="AH8" s="15" cm="1">
        <f t="array" ref="AH8">+HLOOKUP($A$1,+[55]İcmal!$B$19:$AG$49,ROW(A6)+1,FALSE)</f>
        <v>0</v>
      </c>
      <c r="AI8" s="15" cm="1">
        <f t="array" ref="AI8">+HLOOKUP($A$1,+[56]İcmal!$B$19:$AG$49,ROW(A6)+1,FALSE)</f>
        <v>0</v>
      </c>
      <c r="AJ8" s="15" cm="1">
        <f t="array" ref="AJ8">+HLOOKUP($A$1,+[57]İcmal!$B$19:$AG$49,ROW(A6)+1,FALSE)</f>
        <v>0</v>
      </c>
      <c r="AK8" s="15" cm="1">
        <f t="array" ref="AK8">+HLOOKUP($A$1,+[58]İcmal!$B$19:$AG$49,ROW(B6)+1,FALSE)</f>
        <v>0</v>
      </c>
      <c r="AL8" s="15"/>
      <c r="AM8" s="15"/>
      <c r="AN8" s="15"/>
      <c r="AO8" s="13"/>
    </row>
    <row r="9" spans="1:41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+HLOOKUP($A$1,+[31]İcmal!$B$19:$AG$49,ROW(A7)+1,FALSE)</f>
        <v>0</v>
      </c>
      <c r="K9" s="15" cm="1">
        <f t="array" ref="K9">+HLOOKUP($A$1,+[32]İcmal!$B$19:$AG$49,ROW(B7)+1,FALSE)</f>
        <v>0</v>
      </c>
      <c r="L9" s="15" cm="1">
        <f t="array" ref="L9">+HLOOKUP($A$1,+[33]İcmal!$B$19:$AG$49,ROW(C7)+1,FALSE)</f>
        <v>0</v>
      </c>
      <c r="M9" s="15" cm="1">
        <f t="array" ref="M9">+HLOOKUP($A$1,+[34]İcmal!$B$19:$AG$49,ROW(D7)+1,FALSE)</f>
        <v>0</v>
      </c>
      <c r="N9" s="15" cm="1">
        <f t="array" ref="N9">+HLOOKUP($A$1,+[35]İcmal!$B$19:$AG$49,ROW(A7)+1,FALSE)</f>
        <v>0</v>
      </c>
      <c r="O9" s="15" cm="1">
        <f t="array" ref="O9">+HLOOKUP($A$1,+[36]İcmal!$B$19:$AG$49,ROW(B7)+1,FALSE)</f>
        <v>0</v>
      </c>
      <c r="P9" s="15" cm="1">
        <f t="array" ref="P9">+HLOOKUP($A$1,+[37]İcmal!$B$19:$AG$49,ROW(C7)+1,FALSE)</f>
        <v>0</v>
      </c>
      <c r="Q9" s="15" cm="1">
        <f t="array" ref="Q9">+HLOOKUP($A$1,+[38]İcmal!$B$19:$AG$49,ROW(D7)+1,FALSE)</f>
        <v>0</v>
      </c>
      <c r="R9" s="15" cm="1">
        <f t="array" ref="R9">+HLOOKUP($A$1,+[39]İcmal!$B$19:$AG$49,ROW(A7)+1,FALSE)</f>
        <v>0</v>
      </c>
      <c r="S9" s="15" cm="1">
        <f t="array" ref="S9">+HLOOKUP($A$1,+[40]İcmal!$B$19:$AG$49,ROW(B7)+1,FALSE)</f>
        <v>0</v>
      </c>
      <c r="T9" s="15" cm="1">
        <f t="array" ref="T9">+HLOOKUP($A$1,+[41]İcmal!$B$19:$AG$49,ROW(C7)+1,FALSE)</f>
        <v>0</v>
      </c>
      <c r="U9" s="15" cm="1">
        <f t="array" ref="U9">+HLOOKUP($A$1,+[42]İcmal!$B$19:$AG$49,ROW(D7)+1,FALSE)</f>
        <v>0</v>
      </c>
      <c r="V9" s="15" cm="1">
        <f t="array" ref="V9">+HLOOKUP($A$1,+[43]İcmal!$B$19:$AG$49,ROW(A7)+1,FALSE)</f>
        <v>0</v>
      </c>
      <c r="W9" s="15" cm="1">
        <f t="array" ref="W9">+HLOOKUP($A$1,+[44]İcmal!$B$19:$AG$49,ROW(B7)+1,FALSE)</f>
        <v>0</v>
      </c>
      <c r="X9" s="15" cm="1">
        <f t="array" ref="X9">+HLOOKUP($A$1,+[45]İcmal!$B$19:$AG$49,ROW(C7)+1,FALSE)</f>
        <v>0</v>
      </c>
      <c r="Y9" s="15" cm="1">
        <f t="array" ref="Y9">+HLOOKUP($A$1,+[46]İcmal!$B$19:$AG$49,ROW(D7)+1,FALSE)</f>
        <v>0</v>
      </c>
      <c r="Z9" s="15" cm="1">
        <f t="array" ref="Z9">+HLOOKUP($A$1,+[47]İcmal!$B$19:$AG$49,ROW(A7)+1,FALSE)</f>
        <v>0</v>
      </c>
      <c r="AA9" s="15" cm="1">
        <f t="array" ref="AA9">+HLOOKUP($A$1,+[48]İcmal!$B$19:$AG$49,ROW(B7)+1,FALSE)</f>
        <v>0</v>
      </c>
      <c r="AB9" s="15" cm="1">
        <f t="array" ref="AB9">+HLOOKUP($A$1,+[49]İcmal!$B$19:$AG$49,ROW(A7)+1,FALSE)</f>
        <v>0</v>
      </c>
      <c r="AC9" s="15" cm="1">
        <f t="array" ref="AC9">+HLOOKUP($A$1,+[50]İcmal!$B$19:$AG$49,ROW(A7)+1,FALSE)</f>
        <v>0</v>
      </c>
      <c r="AD9" s="15" cm="1">
        <f t="array" ref="AD9">+HLOOKUP($A$1,+[51]İcmal!$B$19:$AG$49,ROW(A7)+1,FALSE)</f>
        <v>0</v>
      </c>
      <c r="AE9" s="15" cm="1">
        <f t="array" ref="AE9">+HLOOKUP($A$1,+[52]İcmal!$B$19:$AG$49,ROW(A7)+1,FALSE)</f>
        <v>0</v>
      </c>
      <c r="AF9" s="50" cm="1">
        <f t="array" ref="AF9">+HLOOKUP($A$1,+[53]İcmal!$B$19:$AG$49,ROW(A7)+1,FALSE)</f>
        <v>0</v>
      </c>
      <c r="AG9" s="15" cm="1">
        <f t="array" ref="AG9">+HLOOKUP($A$1,+[54]İcmal!$B$19:$AG$49,ROW(A7)+1,FALSE)</f>
        <v>0</v>
      </c>
      <c r="AH9" s="15" cm="1">
        <f t="array" ref="AH9">+HLOOKUP($A$1,+[55]İcmal!$B$19:$AG$49,ROW(A7)+1,FALSE)</f>
        <v>0</v>
      </c>
      <c r="AI9" s="15" cm="1">
        <f t="array" ref="AI9">+HLOOKUP($A$1,+[56]İcmal!$B$19:$AG$49,ROW(A7)+1,FALSE)</f>
        <v>0</v>
      </c>
      <c r="AJ9" s="15" cm="1">
        <f t="array" ref="AJ9">+HLOOKUP($A$1,+[57]İcmal!$B$19:$AG$49,ROW(A7)+1,FALSE)</f>
        <v>0</v>
      </c>
      <c r="AK9" s="15" cm="1">
        <f t="array" ref="AK9">+HLOOKUP($A$1,+[58]İcmal!$B$19:$AG$49,ROW(B7)+1,FALSE)</f>
        <v>0</v>
      </c>
      <c r="AL9" s="15"/>
      <c r="AM9" s="15"/>
      <c r="AN9" s="15"/>
      <c r="AO9" s="13"/>
    </row>
    <row r="10" spans="1:41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0</v>
      </c>
      <c r="I10" s="9">
        <f t="shared" si="2"/>
        <v>0</v>
      </c>
      <c r="J10" s="15" cm="1">
        <f t="array" ref="J10">+HLOOKUP($A$1,+[31]İcmal!$B$19:$AG$49,ROW(A8)+1,FALSE)</f>
        <v>0</v>
      </c>
      <c r="K10" s="15" cm="1">
        <f t="array" ref="K10">+HLOOKUP($A$1,+[32]İcmal!$B$19:$AG$49,ROW(B8)+1,FALSE)</f>
        <v>0</v>
      </c>
      <c r="L10" s="15" cm="1">
        <f t="array" ref="L10">+HLOOKUP($A$1,+[33]İcmal!$B$19:$AG$49,ROW(C8)+1,FALSE)</f>
        <v>0</v>
      </c>
      <c r="M10" s="15" cm="1">
        <f t="array" ref="M10">+HLOOKUP($A$1,+[34]İcmal!$B$19:$AG$49,ROW(D8)+1,FALSE)</f>
        <v>0</v>
      </c>
      <c r="N10" s="15" cm="1">
        <f t="array" ref="N10">+HLOOKUP($A$1,+[35]İcmal!$B$19:$AG$49,ROW(A8)+1,FALSE)</f>
        <v>0</v>
      </c>
      <c r="O10" s="15" cm="1">
        <f t="array" ref="O10">+HLOOKUP($A$1,+[36]İcmal!$B$19:$AG$49,ROW(B8)+1,FALSE)</f>
        <v>0</v>
      </c>
      <c r="P10" s="15" cm="1">
        <f t="array" ref="P10">+HLOOKUP($A$1,+[37]İcmal!$B$19:$AG$49,ROW(C8)+1,FALSE)</f>
        <v>0</v>
      </c>
      <c r="Q10" s="15" cm="1">
        <f t="array" ref="Q10">+HLOOKUP($A$1,+[38]İcmal!$B$19:$AG$49,ROW(D8)+1,FALSE)</f>
        <v>0</v>
      </c>
      <c r="R10" s="15" cm="1">
        <f t="array" ref="R10">+HLOOKUP($A$1,+[39]İcmal!$B$19:$AG$49,ROW(A8)+1,FALSE)</f>
        <v>0</v>
      </c>
      <c r="S10" s="15" cm="1">
        <f t="array" ref="S10">+HLOOKUP($A$1,+[40]İcmal!$B$19:$AG$49,ROW(B8)+1,FALSE)</f>
        <v>0</v>
      </c>
      <c r="T10" s="15" cm="1">
        <f t="array" ref="T10">+HLOOKUP($A$1,+[41]İcmal!$B$19:$AG$49,ROW(C8)+1,FALSE)</f>
        <v>0</v>
      </c>
      <c r="U10" s="15" cm="1">
        <f t="array" ref="U10">+HLOOKUP($A$1,+[42]İcmal!$B$19:$AG$49,ROW(D8)+1,FALSE)</f>
        <v>0</v>
      </c>
      <c r="V10" s="15" cm="1">
        <f t="array" ref="V10">+HLOOKUP($A$1,+[43]İcmal!$B$19:$AG$49,ROW(A8)+1,FALSE)</f>
        <v>0</v>
      </c>
      <c r="W10" s="15" cm="1">
        <f t="array" ref="W10">+HLOOKUP($A$1,+[44]İcmal!$B$19:$AG$49,ROW(B8)+1,FALSE)</f>
        <v>0</v>
      </c>
      <c r="X10" s="15" cm="1">
        <f t="array" ref="X10">+HLOOKUP($A$1,+[45]İcmal!$B$19:$AG$49,ROW(C8)+1,FALSE)</f>
        <v>0</v>
      </c>
      <c r="Y10" s="15" cm="1">
        <f t="array" ref="Y10">+HLOOKUP($A$1,+[46]İcmal!$B$19:$AG$49,ROW(D8)+1,FALSE)</f>
        <v>0</v>
      </c>
      <c r="Z10" s="15" cm="1">
        <f t="array" ref="Z10">+HLOOKUP($A$1,+[47]İcmal!$B$19:$AG$49,ROW(A8)+1,FALSE)</f>
        <v>0</v>
      </c>
      <c r="AA10" s="15" cm="1">
        <f t="array" ref="AA10">+HLOOKUP($A$1,+[48]İcmal!$B$19:$AG$49,ROW(B8)+1,FALSE)</f>
        <v>0</v>
      </c>
      <c r="AB10" s="15" cm="1">
        <f t="array" ref="AB10">+HLOOKUP($A$1,+[49]İcmal!$B$19:$AG$49,ROW(A8)+1,FALSE)</f>
        <v>0</v>
      </c>
      <c r="AC10" s="15" cm="1">
        <f t="array" ref="AC10">+HLOOKUP($A$1,+[50]İcmal!$B$19:$AG$49,ROW(A8)+1,FALSE)</f>
        <v>0</v>
      </c>
      <c r="AD10" s="15" cm="1">
        <f t="array" ref="AD10">+HLOOKUP($A$1,+[51]İcmal!$B$19:$AG$49,ROW(A8)+1,FALSE)</f>
        <v>0</v>
      </c>
      <c r="AE10" s="15" cm="1">
        <f t="array" ref="AE10">+HLOOKUP($A$1,+[52]İcmal!$B$19:$AG$49,ROW(A8)+1,FALSE)</f>
        <v>0</v>
      </c>
      <c r="AF10" s="50" cm="1">
        <f t="array" ref="AF10">+HLOOKUP($A$1,+[53]İcmal!$B$19:$AG$49,ROW(A8)+1,FALSE)</f>
        <v>0</v>
      </c>
      <c r="AG10" s="15" cm="1">
        <f t="array" ref="AG10">+HLOOKUP($A$1,+[54]İcmal!$B$19:$AG$49,ROW(A8)+1,FALSE)</f>
        <v>0</v>
      </c>
      <c r="AH10" s="15" cm="1">
        <f t="array" ref="AH10">+HLOOKUP($A$1,+[55]İcmal!$B$19:$AG$49,ROW(A8)+1,FALSE)</f>
        <v>0</v>
      </c>
      <c r="AI10" s="15" cm="1">
        <f t="array" ref="AI10">+HLOOKUP($A$1,+[56]İcmal!$B$19:$AG$49,ROW(A8)+1,FALSE)</f>
        <v>0</v>
      </c>
      <c r="AJ10" s="15" cm="1">
        <f t="array" ref="AJ10">+HLOOKUP($A$1,+[57]İcmal!$B$19:$AG$49,ROW(A8)+1,FALSE)</f>
        <v>0</v>
      </c>
      <c r="AK10" s="15" cm="1">
        <f t="array" ref="AK10">+HLOOKUP($A$1,+[58]İcmal!$B$19:$AG$49,ROW(B8)+1,FALSE)</f>
        <v>0</v>
      </c>
      <c r="AL10" s="15"/>
      <c r="AM10" s="15"/>
      <c r="AN10" s="15"/>
      <c r="AO10" s="13"/>
    </row>
    <row r="11" spans="1:41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+HLOOKUP($A$1,+[31]İcmal!$B$19:$AG$49,ROW(A9)+1,FALSE)</f>
        <v>0</v>
      </c>
      <c r="K11" s="15" cm="1">
        <f t="array" ref="K11">+HLOOKUP($A$1,+[32]İcmal!$B$19:$AG$49,ROW(B9)+1,FALSE)</f>
        <v>0</v>
      </c>
      <c r="L11" s="15" cm="1">
        <f t="array" ref="L11">+HLOOKUP($A$1,+[33]İcmal!$B$19:$AG$49,ROW(C9)+1,FALSE)</f>
        <v>0</v>
      </c>
      <c r="M11" s="15" cm="1">
        <f t="array" ref="M11">+HLOOKUP($A$1,+[34]İcmal!$B$19:$AG$49,ROW(D9)+1,FALSE)</f>
        <v>0</v>
      </c>
      <c r="N11" s="15" cm="1">
        <f t="array" ref="N11">+HLOOKUP($A$1,+[35]İcmal!$B$19:$AG$49,ROW(A9)+1,FALSE)</f>
        <v>0</v>
      </c>
      <c r="O11" s="15" cm="1">
        <f t="array" ref="O11">+HLOOKUP($A$1,+[36]İcmal!$B$19:$AG$49,ROW(B9)+1,FALSE)</f>
        <v>0</v>
      </c>
      <c r="P11" s="15" cm="1">
        <f t="array" ref="P11">+HLOOKUP($A$1,+[37]İcmal!$B$19:$AG$49,ROW(C9)+1,FALSE)</f>
        <v>0</v>
      </c>
      <c r="Q11" s="15" cm="1">
        <f t="array" ref="Q11">+HLOOKUP($A$1,+[38]İcmal!$B$19:$AG$49,ROW(D9)+1,FALSE)</f>
        <v>0</v>
      </c>
      <c r="R11" s="15" cm="1">
        <f t="array" ref="R11">+HLOOKUP($A$1,+[39]İcmal!$B$19:$AG$49,ROW(A9)+1,FALSE)</f>
        <v>0</v>
      </c>
      <c r="S11" s="15" cm="1">
        <f t="array" ref="S11">+HLOOKUP($A$1,+[40]İcmal!$B$19:$AG$49,ROW(B9)+1,FALSE)</f>
        <v>0</v>
      </c>
      <c r="T11" s="15" cm="1">
        <f t="array" ref="T11">+HLOOKUP($A$1,+[41]İcmal!$B$19:$AG$49,ROW(C9)+1,FALSE)</f>
        <v>0</v>
      </c>
      <c r="U11" s="15" cm="1">
        <f t="array" ref="U11">+HLOOKUP($A$1,+[42]İcmal!$B$19:$AG$49,ROW(D9)+1,FALSE)</f>
        <v>0</v>
      </c>
      <c r="V11" s="15" cm="1">
        <f t="array" ref="V11">+HLOOKUP($A$1,+[43]İcmal!$B$19:$AG$49,ROW(A9)+1,FALSE)</f>
        <v>0</v>
      </c>
      <c r="W11" s="15" cm="1">
        <f t="array" ref="W11">+HLOOKUP($A$1,+[44]İcmal!$B$19:$AG$49,ROW(B9)+1,FALSE)</f>
        <v>0</v>
      </c>
      <c r="X11" s="15" cm="1">
        <f t="array" ref="X11">+HLOOKUP($A$1,+[45]İcmal!$B$19:$AG$49,ROW(C9)+1,FALSE)</f>
        <v>0</v>
      </c>
      <c r="Y11" s="15" cm="1">
        <f t="array" ref="Y11">+HLOOKUP($A$1,+[46]İcmal!$B$19:$AG$49,ROW(D9)+1,FALSE)</f>
        <v>0</v>
      </c>
      <c r="Z11" s="15" cm="1">
        <f t="array" ref="Z11">+HLOOKUP($A$1,+[47]İcmal!$B$19:$AG$49,ROW(A9)+1,FALSE)</f>
        <v>0</v>
      </c>
      <c r="AA11" s="15" cm="1">
        <f t="array" ref="AA11">+HLOOKUP($A$1,+[48]İcmal!$B$19:$AG$49,ROW(B9)+1,FALSE)</f>
        <v>0</v>
      </c>
      <c r="AB11" s="15" cm="1">
        <f t="array" ref="AB11">+HLOOKUP($A$1,+[49]İcmal!$B$19:$AG$49,ROW(A9)+1,FALSE)</f>
        <v>0</v>
      </c>
      <c r="AC11" s="15" cm="1">
        <f t="array" ref="AC11">+HLOOKUP($A$1,+[50]İcmal!$B$19:$AG$49,ROW(A9)+1,FALSE)</f>
        <v>0</v>
      </c>
      <c r="AD11" s="15" cm="1">
        <f t="array" ref="AD11">+HLOOKUP($A$1,+[51]İcmal!$B$19:$AG$49,ROW(A9)+1,FALSE)</f>
        <v>0</v>
      </c>
      <c r="AE11" s="15" cm="1">
        <f t="array" ref="AE11">+HLOOKUP($A$1,+[52]İcmal!$B$19:$AG$49,ROW(A9)+1,FALSE)</f>
        <v>0</v>
      </c>
      <c r="AF11" s="50" cm="1">
        <f t="array" ref="AF11">+HLOOKUP($A$1,+[53]İcmal!$B$19:$AG$49,ROW(A9)+1,FALSE)</f>
        <v>0</v>
      </c>
      <c r="AG11" s="15" cm="1">
        <f t="array" ref="AG11">+HLOOKUP($A$1,+[54]İcmal!$B$19:$AG$49,ROW(A9)+1,FALSE)</f>
        <v>0</v>
      </c>
      <c r="AH11" s="15" cm="1">
        <f t="array" ref="AH11">+HLOOKUP($A$1,+[55]İcmal!$B$19:$AG$49,ROW(A9)+1,FALSE)</f>
        <v>0</v>
      </c>
      <c r="AI11" s="15" cm="1">
        <f t="array" ref="AI11">+HLOOKUP($A$1,+[56]İcmal!$B$19:$AG$49,ROW(A9)+1,FALSE)</f>
        <v>0</v>
      </c>
      <c r="AJ11" s="15" cm="1">
        <f t="array" ref="AJ11">+HLOOKUP($A$1,+[57]İcmal!$B$19:$AG$49,ROW(A9)+1,FALSE)</f>
        <v>0</v>
      </c>
      <c r="AK11" s="15" cm="1">
        <f t="array" ref="AK11">+HLOOKUP($A$1,+[58]İcmal!$B$19:$AG$49,ROW(B9)+1,FALSE)</f>
        <v>0</v>
      </c>
      <c r="AL11" s="15"/>
      <c r="AM11" s="15"/>
      <c r="AN11" s="15"/>
      <c r="AO11" s="13"/>
    </row>
    <row r="12" spans="1:41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+HLOOKUP($A$1,+[31]İcmal!$B$19:$AG$49,ROW(A10)+1,FALSE)</f>
        <v>0</v>
      </c>
      <c r="K12" s="15" cm="1">
        <f t="array" ref="K12">+HLOOKUP($A$1,+[32]İcmal!$B$19:$AG$49,ROW(B10)+1,FALSE)</f>
        <v>0</v>
      </c>
      <c r="L12" s="15" cm="1">
        <f t="array" ref="L12">+HLOOKUP($A$1,+[33]İcmal!$B$19:$AG$49,ROW(C10)+1,FALSE)</f>
        <v>0</v>
      </c>
      <c r="M12" s="15" cm="1">
        <f t="array" ref="M12">+HLOOKUP($A$1,+[34]İcmal!$B$19:$AG$49,ROW(D10)+1,FALSE)</f>
        <v>0</v>
      </c>
      <c r="N12" s="15" cm="1">
        <f t="array" ref="N12">+HLOOKUP($A$1,+[35]İcmal!$B$19:$AG$49,ROW(A10)+1,FALSE)</f>
        <v>0</v>
      </c>
      <c r="O12" s="15" cm="1">
        <f t="array" ref="O12">+HLOOKUP($A$1,+[36]İcmal!$B$19:$AG$49,ROW(B10)+1,FALSE)</f>
        <v>0</v>
      </c>
      <c r="P12" s="15" cm="1">
        <f t="array" ref="P12">+HLOOKUP($A$1,+[37]İcmal!$B$19:$AG$49,ROW(C10)+1,FALSE)</f>
        <v>0</v>
      </c>
      <c r="Q12" s="15" cm="1">
        <f t="array" ref="Q12">+HLOOKUP($A$1,+[38]İcmal!$B$19:$AG$49,ROW(D10)+1,FALSE)</f>
        <v>0</v>
      </c>
      <c r="R12" s="15" cm="1">
        <f t="array" ref="R12">+HLOOKUP($A$1,+[39]İcmal!$B$19:$AG$49,ROW(A10)+1,FALSE)</f>
        <v>0</v>
      </c>
      <c r="S12" s="15" cm="1">
        <f t="array" ref="S12">+HLOOKUP($A$1,+[40]İcmal!$B$19:$AG$49,ROW(B10)+1,FALSE)</f>
        <v>0</v>
      </c>
      <c r="T12" s="15" cm="1">
        <f t="array" ref="T12">+HLOOKUP($A$1,+[41]İcmal!$B$19:$AG$49,ROW(C10)+1,FALSE)</f>
        <v>0</v>
      </c>
      <c r="U12" s="15" cm="1">
        <f t="array" ref="U12">+HLOOKUP($A$1,+[42]İcmal!$B$19:$AG$49,ROW(D10)+1,FALSE)</f>
        <v>0</v>
      </c>
      <c r="V12" s="15" cm="1">
        <f t="array" ref="V12">+HLOOKUP($A$1,+[43]İcmal!$B$19:$AG$49,ROW(A10)+1,FALSE)</f>
        <v>0</v>
      </c>
      <c r="W12" s="15" cm="1">
        <f t="array" ref="W12">+HLOOKUP($A$1,+[44]İcmal!$B$19:$AG$49,ROW(B10)+1,FALSE)</f>
        <v>0</v>
      </c>
      <c r="X12" s="15" cm="1">
        <f t="array" ref="X12">+HLOOKUP($A$1,+[45]İcmal!$B$19:$AG$49,ROW(C10)+1,FALSE)</f>
        <v>0</v>
      </c>
      <c r="Y12" s="15" cm="1">
        <f t="array" ref="Y12">+HLOOKUP($A$1,+[46]İcmal!$B$19:$AG$49,ROW(D10)+1,FALSE)</f>
        <v>0</v>
      </c>
      <c r="Z12" s="15" cm="1">
        <f t="array" ref="Z12">+HLOOKUP($A$1,+[47]İcmal!$B$19:$AG$49,ROW(A10)+1,FALSE)</f>
        <v>0</v>
      </c>
      <c r="AA12" s="15" cm="1">
        <f t="array" ref="AA12">+HLOOKUP($A$1,+[48]İcmal!$B$19:$AG$49,ROW(B10)+1,FALSE)</f>
        <v>0</v>
      </c>
      <c r="AB12" s="15" cm="1">
        <f t="array" ref="AB12">+HLOOKUP($A$1,+[49]İcmal!$B$19:$AG$49,ROW(A10)+1,FALSE)</f>
        <v>0</v>
      </c>
      <c r="AC12" s="15" cm="1">
        <f t="array" ref="AC12">+HLOOKUP($A$1,+[50]İcmal!$B$19:$AG$49,ROW(A10)+1,FALSE)</f>
        <v>0</v>
      </c>
      <c r="AD12" s="15" cm="1">
        <f t="array" ref="AD12">+HLOOKUP($A$1,+[51]İcmal!$B$19:$AG$49,ROW(A10)+1,FALSE)</f>
        <v>0</v>
      </c>
      <c r="AE12" s="15" cm="1">
        <f t="array" ref="AE12">+HLOOKUP($A$1,+[52]İcmal!$B$19:$AG$49,ROW(A10)+1,FALSE)</f>
        <v>0</v>
      </c>
      <c r="AF12" s="50" cm="1">
        <f t="array" ref="AF12">+HLOOKUP($A$1,+[53]İcmal!$B$19:$AG$49,ROW(A10)+1,FALSE)</f>
        <v>0</v>
      </c>
      <c r="AG12" s="15" cm="1">
        <f t="array" ref="AG12">+HLOOKUP($A$1,+[54]İcmal!$B$19:$AG$49,ROW(A10)+1,FALSE)</f>
        <v>0</v>
      </c>
      <c r="AH12" s="15" cm="1">
        <f t="array" ref="AH12">+HLOOKUP($A$1,+[55]İcmal!$B$19:$AG$49,ROW(A10)+1,FALSE)</f>
        <v>0</v>
      </c>
      <c r="AI12" s="15" cm="1">
        <f t="array" ref="AI12">+HLOOKUP($A$1,+[56]İcmal!$B$19:$AG$49,ROW(A10)+1,FALSE)</f>
        <v>0</v>
      </c>
      <c r="AJ12" s="15" cm="1">
        <f t="array" ref="AJ12">+HLOOKUP($A$1,+[57]İcmal!$B$19:$AG$49,ROW(A10)+1,FALSE)</f>
        <v>0</v>
      </c>
      <c r="AK12" s="15" cm="1">
        <f t="array" ref="AK12">+HLOOKUP($A$1,+[58]İcmal!$B$19:$AG$49,ROW(B10)+1,FALSE)</f>
        <v>0</v>
      </c>
      <c r="AL12" s="15"/>
      <c r="AM12" s="15"/>
      <c r="AN12" s="15"/>
      <c r="AO12" s="13"/>
    </row>
    <row r="13" spans="1:41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617</v>
      </c>
      <c r="I13" s="9">
        <f t="shared" si="2"/>
        <v>17276000</v>
      </c>
      <c r="J13" s="15" cm="1">
        <f t="array" ref="J13">+HLOOKUP($A$1,+[31]İcmal!$B$19:$AG$49,ROW(A11)+1,FALSE)</f>
        <v>0</v>
      </c>
      <c r="K13" s="15" cm="1">
        <f t="array" ref="K13">+HLOOKUP($A$1,+[32]İcmal!$B$19:$AG$49,ROW(B11)+1,FALSE)</f>
        <v>0</v>
      </c>
      <c r="L13" s="15" cm="1">
        <f t="array" ref="L13">+HLOOKUP($A$1,+[33]İcmal!$B$19:$AG$49,ROW(C11)+1,FALSE)</f>
        <v>96</v>
      </c>
      <c r="M13" s="15" cm="1">
        <f t="array" ref="M13">+HLOOKUP($A$1,+[34]İcmal!$B$19:$AG$49,ROW(D11)+1,FALSE)</f>
        <v>114</v>
      </c>
      <c r="N13" s="15" cm="1">
        <f t="array" ref="N13">+HLOOKUP($A$1,+[35]İcmal!$B$19:$AG$49,ROW(A11)+1,FALSE)</f>
        <v>0</v>
      </c>
      <c r="O13" s="15" cm="1">
        <f t="array" ref="O13">+HLOOKUP($A$1,+[36]İcmal!$B$19:$AG$49,ROW(B11)+1,FALSE)</f>
        <v>0</v>
      </c>
      <c r="P13" s="15" cm="1">
        <f t="array" ref="P13">+HLOOKUP($A$1,+[37]İcmal!$B$19:$AG$49,ROW(C11)+1,FALSE)</f>
        <v>0</v>
      </c>
      <c r="Q13" s="15" cm="1">
        <f t="array" ref="Q13">+HLOOKUP($A$1,+[38]İcmal!$B$19:$AG$49,ROW(D11)+1,FALSE)</f>
        <v>0</v>
      </c>
      <c r="R13" s="15" cm="1">
        <f t="array" ref="R13">+HLOOKUP($A$1,+[39]İcmal!$B$19:$AG$49,ROW(A11)+1,FALSE)</f>
        <v>82</v>
      </c>
      <c r="S13" s="15" cm="1">
        <f t="array" ref="S13">+HLOOKUP($A$1,+[40]İcmal!$B$19:$AG$49,ROW(B11)+1,FALSE)</f>
        <v>122</v>
      </c>
      <c r="T13" s="15" cm="1">
        <f t="array" ref="T13">+HLOOKUP($A$1,+[41]İcmal!$B$19:$AG$49,ROW(C11)+1,FALSE)</f>
        <v>0</v>
      </c>
      <c r="U13" s="15" cm="1">
        <f t="array" ref="U13">+HLOOKUP($A$1,+[42]İcmal!$B$19:$AG$49,ROW(D11)+1,FALSE)</f>
        <v>0</v>
      </c>
      <c r="V13" s="15" cm="1">
        <f t="array" ref="V13">+HLOOKUP($A$1,+[43]İcmal!$B$19:$AG$49,ROW(A11)+1,FALSE)</f>
        <v>0</v>
      </c>
      <c r="W13" s="15" cm="1">
        <f t="array" ref="W13">+HLOOKUP($A$1,+[44]İcmal!$B$19:$AG$49,ROW(B11)+1,FALSE)</f>
        <v>0</v>
      </c>
      <c r="X13" s="15" cm="1">
        <f t="array" ref="X13">+HLOOKUP($A$1,+[45]İcmal!$B$19:$AG$49,ROW(C11)+1,FALSE)</f>
        <v>0</v>
      </c>
      <c r="Y13" s="15" cm="1">
        <f t="array" ref="Y13">+HLOOKUP($A$1,+[46]İcmal!$B$19:$AG$49,ROW(D11)+1,FALSE)</f>
        <v>0</v>
      </c>
      <c r="Z13" s="15" cm="1">
        <f t="array" ref="Z13">+HLOOKUP($A$1,+[47]İcmal!$B$19:$AG$49,ROW(A11)+1,FALSE)</f>
        <v>22</v>
      </c>
      <c r="AA13" s="15" cm="1">
        <f t="array" ref="AA13">+HLOOKUP($A$1,+[48]İcmal!$B$19:$AG$49,ROW(B11)+1,FALSE)</f>
        <v>0</v>
      </c>
      <c r="AB13" s="15" cm="1">
        <f t="array" ref="AB13">+HLOOKUP($A$1,+[49]İcmal!$B$19:$AG$49,ROW(A11)+1,FALSE)</f>
        <v>0</v>
      </c>
      <c r="AC13" s="15" cm="1">
        <f t="array" ref="AC13">+HLOOKUP($A$1,+[50]İcmal!$B$19:$AG$49,ROW(A11)+1,FALSE)</f>
        <v>4</v>
      </c>
      <c r="AD13" s="15" cm="1">
        <f t="array" ref="AD13">+HLOOKUP($A$1,+[51]İcmal!$B$19:$AG$49,ROW(A11)+1,FALSE)</f>
        <v>0</v>
      </c>
      <c r="AE13" s="15" cm="1">
        <f t="array" ref="AE13">+HLOOKUP($A$1,+[52]İcmal!$B$19:$AG$49,ROW(A11)+1,FALSE)</f>
        <v>0</v>
      </c>
      <c r="AF13" s="50" cm="1">
        <f t="array" ref="AF13">+HLOOKUP($A$1,+[53]İcmal!$B$19:$AG$49,ROW(A11)+1,FALSE)</f>
        <v>0</v>
      </c>
      <c r="AG13" s="15" cm="1">
        <f t="array" ref="AG13">+HLOOKUP($A$1,+[54]İcmal!$B$19:$AG$49,ROW(A11)+1,FALSE)</f>
        <v>0</v>
      </c>
      <c r="AH13" s="15" cm="1">
        <f t="array" ref="AH13">+HLOOKUP($A$1,+[55]İcmal!$B$19:$AG$49,ROW(A11)+1,FALSE)</f>
        <v>0</v>
      </c>
      <c r="AI13" s="15" cm="1">
        <f t="array" ref="AI13">+HLOOKUP($A$1,+[56]İcmal!$B$19:$AG$49,ROW(A11)+1,FALSE)</f>
        <v>0</v>
      </c>
      <c r="AJ13" s="15" cm="1">
        <f t="array" ref="AJ13">+HLOOKUP($A$1,+[57]İcmal!$B$19:$AG$49,ROW(A11)+1,FALSE)</f>
        <v>177</v>
      </c>
      <c r="AK13" s="15" cm="1">
        <f t="array" ref="AK13">+HLOOKUP($A$1,+[58]İcmal!$B$19:$AG$49,ROW(B11)+1,FALSE)</f>
        <v>0</v>
      </c>
      <c r="AL13" s="15"/>
      <c r="AM13" s="15"/>
      <c r="AN13" s="15"/>
      <c r="AO13" s="13"/>
    </row>
    <row r="14" spans="1:41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900</v>
      </c>
      <c r="I14" s="9">
        <f t="shared" si="2"/>
        <v>337500</v>
      </c>
      <c r="J14" s="15" cm="1">
        <f t="array" ref="J14">+HLOOKUP($A$1,+[31]İcmal!$B$19:$AG$49,ROW(A12)+1,FALSE)</f>
        <v>0</v>
      </c>
      <c r="K14" s="15" cm="1">
        <f t="array" ref="K14">+HLOOKUP($A$1,+[32]İcmal!$B$19:$AG$49,ROW(B12)+1,FALSE)</f>
        <v>0</v>
      </c>
      <c r="L14" s="15" cm="1">
        <f t="array" ref="L14">+HLOOKUP($A$1,+[33]İcmal!$B$19:$AG$49,ROW(C12)+1,FALSE)</f>
        <v>0</v>
      </c>
      <c r="M14" s="15" cm="1">
        <f t="array" ref="M14">+HLOOKUP($A$1,+[34]İcmal!$B$19:$AG$49,ROW(D12)+1,FALSE)</f>
        <v>0</v>
      </c>
      <c r="N14" s="15" cm="1">
        <f t="array" ref="N14">+HLOOKUP($A$1,+[35]İcmal!$B$19:$AG$49,ROW(A12)+1,FALSE)</f>
        <v>0</v>
      </c>
      <c r="O14" s="15" cm="1">
        <f t="array" ref="O14">+HLOOKUP($A$1,+[36]İcmal!$B$19:$AG$49,ROW(B12)+1,FALSE)</f>
        <v>0</v>
      </c>
      <c r="P14" s="15" cm="1">
        <f t="array" ref="P14">+HLOOKUP($A$1,+[37]İcmal!$B$19:$AG$49,ROW(C12)+1,FALSE)</f>
        <v>0</v>
      </c>
      <c r="Q14" s="15" cm="1">
        <f t="array" ref="Q14">+HLOOKUP($A$1,+[38]İcmal!$B$19:$AG$49,ROW(D12)+1,FALSE)</f>
        <v>0</v>
      </c>
      <c r="R14" s="15" cm="1">
        <f t="array" ref="R14">+HLOOKUP($A$1,+[39]İcmal!$B$19:$AG$49,ROW(A12)+1,FALSE)</f>
        <v>0</v>
      </c>
      <c r="S14" s="15" cm="1">
        <f t="array" ref="S14">+HLOOKUP($A$1,+[40]İcmal!$B$19:$AG$49,ROW(B12)+1,FALSE)</f>
        <v>0</v>
      </c>
      <c r="T14" s="15" cm="1">
        <f t="array" ref="T14">+HLOOKUP($A$1,+[41]İcmal!$B$19:$AG$49,ROW(C12)+1,FALSE)</f>
        <v>0</v>
      </c>
      <c r="U14" s="15" cm="1">
        <f t="array" ref="U14">+HLOOKUP($A$1,+[42]İcmal!$B$19:$AG$49,ROW(D12)+1,FALSE)</f>
        <v>0</v>
      </c>
      <c r="V14" s="15" cm="1">
        <f t="array" ref="V14">+HLOOKUP($A$1,+[43]İcmal!$B$19:$AG$49,ROW(A12)+1,FALSE)</f>
        <v>0</v>
      </c>
      <c r="W14" s="15" cm="1">
        <f t="array" ref="W14">+HLOOKUP($A$1,+[44]İcmal!$B$19:$AG$49,ROW(B12)+1,FALSE)</f>
        <v>0</v>
      </c>
      <c r="X14" s="15" cm="1">
        <f t="array" ref="X14">+HLOOKUP($A$1,+[45]İcmal!$B$19:$AG$49,ROW(C12)+1,FALSE)</f>
        <v>0</v>
      </c>
      <c r="Y14" s="15" cm="1">
        <f t="array" ref="Y14">+HLOOKUP($A$1,+[46]İcmal!$B$19:$AG$49,ROW(D12)+1,FALSE)</f>
        <v>0</v>
      </c>
      <c r="Z14" s="15" cm="1">
        <f t="array" ref="Z14">+HLOOKUP($A$1,+[47]İcmal!$B$19:$AG$49,ROW(A12)+1,FALSE)</f>
        <v>360</v>
      </c>
      <c r="AA14" s="15" cm="1">
        <f t="array" ref="AA14">+HLOOKUP($A$1,+[48]İcmal!$B$19:$AG$49,ROW(B12)+1,FALSE)</f>
        <v>0</v>
      </c>
      <c r="AB14" s="15" cm="1">
        <f t="array" ref="AB14">+HLOOKUP($A$1,+[49]İcmal!$B$19:$AG$49,ROW(A12)+1,FALSE)</f>
        <v>0</v>
      </c>
      <c r="AC14" s="15" cm="1">
        <f t="array" ref="AC14">+HLOOKUP($A$1,+[50]İcmal!$B$19:$AG$49,ROW(A12)+1,FALSE)</f>
        <v>0</v>
      </c>
      <c r="AD14" s="15" cm="1">
        <f t="array" ref="AD14">+HLOOKUP($A$1,+[51]İcmal!$B$19:$AG$49,ROW(A12)+1,FALSE)</f>
        <v>180</v>
      </c>
      <c r="AE14" s="15" cm="1">
        <f t="array" ref="AE14">+HLOOKUP($A$1,+[52]İcmal!$B$19:$AG$49,ROW(A12)+1,FALSE)</f>
        <v>0</v>
      </c>
      <c r="AF14" s="50" cm="1">
        <f t="array" ref="AF14">+HLOOKUP($A$1,+[53]İcmal!$B$19:$AG$49,ROW(A12)+1,FALSE)</f>
        <v>0</v>
      </c>
      <c r="AG14" s="15" cm="1">
        <f t="array" ref="AG14">+HLOOKUP($A$1,+[54]İcmal!$B$19:$AG$49,ROW(A12)+1,FALSE)</f>
        <v>0</v>
      </c>
      <c r="AH14" s="15" cm="1">
        <f t="array" ref="AH14">+HLOOKUP($A$1,+[55]İcmal!$B$19:$AG$49,ROW(A12)+1,FALSE)</f>
        <v>0</v>
      </c>
      <c r="AI14" s="15" cm="1">
        <f t="array" ref="AI14">+HLOOKUP($A$1,+[56]İcmal!$B$19:$AG$49,ROW(A12)+1,FALSE)</f>
        <v>0</v>
      </c>
      <c r="AJ14" s="15" cm="1">
        <f t="array" ref="AJ14">+HLOOKUP($A$1,+[57]İcmal!$B$19:$AG$49,ROW(A12)+1,FALSE)</f>
        <v>360</v>
      </c>
      <c r="AK14" s="15" cm="1">
        <f t="array" ref="AK14">+HLOOKUP($A$1,+[58]İcmal!$B$19:$AG$49,ROW(B12)+1,FALSE)</f>
        <v>0</v>
      </c>
      <c r="AL14" s="15"/>
      <c r="AM14" s="15"/>
      <c r="AN14" s="15"/>
      <c r="AO14" s="13"/>
    </row>
    <row r="15" spans="1:41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+HLOOKUP($A$1,+[31]İcmal!$B$19:$AG$49,ROW(A13)+1,FALSE)</f>
        <v>0</v>
      </c>
      <c r="K15" s="15" cm="1">
        <f t="array" ref="K15">+HLOOKUP($A$1,+[32]İcmal!$B$19:$AG$49,ROW(B13)+1,FALSE)</f>
        <v>0</v>
      </c>
      <c r="L15" s="15" cm="1">
        <f t="array" ref="L15">+HLOOKUP($A$1,+[33]İcmal!$B$19:$AG$49,ROW(C13)+1,FALSE)</f>
        <v>0</v>
      </c>
      <c r="M15" s="15" cm="1">
        <f t="array" ref="M15">+HLOOKUP($A$1,+[34]İcmal!$B$19:$AG$49,ROW(D13)+1,FALSE)</f>
        <v>0</v>
      </c>
      <c r="N15" s="15" cm="1">
        <f t="array" ref="N15">+HLOOKUP($A$1,+[35]İcmal!$B$19:$AG$49,ROW(A13)+1,FALSE)</f>
        <v>0</v>
      </c>
      <c r="O15" s="15" cm="1">
        <f t="array" ref="O15">+HLOOKUP($A$1,+[36]İcmal!$B$19:$AG$49,ROW(B13)+1,FALSE)</f>
        <v>0</v>
      </c>
      <c r="P15" s="15" cm="1">
        <f t="array" ref="P15">+HLOOKUP($A$1,+[37]İcmal!$B$19:$AG$49,ROW(C13)+1,FALSE)</f>
        <v>0</v>
      </c>
      <c r="Q15" s="15" cm="1">
        <f t="array" ref="Q15">+HLOOKUP($A$1,+[38]İcmal!$B$19:$AG$49,ROW(D13)+1,FALSE)</f>
        <v>0</v>
      </c>
      <c r="R15" s="15" cm="1">
        <f t="array" ref="R15">+HLOOKUP($A$1,+[39]İcmal!$B$19:$AG$49,ROW(A13)+1,FALSE)</f>
        <v>0</v>
      </c>
      <c r="S15" s="15" cm="1">
        <f t="array" ref="S15">+HLOOKUP($A$1,+[40]İcmal!$B$19:$AG$49,ROW(B13)+1,FALSE)</f>
        <v>0</v>
      </c>
      <c r="T15" s="15" cm="1">
        <f t="array" ref="T15">+HLOOKUP($A$1,+[41]İcmal!$B$19:$AG$49,ROW(C13)+1,FALSE)</f>
        <v>0</v>
      </c>
      <c r="U15" s="15" cm="1">
        <f t="array" ref="U15">+HLOOKUP($A$1,+[42]İcmal!$B$19:$AG$49,ROW(D13)+1,FALSE)</f>
        <v>0</v>
      </c>
      <c r="V15" s="15" cm="1">
        <f t="array" ref="V15">+HLOOKUP($A$1,+[43]İcmal!$B$19:$AG$49,ROW(A13)+1,FALSE)</f>
        <v>0</v>
      </c>
      <c r="W15" s="15" cm="1">
        <f t="array" ref="W15">+HLOOKUP($A$1,+[44]İcmal!$B$19:$AG$49,ROW(B13)+1,FALSE)</f>
        <v>0</v>
      </c>
      <c r="X15" s="15" cm="1">
        <f t="array" ref="X15">+HLOOKUP($A$1,+[45]İcmal!$B$19:$AG$49,ROW(C13)+1,FALSE)</f>
        <v>0</v>
      </c>
      <c r="Y15" s="15" cm="1">
        <f t="array" ref="Y15">+HLOOKUP($A$1,+[46]İcmal!$B$19:$AG$49,ROW(D13)+1,FALSE)</f>
        <v>0</v>
      </c>
      <c r="Z15" s="15" cm="1">
        <f t="array" ref="Z15">+HLOOKUP($A$1,+[47]İcmal!$B$19:$AG$49,ROW(A13)+1,FALSE)</f>
        <v>0</v>
      </c>
      <c r="AA15" s="15" cm="1">
        <f t="array" ref="AA15">+HLOOKUP($A$1,+[48]İcmal!$B$19:$AG$49,ROW(B13)+1,FALSE)</f>
        <v>0</v>
      </c>
      <c r="AB15" s="15" cm="1">
        <f t="array" ref="AB15">+HLOOKUP($A$1,+[49]İcmal!$B$19:$AG$49,ROW(A13)+1,FALSE)</f>
        <v>0</v>
      </c>
      <c r="AC15" s="15" cm="1">
        <f t="array" ref="AC15">+HLOOKUP($A$1,+[50]İcmal!$B$19:$AG$49,ROW(A13)+1,FALSE)</f>
        <v>0</v>
      </c>
      <c r="AD15" s="15" cm="1">
        <f t="array" ref="AD15">+HLOOKUP($A$1,+[51]İcmal!$B$19:$AG$49,ROW(A13)+1,FALSE)</f>
        <v>0</v>
      </c>
      <c r="AE15" s="15" cm="1">
        <f t="array" ref="AE15">+HLOOKUP($A$1,+[52]İcmal!$B$19:$AG$49,ROW(A13)+1,FALSE)</f>
        <v>0</v>
      </c>
      <c r="AF15" s="50" cm="1">
        <f t="array" ref="AF15">+HLOOKUP($A$1,+[53]İcmal!$B$19:$AG$49,ROW(A13)+1,FALSE)</f>
        <v>0</v>
      </c>
      <c r="AG15" s="15" cm="1">
        <f t="array" ref="AG15">+HLOOKUP($A$1,+[54]İcmal!$B$19:$AG$49,ROW(A13)+1,FALSE)</f>
        <v>0</v>
      </c>
      <c r="AH15" s="15" cm="1">
        <f t="array" ref="AH15">+HLOOKUP($A$1,+[55]İcmal!$B$19:$AG$49,ROW(A13)+1,FALSE)</f>
        <v>0</v>
      </c>
      <c r="AI15" s="15" cm="1">
        <f t="array" ref="AI15">+HLOOKUP($A$1,+[56]İcmal!$B$19:$AG$49,ROW(A13)+1,FALSE)</f>
        <v>0</v>
      </c>
      <c r="AJ15" s="15" cm="1">
        <f t="array" ref="AJ15">+HLOOKUP($A$1,+[57]İcmal!$B$19:$AG$49,ROW(A13)+1,FALSE)</f>
        <v>0</v>
      </c>
      <c r="AK15" s="15" cm="1">
        <f t="array" ref="AK15">+HLOOKUP($A$1,+[58]İcmal!$B$19:$AG$49,ROW(B13)+1,FALSE)</f>
        <v>0</v>
      </c>
      <c r="AL15" s="15"/>
      <c r="AM15" s="15"/>
      <c r="AN15" s="15"/>
      <c r="AO15" s="13"/>
    </row>
    <row r="16" spans="1:41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99.65</v>
      </c>
      <c r="I16" s="9">
        <f t="shared" si="2"/>
        <v>10164300</v>
      </c>
      <c r="J16" s="15" cm="1">
        <f t="array" ref="J16">+HLOOKUP($A$1,+[31]İcmal!$B$19:$AG$49,ROW(A14)+1,FALSE)</f>
        <v>0</v>
      </c>
      <c r="K16" s="15" cm="1">
        <f t="array" ref="K16">+HLOOKUP($A$1,+[32]İcmal!$B$19:$AG$49,ROW(B14)+1,FALSE)</f>
        <v>0</v>
      </c>
      <c r="L16" s="15" cm="1">
        <f t="array" ref="L16">+HLOOKUP($A$1,+[33]İcmal!$B$19:$AG$49,ROW(C14)+1,FALSE)</f>
        <v>16.455000000000002</v>
      </c>
      <c r="M16" s="15" cm="1">
        <f t="array" ref="M16">+HLOOKUP($A$1,+[34]İcmal!$B$19:$AG$49,ROW(D14)+1,FALSE)</f>
        <v>16.513000000000002</v>
      </c>
      <c r="N16" s="15" cm="1">
        <f t="array" ref="N16">+HLOOKUP($A$1,+[35]İcmal!$B$19:$AG$49,ROW(A14)+1,FALSE)</f>
        <v>0</v>
      </c>
      <c r="O16" s="15" cm="1">
        <f t="array" ref="O16">+HLOOKUP($A$1,+[36]İcmal!$B$19:$AG$49,ROW(B14)+1,FALSE)</f>
        <v>2.1850000000000023</v>
      </c>
      <c r="P16" s="15" cm="1">
        <f t="array" ref="P16">+HLOOKUP($A$1,+[37]İcmal!$B$19:$AG$49,ROW(C14)+1,FALSE)</f>
        <v>0</v>
      </c>
      <c r="Q16" s="15" cm="1">
        <f t="array" ref="Q16">+HLOOKUP($A$1,+[38]İcmal!$B$19:$AG$49,ROW(D14)+1,FALSE)</f>
        <v>0</v>
      </c>
      <c r="R16" s="15" cm="1">
        <f t="array" ref="R16">+HLOOKUP($A$1,+[39]İcmal!$B$19:$AG$49,ROW(A14)+1,FALSE)</f>
        <v>0</v>
      </c>
      <c r="S16" s="15" cm="1">
        <f t="array" ref="S16">+HLOOKUP($A$1,+[40]İcmal!$B$19:$AG$49,ROW(B14)+1,FALSE)</f>
        <v>2.1829999999999927</v>
      </c>
      <c r="T16" s="15" cm="1">
        <f t="array" ref="T16">+HLOOKUP($A$1,+[41]İcmal!$B$19:$AG$49,ROW(C14)+1,FALSE)</f>
        <v>18.492000000000001</v>
      </c>
      <c r="U16" s="15" cm="1">
        <f t="array" ref="U16">+HLOOKUP($A$1,+[42]İcmal!$B$19:$AG$49,ROW(D14)+1,FALSE)</f>
        <v>18.492000000000001</v>
      </c>
      <c r="V16" s="15" cm="1">
        <f t="array" ref="V16">+HLOOKUP($A$1,+[43]İcmal!$B$19:$AG$49,ROW(A14)+1,FALSE)</f>
        <v>0</v>
      </c>
      <c r="W16" s="15" cm="1">
        <f t="array" ref="W16">+HLOOKUP($A$1,+[44]İcmal!$B$19:$AG$49,ROW(B14)+1,FALSE)</f>
        <v>0</v>
      </c>
      <c r="X16" s="15" cm="1">
        <f t="array" ref="X16">+HLOOKUP($A$1,+[45]İcmal!$B$19:$AG$49,ROW(C14)+1,FALSE)</f>
        <v>0</v>
      </c>
      <c r="Y16" s="15" cm="1">
        <f t="array" ref="Y16">+HLOOKUP($A$1,+[46]İcmal!$B$19:$AG$49,ROW(D14)+1,FALSE)</f>
        <v>0</v>
      </c>
      <c r="Z16" s="15" cm="1">
        <f t="array" ref="Z16">+HLOOKUP($A$1,+[47]İcmal!$B$19:$AG$49,ROW(A14)+1,FALSE)</f>
        <v>8.8520000000000003</v>
      </c>
      <c r="AA16" s="15" cm="1">
        <f t="array" ref="AA16">+HLOOKUP($A$1,+[48]İcmal!$B$19:$AG$49,ROW(B14)+1,FALSE)</f>
        <v>0</v>
      </c>
      <c r="AB16" s="15" cm="1">
        <f t="array" ref="AB16">+HLOOKUP($A$1,+[49]İcmal!$B$19:$AG$49,ROW(A14)+1,FALSE)</f>
        <v>0</v>
      </c>
      <c r="AC16" s="15" cm="1">
        <f t="array" ref="AC16">+HLOOKUP($A$1,+[50]İcmal!$B$19:$AG$49,ROW(A14)+1,FALSE)</f>
        <v>0</v>
      </c>
      <c r="AD16" s="15" cm="1">
        <f t="array" ref="AD16">+HLOOKUP($A$1,+[51]İcmal!$B$19:$AG$49,ROW(A14)+1,FALSE)</f>
        <v>4.8049999999999997</v>
      </c>
      <c r="AE16" s="15" cm="1">
        <f t="array" ref="AE16">+HLOOKUP($A$1,+[52]İcmal!$B$19:$AG$49,ROW(A14)+1,FALSE)</f>
        <v>0</v>
      </c>
      <c r="AF16" s="50" cm="1">
        <f t="array" ref="AF16">+HLOOKUP($A$1,+[53]İcmal!$B$19:$AG$49,ROW(A14)+1,FALSE)</f>
        <v>0</v>
      </c>
      <c r="AG16" s="15" cm="1">
        <f t="array" ref="AG16">+HLOOKUP($A$1,+[54]İcmal!$B$19:$AG$49,ROW(A14)+1,FALSE)</f>
        <v>4.383</v>
      </c>
      <c r="AH16" s="15" cm="1">
        <f t="array" ref="AH16">+HLOOKUP($A$1,+[55]İcmal!$B$19:$AG$49,ROW(A14)+1,FALSE)</f>
        <v>0</v>
      </c>
      <c r="AI16" s="15" cm="1">
        <f t="array" ref="AI16">+HLOOKUP($A$1,+[56]İcmal!$B$19:$AG$49,ROW(A14)+1,FALSE)</f>
        <v>0</v>
      </c>
      <c r="AJ16" s="15" cm="1">
        <f t="array" ref="AJ16">+HLOOKUP($A$1,+[57]İcmal!$B$19:$AG$49,ROW(A14)+1,FALSE)</f>
        <v>7.2900000000000009</v>
      </c>
      <c r="AK16" s="15" cm="1">
        <f t="array" ref="AK16">+HLOOKUP($A$1,+[58]İcmal!$B$19:$AG$49,ROW(B14)+1,FALSE)</f>
        <v>0</v>
      </c>
      <c r="AL16" s="15"/>
      <c r="AM16" s="15"/>
      <c r="AN16" s="15"/>
      <c r="AO16" s="13"/>
    </row>
    <row r="17" spans="1:41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990</v>
      </c>
      <c r="I17" s="9">
        <f t="shared" si="2"/>
        <v>3366000</v>
      </c>
      <c r="J17" s="15" cm="1">
        <f t="array" ref="J17">+HLOOKUP($A$1,+[31]İcmal!$B$19:$AG$49,ROW(A15)+1,FALSE)</f>
        <v>0</v>
      </c>
      <c r="K17" s="15" cm="1">
        <f t="array" ref="K17">+HLOOKUP($A$1,+[32]İcmal!$B$19:$AG$49,ROW(B15)+1,FALSE)</f>
        <v>0</v>
      </c>
      <c r="L17" s="15" cm="1">
        <f t="array" ref="L17">+HLOOKUP($A$1,+[33]İcmal!$B$19:$AG$49,ROW(C15)+1,FALSE)</f>
        <v>0</v>
      </c>
      <c r="M17" s="15" cm="1">
        <f t="array" ref="M17">+HLOOKUP($A$1,+[34]İcmal!$B$19:$AG$49,ROW(D15)+1,FALSE)</f>
        <v>0</v>
      </c>
      <c r="N17" s="15" cm="1">
        <f t="array" ref="N17">+HLOOKUP($A$1,+[35]İcmal!$B$19:$AG$49,ROW(A15)+1,FALSE)</f>
        <v>0</v>
      </c>
      <c r="O17" s="15" cm="1">
        <f t="array" ref="O17">+HLOOKUP($A$1,+[36]İcmal!$B$19:$AG$49,ROW(B15)+1,FALSE)</f>
        <v>0</v>
      </c>
      <c r="P17" s="15" cm="1">
        <f t="array" ref="P17">+HLOOKUP($A$1,+[37]İcmal!$B$19:$AG$49,ROW(C15)+1,FALSE)</f>
        <v>0</v>
      </c>
      <c r="Q17" s="15" cm="1">
        <f t="array" ref="Q17">+HLOOKUP($A$1,+[38]İcmal!$B$19:$AG$49,ROW(D15)+1,FALSE)</f>
        <v>0</v>
      </c>
      <c r="R17" s="15" cm="1">
        <f t="array" ref="R17">+HLOOKUP($A$1,+[39]İcmal!$B$19:$AG$49,ROW(A15)+1,FALSE)</f>
        <v>0</v>
      </c>
      <c r="S17" s="15" cm="1">
        <f t="array" ref="S17">+HLOOKUP($A$1,+[40]İcmal!$B$19:$AG$49,ROW(B15)+1,FALSE)</f>
        <v>0</v>
      </c>
      <c r="T17" s="15" cm="1">
        <f t="array" ref="T17">+HLOOKUP($A$1,+[41]İcmal!$B$19:$AG$49,ROW(C15)+1,FALSE)</f>
        <v>0</v>
      </c>
      <c r="U17" s="15" cm="1">
        <f t="array" ref="U17">+HLOOKUP($A$1,+[42]İcmal!$B$19:$AG$49,ROW(D15)+1,FALSE)</f>
        <v>0</v>
      </c>
      <c r="V17" s="15" cm="1">
        <f t="array" ref="V17">+HLOOKUP($A$1,+[43]İcmal!$B$19:$AG$49,ROW(A15)+1,FALSE)</f>
        <v>0</v>
      </c>
      <c r="W17" s="15" cm="1">
        <f t="array" ref="W17">+HLOOKUP($A$1,+[44]İcmal!$B$19:$AG$49,ROW(B15)+1,FALSE)</f>
        <v>0</v>
      </c>
      <c r="X17" s="15" cm="1">
        <f t="array" ref="X17">+HLOOKUP($A$1,+[45]İcmal!$B$19:$AG$49,ROW(C15)+1,FALSE)</f>
        <v>0</v>
      </c>
      <c r="Y17" s="15" cm="1">
        <f t="array" ref="Y17">+HLOOKUP($A$1,+[46]İcmal!$B$19:$AG$49,ROW(D15)+1,FALSE)</f>
        <v>0</v>
      </c>
      <c r="Z17" s="15" cm="1">
        <f t="array" ref="Z17">+HLOOKUP($A$1,+[47]İcmal!$B$19:$AG$49,ROW(A15)+1,FALSE)</f>
        <v>657</v>
      </c>
      <c r="AA17" s="15" cm="1">
        <f t="array" ref="AA17">+HLOOKUP($A$1,+[48]İcmal!$B$19:$AG$49,ROW(B15)+1,FALSE)</f>
        <v>0</v>
      </c>
      <c r="AB17" s="15" cm="1">
        <f t="array" ref="AB17">+HLOOKUP($A$1,+[49]İcmal!$B$19:$AG$49,ROW(A15)+1,FALSE)</f>
        <v>0</v>
      </c>
      <c r="AC17" s="15" cm="1">
        <f t="array" ref="AC17">+HLOOKUP($A$1,+[50]İcmal!$B$19:$AG$49,ROW(A15)+1,FALSE)</f>
        <v>0</v>
      </c>
      <c r="AD17" s="15" cm="1">
        <f t="array" ref="AD17">+HLOOKUP($A$1,+[51]İcmal!$B$19:$AG$49,ROW(A15)+1,FALSE)</f>
        <v>0</v>
      </c>
      <c r="AE17" s="15" cm="1">
        <f t="array" ref="AE17">+HLOOKUP($A$1,+[52]İcmal!$B$19:$AG$49,ROW(A15)+1,FALSE)</f>
        <v>0</v>
      </c>
      <c r="AF17" s="50" cm="1">
        <f t="array" ref="AF17">+HLOOKUP($A$1,+[53]İcmal!$B$19:$AG$49,ROW(A15)+1,FALSE)</f>
        <v>0</v>
      </c>
      <c r="AG17" s="15" cm="1">
        <f t="array" ref="AG17">+HLOOKUP($A$1,+[54]İcmal!$B$19:$AG$49,ROW(A15)+1,FALSE)</f>
        <v>0</v>
      </c>
      <c r="AH17" s="15" cm="1">
        <f t="array" ref="AH17">+HLOOKUP($A$1,+[55]İcmal!$B$19:$AG$49,ROW(A15)+1,FALSE)</f>
        <v>0</v>
      </c>
      <c r="AI17" s="15" cm="1">
        <f t="array" ref="AI17">+HLOOKUP($A$1,+[56]İcmal!$B$19:$AG$49,ROW(A15)+1,FALSE)</f>
        <v>0</v>
      </c>
      <c r="AJ17" s="15" cm="1">
        <f t="array" ref="AJ17">+HLOOKUP($A$1,+[57]İcmal!$B$19:$AG$49,ROW(A15)+1,FALSE)</f>
        <v>333</v>
      </c>
      <c r="AK17" s="15" cm="1">
        <f t="array" ref="AK17">+HLOOKUP($A$1,+[58]İcmal!$B$19:$AG$49,ROW(B15)+1,FALSE)</f>
        <v>0</v>
      </c>
      <c r="AL17" s="15"/>
      <c r="AM17" s="15"/>
      <c r="AN17" s="15"/>
      <c r="AO17" s="13"/>
    </row>
    <row r="18" spans="1:41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+HLOOKUP($A$1,+[31]İcmal!$B$19:$AG$49,ROW(A16)+1,FALSE)</f>
        <v>0</v>
      </c>
      <c r="K18" s="15" cm="1">
        <f t="array" ref="K18">+HLOOKUP($A$1,+[32]İcmal!$B$19:$AG$49,ROW(B16)+1,FALSE)</f>
        <v>0</v>
      </c>
      <c r="L18" s="15" cm="1">
        <f t="array" ref="L18">+HLOOKUP($A$1,+[33]İcmal!$B$19:$AG$49,ROW(C16)+1,FALSE)</f>
        <v>0</v>
      </c>
      <c r="M18" s="15" cm="1">
        <f t="array" ref="M18">+HLOOKUP($A$1,+[34]İcmal!$B$19:$AG$49,ROW(D16)+1,FALSE)</f>
        <v>0</v>
      </c>
      <c r="N18" s="15" cm="1">
        <f t="array" ref="N18">+HLOOKUP($A$1,+[35]İcmal!$B$19:$AG$49,ROW(A16)+1,FALSE)</f>
        <v>0</v>
      </c>
      <c r="O18" s="15" cm="1">
        <f t="array" ref="O18">+HLOOKUP($A$1,+[36]İcmal!$B$19:$AG$49,ROW(B16)+1,FALSE)</f>
        <v>0</v>
      </c>
      <c r="P18" s="15" cm="1">
        <f t="array" ref="P18">+HLOOKUP($A$1,+[37]İcmal!$B$19:$AG$49,ROW(C16)+1,FALSE)</f>
        <v>0</v>
      </c>
      <c r="Q18" s="15" cm="1">
        <f t="array" ref="Q18">+HLOOKUP($A$1,+[38]İcmal!$B$19:$AG$49,ROW(D16)+1,FALSE)</f>
        <v>0</v>
      </c>
      <c r="R18" s="15" cm="1">
        <f t="array" ref="R18">+HLOOKUP($A$1,+[39]İcmal!$B$19:$AG$49,ROW(A16)+1,FALSE)</f>
        <v>0</v>
      </c>
      <c r="S18" s="15" cm="1">
        <f t="array" ref="S18">+HLOOKUP($A$1,+[40]İcmal!$B$19:$AG$49,ROW(B16)+1,FALSE)</f>
        <v>0</v>
      </c>
      <c r="T18" s="15" cm="1">
        <f t="array" ref="T18">+HLOOKUP($A$1,+[41]İcmal!$B$19:$AG$49,ROW(C16)+1,FALSE)</f>
        <v>0</v>
      </c>
      <c r="U18" s="15" cm="1">
        <f t="array" ref="U18">+HLOOKUP($A$1,+[42]İcmal!$B$19:$AG$49,ROW(D16)+1,FALSE)</f>
        <v>0</v>
      </c>
      <c r="V18" s="15" cm="1">
        <f t="array" ref="V18">+HLOOKUP($A$1,+[43]İcmal!$B$19:$AG$49,ROW(A16)+1,FALSE)</f>
        <v>0</v>
      </c>
      <c r="W18" s="15" cm="1">
        <f t="array" ref="W18">+HLOOKUP($A$1,+[44]İcmal!$B$19:$AG$49,ROW(B16)+1,FALSE)</f>
        <v>0</v>
      </c>
      <c r="X18" s="15" cm="1">
        <f t="array" ref="X18">+HLOOKUP($A$1,+[45]İcmal!$B$19:$AG$49,ROW(C16)+1,FALSE)</f>
        <v>0</v>
      </c>
      <c r="Y18" s="15" cm="1">
        <f t="array" ref="Y18">+HLOOKUP($A$1,+[46]İcmal!$B$19:$AG$49,ROW(D16)+1,FALSE)</f>
        <v>0</v>
      </c>
      <c r="Z18" s="15" cm="1">
        <f t="array" ref="Z18">+HLOOKUP($A$1,+[47]İcmal!$B$19:$AG$49,ROW(A16)+1,FALSE)</f>
        <v>0</v>
      </c>
      <c r="AA18" s="15" cm="1">
        <f t="array" ref="AA18">+HLOOKUP($A$1,+[48]İcmal!$B$19:$AG$49,ROW(B16)+1,FALSE)</f>
        <v>0</v>
      </c>
      <c r="AB18" s="15" cm="1">
        <f t="array" ref="AB18">+HLOOKUP($A$1,+[49]İcmal!$B$19:$AG$49,ROW(A16)+1,FALSE)</f>
        <v>0</v>
      </c>
      <c r="AC18" s="15" cm="1">
        <f t="array" ref="AC18">+HLOOKUP($A$1,+[50]İcmal!$B$19:$AG$49,ROW(A16)+1,FALSE)</f>
        <v>0</v>
      </c>
      <c r="AD18" s="15" cm="1">
        <f t="array" ref="AD18">+HLOOKUP($A$1,+[51]İcmal!$B$19:$AG$49,ROW(A16)+1,FALSE)</f>
        <v>0</v>
      </c>
      <c r="AE18" s="15" cm="1">
        <f t="array" ref="AE18">+HLOOKUP($A$1,+[52]İcmal!$B$19:$AG$49,ROW(A16)+1,FALSE)</f>
        <v>0</v>
      </c>
      <c r="AF18" s="50" cm="1">
        <f t="array" ref="AF18">+HLOOKUP($A$1,+[53]İcmal!$B$19:$AG$49,ROW(A16)+1,FALSE)</f>
        <v>0</v>
      </c>
      <c r="AG18" s="15" cm="1">
        <f t="array" ref="AG18">+HLOOKUP($A$1,+[54]İcmal!$B$19:$AG$49,ROW(A16)+1,FALSE)</f>
        <v>0</v>
      </c>
      <c r="AH18" s="15" cm="1">
        <f t="array" ref="AH18">+HLOOKUP($A$1,+[55]İcmal!$B$19:$AG$49,ROW(A16)+1,FALSE)</f>
        <v>0</v>
      </c>
      <c r="AI18" s="15" cm="1">
        <f t="array" ref="AI18">+HLOOKUP($A$1,+[56]İcmal!$B$19:$AG$49,ROW(A16)+1,FALSE)</f>
        <v>0</v>
      </c>
      <c r="AJ18" s="15" cm="1">
        <f t="array" ref="AJ18">+HLOOKUP($A$1,+[57]İcmal!$B$19:$AG$49,ROW(A16)+1,FALSE)</f>
        <v>0</v>
      </c>
      <c r="AK18" s="15" cm="1">
        <f t="array" ref="AK18">+HLOOKUP($A$1,+[58]İcmal!$B$19:$AG$49,ROW(B16)+1,FALSE)</f>
        <v>0</v>
      </c>
      <c r="AL18" s="15"/>
      <c r="AM18" s="15"/>
      <c r="AN18" s="15"/>
      <c r="AO18" s="13"/>
    </row>
    <row r="19" spans="1:41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+HLOOKUP($A$1,+[31]İcmal!$B$19:$AG$49,ROW(A17)+1,FALSE)</f>
        <v>0</v>
      </c>
      <c r="K19" s="15" cm="1">
        <f t="array" ref="K19">+HLOOKUP($A$1,+[32]İcmal!$B$19:$AG$49,ROW(B17)+1,FALSE)</f>
        <v>0</v>
      </c>
      <c r="L19" s="15" cm="1">
        <f t="array" ref="L19">+HLOOKUP($A$1,+[33]İcmal!$B$19:$AG$49,ROW(C17)+1,FALSE)</f>
        <v>0</v>
      </c>
      <c r="M19" s="15" cm="1">
        <f t="array" ref="M19">+HLOOKUP($A$1,+[34]İcmal!$B$19:$AG$49,ROW(D17)+1,FALSE)</f>
        <v>0</v>
      </c>
      <c r="N19" s="15" cm="1">
        <f t="array" ref="N19">+HLOOKUP($A$1,+[35]İcmal!$B$19:$AG$49,ROW(A17)+1,FALSE)</f>
        <v>0</v>
      </c>
      <c r="O19" s="15" cm="1">
        <f t="array" ref="O19">+HLOOKUP($A$1,+[36]İcmal!$B$19:$AG$49,ROW(B17)+1,FALSE)</f>
        <v>0</v>
      </c>
      <c r="P19" s="15" cm="1">
        <f t="array" ref="P19">+HLOOKUP($A$1,+[37]İcmal!$B$19:$AG$49,ROW(C17)+1,FALSE)</f>
        <v>0</v>
      </c>
      <c r="Q19" s="15" cm="1">
        <f t="array" ref="Q19">+HLOOKUP($A$1,+[38]İcmal!$B$19:$AG$49,ROW(D17)+1,FALSE)</f>
        <v>0</v>
      </c>
      <c r="R19" s="15" cm="1">
        <f t="array" ref="R19">+HLOOKUP($A$1,+[39]İcmal!$B$19:$AG$49,ROW(A17)+1,FALSE)</f>
        <v>0</v>
      </c>
      <c r="S19" s="15" cm="1">
        <f t="array" ref="S19">+HLOOKUP($A$1,+[40]İcmal!$B$19:$AG$49,ROW(B17)+1,FALSE)</f>
        <v>0</v>
      </c>
      <c r="T19" s="15" cm="1">
        <f t="array" ref="T19">+HLOOKUP($A$1,+[41]İcmal!$B$19:$AG$49,ROW(C17)+1,FALSE)</f>
        <v>0</v>
      </c>
      <c r="U19" s="15" cm="1">
        <f t="array" ref="U19">+HLOOKUP($A$1,+[42]İcmal!$B$19:$AG$49,ROW(D17)+1,FALSE)</f>
        <v>0</v>
      </c>
      <c r="V19" s="15" cm="1">
        <f t="array" ref="V19">+HLOOKUP($A$1,+[43]İcmal!$B$19:$AG$49,ROW(A17)+1,FALSE)</f>
        <v>0</v>
      </c>
      <c r="W19" s="15" cm="1">
        <f t="array" ref="W19">+HLOOKUP($A$1,+[44]İcmal!$B$19:$AG$49,ROW(B17)+1,FALSE)</f>
        <v>0</v>
      </c>
      <c r="X19" s="15" cm="1">
        <f t="array" ref="X19">+HLOOKUP($A$1,+[45]İcmal!$B$19:$AG$49,ROW(C17)+1,FALSE)</f>
        <v>0</v>
      </c>
      <c r="Y19" s="15" cm="1">
        <f t="array" ref="Y19">+HLOOKUP($A$1,+[46]İcmal!$B$19:$AG$49,ROW(D17)+1,FALSE)</f>
        <v>0</v>
      </c>
      <c r="Z19" s="15" cm="1">
        <f t="array" ref="Z19">+HLOOKUP($A$1,+[47]İcmal!$B$19:$AG$49,ROW(A17)+1,FALSE)</f>
        <v>0</v>
      </c>
      <c r="AA19" s="15" cm="1">
        <f t="array" ref="AA19">+HLOOKUP($A$1,+[48]İcmal!$B$19:$AG$49,ROW(B17)+1,FALSE)</f>
        <v>0</v>
      </c>
      <c r="AB19" s="15" cm="1">
        <f t="array" ref="AB19">+HLOOKUP($A$1,+[49]İcmal!$B$19:$AG$49,ROW(A17)+1,FALSE)</f>
        <v>0</v>
      </c>
      <c r="AC19" s="15" cm="1">
        <f t="array" ref="AC19">+HLOOKUP($A$1,+[50]İcmal!$B$19:$AG$49,ROW(A17)+1,FALSE)</f>
        <v>0</v>
      </c>
      <c r="AD19" s="15" cm="1">
        <f t="array" ref="AD19">+HLOOKUP($A$1,+[51]İcmal!$B$19:$AG$49,ROW(A17)+1,FALSE)</f>
        <v>0</v>
      </c>
      <c r="AE19" s="15" cm="1">
        <f t="array" ref="AE19">+HLOOKUP($A$1,+[52]İcmal!$B$19:$AG$49,ROW(A17)+1,FALSE)</f>
        <v>0</v>
      </c>
      <c r="AF19" s="50" cm="1">
        <f t="array" ref="AF19">+HLOOKUP($A$1,+[53]İcmal!$B$19:$AG$49,ROW(A17)+1,FALSE)</f>
        <v>0</v>
      </c>
      <c r="AG19" s="15" cm="1">
        <f t="array" ref="AG19">+HLOOKUP($A$1,+[54]İcmal!$B$19:$AG$49,ROW(A17)+1,FALSE)</f>
        <v>0</v>
      </c>
      <c r="AH19" s="15" cm="1">
        <f t="array" ref="AH19">+HLOOKUP($A$1,+[55]İcmal!$B$19:$AG$49,ROW(A17)+1,FALSE)</f>
        <v>0</v>
      </c>
      <c r="AI19" s="15" cm="1">
        <f t="array" ref="AI19">+HLOOKUP($A$1,+[56]İcmal!$B$19:$AG$49,ROW(A17)+1,FALSE)</f>
        <v>0</v>
      </c>
      <c r="AJ19" s="15" cm="1">
        <f t="array" ref="AJ19">+HLOOKUP($A$1,+[57]İcmal!$B$19:$AG$49,ROW(A17)+1,FALSE)</f>
        <v>0</v>
      </c>
      <c r="AK19" s="15" cm="1">
        <f t="array" ref="AK19">+HLOOKUP($A$1,+[58]İcmal!$B$19:$AG$49,ROW(B17)+1,FALSE)</f>
        <v>0</v>
      </c>
      <c r="AL19" s="15"/>
      <c r="AM19" s="15"/>
      <c r="AN19" s="15"/>
      <c r="AO19" s="13"/>
    </row>
    <row r="20" spans="1:41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+HLOOKUP($A$1,+[31]İcmal!$B$19:$AG$49,ROW(A18)+1,FALSE)</f>
        <v>0</v>
      </c>
      <c r="K20" s="15" cm="1">
        <f t="array" ref="K20">+HLOOKUP($A$1,+[32]İcmal!$B$19:$AG$49,ROW(B18)+1,FALSE)</f>
        <v>0</v>
      </c>
      <c r="L20" s="15" cm="1">
        <f t="array" ref="L20">+HLOOKUP($A$1,+[33]İcmal!$B$19:$AG$49,ROW(C18)+1,FALSE)</f>
        <v>0</v>
      </c>
      <c r="M20" s="15" cm="1">
        <f t="array" ref="M20">+HLOOKUP($A$1,+[34]İcmal!$B$19:$AG$49,ROW(D18)+1,FALSE)</f>
        <v>0</v>
      </c>
      <c r="N20" s="15" cm="1">
        <f t="array" ref="N20">+HLOOKUP($A$1,+[35]İcmal!$B$19:$AG$49,ROW(A18)+1,FALSE)</f>
        <v>0</v>
      </c>
      <c r="O20" s="15" cm="1">
        <f t="array" ref="O20">+HLOOKUP($A$1,+[36]İcmal!$B$19:$AG$49,ROW(B18)+1,FALSE)</f>
        <v>0</v>
      </c>
      <c r="P20" s="15" cm="1">
        <f t="array" ref="P20">+HLOOKUP($A$1,+[37]İcmal!$B$19:$AG$49,ROW(C18)+1,FALSE)</f>
        <v>0</v>
      </c>
      <c r="Q20" s="15" cm="1">
        <f t="array" ref="Q20">+HLOOKUP($A$1,+[38]İcmal!$B$19:$AG$49,ROW(D18)+1,FALSE)</f>
        <v>0</v>
      </c>
      <c r="R20" s="15" cm="1">
        <f t="array" ref="R20">+HLOOKUP($A$1,+[39]İcmal!$B$19:$AG$49,ROW(A18)+1,FALSE)</f>
        <v>0</v>
      </c>
      <c r="S20" s="15" cm="1">
        <f t="array" ref="S20">+HLOOKUP($A$1,+[40]İcmal!$B$19:$AG$49,ROW(B18)+1,FALSE)</f>
        <v>0</v>
      </c>
      <c r="T20" s="15" cm="1">
        <f t="array" ref="T20">+HLOOKUP($A$1,+[41]İcmal!$B$19:$AG$49,ROW(C18)+1,FALSE)</f>
        <v>0</v>
      </c>
      <c r="U20" s="15" cm="1">
        <f t="array" ref="U20">+HLOOKUP($A$1,+[42]İcmal!$B$19:$AG$49,ROW(D18)+1,FALSE)</f>
        <v>0</v>
      </c>
      <c r="V20" s="15" cm="1">
        <f t="array" ref="V20">+HLOOKUP($A$1,+[43]İcmal!$B$19:$AG$49,ROW(A18)+1,FALSE)</f>
        <v>0</v>
      </c>
      <c r="W20" s="15" cm="1">
        <f t="array" ref="W20">+HLOOKUP($A$1,+[44]İcmal!$B$19:$AG$49,ROW(B18)+1,FALSE)</f>
        <v>0</v>
      </c>
      <c r="X20" s="15" cm="1">
        <f t="array" ref="X20">+HLOOKUP($A$1,+[45]İcmal!$B$19:$AG$49,ROW(C18)+1,FALSE)</f>
        <v>0</v>
      </c>
      <c r="Y20" s="15" cm="1">
        <f t="array" ref="Y20">+HLOOKUP($A$1,+[46]İcmal!$B$19:$AG$49,ROW(D18)+1,FALSE)</f>
        <v>0</v>
      </c>
      <c r="Z20" s="15" cm="1">
        <f t="array" ref="Z20">+HLOOKUP($A$1,+[47]İcmal!$B$19:$AG$49,ROW(A18)+1,FALSE)</f>
        <v>0</v>
      </c>
      <c r="AA20" s="15" cm="1">
        <f t="array" ref="AA20">+HLOOKUP($A$1,+[48]İcmal!$B$19:$AG$49,ROW(B18)+1,FALSE)</f>
        <v>0</v>
      </c>
      <c r="AB20" s="15" cm="1">
        <f t="array" ref="AB20">+HLOOKUP($A$1,+[49]İcmal!$B$19:$AG$49,ROW(A18)+1,FALSE)</f>
        <v>0</v>
      </c>
      <c r="AC20" s="15" cm="1">
        <f t="array" ref="AC20">+HLOOKUP($A$1,+[50]İcmal!$B$19:$AG$49,ROW(A18)+1,FALSE)</f>
        <v>0</v>
      </c>
      <c r="AD20" s="15" cm="1">
        <f t="array" ref="AD20">+HLOOKUP($A$1,+[51]İcmal!$B$19:$AG$49,ROW(A18)+1,FALSE)</f>
        <v>0</v>
      </c>
      <c r="AE20" s="15" cm="1">
        <f t="array" ref="AE20">+HLOOKUP($A$1,+[52]İcmal!$B$19:$AG$49,ROW(A18)+1,FALSE)</f>
        <v>0</v>
      </c>
      <c r="AF20" s="50" cm="1">
        <f t="array" ref="AF20">+HLOOKUP($A$1,+[53]İcmal!$B$19:$AG$49,ROW(A18)+1,FALSE)</f>
        <v>0</v>
      </c>
      <c r="AG20" s="15" cm="1">
        <f t="array" ref="AG20">+HLOOKUP($A$1,+[54]İcmal!$B$19:$AG$49,ROW(A18)+1,FALSE)</f>
        <v>0</v>
      </c>
      <c r="AH20" s="15" cm="1">
        <f t="array" ref="AH20">+HLOOKUP($A$1,+[55]İcmal!$B$19:$AG$49,ROW(A18)+1,FALSE)</f>
        <v>0</v>
      </c>
      <c r="AI20" s="15" cm="1">
        <f t="array" ref="AI20">+HLOOKUP($A$1,+[56]İcmal!$B$19:$AG$49,ROW(A18)+1,FALSE)</f>
        <v>0</v>
      </c>
      <c r="AJ20" s="15" cm="1">
        <f t="array" ref="AJ20">+HLOOKUP($A$1,+[57]İcmal!$B$19:$AG$49,ROW(A18)+1,FALSE)</f>
        <v>0</v>
      </c>
      <c r="AK20" s="15" cm="1">
        <f t="array" ref="AK20">+HLOOKUP($A$1,+[58]İcmal!$B$19:$AG$49,ROW(B18)+1,FALSE)</f>
        <v>0</v>
      </c>
      <c r="AL20" s="15"/>
      <c r="AM20" s="15"/>
      <c r="AN20" s="15"/>
      <c r="AO20" s="13"/>
    </row>
    <row r="21" spans="1:41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+HLOOKUP($A$1,+[31]İcmal!$B$19:$AG$49,ROW(A19)+1,FALSE)</f>
        <v>0</v>
      </c>
      <c r="K21" s="15" cm="1">
        <f t="array" ref="K21">+HLOOKUP($A$1,+[32]İcmal!$B$19:$AG$49,ROW(B19)+1,FALSE)</f>
        <v>0</v>
      </c>
      <c r="L21" s="15" cm="1">
        <f t="array" ref="L21">+HLOOKUP($A$1,+[33]İcmal!$B$19:$AG$49,ROW(C19)+1,FALSE)</f>
        <v>0</v>
      </c>
      <c r="M21" s="15" cm="1">
        <f t="array" ref="M21">+HLOOKUP($A$1,+[34]İcmal!$B$19:$AG$49,ROW(D19)+1,FALSE)</f>
        <v>0</v>
      </c>
      <c r="N21" s="15" cm="1">
        <f t="array" ref="N21">+HLOOKUP($A$1,+[35]İcmal!$B$19:$AG$49,ROW(A19)+1,FALSE)</f>
        <v>0</v>
      </c>
      <c r="O21" s="15" cm="1">
        <f t="array" ref="O21">+HLOOKUP($A$1,+[36]İcmal!$B$19:$AG$49,ROW(B19)+1,FALSE)</f>
        <v>0</v>
      </c>
      <c r="P21" s="15" cm="1">
        <f t="array" ref="P21">+HLOOKUP($A$1,+[37]İcmal!$B$19:$AG$49,ROW(C19)+1,FALSE)</f>
        <v>0</v>
      </c>
      <c r="Q21" s="15" cm="1">
        <f t="array" ref="Q21">+HLOOKUP($A$1,+[38]İcmal!$B$19:$AG$49,ROW(D19)+1,FALSE)</f>
        <v>0</v>
      </c>
      <c r="R21" s="15" cm="1">
        <f t="array" ref="R21">+HLOOKUP($A$1,+[39]İcmal!$B$19:$AG$49,ROW(A19)+1,FALSE)</f>
        <v>0</v>
      </c>
      <c r="S21" s="15" cm="1">
        <f t="array" ref="S21">+HLOOKUP($A$1,+[40]İcmal!$B$19:$AG$49,ROW(B19)+1,FALSE)</f>
        <v>0</v>
      </c>
      <c r="T21" s="15" cm="1">
        <f t="array" ref="T21">+HLOOKUP($A$1,+[41]İcmal!$B$19:$AG$49,ROW(C19)+1,FALSE)</f>
        <v>0</v>
      </c>
      <c r="U21" s="15" cm="1">
        <f t="array" ref="U21">+HLOOKUP($A$1,+[42]İcmal!$B$19:$AG$49,ROW(D19)+1,FALSE)</f>
        <v>0</v>
      </c>
      <c r="V21" s="15" cm="1">
        <f t="array" ref="V21">+HLOOKUP($A$1,+[43]İcmal!$B$19:$AG$49,ROW(A19)+1,FALSE)</f>
        <v>0</v>
      </c>
      <c r="W21" s="15" cm="1">
        <f t="array" ref="W21">+HLOOKUP($A$1,+[44]İcmal!$B$19:$AG$49,ROW(B19)+1,FALSE)</f>
        <v>0</v>
      </c>
      <c r="X21" s="15" cm="1">
        <f t="array" ref="X21">+HLOOKUP($A$1,+[45]İcmal!$B$19:$AG$49,ROW(C19)+1,FALSE)</f>
        <v>0</v>
      </c>
      <c r="Y21" s="15" cm="1">
        <f t="array" ref="Y21">+HLOOKUP($A$1,+[46]İcmal!$B$19:$AG$49,ROW(D19)+1,FALSE)</f>
        <v>0</v>
      </c>
      <c r="Z21" s="15" cm="1">
        <f t="array" ref="Z21">+HLOOKUP($A$1,+[47]İcmal!$B$19:$AG$49,ROW(A19)+1,FALSE)</f>
        <v>0</v>
      </c>
      <c r="AA21" s="15" cm="1">
        <f t="array" ref="AA21">+HLOOKUP($A$1,+[48]İcmal!$B$19:$AG$49,ROW(B19)+1,FALSE)</f>
        <v>0</v>
      </c>
      <c r="AB21" s="15" cm="1">
        <f t="array" ref="AB21">+HLOOKUP($A$1,+[49]İcmal!$B$19:$AG$49,ROW(A19)+1,FALSE)</f>
        <v>0</v>
      </c>
      <c r="AC21" s="15" cm="1">
        <f t="array" ref="AC21">+HLOOKUP($A$1,+[50]İcmal!$B$19:$AG$49,ROW(A19)+1,FALSE)</f>
        <v>0</v>
      </c>
      <c r="AD21" s="15" cm="1">
        <f t="array" ref="AD21">+HLOOKUP($A$1,+[51]İcmal!$B$19:$AG$49,ROW(A19)+1,FALSE)</f>
        <v>0</v>
      </c>
      <c r="AE21" s="15" cm="1">
        <f t="array" ref="AE21">+HLOOKUP($A$1,+[52]İcmal!$B$19:$AG$49,ROW(A19)+1,FALSE)</f>
        <v>0</v>
      </c>
      <c r="AF21" s="50" cm="1">
        <f t="array" ref="AF21">+HLOOKUP($A$1,+[53]İcmal!$B$19:$AG$49,ROW(A19)+1,FALSE)</f>
        <v>0</v>
      </c>
      <c r="AG21" s="15" cm="1">
        <f t="array" ref="AG21">+HLOOKUP($A$1,+[54]İcmal!$B$19:$AG$49,ROW(A19)+1,FALSE)</f>
        <v>0</v>
      </c>
      <c r="AH21" s="15" cm="1">
        <f t="array" ref="AH21">+HLOOKUP($A$1,+[55]İcmal!$B$19:$AG$49,ROW(A19)+1,FALSE)</f>
        <v>0</v>
      </c>
      <c r="AI21" s="15" cm="1">
        <f t="array" ref="AI21">+HLOOKUP($A$1,+[56]İcmal!$B$19:$AG$49,ROW(A19)+1,FALSE)</f>
        <v>0</v>
      </c>
      <c r="AJ21" s="15" cm="1">
        <f t="array" ref="AJ21">+HLOOKUP($A$1,+[57]İcmal!$B$19:$AG$49,ROW(A19)+1,FALSE)</f>
        <v>0</v>
      </c>
      <c r="AK21" s="15" cm="1">
        <f t="array" ref="AK21">+HLOOKUP($A$1,+[58]İcmal!$B$19:$AG$49,ROW(B19)+1,FALSE)</f>
        <v>0</v>
      </c>
      <c r="AL21" s="15"/>
      <c r="AM21" s="15"/>
      <c r="AN21" s="15"/>
      <c r="AO21" s="13"/>
    </row>
    <row r="22" spans="1:41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+HLOOKUP($A$1,+[31]İcmal!$B$19:$AG$49,ROW(A20)+1,FALSE)</f>
        <v>0</v>
      </c>
      <c r="K22" s="15" cm="1">
        <f t="array" ref="K22">+HLOOKUP($A$1,+[32]İcmal!$B$19:$AG$49,ROW(B20)+1,FALSE)</f>
        <v>0</v>
      </c>
      <c r="L22" s="15" cm="1">
        <f t="array" ref="L22">+HLOOKUP($A$1,+[33]İcmal!$B$19:$AG$49,ROW(C20)+1,FALSE)</f>
        <v>0</v>
      </c>
      <c r="M22" s="15" cm="1">
        <f t="array" ref="M22">+HLOOKUP($A$1,+[34]İcmal!$B$19:$AG$49,ROW(D20)+1,FALSE)</f>
        <v>0</v>
      </c>
      <c r="N22" s="15" cm="1">
        <f t="array" ref="N22">+HLOOKUP($A$1,+[35]İcmal!$B$19:$AG$49,ROW(A20)+1,FALSE)</f>
        <v>0</v>
      </c>
      <c r="O22" s="15" cm="1">
        <f t="array" ref="O22">+HLOOKUP($A$1,+[36]İcmal!$B$19:$AG$49,ROW(B20)+1,FALSE)</f>
        <v>0</v>
      </c>
      <c r="P22" s="15" cm="1">
        <f t="array" ref="P22">+HLOOKUP($A$1,+[37]İcmal!$B$19:$AG$49,ROW(C20)+1,FALSE)</f>
        <v>0</v>
      </c>
      <c r="Q22" s="15" cm="1">
        <f t="array" ref="Q22">+HLOOKUP($A$1,+[38]İcmal!$B$19:$AG$49,ROW(D20)+1,FALSE)</f>
        <v>0</v>
      </c>
      <c r="R22" s="15" cm="1">
        <f t="array" ref="R22">+HLOOKUP($A$1,+[39]İcmal!$B$19:$AG$49,ROW(A20)+1,FALSE)</f>
        <v>0</v>
      </c>
      <c r="S22" s="15" cm="1">
        <f t="array" ref="S22">+HLOOKUP($A$1,+[40]İcmal!$B$19:$AG$49,ROW(B20)+1,FALSE)</f>
        <v>0</v>
      </c>
      <c r="T22" s="15" cm="1">
        <f t="array" ref="T22">+HLOOKUP($A$1,+[41]İcmal!$B$19:$AG$49,ROW(C20)+1,FALSE)</f>
        <v>0</v>
      </c>
      <c r="U22" s="15" cm="1">
        <f t="array" ref="U22">+HLOOKUP($A$1,+[42]İcmal!$B$19:$AG$49,ROW(D20)+1,FALSE)</f>
        <v>0</v>
      </c>
      <c r="V22" s="15" cm="1">
        <f t="array" ref="V22">+HLOOKUP($A$1,+[43]İcmal!$B$19:$AG$49,ROW(A20)+1,FALSE)</f>
        <v>0</v>
      </c>
      <c r="W22" s="15" cm="1">
        <f t="array" ref="W22">+HLOOKUP($A$1,+[44]İcmal!$B$19:$AG$49,ROW(B20)+1,FALSE)</f>
        <v>0</v>
      </c>
      <c r="X22" s="15" cm="1">
        <f t="array" ref="X22">+HLOOKUP($A$1,+[45]İcmal!$B$19:$AG$49,ROW(C20)+1,FALSE)</f>
        <v>0</v>
      </c>
      <c r="Y22" s="15" cm="1">
        <f t="array" ref="Y22">+HLOOKUP($A$1,+[46]İcmal!$B$19:$AG$49,ROW(D20)+1,FALSE)</f>
        <v>0</v>
      </c>
      <c r="Z22" s="15" cm="1">
        <f t="array" ref="Z22">+HLOOKUP($A$1,+[47]İcmal!$B$19:$AG$49,ROW(A20)+1,FALSE)</f>
        <v>0</v>
      </c>
      <c r="AA22" s="15" cm="1">
        <f t="array" ref="AA22">+HLOOKUP($A$1,+[48]İcmal!$B$19:$AG$49,ROW(B20)+1,FALSE)</f>
        <v>0</v>
      </c>
      <c r="AB22" s="15" cm="1">
        <f t="array" ref="AB22">+HLOOKUP($A$1,+[49]İcmal!$B$19:$AG$49,ROW(A20)+1,FALSE)</f>
        <v>0</v>
      </c>
      <c r="AC22" s="15" cm="1">
        <f t="array" ref="AC22">+HLOOKUP($A$1,+[50]İcmal!$B$19:$AG$49,ROW(A20)+1,FALSE)</f>
        <v>0</v>
      </c>
      <c r="AD22" s="15" cm="1">
        <f t="array" ref="AD22">+HLOOKUP($A$1,+[51]İcmal!$B$19:$AG$49,ROW(A20)+1,FALSE)</f>
        <v>0</v>
      </c>
      <c r="AE22" s="15" cm="1">
        <f t="array" ref="AE22">+HLOOKUP($A$1,+[52]İcmal!$B$19:$AG$49,ROW(A20)+1,FALSE)</f>
        <v>0</v>
      </c>
      <c r="AF22" s="50" cm="1">
        <f t="array" ref="AF22">+HLOOKUP($A$1,+[53]İcmal!$B$19:$AG$49,ROW(A20)+1,FALSE)</f>
        <v>0</v>
      </c>
      <c r="AG22" s="15" cm="1">
        <f t="array" ref="AG22">+HLOOKUP($A$1,+[54]İcmal!$B$19:$AG$49,ROW(A20)+1,FALSE)</f>
        <v>0</v>
      </c>
      <c r="AH22" s="15" cm="1">
        <f t="array" ref="AH22">+HLOOKUP($A$1,+[55]İcmal!$B$19:$AG$49,ROW(A20)+1,FALSE)</f>
        <v>0</v>
      </c>
      <c r="AI22" s="15" cm="1">
        <f t="array" ref="AI22">+HLOOKUP($A$1,+[56]İcmal!$B$19:$AG$49,ROW(A20)+1,FALSE)</f>
        <v>0</v>
      </c>
      <c r="AJ22" s="15" cm="1">
        <f t="array" ref="AJ22">+HLOOKUP($A$1,+[57]İcmal!$B$19:$AG$49,ROW(A20)+1,FALSE)</f>
        <v>0</v>
      </c>
      <c r="AK22" s="15" cm="1">
        <f t="array" ref="AK22">+HLOOKUP($A$1,+[58]İcmal!$B$19:$AG$49,ROW(B20)+1,FALSE)</f>
        <v>0</v>
      </c>
      <c r="AL22" s="15"/>
      <c r="AM22" s="15"/>
      <c r="AN22" s="15"/>
      <c r="AO22" s="13"/>
    </row>
    <row r="23" spans="1:41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+HLOOKUP($A$1,+[31]İcmal!$B$19:$AG$49,ROW(A21)+1,FALSE)</f>
        <v>0</v>
      </c>
      <c r="K23" s="15" cm="1">
        <f t="array" ref="K23">+HLOOKUP($A$1,+[32]İcmal!$B$19:$AG$49,ROW(B21)+1,FALSE)</f>
        <v>0</v>
      </c>
      <c r="L23" s="15" cm="1">
        <f t="array" ref="L23">+HLOOKUP($A$1,+[33]İcmal!$B$19:$AG$49,ROW(C21)+1,FALSE)</f>
        <v>0</v>
      </c>
      <c r="M23" s="15" cm="1">
        <f t="array" ref="M23">+HLOOKUP($A$1,+[34]İcmal!$B$19:$AG$49,ROW(D21)+1,FALSE)</f>
        <v>0</v>
      </c>
      <c r="N23" s="15" cm="1">
        <f t="array" ref="N23">+HLOOKUP($A$1,+[35]İcmal!$B$19:$AG$49,ROW(A21)+1,FALSE)</f>
        <v>0</v>
      </c>
      <c r="O23" s="15" cm="1">
        <f t="array" ref="O23">+HLOOKUP($A$1,+[36]İcmal!$B$19:$AG$49,ROW(B21)+1,FALSE)</f>
        <v>0</v>
      </c>
      <c r="P23" s="15" cm="1">
        <f t="array" ref="P23">+HLOOKUP($A$1,+[37]İcmal!$B$19:$AG$49,ROW(C21)+1,FALSE)</f>
        <v>0</v>
      </c>
      <c r="Q23" s="15" cm="1">
        <f t="array" ref="Q23">+HLOOKUP($A$1,+[38]İcmal!$B$19:$AG$49,ROW(D21)+1,FALSE)</f>
        <v>0</v>
      </c>
      <c r="R23" s="15" cm="1">
        <f t="array" ref="R23">+HLOOKUP($A$1,+[39]İcmal!$B$19:$AG$49,ROW(A21)+1,FALSE)</f>
        <v>0</v>
      </c>
      <c r="S23" s="15" cm="1">
        <f t="array" ref="S23">+HLOOKUP($A$1,+[40]İcmal!$B$19:$AG$49,ROW(B21)+1,FALSE)</f>
        <v>0</v>
      </c>
      <c r="T23" s="15" cm="1">
        <f t="array" ref="T23">+HLOOKUP($A$1,+[41]İcmal!$B$19:$AG$49,ROW(C21)+1,FALSE)</f>
        <v>0</v>
      </c>
      <c r="U23" s="15" cm="1">
        <f t="array" ref="U23">+HLOOKUP($A$1,+[42]İcmal!$B$19:$AG$49,ROW(D21)+1,FALSE)</f>
        <v>0</v>
      </c>
      <c r="V23" s="15" cm="1">
        <f t="array" ref="V23">+HLOOKUP($A$1,+[43]İcmal!$B$19:$AG$49,ROW(A21)+1,FALSE)</f>
        <v>0</v>
      </c>
      <c r="W23" s="15" cm="1">
        <f t="array" ref="W23">+HLOOKUP($A$1,+[44]İcmal!$B$19:$AG$49,ROW(B21)+1,FALSE)</f>
        <v>0</v>
      </c>
      <c r="X23" s="15" cm="1">
        <f t="array" ref="X23">+HLOOKUP($A$1,+[45]İcmal!$B$19:$AG$49,ROW(C21)+1,FALSE)</f>
        <v>0</v>
      </c>
      <c r="Y23" s="15" cm="1">
        <f t="array" ref="Y23">+HLOOKUP($A$1,+[46]İcmal!$B$19:$AG$49,ROW(D21)+1,FALSE)</f>
        <v>0</v>
      </c>
      <c r="Z23" s="15" cm="1">
        <f t="array" ref="Z23">+HLOOKUP($A$1,+[47]İcmal!$B$19:$AG$49,ROW(A21)+1,FALSE)</f>
        <v>0</v>
      </c>
      <c r="AA23" s="15" cm="1">
        <f t="array" ref="AA23">+HLOOKUP($A$1,+[48]İcmal!$B$19:$AG$49,ROW(B21)+1,FALSE)</f>
        <v>0</v>
      </c>
      <c r="AB23" s="15" cm="1">
        <f t="array" ref="AB23">+HLOOKUP($A$1,+[49]İcmal!$B$19:$AG$49,ROW(A21)+1,FALSE)</f>
        <v>0</v>
      </c>
      <c r="AC23" s="15" cm="1">
        <f t="array" ref="AC23">+HLOOKUP($A$1,+[50]İcmal!$B$19:$AG$49,ROW(A21)+1,FALSE)</f>
        <v>0</v>
      </c>
      <c r="AD23" s="15" cm="1">
        <f t="array" ref="AD23">+HLOOKUP($A$1,+[51]İcmal!$B$19:$AG$49,ROW(A21)+1,FALSE)</f>
        <v>0</v>
      </c>
      <c r="AE23" s="15" cm="1">
        <f t="array" ref="AE23">+HLOOKUP($A$1,+[52]İcmal!$B$19:$AG$49,ROW(A21)+1,FALSE)</f>
        <v>0</v>
      </c>
      <c r="AF23" s="50" cm="1">
        <f t="array" ref="AF23">+HLOOKUP($A$1,+[53]İcmal!$B$19:$AG$49,ROW(A21)+1,FALSE)</f>
        <v>0</v>
      </c>
      <c r="AG23" s="15" cm="1">
        <f t="array" ref="AG23">+HLOOKUP($A$1,+[54]İcmal!$B$19:$AG$49,ROW(A21)+1,FALSE)</f>
        <v>0</v>
      </c>
      <c r="AH23" s="15" cm="1">
        <f t="array" ref="AH23">+HLOOKUP($A$1,+[55]İcmal!$B$19:$AG$49,ROW(A21)+1,FALSE)</f>
        <v>0</v>
      </c>
      <c r="AI23" s="15" cm="1">
        <f t="array" ref="AI23">+HLOOKUP($A$1,+[56]İcmal!$B$19:$AG$49,ROW(A21)+1,FALSE)</f>
        <v>0</v>
      </c>
      <c r="AJ23" s="15" cm="1">
        <f t="array" ref="AJ23">+HLOOKUP($A$1,+[57]İcmal!$B$19:$AG$49,ROW(A21)+1,FALSE)</f>
        <v>0</v>
      </c>
      <c r="AK23" s="15" cm="1">
        <f t="array" ref="AK23">+HLOOKUP($A$1,+[58]İcmal!$B$19:$AG$49,ROW(B21)+1,FALSE)</f>
        <v>0</v>
      </c>
      <c r="AL23" s="15"/>
      <c r="AM23" s="15"/>
      <c r="AN23" s="15"/>
      <c r="AO23" s="13"/>
    </row>
    <row r="24" spans="1:41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+HLOOKUP($A$1,+[31]İcmal!$B$19:$AG$49,ROW(A22)+1,FALSE)</f>
        <v>0</v>
      </c>
      <c r="K24" s="15" cm="1">
        <f t="array" ref="K24">+HLOOKUP($A$1,+[32]İcmal!$B$19:$AG$49,ROW(B22)+1,FALSE)</f>
        <v>0</v>
      </c>
      <c r="L24" s="15" cm="1">
        <f t="array" ref="L24">+HLOOKUP($A$1,+[33]İcmal!$B$19:$AG$49,ROW(C22)+1,FALSE)</f>
        <v>0</v>
      </c>
      <c r="M24" s="15" cm="1">
        <f t="array" ref="M24">+HLOOKUP($A$1,+[34]İcmal!$B$19:$AG$49,ROW(D22)+1,FALSE)</f>
        <v>0</v>
      </c>
      <c r="N24" s="15" cm="1">
        <f t="array" ref="N24">+HLOOKUP($A$1,+[35]İcmal!$B$19:$AG$49,ROW(A22)+1,FALSE)</f>
        <v>0</v>
      </c>
      <c r="O24" s="15" cm="1">
        <f t="array" ref="O24">+HLOOKUP($A$1,+[36]İcmal!$B$19:$AG$49,ROW(B22)+1,FALSE)</f>
        <v>0</v>
      </c>
      <c r="P24" s="15" cm="1">
        <f t="array" ref="P24">+HLOOKUP($A$1,+[37]İcmal!$B$19:$AG$49,ROW(C22)+1,FALSE)</f>
        <v>0</v>
      </c>
      <c r="Q24" s="15" cm="1">
        <f t="array" ref="Q24">+HLOOKUP($A$1,+[38]İcmal!$B$19:$AG$49,ROW(D22)+1,FALSE)</f>
        <v>0</v>
      </c>
      <c r="R24" s="15" cm="1">
        <f t="array" ref="R24">+HLOOKUP($A$1,+[39]İcmal!$B$19:$AG$49,ROW(A22)+1,FALSE)</f>
        <v>0</v>
      </c>
      <c r="S24" s="15" cm="1">
        <f t="array" ref="S24">+HLOOKUP($A$1,+[40]İcmal!$B$19:$AG$49,ROW(B22)+1,FALSE)</f>
        <v>0</v>
      </c>
      <c r="T24" s="15" cm="1">
        <f t="array" ref="T24">+HLOOKUP($A$1,+[41]İcmal!$B$19:$AG$49,ROW(C22)+1,FALSE)</f>
        <v>0</v>
      </c>
      <c r="U24" s="15" cm="1">
        <f t="array" ref="U24">+HLOOKUP($A$1,+[42]İcmal!$B$19:$AG$49,ROW(D22)+1,FALSE)</f>
        <v>0</v>
      </c>
      <c r="V24" s="15" cm="1">
        <f t="array" ref="V24">+HLOOKUP($A$1,+[43]İcmal!$B$19:$AG$49,ROW(A22)+1,FALSE)</f>
        <v>0</v>
      </c>
      <c r="W24" s="15" cm="1">
        <f t="array" ref="W24">+HLOOKUP($A$1,+[44]İcmal!$B$19:$AG$49,ROW(B22)+1,FALSE)</f>
        <v>0</v>
      </c>
      <c r="X24" s="15" cm="1">
        <f t="array" ref="X24">+HLOOKUP($A$1,+[45]İcmal!$B$19:$AG$49,ROW(C22)+1,FALSE)</f>
        <v>0</v>
      </c>
      <c r="Y24" s="15" cm="1">
        <f t="array" ref="Y24">+HLOOKUP($A$1,+[46]İcmal!$B$19:$AG$49,ROW(D22)+1,FALSE)</f>
        <v>0</v>
      </c>
      <c r="Z24" s="15" cm="1">
        <f t="array" ref="Z24">+HLOOKUP($A$1,+[47]İcmal!$B$19:$AG$49,ROW(A22)+1,FALSE)</f>
        <v>0</v>
      </c>
      <c r="AA24" s="15" cm="1">
        <f t="array" ref="AA24">+HLOOKUP($A$1,+[48]İcmal!$B$19:$AG$49,ROW(B22)+1,FALSE)</f>
        <v>0</v>
      </c>
      <c r="AB24" s="15" cm="1">
        <f t="array" ref="AB24">+HLOOKUP($A$1,+[49]İcmal!$B$19:$AG$49,ROW(A22)+1,FALSE)</f>
        <v>0</v>
      </c>
      <c r="AC24" s="15" cm="1">
        <f t="array" ref="AC24">+HLOOKUP($A$1,+[50]İcmal!$B$19:$AG$49,ROW(A22)+1,FALSE)</f>
        <v>0</v>
      </c>
      <c r="AD24" s="15" cm="1">
        <f t="array" ref="AD24">+HLOOKUP($A$1,+[51]İcmal!$B$19:$AG$49,ROW(A22)+1,FALSE)</f>
        <v>0</v>
      </c>
      <c r="AE24" s="15" cm="1">
        <f t="array" ref="AE24">+HLOOKUP($A$1,+[52]İcmal!$B$19:$AG$49,ROW(A22)+1,FALSE)</f>
        <v>0</v>
      </c>
      <c r="AF24" s="50" cm="1">
        <f t="array" ref="AF24">+HLOOKUP($A$1,+[53]İcmal!$B$19:$AG$49,ROW(A22)+1,FALSE)</f>
        <v>0</v>
      </c>
      <c r="AG24" s="15" cm="1">
        <f t="array" ref="AG24">+HLOOKUP($A$1,+[54]İcmal!$B$19:$AG$49,ROW(A22)+1,FALSE)</f>
        <v>0</v>
      </c>
      <c r="AH24" s="15" cm="1">
        <f t="array" ref="AH24">+HLOOKUP($A$1,+[55]İcmal!$B$19:$AG$49,ROW(A22)+1,FALSE)</f>
        <v>0</v>
      </c>
      <c r="AI24" s="15" cm="1">
        <f t="array" ref="AI24">+HLOOKUP($A$1,+[56]İcmal!$B$19:$AG$49,ROW(A22)+1,FALSE)</f>
        <v>0</v>
      </c>
      <c r="AJ24" s="15" cm="1">
        <f t="array" ref="AJ24">+HLOOKUP($A$1,+[57]İcmal!$B$19:$AG$49,ROW(A22)+1,FALSE)</f>
        <v>0</v>
      </c>
      <c r="AK24" s="15" cm="1">
        <f t="array" ref="AK24">+HLOOKUP($A$1,+[58]İcmal!$B$19:$AG$49,ROW(B22)+1,FALSE)</f>
        <v>0</v>
      </c>
      <c r="AL24" s="15"/>
      <c r="AM24" s="15"/>
      <c r="AN24" s="15"/>
      <c r="AO24" s="13"/>
    </row>
    <row r="25" spans="1:41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+HLOOKUP($A$1,+[31]İcmal!$B$19:$AG$49,ROW(A23)+1,FALSE)</f>
        <v>0</v>
      </c>
      <c r="K25" s="15" cm="1">
        <f t="array" ref="K25">+HLOOKUP($A$1,+[32]İcmal!$B$19:$AG$49,ROW(B23)+1,FALSE)</f>
        <v>0</v>
      </c>
      <c r="L25" s="15" cm="1">
        <f t="array" ref="L25">+HLOOKUP($A$1,+[33]İcmal!$B$19:$AG$49,ROW(C23)+1,FALSE)</f>
        <v>0</v>
      </c>
      <c r="M25" s="15" cm="1">
        <f t="array" ref="M25">+HLOOKUP($A$1,+[34]İcmal!$B$19:$AG$49,ROW(D23)+1,FALSE)</f>
        <v>0</v>
      </c>
      <c r="N25" s="15" cm="1">
        <f t="array" ref="N25">+HLOOKUP($A$1,+[35]İcmal!$B$19:$AG$49,ROW(A23)+1,FALSE)</f>
        <v>0</v>
      </c>
      <c r="O25" s="15" cm="1">
        <f t="array" ref="O25">+HLOOKUP($A$1,+[36]İcmal!$B$19:$AG$49,ROW(B23)+1,FALSE)</f>
        <v>0</v>
      </c>
      <c r="P25" s="15" cm="1">
        <f t="array" ref="P25">+HLOOKUP($A$1,+[37]İcmal!$B$19:$AG$49,ROW(C23)+1,FALSE)</f>
        <v>0</v>
      </c>
      <c r="Q25" s="15" cm="1">
        <f t="array" ref="Q25">+HLOOKUP($A$1,+[38]İcmal!$B$19:$AG$49,ROW(D23)+1,FALSE)</f>
        <v>0</v>
      </c>
      <c r="R25" s="15" cm="1">
        <f t="array" ref="R25">+HLOOKUP($A$1,+[39]İcmal!$B$19:$AG$49,ROW(A23)+1,FALSE)</f>
        <v>0</v>
      </c>
      <c r="S25" s="15" cm="1">
        <f t="array" ref="S25">+HLOOKUP($A$1,+[40]İcmal!$B$19:$AG$49,ROW(B23)+1,FALSE)</f>
        <v>0</v>
      </c>
      <c r="T25" s="15" cm="1">
        <f t="array" ref="T25">+HLOOKUP($A$1,+[41]İcmal!$B$19:$AG$49,ROW(C23)+1,FALSE)</f>
        <v>0</v>
      </c>
      <c r="U25" s="15" cm="1">
        <f t="array" ref="U25">+HLOOKUP($A$1,+[42]İcmal!$B$19:$AG$49,ROW(D23)+1,FALSE)</f>
        <v>0</v>
      </c>
      <c r="V25" s="15" cm="1">
        <f t="array" ref="V25">+HLOOKUP($A$1,+[43]İcmal!$B$19:$AG$49,ROW(A23)+1,FALSE)</f>
        <v>0</v>
      </c>
      <c r="W25" s="15" cm="1">
        <f t="array" ref="W25">+HLOOKUP($A$1,+[44]İcmal!$B$19:$AG$49,ROW(B23)+1,FALSE)</f>
        <v>0</v>
      </c>
      <c r="X25" s="15" cm="1">
        <f t="array" ref="X25">+HLOOKUP($A$1,+[45]İcmal!$B$19:$AG$49,ROW(C23)+1,FALSE)</f>
        <v>0</v>
      </c>
      <c r="Y25" s="15" cm="1">
        <f t="array" ref="Y25">+HLOOKUP($A$1,+[46]İcmal!$B$19:$AG$49,ROW(D23)+1,FALSE)</f>
        <v>0</v>
      </c>
      <c r="Z25" s="15" cm="1">
        <f t="array" ref="Z25">+HLOOKUP($A$1,+[47]İcmal!$B$19:$AG$49,ROW(A23)+1,FALSE)</f>
        <v>0</v>
      </c>
      <c r="AA25" s="15" cm="1">
        <f t="array" ref="AA25">+HLOOKUP($A$1,+[48]İcmal!$B$19:$AG$49,ROW(B23)+1,FALSE)</f>
        <v>0</v>
      </c>
      <c r="AB25" s="15" cm="1">
        <f t="array" ref="AB25">+HLOOKUP($A$1,+[49]İcmal!$B$19:$AG$49,ROW(A23)+1,FALSE)</f>
        <v>0</v>
      </c>
      <c r="AC25" s="15" cm="1">
        <f t="array" ref="AC25">+HLOOKUP($A$1,+[50]İcmal!$B$19:$AG$49,ROW(A23)+1,FALSE)</f>
        <v>0</v>
      </c>
      <c r="AD25" s="15" cm="1">
        <f t="array" ref="AD25">+HLOOKUP($A$1,+[51]İcmal!$B$19:$AG$49,ROW(A23)+1,FALSE)</f>
        <v>0</v>
      </c>
      <c r="AE25" s="15" cm="1">
        <f t="array" ref="AE25">+HLOOKUP($A$1,+[52]İcmal!$B$19:$AG$49,ROW(A23)+1,FALSE)</f>
        <v>0</v>
      </c>
      <c r="AF25" s="50" cm="1">
        <f t="array" ref="AF25">+HLOOKUP($A$1,+[53]İcmal!$B$19:$AG$49,ROW(A23)+1,FALSE)</f>
        <v>0</v>
      </c>
      <c r="AG25" s="15" cm="1">
        <f t="array" ref="AG25">+HLOOKUP($A$1,+[54]İcmal!$B$19:$AG$49,ROW(A23)+1,FALSE)</f>
        <v>0</v>
      </c>
      <c r="AH25" s="15" cm="1">
        <f t="array" ref="AH25">+HLOOKUP($A$1,+[55]İcmal!$B$19:$AG$49,ROW(A23)+1,FALSE)</f>
        <v>0</v>
      </c>
      <c r="AI25" s="15" cm="1">
        <f t="array" ref="AI25">+HLOOKUP($A$1,+[56]İcmal!$B$19:$AG$49,ROW(A23)+1,FALSE)</f>
        <v>0</v>
      </c>
      <c r="AJ25" s="15" cm="1">
        <f t="array" ref="AJ25">+HLOOKUP($A$1,+[57]İcmal!$B$19:$AG$49,ROW(A23)+1,FALSE)</f>
        <v>0</v>
      </c>
      <c r="AK25" s="15" cm="1">
        <f t="array" ref="AK25">+HLOOKUP($A$1,+[58]İcmal!$B$19:$AG$49,ROW(B23)+1,FALSE)</f>
        <v>0</v>
      </c>
      <c r="AL25" s="15"/>
      <c r="AM25" s="15"/>
      <c r="AN25" s="15"/>
      <c r="AO25" s="13"/>
    </row>
    <row r="26" spans="1:41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+HLOOKUP($A$1,+[31]İcmal!$B$19:$AG$49,ROW(A24)+1,FALSE)</f>
        <v>0</v>
      </c>
      <c r="K26" s="15" cm="1">
        <f t="array" ref="K26">+HLOOKUP($A$1,+[32]İcmal!$B$19:$AG$49,ROW(B24)+1,FALSE)</f>
        <v>0</v>
      </c>
      <c r="L26" s="15" cm="1">
        <f t="array" ref="L26">+HLOOKUP($A$1,+[33]İcmal!$B$19:$AG$49,ROW(C24)+1,FALSE)</f>
        <v>0</v>
      </c>
      <c r="M26" s="15" cm="1">
        <f t="array" ref="M26">+HLOOKUP($A$1,+[34]İcmal!$B$19:$AG$49,ROW(D24)+1,FALSE)</f>
        <v>0</v>
      </c>
      <c r="N26" s="15" cm="1">
        <f t="array" ref="N26">+HLOOKUP($A$1,+[35]İcmal!$B$19:$AG$49,ROW(A24)+1,FALSE)</f>
        <v>0</v>
      </c>
      <c r="O26" s="15" cm="1">
        <f t="array" ref="O26">+HLOOKUP($A$1,+[36]İcmal!$B$19:$AG$49,ROW(B24)+1,FALSE)</f>
        <v>0</v>
      </c>
      <c r="P26" s="15" cm="1">
        <f t="array" ref="P26">+HLOOKUP($A$1,+[37]İcmal!$B$19:$AG$49,ROW(C24)+1,FALSE)</f>
        <v>0</v>
      </c>
      <c r="Q26" s="15" cm="1">
        <f t="array" ref="Q26">+HLOOKUP($A$1,+[38]İcmal!$B$19:$AG$49,ROW(D24)+1,FALSE)</f>
        <v>0</v>
      </c>
      <c r="R26" s="15" cm="1">
        <f t="array" ref="R26">+HLOOKUP($A$1,+[39]İcmal!$B$19:$AG$49,ROW(A24)+1,FALSE)</f>
        <v>0</v>
      </c>
      <c r="S26" s="15" cm="1">
        <f t="array" ref="S26">+HLOOKUP($A$1,+[40]İcmal!$B$19:$AG$49,ROW(B24)+1,FALSE)</f>
        <v>0</v>
      </c>
      <c r="T26" s="15" cm="1">
        <f t="array" ref="T26">+HLOOKUP($A$1,+[41]İcmal!$B$19:$AG$49,ROW(C24)+1,FALSE)</f>
        <v>0</v>
      </c>
      <c r="U26" s="15" cm="1">
        <f t="array" ref="U26">+HLOOKUP($A$1,+[42]İcmal!$B$19:$AG$49,ROW(D24)+1,FALSE)</f>
        <v>0</v>
      </c>
      <c r="V26" s="15" cm="1">
        <f t="array" ref="V26">+HLOOKUP($A$1,+[43]İcmal!$B$19:$AG$49,ROW(A24)+1,FALSE)</f>
        <v>0</v>
      </c>
      <c r="W26" s="15" cm="1">
        <f t="array" ref="W26">+HLOOKUP($A$1,+[44]İcmal!$B$19:$AG$49,ROW(B24)+1,FALSE)</f>
        <v>0</v>
      </c>
      <c r="X26" s="15" cm="1">
        <f t="array" ref="X26">+HLOOKUP($A$1,+[45]İcmal!$B$19:$AG$49,ROW(C24)+1,FALSE)</f>
        <v>0</v>
      </c>
      <c r="Y26" s="15" cm="1">
        <f t="array" ref="Y26">+HLOOKUP($A$1,+[46]İcmal!$B$19:$AG$49,ROW(D24)+1,FALSE)</f>
        <v>0</v>
      </c>
      <c r="Z26" s="15" cm="1">
        <f t="array" ref="Z26">+HLOOKUP($A$1,+[47]İcmal!$B$19:$AG$49,ROW(A24)+1,FALSE)</f>
        <v>0</v>
      </c>
      <c r="AA26" s="15" cm="1">
        <f t="array" ref="AA26">+HLOOKUP($A$1,+[48]İcmal!$B$19:$AG$49,ROW(B24)+1,FALSE)</f>
        <v>0</v>
      </c>
      <c r="AB26" s="15" cm="1">
        <f t="array" ref="AB26">+HLOOKUP($A$1,+[49]İcmal!$B$19:$AG$49,ROW(A24)+1,FALSE)</f>
        <v>0</v>
      </c>
      <c r="AC26" s="15" cm="1">
        <f t="array" ref="AC26">+HLOOKUP($A$1,+[50]İcmal!$B$19:$AG$49,ROW(A24)+1,FALSE)</f>
        <v>0</v>
      </c>
      <c r="AD26" s="15" cm="1">
        <f t="array" ref="AD26">+HLOOKUP($A$1,+[51]İcmal!$B$19:$AG$49,ROW(A24)+1,FALSE)</f>
        <v>0</v>
      </c>
      <c r="AE26" s="15" cm="1">
        <f t="array" ref="AE26">+HLOOKUP($A$1,+[52]İcmal!$B$19:$AG$49,ROW(A24)+1,FALSE)</f>
        <v>0</v>
      </c>
      <c r="AF26" s="50" cm="1">
        <f t="array" ref="AF26">+HLOOKUP($A$1,+[53]İcmal!$B$19:$AG$49,ROW(A24)+1,FALSE)</f>
        <v>0</v>
      </c>
      <c r="AG26" s="15" cm="1">
        <f t="array" ref="AG26">+HLOOKUP($A$1,+[54]İcmal!$B$19:$AG$49,ROW(A24)+1,FALSE)</f>
        <v>0</v>
      </c>
      <c r="AH26" s="15" cm="1">
        <f t="array" ref="AH26">+HLOOKUP($A$1,+[55]İcmal!$B$19:$AG$49,ROW(A24)+1,FALSE)</f>
        <v>0</v>
      </c>
      <c r="AI26" s="15" cm="1">
        <f t="array" ref="AI26">+HLOOKUP($A$1,+[56]İcmal!$B$19:$AG$49,ROW(A24)+1,FALSE)</f>
        <v>0</v>
      </c>
      <c r="AJ26" s="15" cm="1">
        <f t="array" ref="AJ26">+HLOOKUP($A$1,+[57]İcmal!$B$19:$AG$49,ROW(A24)+1,FALSE)</f>
        <v>0</v>
      </c>
      <c r="AK26" s="15" cm="1">
        <f t="array" ref="AK26">+HLOOKUP($A$1,+[58]İcmal!$B$19:$AG$49,ROW(B24)+1,FALSE)</f>
        <v>0</v>
      </c>
      <c r="AL26" s="15"/>
      <c r="AM26" s="15"/>
      <c r="AN26" s="15"/>
      <c r="AO26" s="13"/>
    </row>
    <row r="27" spans="1:41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+HLOOKUP($A$1,+[31]İcmal!$B$19:$AG$49,ROW(A25)+1,FALSE)</f>
        <v>0</v>
      </c>
      <c r="K27" s="15" cm="1">
        <f t="array" ref="K27">+HLOOKUP($A$1,+[32]İcmal!$B$19:$AG$49,ROW(B25)+1,FALSE)</f>
        <v>0</v>
      </c>
      <c r="L27" s="15" cm="1">
        <f t="array" ref="L27">+HLOOKUP($A$1,+[33]İcmal!$B$19:$AG$49,ROW(C25)+1,FALSE)</f>
        <v>0</v>
      </c>
      <c r="M27" s="15" cm="1">
        <f t="array" ref="M27">+HLOOKUP($A$1,+[34]İcmal!$B$19:$AG$49,ROW(D25)+1,FALSE)</f>
        <v>0</v>
      </c>
      <c r="N27" s="15" cm="1">
        <f t="array" ref="N27">+HLOOKUP($A$1,+[35]İcmal!$B$19:$AG$49,ROW(A25)+1,FALSE)</f>
        <v>0</v>
      </c>
      <c r="O27" s="15" cm="1">
        <f t="array" ref="O27">+HLOOKUP($A$1,+[36]İcmal!$B$19:$AG$49,ROW(B25)+1,FALSE)</f>
        <v>0</v>
      </c>
      <c r="P27" s="15" cm="1">
        <f t="array" ref="P27">+HLOOKUP($A$1,+[37]İcmal!$B$19:$AG$49,ROW(C25)+1,FALSE)</f>
        <v>0</v>
      </c>
      <c r="Q27" s="15" cm="1">
        <f t="array" ref="Q27">+HLOOKUP($A$1,+[38]İcmal!$B$19:$AG$49,ROW(D25)+1,FALSE)</f>
        <v>0</v>
      </c>
      <c r="R27" s="15" cm="1">
        <f t="array" ref="R27">+HLOOKUP($A$1,+[39]İcmal!$B$19:$AG$49,ROW(A25)+1,FALSE)</f>
        <v>0</v>
      </c>
      <c r="S27" s="15" cm="1">
        <f t="array" ref="S27">+HLOOKUP($A$1,+[40]İcmal!$B$19:$AG$49,ROW(B25)+1,FALSE)</f>
        <v>0</v>
      </c>
      <c r="T27" s="15" cm="1">
        <f t="array" ref="T27">+HLOOKUP($A$1,+[41]İcmal!$B$19:$AG$49,ROW(C25)+1,FALSE)</f>
        <v>0</v>
      </c>
      <c r="U27" s="15" cm="1">
        <f t="array" ref="U27">+HLOOKUP($A$1,+[42]İcmal!$B$19:$AG$49,ROW(D25)+1,FALSE)</f>
        <v>0</v>
      </c>
      <c r="V27" s="15" cm="1">
        <f t="array" ref="V27">+HLOOKUP($A$1,+[43]İcmal!$B$19:$AG$49,ROW(A25)+1,FALSE)</f>
        <v>0</v>
      </c>
      <c r="W27" s="15" cm="1">
        <f t="array" ref="W27">+HLOOKUP($A$1,+[44]İcmal!$B$19:$AG$49,ROW(B25)+1,FALSE)</f>
        <v>0</v>
      </c>
      <c r="X27" s="15" cm="1">
        <f t="array" ref="X27">+HLOOKUP($A$1,+[45]İcmal!$B$19:$AG$49,ROW(C25)+1,FALSE)</f>
        <v>0</v>
      </c>
      <c r="Y27" s="15" cm="1">
        <f t="array" ref="Y27">+HLOOKUP($A$1,+[46]İcmal!$B$19:$AG$49,ROW(D25)+1,FALSE)</f>
        <v>0</v>
      </c>
      <c r="Z27" s="15" cm="1">
        <f t="array" ref="Z27">+HLOOKUP($A$1,+[47]İcmal!$B$19:$AG$49,ROW(A25)+1,FALSE)</f>
        <v>0</v>
      </c>
      <c r="AA27" s="15" cm="1">
        <f t="array" ref="AA27">+HLOOKUP($A$1,+[48]İcmal!$B$19:$AG$49,ROW(B25)+1,FALSE)</f>
        <v>0</v>
      </c>
      <c r="AB27" s="15" cm="1">
        <f t="array" ref="AB27">+HLOOKUP($A$1,+[49]İcmal!$B$19:$AG$49,ROW(A25)+1,FALSE)</f>
        <v>0</v>
      </c>
      <c r="AC27" s="15" cm="1">
        <f t="array" ref="AC27">+HLOOKUP($A$1,+[50]İcmal!$B$19:$AG$49,ROW(A25)+1,FALSE)</f>
        <v>0</v>
      </c>
      <c r="AD27" s="15" cm="1">
        <f t="array" ref="AD27">+HLOOKUP($A$1,+[51]İcmal!$B$19:$AG$49,ROW(A25)+1,FALSE)</f>
        <v>0</v>
      </c>
      <c r="AE27" s="15" cm="1">
        <f t="array" ref="AE27">+HLOOKUP($A$1,+[52]İcmal!$B$19:$AG$49,ROW(A25)+1,FALSE)</f>
        <v>0</v>
      </c>
      <c r="AF27" s="50" cm="1">
        <f t="array" ref="AF27">+HLOOKUP($A$1,+[53]İcmal!$B$19:$AG$49,ROW(A25)+1,FALSE)</f>
        <v>0</v>
      </c>
      <c r="AG27" s="15" cm="1">
        <f t="array" ref="AG27">+HLOOKUP($A$1,+[54]İcmal!$B$19:$AG$49,ROW(A25)+1,FALSE)</f>
        <v>0</v>
      </c>
      <c r="AH27" s="15" cm="1">
        <f t="array" ref="AH27">+HLOOKUP($A$1,+[55]İcmal!$B$19:$AG$49,ROW(A25)+1,FALSE)</f>
        <v>0</v>
      </c>
      <c r="AI27" s="15" cm="1">
        <f t="array" ref="AI27">+HLOOKUP($A$1,+[56]İcmal!$B$19:$AG$49,ROW(A25)+1,FALSE)</f>
        <v>0</v>
      </c>
      <c r="AJ27" s="15" cm="1">
        <f t="array" ref="AJ27">+HLOOKUP($A$1,+[57]İcmal!$B$19:$AG$49,ROW(A25)+1,FALSE)</f>
        <v>0</v>
      </c>
      <c r="AK27" s="15" cm="1">
        <f t="array" ref="AK27">+HLOOKUP($A$1,+[58]İcmal!$B$19:$AG$49,ROW(B25)+1,FALSE)</f>
        <v>0</v>
      </c>
      <c r="AL27" s="15"/>
      <c r="AM27" s="15"/>
      <c r="AN27" s="15"/>
      <c r="AO27" s="13"/>
    </row>
    <row r="28" spans="1:41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4.6750000000000007</v>
      </c>
      <c r="I28" s="9">
        <f t="shared" si="2"/>
        <v>216218.75000000003</v>
      </c>
      <c r="J28" s="15" cm="1">
        <f t="array" ref="J28">+HLOOKUP($A$1,+[31]İcmal!$B$19:$AG$49,ROW(A26)+1,FALSE)</f>
        <v>0</v>
      </c>
      <c r="K28" s="15" cm="1">
        <f t="array" ref="K28">+HLOOKUP($A$1,+[32]İcmal!$B$19:$AG$49,ROW(B26)+1,FALSE)</f>
        <v>0</v>
      </c>
      <c r="L28" s="15" cm="1">
        <f t="array" ref="L28">+HLOOKUP($A$1,+[33]İcmal!$B$19:$AG$49,ROW(C26)+1,FALSE)</f>
        <v>0.72799999999999976</v>
      </c>
      <c r="M28" s="15" cm="1">
        <f t="array" ref="M28">+HLOOKUP($A$1,+[34]İcmal!$B$19:$AG$49,ROW(D26)+1,FALSE)</f>
        <v>0.7280000000000002</v>
      </c>
      <c r="N28" s="15" cm="1">
        <f t="array" ref="N28">+HLOOKUP($A$1,+[35]İcmal!$B$19:$AG$49,ROW(A26)+1,FALSE)</f>
        <v>0</v>
      </c>
      <c r="O28" s="15" cm="1">
        <f t="array" ref="O28">+HLOOKUP($A$1,+[36]İcmal!$B$19:$AG$49,ROW(B26)+1,FALSE)</f>
        <v>4.6000000000000263E-2</v>
      </c>
      <c r="P28" s="15" cm="1">
        <f t="array" ref="P28">+HLOOKUP($A$1,+[37]İcmal!$B$19:$AG$49,ROW(C26)+1,FALSE)</f>
        <v>0</v>
      </c>
      <c r="Q28" s="15" cm="1">
        <f t="array" ref="Q28">+HLOOKUP($A$1,+[38]İcmal!$B$19:$AG$49,ROW(D26)+1,FALSE)</f>
        <v>0</v>
      </c>
      <c r="R28" s="15" cm="1">
        <f t="array" ref="R28">+HLOOKUP($A$1,+[39]İcmal!$B$19:$AG$49,ROW(A26)+1,FALSE)</f>
        <v>0</v>
      </c>
      <c r="S28" s="15" cm="1">
        <f t="array" ref="S28">+HLOOKUP($A$1,+[40]İcmal!$B$19:$AG$49,ROW(B26)+1,FALSE)</f>
        <v>4.6000000000000263E-2</v>
      </c>
      <c r="T28" s="15" cm="1">
        <f t="array" ref="T28">+HLOOKUP($A$1,+[41]İcmal!$B$19:$AG$49,ROW(C26)+1,FALSE)</f>
        <v>0.92400000000000004</v>
      </c>
      <c r="U28" s="15" cm="1">
        <f t="array" ref="U28">+HLOOKUP($A$1,+[42]İcmal!$B$19:$AG$49,ROW(D26)+1,FALSE)</f>
        <v>0.92400000000000004</v>
      </c>
      <c r="V28" s="15" cm="1">
        <f t="array" ref="V28">+HLOOKUP($A$1,+[43]İcmal!$B$19:$AG$49,ROW(A26)+1,FALSE)</f>
        <v>0</v>
      </c>
      <c r="W28" s="15" cm="1">
        <f t="array" ref="W28">+HLOOKUP($A$1,+[44]İcmal!$B$19:$AG$49,ROW(B26)+1,FALSE)</f>
        <v>0</v>
      </c>
      <c r="X28" s="15" cm="1">
        <f t="array" ref="X28">+HLOOKUP($A$1,+[45]İcmal!$B$19:$AG$49,ROW(C26)+1,FALSE)</f>
        <v>0</v>
      </c>
      <c r="Y28" s="15" cm="1">
        <f t="array" ref="Y28">+HLOOKUP($A$1,+[46]İcmal!$B$19:$AG$49,ROW(D26)+1,FALSE)</f>
        <v>0</v>
      </c>
      <c r="Z28" s="15" cm="1">
        <f t="array" ref="Z28">+HLOOKUP($A$1,+[47]İcmal!$B$19:$AG$49,ROW(A26)+1,FALSE)</f>
        <v>0.56299999999999994</v>
      </c>
      <c r="AA28" s="15" cm="1">
        <f t="array" ref="AA28">+HLOOKUP($A$1,+[48]İcmal!$B$19:$AG$49,ROW(B26)+1,FALSE)</f>
        <v>0</v>
      </c>
      <c r="AB28" s="15" cm="1">
        <f t="array" ref="AB28">+HLOOKUP($A$1,+[49]İcmal!$B$19:$AG$49,ROW(A26)+1,FALSE)</f>
        <v>0</v>
      </c>
      <c r="AC28" s="15" cm="1">
        <f t="array" ref="AC28">+HLOOKUP($A$1,+[50]İcmal!$B$19:$AG$49,ROW(A26)+1,FALSE)</f>
        <v>0</v>
      </c>
      <c r="AD28" s="15" cm="1">
        <f t="array" ref="AD28">+HLOOKUP($A$1,+[51]İcmal!$B$19:$AG$49,ROW(A26)+1,FALSE)</f>
        <v>0.27</v>
      </c>
      <c r="AE28" s="15" cm="1">
        <f t="array" ref="AE28">+HLOOKUP($A$1,+[52]İcmal!$B$19:$AG$49,ROW(A26)+1,FALSE)</f>
        <v>0</v>
      </c>
      <c r="AF28" s="50" cm="1">
        <f t="array" ref="AF28">+HLOOKUP($A$1,+[53]İcmal!$B$19:$AG$49,ROW(A26)+1,FALSE)</f>
        <v>0</v>
      </c>
      <c r="AG28" s="15" cm="1">
        <f t="array" ref="AG28">+HLOOKUP($A$1,+[54]İcmal!$B$19:$AG$49,ROW(A26)+1,FALSE)</f>
        <v>0.10100000000000001</v>
      </c>
      <c r="AH28" s="15" cm="1">
        <f t="array" ref="AH28">+HLOOKUP($A$1,+[55]İcmal!$B$19:$AG$49,ROW(A26)+1,FALSE)</f>
        <v>0</v>
      </c>
      <c r="AI28" s="15" cm="1">
        <f t="array" ref="AI28">+HLOOKUP($A$1,+[56]İcmal!$B$19:$AG$49,ROW(A26)+1,FALSE)</f>
        <v>0</v>
      </c>
      <c r="AJ28" s="15" cm="1">
        <f t="array" ref="AJ28">+HLOOKUP($A$1,+[57]İcmal!$B$19:$AG$49,ROW(A26)+1,FALSE)</f>
        <v>0.34499999999999997</v>
      </c>
      <c r="AK28" s="15" cm="1">
        <f t="array" ref="AK28">+HLOOKUP($A$1,+[58]İcmal!$B$19:$AG$49,ROW(B26)+1,FALSE)</f>
        <v>0</v>
      </c>
      <c r="AL28" s="15"/>
      <c r="AM28" s="15"/>
      <c r="AN28" s="15"/>
      <c r="AO28" s="13"/>
    </row>
    <row r="29" spans="1:41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+HLOOKUP($A$1,+[31]İcmal!$B$19:$AG$49,ROW(A27)+1,FALSE)</f>
        <v>0</v>
      </c>
      <c r="K29" s="15" cm="1">
        <f t="array" ref="K29">+HLOOKUP($A$1,+[32]İcmal!$B$19:$AG$49,ROW(B27)+1,FALSE)</f>
        <v>0</v>
      </c>
      <c r="L29" s="15" cm="1">
        <f t="array" ref="L29">+HLOOKUP($A$1,+[33]İcmal!$B$19:$AG$49,ROW(C27)+1,FALSE)</f>
        <v>0</v>
      </c>
      <c r="M29" s="15" cm="1">
        <f t="array" ref="M29">+HLOOKUP($A$1,+[34]İcmal!$B$19:$AG$49,ROW(D27)+1,FALSE)</f>
        <v>0</v>
      </c>
      <c r="N29" s="15" cm="1">
        <f t="array" ref="N29">+HLOOKUP($A$1,+[35]İcmal!$B$19:$AG$49,ROW(A27)+1,FALSE)</f>
        <v>0</v>
      </c>
      <c r="O29" s="15" cm="1">
        <f t="array" ref="O29">+HLOOKUP($A$1,+[36]İcmal!$B$19:$AG$49,ROW(B27)+1,FALSE)</f>
        <v>0</v>
      </c>
      <c r="P29" s="15" cm="1">
        <f t="array" ref="P29">+HLOOKUP($A$1,+[37]İcmal!$B$19:$AG$49,ROW(C27)+1,FALSE)</f>
        <v>0</v>
      </c>
      <c r="Q29" s="15" cm="1">
        <f t="array" ref="Q29">+HLOOKUP($A$1,+[38]İcmal!$B$19:$AG$49,ROW(D27)+1,FALSE)</f>
        <v>0</v>
      </c>
      <c r="R29" s="15" cm="1">
        <f t="array" ref="R29">+HLOOKUP($A$1,+[39]İcmal!$B$19:$AG$49,ROW(A27)+1,FALSE)</f>
        <v>0</v>
      </c>
      <c r="S29" s="15" cm="1">
        <f t="array" ref="S29">+HLOOKUP($A$1,+[40]İcmal!$B$19:$AG$49,ROW(B27)+1,FALSE)</f>
        <v>0</v>
      </c>
      <c r="T29" s="15" cm="1">
        <f t="array" ref="T29">+HLOOKUP($A$1,+[41]İcmal!$B$19:$AG$49,ROW(C27)+1,FALSE)</f>
        <v>0</v>
      </c>
      <c r="U29" s="15" cm="1">
        <f t="array" ref="U29">+HLOOKUP($A$1,+[42]İcmal!$B$19:$AG$49,ROW(D27)+1,FALSE)</f>
        <v>0</v>
      </c>
      <c r="V29" s="15" cm="1">
        <f t="array" ref="V29">+HLOOKUP($A$1,+[43]İcmal!$B$19:$AG$49,ROW(A27)+1,FALSE)</f>
        <v>0</v>
      </c>
      <c r="W29" s="15" cm="1">
        <f t="array" ref="W29">+HLOOKUP($A$1,+[44]İcmal!$B$19:$AG$49,ROW(B27)+1,FALSE)</f>
        <v>0</v>
      </c>
      <c r="X29" s="15" cm="1">
        <f t="array" ref="X29">+HLOOKUP($A$1,+[45]İcmal!$B$19:$AG$49,ROW(C27)+1,FALSE)</f>
        <v>0</v>
      </c>
      <c r="Y29" s="15" cm="1">
        <f t="array" ref="Y29">+HLOOKUP($A$1,+[46]İcmal!$B$19:$AG$49,ROW(D27)+1,FALSE)</f>
        <v>0</v>
      </c>
      <c r="Z29" s="15" cm="1">
        <f t="array" ref="Z29">+HLOOKUP($A$1,+[47]İcmal!$B$19:$AG$49,ROW(A27)+1,FALSE)</f>
        <v>0</v>
      </c>
      <c r="AA29" s="15" cm="1">
        <f t="array" ref="AA29">+HLOOKUP($A$1,+[48]İcmal!$B$19:$AG$49,ROW(B27)+1,FALSE)</f>
        <v>0</v>
      </c>
      <c r="AB29" s="15" cm="1">
        <f t="array" ref="AB29">+HLOOKUP($A$1,+[49]İcmal!$B$19:$AG$49,ROW(A27)+1,FALSE)</f>
        <v>0</v>
      </c>
      <c r="AC29" s="15" cm="1">
        <f t="array" ref="AC29">+HLOOKUP($A$1,+[50]İcmal!$B$19:$AG$49,ROW(A27)+1,FALSE)</f>
        <v>0</v>
      </c>
      <c r="AD29" s="15" cm="1">
        <f t="array" ref="AD29">+HLOOKUP($A$1,+[51]İcmal!$B$19:$AG$49,ROW(A27)+1,FALSE)</f>
        <v>0</v>
      </c>
      <c r="AE29" s="15" cm="1">
        <f t="array" ref="AE29">+HLOOKUP($A$1,+[52]İcmal!$B$19:$AG$49,ROW(A27)+1,FALSE)</f>
        <v>0</v>
      </c>
      <c r="AF29" s="50" cm="1">
        <f t="array" ref="AF29">+HLOOKUP($A$1,+[53]İcmal!$B$19:$AG$49,ROW(A27)+1,FALSE)</f>
        <v>0</v>
      </c>
      <c r="AG29" s="15" cm="1">
        <f t="array" ref="AG29">+HLOOKUP($A$1,+[54]İcmal!$B$19:$AG$49,ROW(A27)+1,FALSE)</f>
        <v>0</v>
      </c>
      <c r="AH29" s="15" cm="1">
        <f t="array" ref="AH29">+HLOOKUP($A$1,+[55]İcmal!$B$19:$AG$49,ROW(A27)+1,FALSE)</f>
        <v>0</v>
      </c>
      <c r="AI29" s="15" cm="1">
        <f t="array" ref="AI29">+HLOOKUP($A$1,+[56]İcmal!$B$19:$AG$49,ROW(A27)+1,FALSE)</f>
        <v>0</v>
      </c>
      <c r="AJ29" s="15" cm="1">
        <f t="array" ref="AJ29">+HLOOKUP($A$1,+[57]İcmal!$B$19:$AG$49,ROW(A27)+1,FALSE)</f>
        <v>0</v>
      </c>
      <c r="AK29" s="15" cm="1">
        <f t="array" ref="AK29">+HLOOKUP($A$1,+[58]İcmal!$B$19:$AG$49,ROW(B27)+1,FALSE)</f>
        <v>0</v>
      </c>
      <c r="AL29" s="15"/>
      <c r="AM29" s="15"/>
      <c r="AN29" s="15"/>
      <c r="AO29" s="13"/>
    </row>
    <row r="30" spans="1:41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31.439000000000004</v>
      </c>
      <c r="I30" s="9">
        <f t="shared" si="2"/>
        <v>3060052.1870000004</v>
      </c>
      <c r="J30" s="15" cm="1">
        <f t="array" ref="J30">+HLOOKUP($A$1,+[31]İcmal!$B$19:$AG$49,ROW(A28)+1,FALSE)</f>
        <v>0</v>
      </c>
      <c r="K30" s="15" cm="1">
        <f t="array" ref="K30">+HLOOKUP($A$1,+[32]İcmal!$B$19:$AG$49,ROW(B28)+1,FALSE)</f>
        <v>0</v>
      </c>
      <c r="L30" s="15" cm="1">
        <f t="array" ref="L30">+HLOOKUP($A$1,+[33]İcmal!$B$19:$AG$49,ROW(C28)+1,FALSE)</f>
        <v>4.6280000000000001</v>
      </c>
      <c r="M30" s="15" cm="1">
        <f t="array" ref="M30">+HLOOKUP($A$1,+[34]İcmal!$B$19:$AG$49,ROW(D28)+1,FALSE)</f>
        <v>4.6310000000000002</v>
      </c>
      <c r="N30" s="15" cm="1">
        <f t="array" ref="N30">+HLOOKUP($A$1,+[35]İcmal!$B$19:$AG$49,ROW(A28)+1,FALSE)</f>
        <v>0</v>
      </c>
      <c r="O30" s="15" cm="1">
        <f t="array" ref="O30">+HLOOKUP($A$1,+[36]İcmal!$B$19:$AG$49,ROW(B28)+1,FALSE)</f>
        <v>0.95100000000000051</v>
      </c>
      <c r="P30" s="15" cm="1">
        <f t="array" ref="P30">+HLOOKUP($A$1,+[37]İcmal!$B$19:$AG$49,ROW(C28)+1,FALSE)</f>
        <v>0</v>
      </c>
      <c r="Q30" s="15" cm="1">
        <f t="array" ref="Q30">+HLOOKUP($A$1,+[38]İcmal!$B$19:$AG$49,ROW(D28)+1,FALSE)</f>
        <v>0</v>
      </c>
      <c r="R30" s="15" cm="1">
        <f t="array" ref="R30">+HLOOKUP($A$1,+[39]İcmal!$B$19:$AG$49,ROW(A28)+1,FALSE)</f>
        <v>0</v>
      </c>
      <c r="S30" s="15" cm="1">
        <f t="array" ref="S30">+HLOOKUP($A$1,+[40]İcmal!$B$19:$AG$49,ROW(B28)+1,FALSE)</f>
        <v>0.91799999999999926</v>
      </c>
      <c r="T30" s="15" cm="1">
        <f t="array" ref="T30">+HLOOKUP($A$1,+[41]İcmal!$B$19:$AG$49,ROW(C28)+1,FALSE)</f>
        <v>5.1340000000000003</v>
      </c>
      <c r="U30" s="15" cm="1">
        <f t="array" ref="U30">+HLOOKUP($A$1,+[42]İcmal!$B$19:$AG$49,ROW(D28)+1,FALSE)</f>
        <v>5.1340000000000003</v>
      </c>
      <c r="V30" s="15" cm="1">
        <f t="array" ref="V30">+HLOOKUP($A$1,+[43]İcmal!$B$19:$AG$49,ROW(A28)+1,FALSE)</f>
        <v>0</v>
      </c>
      <c r="W30" s="15" cm="1">
        <f t="array" ref="W30">+HLOOKUP($A$1,+[44]İcmal!$B$19:$AG$49,ROW(B28)+1,FALSE)</f>
        <v>0</v>
      </c>
      <c r="X30" s="15" cm="1">
        <f t="array" ref="X30">+HLOOKUP($A$1,+[45]İcmal!$B$19:$AG$49,ROW(C28)+1,FALSE)</f>
        <v>0</v>
      </c>
      <c r="Y30" s="15" cm="1">
        <f t="array" ref="Y30">+HLOOKUP($A$1,+[46]İcmal!$B$19:$AG$49,ROW(D28)+1,FALSE)</f>
        <v>0</v>
      </c>
      <c r="Z30" s="15" cm="1">
        <f t="array" ref="Z30">+HLOOKUP($A$1,+[47]İcmal!$B$19:$AG$49,ROW(A28)+1,FALSE)</f>
        <v>3.6869999999999998</v>
      </c>
      <c r="AA30" s="15" cm="1">
        <f t="array" ref="AA30">+HLOOKUP($A$1,+[48]İcmal!$B$19:$AG$49,ROW(B28)+1,FALSE)</f>
        <v>0</v>
      </c>
      <c r="AB30" s="15" cm="1">
        <f t="array" ref="AB30">+HLOOKUP($A$1,+[49]İcmal!$B$19:$AG$49,ROW(A28)+1,FALSE)</f>
        <v>0</v>
      </c>
      <c r="AC30" s="15" cm="1">
        <f t="array" ref="AC30">+HLOOKUP($A$1,+[50]İcmal!$B$19:$AG$49,ROW(A28)+1,FALSE)</f>
        <v>0</v>
      </c>
      <c r="AD30" s="15" cm="1">
        <f t="array" ref="AD30">+HLOOKUP($A$1,+[51]İcmal!$B$19:$AG$49,ROW(A28)+1,FALSE)</f>
        <v>1.8240000000000003</v>
      </c>
      <c r="AE30" s="15" cm="1">
        <f t="array" ref="AE30">+HLOOKUP($A$1,+[52]İcmal!$B$19:$AG$49,ROW(A28)+1,FALSE)</f>
        <v>0</v>
      </c>
      <c r="AF30" s="50" cm="1">
        <f t="array" ref="AF30">+HLOOKUP($A$1,+[53]İcmal!$B$19:$AG$49,ROW(A28)+1,FALSE)</f>
        <v>0</v>
      </c>
      <c r="AG30" s="15" cm="1">
        <f t="array" ref="AG30">+HLOOKUP($A$1,+[54]İcmal!$B$19:$AG$49,ROW(A28)+1,FALSE)</f>
        <v>0.84599999999999997</v>
      </c>
      <c r="AH30" s="15" cm="1">
        <f t="array" ref="AH30">+HLOOKUP($A$1,+[55]İcmal!$B$19:$AG$49,ROW(A28)+1,FALSE)</f>
        <v>0</v>
      </c>
      <c r="AI30" s="15" cm="1">
        <f t="array" ref="AI30">+HLOOKUP($A$1,+[56]İcmal!$B$19:$AG$49,ROW(A28)+1,FALSE)</f>
        <v>0</v>
      </c>
      <c r="AJ30" s="15" cm="1">
        <f t="array" ref="AJ30">+HLOOKUP($A$1,+[57]İcmal!$B$19:$AG$49,ROW(A28)+1,FALSE)</f>
        <v>3.6859999999999999</v>
      </c>
      <c r="AK30" s="15" cm="1">
        <f t="array" ref="AK30">+HLOOKUP($A$1,+[58]İcmal!$B$19:$AG$49,ROW(B28)+1,FALSE)</f>
        <v>0</v>
      </c>
      <c r="AL30" s="15"/>
      <c r="AM30" s="15"/>
      <c r="AN30" s="15"/>
      <c r="AO30" s="13"/>
    </row>
    <row r="31" spans="1:41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+HLOOKUP($A$1,+[31]İcmal!$B$19:$AG$49,ROW(A29)+1,FALSE)</f>
        <v>0</v>
      </c>
      <c r="K31" s="15" cm="1">
        <f t="array" ref="K31">+HLOOKUP($A$1,+[32]İcmal!$B$19:$AG$49,ROW(B29)+1,FALSE)</f>
        <v>0</v>
      </c>
      <c r="L31" s="15" cm="1">
        <f t="array" ref="L31">+HLOOKUP($A$1,+[33]İcmal!$B$19:$AG$49,ROW(C29)+1,FALSE)</f>
        <v>0</v>
      </c>
      <c r="M31" s="15" cm="1">
        <f t="array" ref="M31">+HLOOKUP($A$1,+[34]İcmal!$B$19:$AG$49,ROW(D29)+1,FALSE)</f>
        <v>0</v>
      </c>
      <c r="N31" s="15" cm="1">
        <f t="array" ref="N31">+HLOOKUP($A$1,+[35]İcmal!$B$19:$AG$49,ROW(A29)+1,FALSE)</f>
        <v>0</v>
      </c>
      <c r="O31" s="15" cm="1">
        <f t="array" ref="O31">+HLOOKUP($A$1,+[36]İcmal!$B$19:$AG$49,ROW(B29)+1,FALSE)</f>
        <v>0</v>
      </c>
      <c r="P31" s="15" cm="1">
        <f t="array" ref="P31">+HLOOKUP($A$1,+[37]İcmal!$B$19:$AG$49,ROW(C29)+1,FALSE)</f>
        <v>0</v>
      </c>
      <c r="Q31" s="15" cm="1">
        <f t="array" ref="Q31">+HLOOKUP($A$1,+[38]İcmal!$B$19:$AG$49,ROW(D29)+1,FALSE)</f>
        <v>0</v>
      </c>
      <c r="R31" s="15" cm="1">
        <f t="array" ref="R31">+HLOOKUP($A$1,+[39]İcmal!$B$19:$AG$49,ROW(A29)+1,FALSE)</f>
        <v>0</v>
      </c>
      <c r="S31" s="15" cm="1">
        <f t="array" ref="S31">+HLOOKUP($A$1,+[40]İcmal!$B$19:$AG$49,ROW(B29)+1,FALSE)</f>
        <v>0</v>
      </c>
      <c r="T31" s="15" cm="1">
        <f t="array" ref="T31">+HLOOKUP($A$1,+[41]İcmal!$B$19:$AG$49,ROW(C29)+1,FALSE)</f>
        <v>0</v>
      </c>
      <c r="U31" s="15" cm="1">
        <f t="array" ref="U31">+HLOOKUP($A$1,+[42]İcmal!$B$19:$AG$49,ROW(D29)+1,FALSE)</f>
        <v>0</v>
      </c>
      <c r="V31" s="15" cm="1">
        <f t="array" ref="V31">+HLOOKUP($A$1,+[43]İcmal!$B$19:$AG$49,ROW(A29)+1,FALSE)</f>
        <v>0</v>
      </c>
      <c r="W31" s="15" cm="1">
        <f t="array" ref="W31">+HLOOKUP($A$1,+[44]İcmal!$B$19:$AG$49,ROW(B29)+1,FALSE)</f>
        <v>0</v>
      </c>
      <c r="X31" s="15" cm="1">
        <f t="array" ref="X31">+HLOOKUP($A$1,+[45]İcmal!$B$19:$AG$49,ROW(C29)+1,FALSE)</f>
        <v>0</v>
      </c>
      <c r="Y31" s="15" cm="1">
        <f t="array" ref="Y31">+HLOOKUP($A$1,+[46]İcmal!$B$19:$AG$49,ROW(D29)+1,FALSE)</f>
        <v>0</v>
      </c>
      <c r="Z31" s="15" cm="1">
        <f t="array" ref="Z31">+HLOOKUP($A$1,+[47]İcmal!$B$19:$AG$49,ROW(A29)+1,FALSE)</f>
        <v>0</v>
      </c>
      <c r="AA31" s="15" cm="1">
        <f t="array" ref="AA31">+HLOOKUP($A$1,+[48]İcmal!$B$19:$AG$49,ROW(B29)+1,FALSE)</f>
        <v>0</v>
      </c>
      <c r="AB31" s="15" cm="1">
        <f t="array" ref="AB31">+HLOOKUP($A$1,+[49]İcmal!$B$19:$AG$49,ROW(A29)+1,FALSE)</f>
        <v>0</v>
      </c>
      <c r="AC31" s="15" cm="1">
        <f t="array" ref="AC31">+HLOOKUP($A$1,+[50]İcmal!$B$19:$AG$49,ROW(A29)+1,FALSE)</f>
        <v>0</v>
      </c>
      <c r="AD31" s="15" cm="1">
        <f t="array" ref="AD31">+HLOOKUP($A$1,+[51]İcmal!$B$19:$AG$49,ROW(A29)+1,FALSE)</f>
        <v>0</v>
      </c>
      <c r="AE31" s="15" cm="1">
        <f t="array" ref="AE31">+HLOOKUP($A$1,+[52]İcmal!$B$19:$AG$49,ROW(A29)+1,FALSE)</f>
        <v>0</v>
      </c>
      <c r="AF31" s="50" cm="1">
        <f t="array" ref="AF31">+HLOOKUP($A$1,+[53]İcmal!$B$19:$AG$49,ROW(A29)+1,FALSE)</f>
        <v>0</v>
      </c>
      <c r="AG31" s="15" cm="1">
        <f t="array" ref="AG31">+HLOOKUP($A$1,+[54]İcmal!$B$19:$AG$49,ROW(A29)+1,FALSE)</f>
        <v>0</v>
      </c>
      <c r="AH31" s="15" cm="1">
        <f t="array" ref="AH31">+HLOOKUP($A$1,+[55]İcmal!$B$19:$AG$49,ROW(A29)+1,FALSE)</f>
        <v>0</v>
      </c>
      <c r="AI31" s="15" cm="1">
        <f t="array" ref="AI31">+HLOOKUP($A$1,+[56]İcmal!$B$19:$AG$49,ROW(A29)+1,FALSE)</f>
        <v>0</v>
      </c>
      <c r="AJ31" s="15" cm="1">
        <f t="array" ref="AJ31">+HLOOKUP($A$1,+[57]İcmal!$B$19:$AG$49,ROW(A29)+1,FALSE)</f>
        <v>0</v>
      </c>
      <c r="AK31" s="15" cm="1">
        <f t="array" ref="AK31">+HLOOKUP($A$1,+[58]İcmal!$B$19:$AG$49,ROW(B29)+1,FALSE)</f>
        <v>0</v>
      </c>
      <c r="AL31" s="15"/>
      <c r="AM31" s="15"/>
      <c r="AN31" s="15"/>
      <c r="AO31" s="13"/>
    </row>
    <row r="32" spans="1:41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+HLOOKUP($A$1,+[31]İcmal!$B$19:$AG$49,ROW(A30)+1,FALSE)</f>
        <v>0</v>
      </c>
      <c r="K32" s="15" cm="1">
        <f t="array" ref="K32">+HLOOKUP($A$1,+[32]İcmal!$B$19:$AG$49,ROW(B30)+1,FALSE)</f>
        <v>0</v>
      </c>
      <c r="L32" s="15" cm="1">
        <f t="array" ref="L32">+HLOOKUP($A$1,+[33]İcmal!$B$19:$AG$49,ROW(C30)+1,FALSE)</f>
        <v>0</v>
      </c>
      <c r="M32" s="15" cm="1">
        <f t="array" ref="M32">+HLOOKUP($A$1,+[34]İcmal!$B$19:$AG$49,ROW(D30)+1,FALSE)</f>
        <v>0</v>
      </c>
      <c r="N32" s="15" cm="1">
        <f t="array" ref="N32">+HLOOKUP($A$1,+[35]İcmal!$B$19:$AG$49,ROW(A30)+1,FALSE)</f>
        <v>0</v>
      </c>
      <c r="O32" s="15" cm="1">
        <f t="array" ref="O32">+HLOOKUP($A$1,+[36]İcmal!$B$19:$AG$49,ROW(B30)+1,FALSE)</f>
        <v>0</v>
      </c>
      <c r="P32" s="15" cm="1">
        <f t="array" ref="P32">+HLOOKUP($A$1,+[37]İcmal!$B$19:$AG$49,ROW(C30)+1,FALSE)</f>
        <v>0</v>
      </c>
      <c r="Q32" s="15" cm="1">
        <f t="array" ref="Q32">+HLOOKUP($A$1,+[38]İcmal!$B$19:$AG$49,ROW(D30)+1,FALSE)</f>
        <v>0</v>
      </c>
      <c r="R32" s="15" cm="1">
        <f t="array" ref="R32">+HLOOKUP($A$1,+[39]İcmal!$B$19:$AG$49,ROW(A30)+1,FALSE)</f>
        <v>0</v>
      </c>
      <c r="S32" s="15" cm="1">
        <f t="array" ref="S32">+HLOOKUP($A$1,+[40]İcmal!$B$19:$AG$49,ROW(B30)+1,FALSE)</f>
        <v>0</v>
      </c>
      <c r="T32" s="15" cm="1">
        <f t="array" ref="T32">+HLOOKUP($A$1,+[41]İcmal!$B$19:$AG$49,ROW(C30)+1,FALSE)</f>
        <v>0</v>
      </c>
      <c r="U32" s="15" cm="1">
        <f t="array" ref="U32">+HLOOKUP($A$1,+[42]İcmal!$B$19:$AG$49,ROW(D30)+1,FALSE)</f>
        <v>0</v>
      </c>
      <c r="V32" s="15" cm="1">
        <f t="array" ref="V32">+HLOOKUP($A$1,+[43]İcmal!$B$19:$AG$49,ROW(A30)+1,FALSE)</f>
        <v>0</v>
      </c>
      <c r="W32" s="15" cm="1">
        <f t="array" ref="W32">+HLOOKUP($A$1,+[44]İcmal!$B$19:$AG$49,ROW(B30)+1,FALSE)</f>
        <v>0</v>
      </c>
      <c r="X32" s="15" cm="1">
        <f t="array" ref="X32">+HLOOKUP($A$1,+[45]İcmal!$B$19:$AG$49,ROW(C30)+1,FALSE)</f>
        <v>0</v>
      </c>
      <c r="Y32" s="15" cm="1">
        <f t="array" ref="Y32">+HLOOKUP($A$1,+[46]İcmal!$B$19:$AG$49,ROW(D30)+1,FALSE)</f>
        <v>0</v>
      </c>
      <c r="Z32" s="15" cm="1">
        <f t="array" ref="Z32">+HLOOKUP($A$1,+[47]İcmal!$B$19:$AG$49,ROW(A30)+1,FALSE)</f>
        <v>0</v>
      </c>
      <c r="AA32" s="15" cm="1">
        <f t="array" ref="AA32">+HLOOKUP($A$1,+[48]İcmal!$B$19:$AG$49,ROW(B30)+1,FALSE)</f>
        <v>0</v>
      </c>
      <c r="AB32" s="15" cm="1">
        <f t="array" ref="AB32">+HLOOKUP($A$1,+[49]İcmal!$B$19:$AG$49,ROW(A30)+1,FALSE)</f>
        <v>0</v>
      </c>
      <c r="AC32" s="15" cm="1">
        <f t="array" ref="AC32">+HLOOKUP($A$1,+[50]İcmal!$B$19:$AG$49,ROW(A30)+1,FALSE)</f>
        <v>0</v>
      </c>
      <c r="AD32" s="15" cm="1">
        <f t="array" ref="AD32">+HLOOKUP($A$1,+[51]İcmal!$B$19:$AG$49,ROW(A30)+1,FALSE)</f>
        <v>0</v>
      </c>
      <c r="AE32" s="15" cm="1">
        <f t="array" ref="AE32">+HLOOKUP($A$1,+[52]İcmal!$B$19:$AG$49,ROW(A30)+1,FALSE)</f>
        <v>0</v>
      </c>
      <c r="AF32" s="50" cm="1">
        <f t="array" ref="AF32">+HLOOKUP($A$1,+[53]İcmal!$B$19:$AG$49,ROW(A30)+1,FALSE)</f>
        <v>0</v>
      </c>
      <c r="AG32" s="15" cm="1">
        <f t="array" ref="AG32">+HLOOKUP($A$1,+[54]İcmal!$B$19:$AG$49,ROW(A30)+1,FALSE)</f>
        <v>0</v>
      </c>
      <c r="AH32" s="15" cm="1">
        <f t="array" ref="AH32">+HLOOKUP($A$1,+[55]İcmal!$B$19:$AG$49,ROW(A30)+1,FALSE)</f>
        <v>0</v>
      </c>
      <c r="AI32" s="15" cm="1">
        <f t="array" ref="AI32">+HLOOKUP($A$1,+[56]İcmal!$B$19:$AG$49,ROW(A30)+1,FALSE)</f>
        <v>0</v>
      </c>
      <c r="AJ32" s="15" cm="1">
        <f t="array" ref="AJ32">+HLOOKUP($A$1,+[57]İcmal!$B$19:$AG$49,ROW(A30)+1,FALSE)</f>
        <v>0</v>
      </c>
      <c r="AK32" s="15" cm="1">
        <f t="array" ref="AK32">+HLOOKUP($A$1,+[58]İcmal!$B$19:$AG$49,ROW(B30)+1,FALSE)</f>
        <v>0</v>
      </c>
      <c r="AL32" s="15"/>
      <c r="AM32" s="15"/>
      <c r="AN32" s="15"/>
      <c r="AO32" s="14"/>
    </row>
    <row r="33" spans="8:40" x14ac:dyDescent="0.3">
      <c r="I33" s="16">
        <f>SUM(I3:I32)</f>
        <v>55830967.533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>
        <f t="shared" ref="AN33" si="3">+SUMPRODUCT(AN3:AN32,$F$3:$F$32)</f>
        <v>0</v>
      </c>
    </row>
    <row r="34" spans="8:40" x14ac:dyDescent="0.3">
      <c r="H34" s="52"/>
    </row>
    <row r="35" spans="8:40" x14ac:dyDescent="0.3">
      <c r="I35" s="16"/>
    </row>
    <row r="36" spans="8:40" x14ac:dyDescent="0.3">
      <c r="I36" s="16"/>
      <c r="K36" s="52"/>
    </row>
    <row r="37" spans="8:40" x14ac:dyDescent="0.3">
      <c r="J37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6C58-D7DE-4B06-B7D8-94795C6D9847}">
  <sheetPr>
    <tabColor rgb="FFFF0000"/>
  </sheetPr>
  <dimension ref="A1:AT40"/>
  <sheetViews>
    <sheetView zoomScale="70" zoomScaleNormal="70" workbookViewId="0">
      <selection activeCell="AK12" sqref="AK1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7" width="19.33203125" bestFit="1" customWidth="1"/>
    <col min="18" max="25" width="19.21875" bestFit="1" customWidth="1"/>
    <col min="26" max="26" width="46.77734375" bestFit="1" customWidth="1"/>
    <col min="27" max="27" width="48.88671875" bestFit="1" customWidth="1"/>
    <col min="28" max="28" width="57.109375" bestFit="1" customWidth="1"/>
    <col min="29" max="29" width="56.77734375" bestFit="1" customWidth="1"/>
    <col min="30" max="30" width="57.44140625" bestFit="1" customWidth="1"/>
    <col min="31" max="31" width="57" customWidth="1"/>
    <col min="32" max="32" width="57.109375" bestFit="1" customWidth="1"/>
    <col min="33" max="33" width="46.33203125" bestFit="1" customWidth="1"/>
    <col min="34" max="37" width="46.77734375" bestFit="1" customWidth="1"/>
    <col min="38" max="44" width="19.88671875" customWidth="1"/>
    <col min="45" max="45" width="19.5546875" bestFit="1" customWidth="1"/>
    <col min="46" max="46" width="2.21875" customWidth="1"/>
  </cols>
  <sheetData>
    <row r="1" spans="1:46" ht="15" thickBot="1" x14ac:dyDescent="0.35">
      <c r="A1" s="17" t="s">
        <v>132</v>
      </c>
    </row>
    <row r="2" spans="1:46" ht="27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54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3" t="s">
        <v>126</v>
      </c>
      <c r="AG2" s="3" t="s">
        <v>143</v>
      </c>
      <c r="AH2" s="3" t="s">
        <v>144</v>
      </c>
      <c r="AI2" s="3" t="s">
        <v>138</v>
      </c>
      <c r="AJ2" s="3" t="s">
        <v>125</v>
      </c>
      <c r="AK2" s="3" t="s">
        <v>133</v>
      </c>
      <c r="AL2" s="3"/>
      <c r="AM2" s="3"/>
      <c r="AN2" s="3"/>
      <c r="AO2" s="3"/>
      <c r="AP2" s="3"/>
      <c r="AQ2" s="3"/>
      <c r="AR2" s="3"/>
      <c r="AS2" s="3"/>
      <c r="AT2" s="12"/>
    </row>
    <row r="3" spans="1:46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SUM(J3:AT3)</f>
        <v>3372.0150000000003</v>
      </c>
      <c r="I3" s="9">
        <f>+F3*H3</f>
        <v>17112976.125</v>
      </c>
      <c r="J3" s="15" cm="1">
        <f t="array" ref="J3">+HLOOKUP($A$1,+[2]İcmal!$B$19:$AG$49,ROW(A1)+1,FALSE)</f>
        <v>0</v>
      </c>
      <c r="K3" s="15" cm="1">
        <f t="array" ref="K3">+HLOOKUP($A$1,+[3]İcmal!$B$19:$AG$49,ROW(B1)+1,FALSE)</f>
        <v>0</v>
      </c>
      <c r="L3" s="15" cm="1">
        <f t="array" ref="L3">+HLOOKUP($A$1,+[4]İcmal!$B$19:$AG$49,ROW(C1)+1,FALSE)</f>
        <v>623.55100000000004</v>
      </c>
      <c r="M3" s="15" cm="1">
        <f t="array" ref="M3">+HLOOKUP($A$1,+[5]İcmal!$B$19:$AG$49,ROW(D1)+1,FALSE)</f>
        <v>486.45100000000002</v>
      </c>
      <c r="N3" s="15" cm="1">
        <f t="array" ref="N3">+HLOOKUP($A$1,+[6]İcmal!$B$19:$AG$49,ROW(E1)+1,FALSE)</f>
        <v>11.427000000000135</v>
      </c>
      <c r="O3" s="15" cm="1">
        <f t="array" ref="O3">+HLOOKUP($A$1,+[7]İcmal!$B$19:$AG$49,ROW(F1)+1,FALSE)</f>
        <v>482.86599999999999</v>
      </c>
      <c r="P3" s="15" cm="1">
        <f t="array" ref="P3">+HLOOKUP($A$1,+[8]İcmal!$B$19:$AG$49,ROW(G1)+1,FALSE)</f>
        <v>0</v>
      </c>
      <c r="Q3" s="15" cm="1">
        <f t="array" ref="Q3">+HLOOKUP($A$1,+[9]İcmal!$B$19:$AG$49,ROW(H1)+1,FALSE)</f>
        <v>0</v>
      </c>
      <c r="R3" s="15" cm="1">
        <f t="array" ref="R3">+HLOOKUP($A$1,+[10]İcmal!$B$19:$AG$49,ROW(I1)+1,FALSE)</f>
        <v>12.104000000000001</v>
      </c>
      <c r="S3" s="15" cm="1">
        <f t="array" ref="S3">+HLOOKUP($A$1,+[11]İcmal!$B$19:$AG$49,ROW(J1)+1,FALSE)</f>
        <v>470.86999999999989</v>
      </c>
      <c r="T3" s="15" cm="1">
        <f t="array" ref="T3">+HLOOKUP($A$1,+[12]İcmal!$B$19:$AG$49,ROW(K1)+1,FALSE)</f>
        <v>0</v>
      </c>
      <c r="U3" s="15" cm="1">
        <f t="array" ref="U3">+HLOOKUP($A$1,+[13]İcmal!$B$19:$AG$49,ROW(L1)+1,FALSE)</f>
        <v>0</v>
      </c>
      <c r="V3" s="15" cm="1">
        <f t="array" ref="V3">+HLOOKUP($A$1,+[14]İcmal!$B$19:$AG$49,ROW(M1)+1,FALSE)</f>
        <v>0</v>
      </c>
      <c r="W3" s="15" cm="1">
        <f t="array" ref="W3">+HLOOKUP($A$1,+[15]İcmal!$B$19:$AG$49,ROW(N1)+1,FALSE)</f>
        <v>0</v>
      </c>
      <c r="X3" s="15" cm="1">
        <f t="array" ref="X3">+HLOOKUP($A$1,+[16]İcmal!$B$19:$AG$49,ROW(O1)+1,FALSE)</f>
        <v>233.72900000000001</v>
      </c>
      <c r="Y3" s="15" cm="1">
        <f t="array" ref="Y3">+HLOOKUP($A$1,+[17]İcmal!$B$19:$AG$49,ROW(P1)+1,FALSE)</f>
        <v>191.90799999999999</v>
      </c>
      <c r="Z3" s="15" cm="1">
        <f t="array" ref="Z3">+HLOOKUP($A$1,+[18]İcmal!$B$19:$AG$49,ROW(Q1)+1,FALSE)</f>
        <v>0</v>
      </c>
      <c r="AA3" s="15" cm="1">
        <f t="array" ref="AA3">+HLOOKUP($A$1,+[19]İcmal!$B$19:$AG$49,ROW(R1)+1,FALSE)</f>
        <v>0</v>
      </c>
      <c r="AB3" s="15" cm="1">
        <f t="array" ref="AB3">+HLOOKUP($A$1,+[20]İcmal!$B$19:$AG$49,ROW(S1)+1,FALSE)</f>
        <v>0</v>
      </c>
      <c r="AC3" s="15" cm="1">
        <f t="array" ref="AC3">+HLOOKUP($A$1,+[21]İcmal!$B$19:$AG$49,ROW(T1)+1,FALSE)</f>
        <v>83.763999999999996</v>
      </c>
      <c r="AD3" s="15" cm="1">
        <f t="array" ref="AD3">+HLOOKUP($A$1,+[22]İcmal!$B$19:$AG$49,ROW(U1)+1,FALSE)</f>
        <v>329.58</v>
      </c>
      <c r="AE3" s="15" cm="1">
        <f t="array" ref="AE3">+HLOOKUP($A$1,+[23]İcmal!$B$19:$AG$49,ROW(V1)+1,FALSE)</f>
        <v>83.763999999999996</v>
      </c>
      <c r="AF3" s="15" cm="1">
        <f t="array" ref="AF3">+HLOOKUP($A$1,+[24]İcmal!$B$19:$AG$49,ROW(W1)+1,FALSE)</f>
        <v>0</v>
      </c>
      <c r="AG3" s="15" cm="1">
        <f t="array" ref="AG3">+HLOOKUP($A$1,+[25]İcmal!$B$19:$AG$49,ROW(X1)+1,FALSE)</f>
        <v>83.763999999999996</v>
      </c>
      <c r="AH3" s="15" cm="1">
        <f t="array" ref="AH3">+HLOOKUP($A$1,+[26]İcmal!$B$19:$AG$49,ROW(Y1)+1,FALSE)</f>
        <v>0</v>
      </c>
      <c r="AI3" s="15" cm="1">
        <f t="array" ref="AI3">+HLOOKUP($A$1,+[27]İcmal!$B$19:$AG$49,ROW(Z1)+1,FALSE)</f>
        <v>0</v>
      </c>
      <c r="AJ3" s="15" cm="1">
        <f t="array" ref="AJ3">+HLOOKUP($A$1,+[28]İcmal!$B$19:$AG$49,ROW(AA1)+1,FALSE)</f>
        <v>278.23699999999997</v>
      </c>
      <c r="AK3" s="15" cm="1">
        <f t="array" ref="AK3">+HLOOKUP($A$1,+[29]İcmal!$B$19:$AG$49,ROW(AB1)+1,FALSE)</f>
        <v>0</v>
      </c>
      <c r="AL3" s="15"/>
      <c r="AM3" s="15"/>
      <c r="AN3" s="15"/>
      <c r="AO3" s="15"/>
      <c r="AP3" s="15"/>
      <c r="AQ3" s="15"/>
      <c r="AR3" s="15"/>
      <c r="AS3" s="15"/>
      <c r="AT3" s="13"/>
    </row>
    <row r="4" spans="1:46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+HLOOKUP($A$1,+[2]İcmal!$B$19:$AG$49,ROW(A2)+1,FALSE)</f>
        <v>0</v>
      </c>
      <c r="K4" s="15" cm="1">
        <f t="array" ref="K4">+HLOOKUP($A$1,+[3]İcmal!$B$19:$AG$49,ROW(B2)+1,FALSE)</f>
        <v>0</v>
      </c>
      <c r="L4" s="15" cm="1">
        <f t="array" ref="L4">+HLOOKUP($A$1,+[4]İcmal!$B$19:$AG$49,ROW(C2)+1,FALSE)</f>
        <v>0</v>
      </c>
      <c r="M4" s="15" cm="1">
        <f t="array" ref="M4">+HLOOKUP($A$1,+[5]İcmal!$B$19:$AG$49,ROW(D2)+1,FALSE)</f>
        <v>0</v>
      </c>
      <c r="N4" s="15" cm="1">
        <f t="array" ref="N4">+HLOOKUP($A$1,+[6]İcmal!$B$19:$AG$49,ROW(E2)+1,FALSE)</f>
        <v>0</v>
      </c>
      <c r="O4" s="15" cm="1">
        <f t="array" ref="O4">+HLOOKUP($A$1,+[7]İcmal!$B$19:$AG$49,ROW(F2)+1,FALSE)</f>
        <v>0</v>
      </c>
      <c r="P4" s="15" cm="1">
        <f t="array" ref="P4">+HLOOKUP($A$1,+[8]İcmal!$B$19:$AG$49,ROW(G2)+1,FALSE)</f>
        <v>0</v>
      </c>
      <c r="Q4" s="15" cm="1">
        <f t="array" ref="Q4">+HLOOKUP($A$1,+[9]İcmal!$B$19:$AG$49,ROW(H2)+1,FALSE)</f>
        <v>0</v>
      </c>
      <c r="R4" s="15" cm="1">
        <f t="array" ref="R4">+HLOOKUP($A$1,+[10]İcmal!$B$19:$AG$49,ROW(I2)+1,FALSE)</f>
        <v>0</v>
      </c>
      <c r="S4" s="15" cm="1">
        <f t="array" ref="S4">+HLOOKUP($A$1,+[11]İcmal!$B$19:$AG$49,ROW(J2)+1,FALSE)</f>
        <v>0</v>
      </c>
      <c r="T4" s="15" cm="1">
        <f t="array" ref="T4">+HLOOKUP($A$1,+[12]İcmal!$B$19:$AG$49,ROW(K2)+1,FALSE)</f>
        <v>0</v>
      </c>
      <c r="U4" s="15" cm="1">
        <f t="array" ref="U4">+HLOOKUP($A$1,+[13]İcmal!$B$19:$AG$49,ROW(L2)+1,FALSE)</f>
        <v>0</v>
      </c>
      <c r="V4" s="15" cm="1">
        <f t="array" ref="V4">+HLOOKUP($A$1,+[14]İcmal!$B$19:$AG$49,ROW(M2)+1,FALSE)</f>
        <v>0</v>
      </c>
      <c r="W4" s="15" cm="1">
        <f t="array" ref="W4">+HLOOKUP($A$1,+[15]İcmal!$B$19:$AG$49,ROW(N2)+1,FALSE)</f>
        <v>0</v>
      </c>
      <c r="X4" s="15" cm="1">
        <f t="array" ref="X4">+HLOOKUP($A$1,+[16]İcmal!$B$19:$AG$49,ROW(O2)+1,FALSE)</f>
        <v>0</v>
      </c>
      <c r="Y4" s="15" cm="1">
        <f t="array" ref="Y4">+HLOOKUP($A$1,+[17]İcmal!$B$19:$AG$49,ROW(P2)+1,FALSE)</f>
        <v>0</v>
      </c>
      <c r="Z4" s="15" cm="1">
        <f t="array" ref="Z4">+HLOOKUP($A$1,+[18]İcmal!$B$19:$AG$49,ROW(Q2)+1,FALSE)</f>
        <v>0</v>
      </c>
      <c r="AA4" s="15" cm="1">
        <f t="array" ref="AA4">+HLOOKUP($A$1,+[19]İcmal!$B$19:$AG$49,ROW(R2)+1,FALSE)</f>
        <v>0</v>
      </c>
      <c r="AB4" s="15" cm="1">
        <f t="array" ref="AB4">+HLOOKUP($A$1,+[20]İcmal!$B$19:$AG$49,ROW(S2)+1,FALSE)</f>
        <v>0</v>
      </c>
      <c r="AC4" s="15" cm="1">
        <f t="array" ref="AC4">+HLOOKUP($A$1,+[21]İcmal!$B$19:$AG$49,ROW(T2)+1,FALSE)</f>
        <v>0</v>
      </c>
      <c r="AD4" s="15" cm="1">
        <f t="array" ref="AD4">+HLOOKUP($A$1,+[22]İcmal!$B$19:$AG$49,ROW(U2)+1,FALSE)</f>
        <v>0</v>
      </c>
      <c r="AE4" s="15" cm="1">
        <f t="array" ref="AE4">+HLOOKUP($A$1,+[23]İcmal!$B$19:$AG$49,ROW(V2)+1,FALSE)</f>
        <v>0</v>
      </c>
      <c r="AF4" s="15" cm="1">
        <f t="array" ref="AF4">+HLOOKUP($A$1,+[24]İcmal!$B$19:$AG$49,ROW(W2)+1,FALSE)</f>
        <v>0</v>
      </c>
      <c r="AG4" s="15" cm="1">
        <f t="array" ref="AG4">+HLOOKUP($A$1,+[25]İcmal!$B$19:$AG$49,ROW(X2)+1,FALSE)</f>
        <v>0</v>
      </c>
      <c r="AH4" s="15" cm="1">
        <f t="array" ref="AH4">+HLOOKUP($A$1,+[26]İcmal!$B$19:$AG$49,ROW(Y2)+1,FALSE)</f>
        <v>0</v>
      </c>
      <c r="AI4" s="15" cm="1">
        <f t="array" ref="AI4">+HLOOKUP($A$1,+[27]İcmal!$B$19:$AG$49,ROW(Z2)+1,FALSE)</f>
        <v>0</v>
      </c>
      <c r="AJ4" s="15" cm="1">
        <f t="array" ref="AJ4">+HLOOKUP($A$1,+[28]İcmal!$B$19:$AG$49,ROW(AA2)+1,FALSE)</f>
        <v>0</v>
      </c>
      <c r="AK4" s="15" cm="1">
        <f t="array" ref="AK4">+HLOOKUP($A$1,+[29]İcmal!$B$19:$AG$49,ROW(AB2)+1,FALSE)</f>
        <v>0</v>
      </c>
      <c r="AL4" s="15"/>
      <c r="AM4" s="15"/>
      <c r="AN4" s="15"/>
      <c r="AO4" s="15"/>
      <c r="AP4" s="15"/>
      <c r="AQ4" s="15"/>
      <c r="AR4" s="15"/>
      <c r="AS4" s="15"/>
      <c r="AT4" s="13"/>
    </row>
    <row r="5" spans="1:46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+HLOOKUP($A$1,+[2]İcmal!$B$19:$AG$49,ROW(A3)+1,FALSE)</f>
        <v>0</v>
      </c>
      <c r="K5" s="15" cm="1">
        <f t="array" ref="K5">+HLOOKUP($A$1,+[3]İcmal!$B$19:$AG$49,ROW(B3)+1,FALSE)</f>
        <v>0</v>
      </c>
      <c r="L5" s="15" cm="1">
        <f t="array" ref="L5">+HLOOKUP($A$1,+[4]İcmal!$B$19:$AG$49,ROW(C3)+1,FALSE)</f>
        <v>0</v>
      </c>
      <c r="M5" s="15" cm="1">
        <f t="array" ref="M5">+HLOOKUP($A$1,+[5]İcmal!$B$19:$AG$49,ROW(D3)+1,FALSE)</f>
        <v>0</v>
      </c>
      <c r="N5" s="15" cm="1">
        <f t="array" ref="N5">+HLOOKUP($A$1,+[6]İcmal!$B$19:$AG$49,ROW(E3)+1,FALSE)</f>
        <v>0</v>
      </c>
      <c r="O5" s="15" cm="1">
        <f t="array" ref="O5">+HLOOKUP($A$1,+[7]İcmal!$B$19:$AG$49,ROW(F3)+1,FALSE)</f>
        <v>0</v>
      </c>
      <c r="P5" s="15" cm="1">
        <f t="array" ref="P5">+HLOOKUP($A$1,+[8]İcmal!$B$19:$AG$49,ROW(G3)+1,FALSE)</f>
        <v>0</v>
      </c>
      <c r="Q5" s="15" cm="1">
        <f t="array" ref="Q5">+HLOOKUP($A$1,+[9]İcmal!$B$19:$AG$49,ROW(H3)+1,FALSE)</f>
        <v>0</v>
      </c>
      <c r="R5" s="15" cm="1">
        <f t="array" ref="R5">+HLOOKUP($A$1,+[10]İcmal!$B$19:$AG$49,ROW(I3)+1,FALSE)</f>
        <v>0</v>
      </c>
      <c r="S5" s="15" cm="1">
        <f t="array" ref="S5">+HLOOKUP($A$1,+[11]İcmal!$B$19:$AG$49,ROW(J3)+1,FALSE)</f>
        <v>0</v>
      </c>
      <c r="T5" s="15" cm="1">
        <f t="array" ref="T5">+HLOOKUP($A$1,+[12]İcmal!$B$19:$AG$49,ROW(K3)+1,FALSE)</f>
        <v>0</v>
      </c>
      <c r="U5" s="15" cm="1">
        <f t="array" ref="U5">+HLOOKUP($A$1,+[13]İcmal!$B$19:$AG$49,ROW(L3)+1,FALSE)</f>
        <v>0</v>
      </c>
      <c r="V5" s="15" cm="1">
        <f t="array" ref="V5">+HLOOKUP($A$1,+[14]İcmal!$B$19:$AG$49,ROW(M3)+1,FALSE)</f>
        <v>0</v>
      </c>
      <c r="W5" s="15" cm="1">
        <f t="array" ref="W5">+HLOOKUP($A$1,+[15]İcmal!$B$19:$AG$49,ROW(N3)+1,FALSE)</f>
        <v>0</v>
      </c>
      <c r="X5" s="15" cm="1">
        <f t="array" ref="X5">+HLOOKUP($A$1,+[16]İcmal!$B$19:$AG$49,ROW(O3)+1,FALSE)</f>
        <v>0</v>
      </c>
      <c r="Y5" s="15" cm="1">
        <f t="array" ref="Y5">+HLOOKUP($A$1,+[17]İcmal!$B$19:$AG$49,ROW(P3)+1,FALSE)</f>
        <v>0</v>
      </c>
      <c r="Z5" s="15" cm="1">
        <f t="array" ref="Z5">+HLOOKUP($A$1,+[18]İcmal!$B$19:$AG$49,ROW(Q3)+1,FALSE)</f>
        <v>0</v>
      </c>
      <c r="AA5" s="15" cm="1">
        <f t="array" ref="AA5">+HLOOKUP($A$1,+[19]İcmal!$B$19:$AG$49,ROW(R3)+1,FALSE)</f>
        <v>0</v>
      </c>
      <c r="AB5" s="15" cm="1">
        <f t="array" ref="AB5">+HLOOKUP($A$1,+[20]İcmal!$B$19:$AG$49,ROW(S3)+1,FALSE)</f>
        <v>0</v>
      </c>
      <c r="AC5" s="15" cm="1">
        <f t="array" ref="AC5">+HLOOKUP($A$1,+[21]İcmal!$B$19:$AG$49,ROW(T3)+1,FALSE)</f>
        <v>0</v>
      </c>
      <c r="AD5" s="15" cm="1">
        <f t="array" ref="AD5">+HLOOKUP($A$1,+[22]İcmal!$B$19:$AG$49,ROW(U3)+1,FALSE)</f>
        <v>0</v>
      </c>
      <c r="AE5" s="15" cm="1">
        <f t="array" ref="AE5">+HLOOKUP($A$1,+[23]İcmal!$B$19:$AG$49,ROW(V3)+1,FALSE)</f>
        <v>0</v>
      </c>
      <c r="AF5" s="15" cm="1">
        <f t="array" ref="AF5">+HLOOKUP($A$1,+[24]İcmal!$B$19:$AG$49,ROW(W3)+1,FALSE)</f>
        <v>0</v>
      </c>
      <c r="AG5" s="15" cm="1">
        <f t="array" ref="AG5">+HLOOKUP($A$1,+[25]İcmal!$B$19:$AG$49,ROW(X3)+1,FALSE)</f>
        <v>0</v>
      </c>
      <c r="AH5" s="15" cm="1">
        <f t="array" ref="AH5">+HLOOKUP($A$1,+[26]İcmal!$B$19:$AG$49,ROW(Y3)+1,FALSE)</f>
        <v>0</v>
      </c>
      <c r="AI5" s="15" cm="1">
        <f t="array" ref="AI5">+HLOOKUP($A$1,+[27]İcmal!$B$19:$AG$49,ROW(Z3)+1,FALSE)</f>
        <v>0</v>
      </c>
      <c r="AJ5" s="15" cm="1">
        <f t="array" ref="AJ5">+HLOOKUP($A$1,+[28]İcmal!$B$19:$AG$49,ROW(AA3)+1,FALSE)</f>
        <v>0</v>
      </c>
      <c r="AK5" s="15" cm="1">
        <f t="array" ref="AK5">+HLOOKUP($A$1,+[29]İcmal!$B$19:$AG$49,ROW(AB3)+1,FALSE)</f>
        <v>0</v>
      </c>
      <c r="AL5" s="15"/>
      <c r="AM5" s="15"/>
      <c r="AN5" s="15"/>
      <c r="AO5" s="15"/>
      <c r="AP5" s="15"/>
      <c r="AQ5" s="15"/>
      <c r="AR5" s="15"/>
      <c r="AS5" s="15"/>
      <c r="AT5" s="13"/>
    </row>
    <row r="6" spans="1:46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692.21699999999998</v>
      </c>
      <c r="I6" s="9">
        <f t="shared" si="2"/>
        <v>10614455.478</v>
      </c>
      <c r="J6" s="15" cm="1">
        <f t="array" ref="J6">+HLOOKUP($A$1,+[2]İcmal!$B$19:$AG$49,ROW(A4)+1,FALSE)</f>
        <v>0.81200000000001182</v>
      </c>
      <c r="K6" s="15" cm="1">
        <f t="array" ref="K6">+HLOOKUP($A$1,+[3]İcmal!$B$19:$AG$49,ROW(B4)+1,FALSE)</f>
        <v>0.47100000000000364</v>
      </c>
      <c r="L6" s="15" cm="1">
        <f t="array" ref="L6">+HLOOKUP($A$1,+[4]İcmal!$B$19:$AG$49,ROW(C4)+1,FALSE)</f>
        <v>84.241</v>
      </c>
      <c r="M6" s="15" cm="1">
        <f t="array" ref="M6">+HLOOKUP($A$1,+[5]İcmal!$B$19:$AG$49,ROW(D4)+1,FALSE)</f>
        <v>79.197999999999993</v>
      </c>
      <c r="N6" s="15" cm="1">
        <f t="array" ref="N6">+HLOOKUP($A$1,+[6]İcmal!$B$19:$AG$49,ROW(E4)+1,FALSE)</f>
        <v>11.942999999999984</v>
      </c>
      <c r="O6" s="15" cm="1">
        <f t="array" ref="O6">+HLOOKUP($A$1,+[7]İcmal!$B$19:$AG$49,ROW(F4)+1,FALSE)</f>
        <v>104.03200000000004</v>
      </c>
      <c r="P6" s="15" cm="1">
        <f t="array" ref="P6">+HLOOKUP($A$1,+[8]İcmal!$B$19:$AG$49,ROW(G4)+1,FALSE)</f>
        <v>0</v>
      </c>
      <c r="Q6" s="15" cm="1">
        <f t="array" ref="Q6">+HLOOKUP($A$1,+[9]İcmal!$B$19:$AG$49,ROW(H4)+1,FALSE)</f>
        <v>0</v>
      </c>
      <c r="R6" s="15" cm="1">
        <f t="array" ref="R6">+HLOOKUP($A$1,+[10]İcmal!$B$19:$AG$49,ROW(I4)+1,FALSE)</f>
        <v>12.620000000000001</v>
      </c>
      <c r="S6" s="15" cm="1">
        <f t="array" ref="S6">+HLOOKUP($A$1,+[11]İcmal!$B$19:$AG$49,ROW(J4)+1,FALSE)</f>
        <v>142.58699999999999</v>
      </c>
      <c r="T6" s="15" cm="1">
        <f t="array" ref="T6">+HLOOKUP($A$1,+[12]İcmal!$B$19:$AG$49,ROW(K4)+1,FALSE)</f>
        <v>0</v>
      </c>
      <c r="U6" s="15" cm="1">
        <f t="array" ref="U6">+HLOOKUP($A$1,+[13]İcmal!$B$19:$AG$49,ROW(L4)+1,FALSE)</f>
        <v>0</v>
      </c>
      <c r="V6" s="15" cm="1">
        <f t="array" ref="V6">+HLOOKUP($A$1,+[14]İcmal!$B$19:$AG$49,ROW(M4)+1,FALSE)</f>
        <v>0</v>
      </c>
      <c r="W6" s="15" cm="1">
        <f t="array" ref="W6">+HLOOKUP($A$1,+[15]İcmal!$B$19:$AG$49,ROW(N4)+1,FALSE)</f>
        <v>0</v>
      </c>
      <c r="X6" s="15" cm="1">
        <f t="array" ref="X6">+HLOOKUP($A$1,+[16]İcmal!$B$19:$AG$49,ROW(O4)+1,FALSE)</f>
        <v>34.348999999999997</v>
      </c>
      <c r="Y6" s="15" cm="1">
        <f t="array" ref="Y6">+HLOOKUP($A$1,+[17]İcmal!$B$19:$AG$49,ROW(P4)+1,FALSE)</f>
        <v>33.459000000000003</v>
      </c>
      <c r="Z6" s="15" cm="1">
        <f t="array" ref="Z6">+HLOOKUP($A$1,+[18]İcmal!$B$19:$AG$49,ROW(Q4)+1,FALSE)</f>
        <v>0</v>
      </c>
      <c r="AA6" s="15" cm="1">
        <f t="array" ref="AA6">+HLOOKUP($A$1,+[19]İcmal!$B$19:$AG$49,ROW(R4)+1,FALSE)</f>
        <v>0</v>
      </c>
      <c r="AB6" s="15" cm="1">
        <f t="array" ref="AB6">+HLOOKUP($A$1,+[20]İcmal!$B$19:$AG$49,ROW(S4)+1,FALSE)</f>
        <v>0</v>
      </c>
      <c r="AC6" s="15" cm="1">
        <f t="array" ref="AC6">+HLOOKUP($A$1,+[21]İcmal!$B$19:$AG$49,ROW(T4)+1,FALSE)</f>
        <v>16.507999999999999</v>
      </c>
      <c r="AD6" s="15" cm="1">
        <f t="array" ref="AD6">+HLOOKUP($A$1,+[22]İcmal!$B$19:$AG$49,ROW(U4)+1,FALSE)</f>
        <v>75.319999999999993</v>
      </c>
      <c r="AE6" s="15" cm="1">
        <f t="array" ref="AE6">+HLOOKUP($A$1,+[23]İcmal!$B$19:$AG$49,ROW(V4)+1,FALSE)</f>
        <v>21.931999999999999</v>
      </c>
      <c r="AF6" s="15" cm="1">
        <f t="array" ref="AF6">+HLOOKUP($A$1,+[24]İcmal!$B$19:$AG$49,ROW(W4)+1,FALSE)</f>
        <v>0</v>
      </c>
      <c r="AG6" s="15" cm="1">
        <f t="array" ref="AG6">+HLOOKUP($A$1,+[25]İcmal!$B$19:$AG$49,ROW(X4)+1,FALSE)</f>
        <v>20.097999999999999</v>
      </c>
      <c r="AH6" s="15" cm="1">
        <f t="array" ref="AH6">+HLOOKUP($A$1,+[26]İcmal!$B$19:$AG$49,ROW(Y4)+1,FALSE)</f>
        <v>0</v>
      </c>
      <c r="AI6" s="15" cm="1">
        <f t="array" ref="AI6">+HLOOKUP($A$1,+[27]İcmal!$B$19:$AG$49,ROW(Z4)+1,FALSE)</f>
        <v>3.59</v>
      </c>
      <c r="AJ6" s="15" cm="1">
        <f t="array" ref="AJ6">+HLOOKUP($A$1,+[28]İcmal!$B$19:$AG$49,ROW(AA4)+1,FALSE)</f>
        <v>51.057000000000002</v>
      </c>
      <c r="AK6" s="15" cm="1">
        <f t="array" ref="AK6">+HLOOKUP($A$1,+[29]İcmal!$B$19:$AG$49,ROW(AB4)+1,FALSE)</f>
        <v>0</v>
      </c>
      <c r="AL6" s="15"/>
      <c r="AM6" s="15"/>
      <c r="AN6" s="15"/>
      <c r="AO6" s="15"/>
      <c r="AP6" s="15"/>
      <c r="AQ6" s="15"/>
      <c r="AR6" s="15"/>
      <c r="AS6" s="15"/>
      <c r="AT6" s="13"/>
    </row>
    <row r="7" spans="1:46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+HLOOKUP($A$1,+[2]İcmal!$B$19:$AG$49,ROW(A5)+1,FALSE)</f>
        <v>0</v>
      </c>
      <c r="K7" s="15" cm="1">
        <f t="array" ref="K7">+HLOOKUP($A$1,+[3]İcmal!$B$19:$AG$49,ROW(B5)+1,FALSE)</f>
        <v>0</v>
      </c>
      <c r="L7" s="15" cm="1">
        <f t="array" ref="L7">+HLOOKUP($A$1,+[4]İcmal!$B$19:$AG$49,ROW(C5)+1,FALSE)</f>
        <v>0</v>
      </c>
      <c r="M7" s="15" cm="1">
        <f t="array" ref="M7">+HLOOKUP($A$1,+[5]İcmal!$B$19:$AG$49,ROW(D5)+1,FALSE)</f>
        <v>0</v>
      </c>
      <c r="N7" s="15" cm="1">
        <f t="array" ref="N7">+HLOOKUP($A$1,+[6]İcmal!$B$19:$AG$49,ROW(E5)+1,FALSE)</f>
        <v>0</v>
      </c>
      <c r="O7" s="15" cm="1">
        <f t="array" ref="O7">+HLOOKUP($A$1,+[7]İcmal!$B$19:$AG$49,ROW(F5)+1,FALSE)</f>
        <v>0</v>
      </c>
      <c r="P7" s="15" cm="1">
        <f t="array" ref="P7">+HLOOKUP($A$1,+[8]İcmal!$B$19:$AG$49,ROW(G5)+1,FALSE)</f>
        <v>0</v>
      </c>
      <c r="Q7" s="15" cm="1">
        <f t="array" ref="Q7">+HLOOKUP($A$1,+[9]İcmal!$B$19:$AG$49,ROW(H5)+1,FALSE)</f>
        <v>0</v>
      </c>
      <c r="R7" s="15" cm="1">
        <f t="array" ref="R7">+HLOOKUP($A$1,+[10]İcmal!$B$19:$AG$49,ROW(I5)+1,FALSE)</f>
        <v>0</v>
      </c>
      <c r="S7" s="15" cm="1">
        <f t="array" ref="S7">+HLOOKUP($A$1,+[11]İcmal!$B$19:$AG$49,ROW(J5)+1,FALSE)</f>
        <v>0</v>
      </c>
      <c r="T7" s="15" cm="1">
        <f t="array" ref="T7">+HLOOKUP($A$1,+[12]İcmal!$B$19:$AG$49,ROW(K5)+1,FALSE)</f>
        <v>0</v>
      </c>
      <c r="U7" s="15" cm="1">
        <f t="array" ref="U7">+HLOOKUP($A$1,+[13]İcmal!$B$19:$AG$49,ROW(L5)+1,FALSE)</f>
        <v>0</v>
      </c>
      <c r="V7" s="15" cm="1">
        <f t="array" ref="V7">+HLOOKUP($A$1,+[14]İcmal!$B$19:$AG$49,ROW(M5)+1,FALSE)</f>
        <v>0</v>
      </c>
      <c r="W7" s="15" cm="1">
        <f t="array" ref="W7">+HLOOKUP($A$1,+[15]İcmal!$B$19:$AG$49,ROW(N5)+1,FALSE)</f>
        <v>0</v>
      </c>
      <c r="X7" s="15" cm="1">
        <f t="array" ref="X7">+HLOOKUP($A$1,+[16]İcmal!$B$19:$AG$49,ROW(O5)+1,FALSE)</f>
        <v>0</v>
      </c>
      <c r="Y7" s="15" cm="1">
        <f t="array" ref="Y7">+HLOOKUP($A$1,+[17]İcmal!$B$19:$AG$49,ROW(P5)+1,FALSE)</f>
        <v>0</v>
      </c>
      <c r="Z7" s="15" cm="1">
        <f t="array" ref="Z7">+HLOOKUP($A$1,+[18]İcmal!$B$19:$AG$49,ROW(Q5)+1,FALSE)</f>
        <v>0</v>
      </c>
      <c r="AA7" s="15" cm="1">
        <f t="array" ref="AA7">+HLOOKUP($A$1,+[19]İcmal!$B$19:$AG$49,ROW(R5)+1,FALSE)</f>
        <v>0</v>
      </c>
      <c r="AB7" s="15" cm="1">
        <f t="array" ref="AB7">+HLOOKUP($A$1,+[20]İcmal!$B$19:$AG$49,ROW(S5)+1,FALSE)</f>
        <v>0</v>
      </c>
      <c r="AC7" s="15" cm="1">
        <f t="array" ref="AC7">+HLOOKUP($A$1,+[21]İcmal!$B$19:$AG$49,ROW(T5)+1,FALSE)</f>
        <v>0</v>
      </c>
      <c r="AD7" s="15" cm="1">
        <f t="array" ref="AD7">+HLOOKUP($A$1,+[22]İcmal!$B$19:$AG$49,ROW(U5)+1,FALSE)</f>
        <v>0</v>
      </c>
      <c r="AE7" s="15" cm="1">
        <f t="array" ref="AE7">+HLOOKUP($A$1,+[23]İcmal!$B$19:$AG$49,ROW(V5)+1,FALSE)</f>
        <v>0</v>
      </c>
      <c r="AF7" s="15" cm="1">
        <f t="array" ref="AF7">+HLOOKUP($A$1,+[24]İcmal!$B$19:$AG$49,ROW(W5)+1,FALSE)</f>
        <v>0</v>
      </c>
      <c r="AG7" s="15" cm="1">
        <f t="array" ref="AG7">+HLOOKUP($A$1,+[25]İcmal!$B$19:$AG$49,ROW(X5)+1,FALSE)</f>
        <v>0</v>
      </c>
      <c r="AH7" s="15" cm="1">
        <f t="array" ref="AH7">+HLOOKUP($A$1,+[26]İcmal!$B$19:$AG$49,ROW(Y5)+1,FALSE)</f>
        <v>0</v>
      </c>
      <c r="AI7" s="15" cm="1">
        <f t="array" ref="AI7">+HLOOKUP($A$1,+[27]İcmal!$B$19:$AG$49,ROW(Z5)+1,FALSE)</f>
        <v>0</v>
      </c>
      <c r="AJ7" s="15" cm="1">
        <f t="array" ref="AJ7">+HLOOKUP($A$1,+[28]İcmal!$B$19:$AG$49,ROW(AA5)+1,FALSE)</f>
        <v>0</v>
      </c>
      <c r="AK7" s="15" cm="1">
        <f t="array" ref="AK7">+HLOOKUP($A$1,+[29]İcmal!$B$19:$AG$49,ROW(AB5)+1,FALSE)</f>
        <v>0</v>
      </c>
      <c r="AL7" s="15"/>
      <c r="AM7" s="15"/>
      <c r="AN7" s="15"/>
      <c r="AO7" s="15"/>
      <c r="AP7" s="15"/>
      <c r="AQ7" s="15"/>
      <c r="AR7" s="15"/>
      <c r="AS7" s="15"/>
      <c r="AT7" s="13"/>
    </row>
    <row r="8" spans="1:46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+HLOOKUP($A$1,+[2]İcmal!$B$19:$AG$49,ROW(A6)+1,FALSE)</f>
        <v>0</v>
      </c>
      <c r="K8" s="15" cm="1">
        <f t="array" ref="K8">+HLOOKUP($A$1,+[3]İcmal!$B$19:$AG$49,ROW(B6)+1,FALSE)</f>
        <v>0</v>
      </c>
      <c r="L8" s="15" cm="1">
        <f t="array" ref="L8">+HLOOKUP($A$1,+[4]İcmal!$B$19:$AG$49,ROW(C6)+1,FALSE)</f>
        <v>0</v>
      </c>
      <c r="M8" s="15" cm="1">
        <f t="array" ref="M8">+HLOOKUP($A$1,+[5]İcmal!$B$19:$AG$49,ROW(D6)+1,FALSE)</f>
        <v>0</v>
      </c>
      <c r="N8" s="15" cm="1">
        <f t="array" ref="N8">+HLOOKUP($A$1,+[6]İcmal!$B$19:$AG$49,ROW(E6)+1,FALSE)</f>
        <v>0</v>
      </c>
      <c r="O8" s="15" cm="1">
        <f t="array" ref="O8">+HLOOKUP($A$1,+[7]İcmal!$B$19:$AG$49,ROW(F6)+1,FALSE)</f>
        <v>0</v>
      </c>
      <c r="P8" s="15" cm="1">
        <f t="array" ref="P8">+HLOOKUP($A$1,+[8]İcmal!$B$19:$AG$49,ROW(G6)+1,FALSE)</f>
        <v>0</v>
      </c>
      <c r="Q8" s="15" cm="1">
        <f t="array" ref="Q8">+HLOOKUP($A$1,+[9]İcmal!$B$19:$AG$49,ROW(H6)+1,FALSE)</f>
        <v>0</v>
      </c>
      <c r="R8" s="15" cm="1">
        <f t="array" ref="R8">+HLOOKUP($A$1,+[10]İcmal!$B$19:$AG$49,ROW(I6)+1,FALSE)</f>
        <v>0</v>
      </c>
      <c r="S8" s="15" cm="1">
        <f t="array" ref="S8">+HLOOKUP($A$1,+[11]İcmal!$B$19:$AG$49,ROW(J6)+1,FALSE)</f>
        <v>0</v>
      </c>
      <c r="T8" s="15" cm="1">
        <f t="array" ref="T8">+HLOOKUP($A$1,+[12]İcmal!$B$19:$AG$49,ROW(K6)+1,FALSE)</f>
        <v>0</v>
      </c>
      <c r="U8" s="15" cm="1">
        <f t="array" ref="U8">+HLOOKUP($A$1,+[13]İcmal!$B$19:$AG$49,ROW(L6)+1,FALSE)</f>
        <v>0</v>
      </c>
      <c r="V8" s="15" cm="1">
        <f t="array" ref="V8">+HLOOKUP($A$1,+[14]İcmal!$B$19:$AG$49,ROW(M6)+1,FALSE)</f>
        <v>0</v>
      </c>
      <c r="W8" s="15" cm="1">
        <f t="array" ref="W8">+HLOOKUP($A$1,+[15]İcmal!$B$19:$AG$49,ROW(N6)+1,FALSE)</f>
        <v>0</v>
      </c>
      <c r="X8" s="15" cm="1">
        <f t="array" ref="X8">+HLOOKUP($A$1,+[16]İcmal!$B$19:$AG$49,ROW(O6)+1,FALSE)</f>
        <v>0</v>
      </c>
      <c r="Y8" s="15" cm="1">
        <f t="array" ref="Y8">+HLOOKUP($A$1,+[17]İcmal!$B$19:$AG$49,ROW(P6)+1,FALSE)</f>
        <v>0</v>
      </c>
      <c r="Z8" s="15" cm="1">
        <f t="array" ref="Z8">+HLOOKUP($A$1,+[18]İcmal!$B$19:$AG$49,ROW(Q6)+1,FALSE)</f>
        <v>0</v>
      </c>
      <c r="AA8" s="15" cm="1">
        <f t="array" ref="AA8">+HLOOKUP($A$1,+[19]İcmal!$B$19:$AG$49,ROW(R6)+1,FALSE)</f>
        <v>0</v>
      </c>
      <c r="AB8" s="15" cm="1">
        <f t="array" ref="AB8">+HLOOKUP($A$1,+[20]İcmal!$B$19:$AG$49,ROW(S6)+1,FALSE)</f>
        <v>0</v>
      </c>
      <c r="AC8" s="15" cm="1">
        <f t="array" ref="AC8">+HLOOKUP($A$1,+[21]İcmal!$B$19:$AG$49,ROW(T6)+1,FALSE)</f>
        <v>0</v>
      </c>
      <c r="AD8" s="15" cm="1">
        <f t="array" ref="AD8">+HLOOKUP($A$1,+[22]İcmal!$B$19:$AG$49,ROW(U6)+1,FALSE)</f>
        <v>0</v>
      </c>
      <c r="AE8" s="15" cm="1">
        <f t="array" ref="AE8">+HLOOKUP($A$1,+[23]İcmal!$B$19:$AG$49,ROW(V6)+1,FALSE)</f>
        <v>0</v>
      </c>
      <c r="AF8" s="15" cm="1">
        <f t="array" ref="AF8">+HLOOKUP($A$1,+[24]İcmal!$B$19:$AG$49,ROW(W6)+1,FALSE)</f>
        <v>0</v>
      </c>
      <c r="AG8" s="15" cm="1">
        <f t="array" ref="AG8">+HLOOKUP($A$1,+[25]İcmal!$B$19:$AG$49,ROW(X6)+1,FALSE)</f>
        <v>0</v>
      </c>
      <c r="AH8" s="15" cm="1">
        <f t="array" ref="AH8">+HLOOKUP($A$1,+[26]İcmal!$B$19:$AG$49,ROW(Y6)+1,FALSE)</f>
        <v>0</v>
      </c>
      <c r="AI8" s="15" cm="1">
        <f t="array" ref="AI8">+HLOOKUP($A$1,+[27]İcmal!$B$19:$AG$49,ROW(Z6)+1,FALSE)</f>
        <v>0</v>
      </c>
      <c r="AJ8" s="15" cm="1">
        <f t="array" ref="AJ8">+HLOOKUP($A$1,+[28]İcmal!$B$19:$AG$49,ROW(AA6)+1,FALSE)</f>
        <v>0</v>
      </c>
      <c r="AK8" s="15" cm="1">
        <f t="array" ref="AK8">+HLOOKUP($A$1,+[29]İcmal!$B$19:$AG$49,ROW(AB6)+1,FALSE)</f>
        <v>0</v>
      </c>
      <c r="AL8" s="15"/>
      <c r="AM8" s="15"/>
      <c r="AN8" s="15"/>
      <c r="AO8" s="15"/>
      <c r="AP8" s="15"/>
      <c r="AQ8" s="15"/>
      <c r="AR8" s="15"/>
      <c r="AS8" s="15"/>
      <c r="AT8" s="13"/>
    </row>
    <row r="9" spans="1:46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+HLOOKUP($A$1,+[2]İcmal!$B$19:$AG$49,ROW(A7)+1,FALSE)</f>
        <v>0</v>
      </c>
      <c r="K9" s="15" cm="1">
        <f t="array" ref="K9">+HLOOKUP($A$1,+[3]İcmal!$B$19:$AG$49,ROW(B7)+1,FALSE)</f>
        <v>0</v>
      </c>
      <c r="L9" s="15" cm="1">
        <f t="array" ref="L9">+HLOOKUP($A$1,+[4]İcmal!$B$19:$AG$49,ROW(C7)+1,FALSE)</f>
        <v>0</v>
      </c>
      <c r="M9" s="15" cm="1">
        <f t="array" ref="M9">+HLOOKUP($A$1,+[5]İcmal!$B$19:$AG$49,ROW(D7)+1,FALSE)</f>
        <v>0</v>
      </c>
      <c r="N9" s="15" cm="1">
        <f t="array" ref="N9">+HLOOKUP($A$1,+[6]İcmal!$B$19:$AG$49,ROW(E7)+1,FALSE)</f>
        <v>0</v>
      </c>
      <c r="O9" s="15" cm="1">
        <f t="array" ref="O9">+HLOOKUP($A$1,+[7]İcmal!$B$19:$AG$49,ROW(F7)+1,FALSE)</f>
        <v>0</v>
      </c>
      <c r="P9" s="15" cm="1">
        <f t="array" ref="P9">+HLOOKUP($A$1,+[8]İcmal!$B$19:$AG$49,ROW(G7)+1,FALSE)</f>
        <v>0</v>
      </c>
      <c r="Q9" s="15" cm="1">
        <f t="array" ref="Q9">+HLOOKUP($A$1,+[9]İcmal!$B$19:$AG$49,ROW(H7)+1,FALSE)</f>
        <v>0</v>
      </c>
      <c r="R9" s="15" cm="1">
        <f t="array" ref="R9">+HLOOKUP($A$1,+[10]İcmal!$B$19:$AG$49,ROW(I7)+1,FALSE)</f>
        <v>0</v>
      </c>
      <c r="S9" s="15" cm="1">
        <f t="array" ref="S9">+HLOOKUP($A$1,+[11]İcmal!$B$19:$AG$49,ROW(J7)+1,FALSE)</f>
        <v>0</v>
      </c>
      <c r="T9" s="15" cm="1">
        <f t="array" ref="T9">+HLOOKUP($A$1,+[12]İcmal!$B$19:$AG$49,ROW(K7)+1,FALSE)</f>
        <v>0</v>
      </c>
      <c r="U9" s="15" cm="1">
        <f t="array" ref="U9">+HLOOKUP($A$1,+[13]İcmal!$B$19:$AG$49,ROW(L7)+1,FALSE)</f>
        <v>0</v>
      </c>
      <c r="V9" s="15" cm="1">
        <f t="array" ref="V9">+HLOOKUP($A$1,+[14]İcmal!$B$19:$AG$49,ROW(M7)+1,FALSE)</f>
        <v>0</v>
      </c>
      <c r="W9" s="15" cm="1">
        <f t="array" ref="W9">+HLOOKUP($A$1,+[15]İcmal!$B$19:$AG$49,ROW(N7)+1,FALSE)</f>
        <v>0</v>
      </c>
      <c r="X9" s="15" cm="1">
        <f t="array" ref="X9">+HLOOKUP($A$1,+[16]İcmal!$B$19:$AG$49,ROW(O7)+1,FALSE)</f>
        <v>0</v>
      </c>
      <c r="Y9" s="15" cm="1">
        <f t="array" ref="Y9">+HLOOKUP($A$1,+[17]İcmal!$B$19:$AG$49,ROW(P7)+1,FALSE)</f>
        <v>0</v>
      </c>
      <c r="Z9" s="15" cm="1">
        <f t="array" ref="Z9">+HLOOKUP($A$1,+[18]İcmal!$B$19:$AG$49,ROW(Q7)+1,FALSE)</f>
        <v>0</v>
      </c>
      <c r="AA9" s="15" cm="1">
        <f t="array" ref="AA9">+HLOOKUP($A$1,+[19]İcmal!$B$19:$AG$49,ROW(R7)+1,FALSE)</f>
        <v>0</v>
      </c>
      <c r="AB9" s="15" cm="1">
        <f t="array" ref="AB9">+HLOOKUP($A$1,+[20]İcmal!$B$19:$AG$49,ROW(S7)+1,FALSE)</f>
        <v>0</v>
      </c>
      <c r="AC9" s="15" cm="1">
        <f t="array" ref="AC9">+HLOOKUP($A$1,+[21]İcmal!$B$19:$AG$49,ROW(T7)+1,FALSE)</f>
        <v>0</v>
      </c>
      <c r="AD9" s="15" cm="1">
        <f t="array" ref="AD9">+HLOOKUP($A$1,+[22]İcmal!$B$19:$AG$49,ROW(U7)+1,FALSE)</f>
        <v>0</v>
      </c>
      <c r="AE9" s="15" cm="1">
        <f t="array" ref="AE9">+HLOOKUP($A$1,+[23]İcmal!$B$19:$AG$49,ROW(V7)+1,FALSE)</f>
        <v>0</v>
      </c>
      <c r="AF9" s="15" cm="1">
        <f t="array" ref="AF9">+HLOOKUP($A$1,+[24]İcmal!$B$19:$AG$49,ROW(W7)+1,FALSE)</f>
        <v>0</v>
      </c>
      <c r="AG9" s="15" cm="1">
        <f t="array" ref="AG9">+HLOOKUP($A$1,+[25]İcmal!$B$19:$AG$49,ROW(X7)+1,FALSE)</f>
        <v>0</v>
      </c>
      <c r="AH9" s="15" cm="1">
        <f t="array" ref="AH9">+HLOOKUP($A$1,+[26]İcmal!$B$19:$AG$49,ROW(Y7)+1,FALSE)</f>
        <v>0</v>
      </c>
      <c r="AI9" s="15" cm="1">
        <f t="array" ref="AI9">+HLOOKUP($A$1,+[27]İcmal!$B$19:$AG$49,ROW(Z7)+1,FALSE)</f>
        <v>0</v>
      </c>
      <c r="AJ9" s="15" cm="1">
        <f t="array" ref="AJ9">+HLOOKUP($A$1,+[28]İcmal!$B$19:$AG$49,ROW(AA7)+1,FALSE)</f>
        <v>0</v>
      </c>
      <c r="AK9" s="15" cm="1">
        <f t="array" ref="AK9">+HLOOKUP($A$1,+[29]İcmal!$B$19:$AG$49,ROW(AB7)+1,FALSE)</f>
        <v>0</v>
      </c>
      <c r="AL9" s="15"/>
      <c r="AM9" s="15"/>
      <c r="AN9" s="15"/>
      <c r="AO9" s="15"/>
      <c r="AP9" s="15"/>
      <c r="AQ9" s="15"/>
      <c r="AR9" s="15"/>
      <c r="AS9" s="15"/>
      <c r="AT9" s="13"/>
    </row>
    <row r="10" spans="1:46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31</v>
      </c>
      <c r="I10" s="9">
        <f t="shared" si="2"/>
        <v>248000</v>
      </c>
      <c r="J10" s="15" cm="1">
        <f t="array" ref="J10">+HLOOKUP($A$1,+[2]İcmal!$B$19:$AG$49,ROW(A8)+1,FALSE)</f>
        <v>0</v>
      </c>
      <c r="K10" s="15" cm="1">
        <f t="array" ref="K10">+HLOOKUP($A$1,+[3]İcmal!$B$19:$AG$49,ROW(B8)+1,FALSE)</f>
        <v>0</v>
      </c>
      <c r="L10" s="15" cm="1">
        <f t="array" ref="L10">+HLOOKUP($A$1,+[4]İcmal!$B$19:$AG$49,ROW(C8)+1,FALSE)</f>
        <v>0</v>
      </c>
      <c r="M10" s="15" cm="1">
        <f t="array" ref="M10">+HLOOKUP($A$1,+[5]İcmal!$B$19:$AG$49,ROW(D8)+1,FALSE)</f>
        <v>0</v>
      </c>
      <c r="N10" s="15" cm="1">
        <f t="array" ref="N10">+HLOOKUP($A$1,+[6]İcmal!$B$19:$AG$49,ROW(E8)+1,FALSE)</f>
        <v>0</v>
      </c>
      <c r="O10" s="15" cm="1">
        <f t="array" ref="O10">+HLOOKUP($A$1,+[7]İcmal!$B$19:$AG$49,ROW(F8)+1,FALSE)</f>
        <v>0</v>
      </c>
      <c r="P10" s="15" cm="1">
        <f t="array" ref="P10">+HLOOKUP($A$1,+[8]İcmal!$B$19:$AG$49,ROW(G8)+1,FALSE)</f>
        <v>0</v>
      </c>
      <c r="Q10" s="15" cm="1">
        <f t="array" ref="Q10">+HLOOKUP($A$1,+[9]İcmal!$B$19:$AG$49,ROW(H8)+1,FALSE)</f>
        <v>0</v>
      </c>
      <c r="R10" s="15" cm="1">
        <f t="array" ref="R10">+HLOOKUP($A$1,+[10]İcmal!$B$19:$AG$49,ROW(I8)+1,FALSE)</f>
        <v>31</v>
      </c>
      <c r="S10" s="15" cm="1">
        <f t="array" ref="S10">+HLOOKUP($A$1,+[11]İcmal!$B$19:$AG$49,ROW(J8)+1,FALSE)</f>
        <v>0</v>
      </c>
      <c r="T10" s="15" cm="1">
        <f t="array" ref="T10">+HLOOKUP($A$1,+[12]İcmal!$B$19:$AG$49,ROW(K8)+1,FALSE)</f>
        <v>0</v>
      </c>
      <c r="U10" s="15" cm="1">
        <f t="array" ref="U10">+HLOOKUP($A$1,+[13]İcmal!$B$19:$AG$49,ROW(L8)+1,FALSE)</f>
        <v>0</v>
      </c>
      <c r="V10" s="15" cm="1">
        <f t="array" ref="V10">+HLOOKUP($A$1,+[14]İcmal!$B$19:$AG$49,ROW(M8)+1,FALSE)</f>
        <v>0</v>
      </c>
      <c r="W10" s="15" cm="1">
        <f t="array" ref="W10">+HLOOKUP($A$1,+[15]İcmal!$B$19:$AG$49,ROW(N8)+1,FALSE)</f>
        <v>0</v>
      </c>
      <c r="X10" s="15" cm="1">
        <f t="array" ref="X10">+HLOOKUP($A$1,+[16]İcmal!$B$19:$AG$49,ROW(O8)+1,FALSE)</f>
        <v>0</v>
      </c>
      <c r="Y10" s="15" cm="1">
        <f t="array" ref="Y10">+HLOOKUP($A$1,+[17]İcmal!$B$19:$AG$49,ROW(P8)+1,FALSE)</f>
        <v>0</v>
      </c>
      <c r="Z10" s="15" cm="1">
        <f t="array" ref="Z10">+HLOOKUP($A$1,+[18]İcmal!$B$19:$AG$49,ROW(Q8)+1,FALSE)</f>
        <v>0</v>
      </c>
      <c r="AA10" s="15" cm="1">
        <f t="array" ref="AA10">+HLOOKUP($A$1,+[19]İcmal!$B$19:$AG$49,ROW(R8)+1,FALSE)</f>
        <v>0</v>
      </c>
      <c r="AB10" s="15" cm="1">
        <f t="array" ref="AB10">+HLOOKUP($A$1,+[20]İcmal!$B$19:$AG$49,ROW(S8)+1,FALSE)</f>
        <v>0</v>
      </c>
      <c r="AC10" s="15" cm="1">
        <f t="array" ref="AC10">+HLOOKUP($A$1,+[21]İcmal!$B$19:$AG$49,ROW(T8)+1,FALSE)</f>
        <v>0</v>
      </c>
      <c r="AD10" s="15" cm="1">
        <f t="array" ref="AD10">+HLOOKUP($A$1,+[22]İcmal!$B$19:$AG$49,ROW(U8)+1,FALSE)</f>
        <v>0</v>
      </c>
      <c r="AE10" s="15" cm="1">
        <f t="array" ref="AE10">+HLOOKUP($A$1,+[23]İcmal!$B$19:$AG$49,ROW(V8)+1,FALSE)</f>
        <v>0</v>
      </c>
      <c r="AF10" s="15" cm="1">
        <f t="array" ref="AF10">+HLOOKUP($A$1,+[24]İcmal!$B$19:$AG$49,ROW(W8)+1,FALSE)</f>
        <v>0</v>
      </c>
      <c r="AG10" s="15" cm="1">
        <f t="array" ref="AG10">+HLOOKUP($A$1,+[25]İcmal!$B$19:$AG$49,ROW(X8)+1,FALSE)</f>
        <v>0</v>
      </c>
      <c r="AH10" s="15" cm="1">
        <f t="array" ref="AH10">+HLOOKUP($A$1,+[26]İcmal!$B$19:$AG$49,ROW(Y8)+1,FALSE)</f>
        <v>0</v>
      </c>
      <c r="AI10" s="15" cm="1">
        <f t="array" ref="AI10">+HLOOKUP($A$1,+[27]İcmal!$B$19:$AG$49,ROW(Z8)+1,FALSE)</f>
        <v>0</v>
      </c>
      <c r="AJ10" s="15" cm="1">
        <f t="array" ref="AJ10">+HLOOKUP($A$1,+[28]İcmal!$B$19:$AG$49,ROW(AA8)+1,FALSE)</f>
        <v>0</v>
      </c>
      <c r="AK10" s="15" cm="1">
        <f t="array" ref="AK10">+HLOOKUP($A$1,+[29]İcmal!$B$19:$AG$49,ROW(AB8)+1,FALSE)</f>
        <v>0</v>
      </c>
      <c r="AL10" s="15"/>
      <c r="AM10" s="15"/>
      <c r="AN10" s="15"/>
      <c r="AO10" s="15"/>
      <c r="AP10" s="15"/>
      <c r="AQ10" s="15"/>
      <c r="AR10" s="15"/>
      <c r="AS10" s="15"/>
      <c r="AT10" s="13"/>
    </row>
    <row r="11" spans="1:46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+HLOOKUP($A$1,+[2]İcmal!$B$19:$AG$49,ROW(A9)+1,FALSE)</f>
        <v>0</v>
      </c>
      <c r="K11" s="15" cm="1">
        <f t="array" ref="K11">+HLOOKUP($A$1,+[3]İcmal!$B$19:$AG$49,ROW(B9)+1,FALSE)</f>
        <v>0</v>
      </c>
      <c r="L11" s="15" cm="1">
        <f t="array" ref="L11">+HLOOKUP($A$1,+[4]İcmal!$B$19:$AG$49,ROW(C9)+1,FALSE)</f>
        <v>0</v>
      </c>
      <c r="M11" s="15" cm="1">
        <f t="array" ref="M11">+HLOOKUP($A$1,+[5]İcmal!$B$19:$AG$49,ROW(D9)+1,FALSE)</f>
        <v>0</v>
      </c>
      <c r="N11" s="15" cm="1">
        <f t="array" ref="N11">+HLOOKUP($A$1,+[6]İcmal!$B$19:$AG$49,ROW(E9)+1,FALSE)</f>
        <v>0</v>
      </c>
      <c r="O11" s="15" cm="1">
        <f t="array" ref="O11">+HLOOKUP($A$1,+[7]İcmal!$B$19:$AG$49,ROW(F9)+1,FALSE)</f>
        <v>0</v>
      </c>
      <c r="P11" s="15" cm="1">
        <f t="array" ref="P11">+HLOOKUP($A$1,+[8]İcmal!$B$19:$AG$49,ROW(G9)+1,FALSE)</f>
        <v>0</v>
      </c>
      <c r="Q11" s="15" cm="1">
        <f t="array" ref="Q11">+HLOOKUP($A$1,+[9]İcmal!$B$19:$AG$49,ROW(H9)+1,FALSE)</f>
        <v>0</v>
      </c>
      <c r="R11" s="15" cm="1">
        <f t="array" ref="R11">+HLOOKUP($A$1,+[10]İcmal!$B$19:$AG$49,ROW(I9)+1,FALSE)</f>
        <v>0</v>
      </c>
      <c r="S11" s="15" cm="1">
        <f t="array" ref="S11">+HLOOKUP($A$1,+[11]İcmal!$B$19:$AG$49,ROW(J9)+1,FALSE)</f>
        <v>0</v>
      </c>
      <c r="T11" s="15" cm="1">
        <f t="array" ref="T11">+HLOOKUP($A$1,+[12]İcmal!$B$19:$AG$49,ROW(K9)+1,FALSE)</f>
        <v>0</v>
      </c>
      <c r="U11" s="15" cm="1">
        <f t="array" ref="U11">+HLOOKUP($A$1,+[13]İcmal!$B$19:$AG$49,ROW(L9)+1,FALSE)</f>
        <v>0</v>
      </c>
      <c r="V11" s="15" cm="1">
        <f t="array" ref="V11">+HLOOKUP($A$1,+[14]İcmal!$B$19:$AG$49,ROW(M9)+1,FALSE)</f>
        <v>0</v>
      </c>
      <c r="W11" s="15" cm="1">
        <f t="array" ref="W11">+HLOOKUP($A$1,+[15]İcmal!$B$19:$AG$49,ROW(N9)+1,FALSE)</f>
        <v>0</v>
      </c>
      <c r="X11" s="15" cm="1">
        <f t="array" ref="X11">+HLOOKUP($A$1,+[16]İcmal!$B$19:$AG$49,ROW(O9)+1,FALSE)</f>
        <v>0</v>
      </c>
      <c r="Y11" s="15" cm="1">
        <f t="array" ref="Y11">+HLOOKUP($A$1,+[17]İcmal!$B$19:$AG$49,ROW(P9)+1,FALSE)</f>
        <v>0</v>
      </c>
      <c r="Z11" s="15" cm="1">
        <f t="array" ref="Z11">+HLOOKUP($A$1,+[18]İcmal!$B$19:$AG$49,ROW(Q9)+1,FALSE)</f>
        <v>0</v>
      </c>
      <c r="AA11" s="15" cm="1">
        <f t="array" ref="AA11">+HLOOKUP($A$1,+[19]İcmal!$B$19:$AG$49,ROW(R9)+1,FALSE)</f>
        <v>0</v>
      </c>
      <c r="AB11" s="15" cm="1">
        <f t="array" ref="AB11">+HLOOKUP($A$1,+[20]İcmal!$B$19:$AG$49,ROW(S9)+1,FALSE)</f>
        <v>0</v>
      </c>
      <c r="AC11" s="15" cm="1">
        <f t="array" ref="AC11">+HLOOKUP($A$1,+[21]İcmal!$B$19:$AG$49,ROW(T9)+1,FALSE)</f>
        <v>0</v>
      </c>
      <c r="AD11" s="15" cm="1">
        <f t="array" ref="AD11">+HLOOKUP($A$1,+[22]İcmal!$B$19:$AG$49,ROW(U9)+1,FALSE)</f>
        <v>0</v>
      </c>
      <c r="AE11" s="15" cm="1">
        <f t="array" ref="AE11">+HLOOKUP($A$1,+[23]İcmal!$B$19:$AG$49,ROW(V9)+1,FALSE)</f>
        <v>0</v>
      </c>
      <c r="AF11" s="15" cm="1">
        <f t="array" ref="AF11">+HLOOKUP($A$1,+[24]İcmal!$B$19:$AG$49,ROW(W9)+1,FALSE)</f>
        <v>0</v>
      </c>
      <c r="AG11" s="15" cm="1">
        <f t="array" ref="AG11">+HLOOKUP($A$1,+[25]İcmal!$B$19:$AG$49,ROW(X9)+1,FALSE)</f>
        <v>0</v>
      </c>
      <c r="AH11" s="15" cm="1">
        <f t="array" ref="AH11">+HLOOKUP($A$1,+[26]İcmal!$B$19:$AG$49,ROW(Y9)+1,FALSE)</f>
        <v>0</v>
      </c>
      <c r="AI11" s="15" cm="1">
        <f t="array" ref="AI11">+HLOOKUP($A$1,+[27]İcmal!$B$19:$AG$49,ROW(Z9)+1,FALSE)</f>
        <v>0</v>
      </c>
      <c r="AJ11" s="15" cm="1">
        <f t="array" ref="AJ11">+HLOOKUP($A$1,+[28]İcmal!$B$19:$AG$49,ROW(AA9)+1,FALSE)</f>
        <v>0</v>
      </c>
      <c r="AK11" s="15" cm="1">
        <f t="array" ref="AK11">+HLOOKUP($A$1,+[29]İcmal!$B$19:$AG$49,ROW(AB9)+1,FALSE)</f>
        <v>0</v>
      </c>
      <c r="AL11" s="15"/>
      <c r="AM11" s="15"/>
      <c r="AN11" s="15"/>
      <c r="AO11" s="15"/>
      <c r="AP11" s="15"/>
      <c r="AQ11" s="15"/>
      <c r="AR11" s="15"/>
      <c r="AS11" s="15"/>
      <c r="AT11" s="13"/>
    </row>
    <row r="12" spans="1:46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700</v>
      </c>
      <c r="I12" s="9">
        <f t="shared" si="2"/>
        <v>8400000</v>
      </c>
      <c r="J12" s="15" cm="1">
        <f t="array" ref="J12">+HLOOKUP($A$1,+[2]İcmal!$B$19:$AG$49,ROW(A10)+1,FALSE)</f>
        <v>0</v>
      </c>
      <c r="K12" s="15" cm="1">
        <f t="array" ref="K12">+HLOOKUP($A$1,+[3]İcmal!$B$19:$AG$49,ROW(B10)+1,FALSE)</f>
        <v>0</v>
      </c>
      <c r="L12" s="15" cm="1">
        <f t="array" ref="L12">+HLOOKUP($A$1,+[4]İcmal!$B$19:$AG$49,ROW(C10)+1,FALSE)</f>
        <v>0</v>
      </c>
      <c r="M12" s="15" cm="1">
        <f t="array" ref="M12">+HLOOKUP($A$1,+[5]İcmal!$B$19:$AG$49,ROW(D10)+1,FALSE)</f>
        <v>0</v>
      </c>
      <c r="N12" s="15" cm="1">
        <f t="array" ref="N12">+HLOOKUP($A$1,+[6]İcmal!$B$19:$AG$49,ROW(E10)+1,FALSE)</f>
        <v>0</v>
      </c>
      <c r="O12" s="15" cm="1">
        <f t="array" ref="O12">+HLOOKUP($A$1,+[7]İcmal!$B$19:$AG$49,ROW(F10)+1,FALSE)</f>
        <v>0</v>
      </c>
      <c r="P12" s="15" cm="1">
        <f t="array" ref="P12">+HLOOKUP($A$1,+[8]İcmal!$B$19:$AG$49,ROW(G10)+1,FALSE)</f>
        <v>0</v>
      </c>
      <c r="Q12" s="15" cm="1">
        <f t="array" ref="Q12">+HLOOKUP($A$1,+[9]İcmal!$B$19:$AG$49,ROW(H10)+1,FALSE)</f>
        <v>0</v>
      </c>
      <c r="R12" s="15" cm="1">
        <f t="array" ref="R12">+HLOOKUP($A$1,+[10]İcmal!$B$19:$AG$49,ROW(I10)+1,FALSE)</f>
        <v>0</v>
      </c>
      <c r="S12" s="15" cm="1">
        <f t="array" ref="S12">+HLOOKUP($A$1,+[11]İcmal!$B$19:$AG$49,ROW(J10)+1,FALSE)</f>
        <v>0</v>
      </c>
      <c r="T12" s="15" cm="1">
        <f t="array" ref="T12">+HLOOKUP($A$1,+[12]İcmal!$B$19:$AG$49,ROW(K10)+1,FALSE)</f>
        <v>0</v>
      </c>
      <c r="U12" s="15" cm="1">
        <f t="array" ref="U12">+HLOOKUP($A$1,+[13]İcmal!$B$19:$AG$49,ROW(L10)+1,FALSE)</f>
        <v>0</v>
      </c>
      <c r="V12" s="15" cm="1">
        <f t="array" ref="V12">+HLOOKUP($A$1,+[14]İcmal!$B$19:$AG$49,ROW(M10)+1,FALSE)</f>
        <v>0</v>
      </c>
      <c r="W12" s="15" cm="1">
        <f t="array" ref="W12">+HLOOKUP($A$1,+[15]İcmal!$B$19:$AG$49,ROW(N10)+1,FALSE)</f>
        <v>0</v>
      </c>
      <c r="X12" s="15" cm="1">
        <f t="array" ref="X12">+HLOOKUP($A$1,+[16]İcmal!$B$19:$AG$49,ROW(O10)+1,FALSE)</f>
        <v>0</v>
      </c>
      <c r="Y12" s="15" cm="1">
        <f t="array" ref="Y12">+HLOOKUP($A$1,+[17]İcmal!$B$19:$AG$49,ROW(P10)+1,FALSE)</f>
        <v>0</v>
      </c>
      <c r="Z12" s="15" cm="1">
        <f t="array" ref="Z12">+HLOOKUP($A$1,+[18]İcmal!$B$19:$AG$49,ROW(Q10)+1,FALSE)</f>
        <v>0</v>
      </c>
      <c r="AA12" s="15" cm="1">
        <f t="array" ref="AA12">+HLOOKUP($A$1,+[19]İcmal!$B$19:$AG$49,ROW(R10)+1,FALSE)</f>
        <v>0</v>
      </c>
      <c r="AB12" s="15" cm="1">
        <f t="array" ref="AB12">+HLOOKUP($A$1,+[20]İcmal!$B$19:$AG$49,ROW(S10)+1,FALSE)</f>
        <v>175</v>
      </c>
      <c r="AC12" s="15" cm="1">
        <f t="array" ref="AC12">+HLOOKUP($A$1,+[21]İcmal!$B$19:$AG$49,ROW(T10)+1,FALSE)</f>
        <v>0</v>
      </c>
      <c r="AD12" s="15" cm="1">
        <f t="array" ref="AD12">+HLOOKUP($A$1,+[22]İcmal!$B$19:$AG$49,ROW(U10)+1,FALSE)</f>
        <v>175</v>
      </c>
      <c r="AE12" s="15" cm="1">
        <f t="array" ref="AE12">+HLOOKUP($A$1,+[23]İcmal!$B$19:$AG$49,ROW(V10)+1,FALSE)</f>
        <v>175</v>
      </c>
      <c r="AF12" s="15" cm="1">
        <f t="array" ref="AF12">+HLOOKUP($A$1,+[24]İcmal!$B$19:$AG$49,ROW(W10)+1,FALSE)</f>
        <v>175</v>
      </c>
      <c r="AG12" s="15" cm="1">
        <f t="array" ref="AG12">+HLOOKUP($A$1,+[25]İcmal!$B$19:$AG$49,ROW(X10)+1,FALSE)</f>
        <v>0</v>
      </c>
      <c r="AH12" s="15" cm="1">
        <f t="array" ref="AH12">+HLOOKUP($A$1,+[26]İcmal!$B$19:$AG$49,ROW(Y10)+1,FALSE)</f>
        <v>0</v>
      </c>
      <c r="AI12" s="15" cm="1">
        <f t="array" ref="AI12">+HLOOKUP($A$1,+[27]İcmal!$B$19:$AG$49,ROW(Z10)+1,FALSE)</f>
        <v>0</v>
      </c>
      <c r="AJ12" s="15" cm="1">
        <f t="array" ref="AJ12">+HLOOKUP($A$1,+[28]İcmal!$B$19:$AG$49,ROW(AA10)+1,FALSE)</f>
        <v>0</v>
      </c>
      <c r="AK12" s="15" cm="1">
        <f t="array" ref="AK12">+HLOOKUP($A$1,+[29]İcmal!$B$19:$AG$49,ROW(AB10)+1,FALSE)</f>
        <v>0</v>
      </c>
      <c r="AL12" s="15"/>
      <c r="AM12" s="15"/>
      <c r="AN12" s="15"/>
      <c r="AO12" s="15"/>
      <c r="AP12" s="15"/>
      <c r="AQ12" s="15"/>
      <c r="AR12" s="15"/>
      <c r="AS12" s="15"/>
      <c r="AT12" s="13"/>
    </row>
    <row r="13" spans="1:46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661</v>
      </c>
      <c r="I13" s="9">
        <f t="shared" si="2"/>
        <v>18508000</v>
      </c>
      <c r="J13" s="15" cm="1">
        <f t="array" ref="J13">+HLOOKUP($A$1,+[2]İcmal!$B$19:$AG$49,ROW(A11)+1,FALSE)</f>
        <v>0</v>
      </c>
      <c r="K13" s="15" cm="1">
        <f t="array" ref="K13">+HLOOKUP($A$1,+[3]İcmal!$B$19:$AG$49,ROW(B11)+1,FALSE)</f>
        <v>0</v>
      </c>
      <c r="L13" s="15" cm="1">
        <f t="array" ref="L13">+HLOOKUP($A$1,+[4]İcmal!$B$19:$AG$49,ROW(C11)+1,FALSE)</f>
        <v>42</v>
      </c>
      <c r="M13" s="15" cm="1">
        <f t="array" ref="M13">+HLOOKUP($A$1,+[5]İcmal!$B$19:$AG$49,ROW(D11)+1,FALSE)</f>
        <v>90</v>
      </c>
      <c r="N13" s="15" cm="1">
        <f t="array" ref="N13">+HLOOKUP($A$1,+[6]İcmal!$B$19:$AG$49,ROW(E11)+1,FALSE)</f>
        <v>0</v>
      </c>
      <c r="O13" s="15" cm="1">
        <f t="array" ref="O13">+HLOOKUP($A$1,+[7]İcmal!$B$19:$AG$49,ROW(F11)+1,FALSE)</f>
        <v>84</v>
      </c>
      <c r="P13" s="15" cm="1">
        <f t="array" ref="P13">+HLOOKUP($A$1,+[8]İcmal!$B$19:$AG$49,ROW(G11)+1,FALSE)</f>
        <v>0</v>
      </c>
      <c r="Q13" s="15" cm="1">
        <f t="array" ref="Q13">+HLOOKUP($A$1,+[9]İcmal!$B$19:$AG$49,ROW(H11)+1,FALSE)</f>
        <v>0</v>
      </c>
      <c r="R13" s="15" cm="1">
        <f t="array" ref="R13">+HLOOKUP($A$1,+[10]İcmal!$B$19:$AG$49,ROW(I11)+1,FALSE)</f>
        <v>21</v>
      </c>
      <c r="S13" s="15" cm="1">
        <f t="array" ref="S13">+HLOOKUP($A$1,+[11]İcmal!$B$19:$AG$49,ROW(J11)+1,FALSE)</f>
        <v>54</v>
      </c>
      <c r="T13" s="15" cm="1">
        <f t="array" ref="T13">+HLOOKUP($A$1,+[12]İcmal!$B$19:$AG$49,ROW(K11)+1,FALSE)</f>
        <v>0</v>
      </c>
      <c r="U13" s="15" cm="1">
        <f t="array" ref="U13">+HLOOKUP($A$1,+[13]İcmal!$B$19:$AG$49,ROW(L11)+1,FALSE)</f>
        <v>0</v>
      </c>
      <c r="V13" s="15" cm="1">
        <f t="array" ref="V13">+HLOOKUP($A$1,+[14]İcmal!$B$19:$AG$49,ROW(M11)+1,FALSE)</f>
        <v>0</v>
      </c>
      <c r="W13" s="15" cm="1">
        <f t="array" ref="W13">+HLOOKUP($A$1,+[15]İcmal!$B$19:$AG$49,ROW(N11)+1,FALSE)</f>
        <v>231</v>
      </c>
      <c r="X13" s="15" cm="1">
        <f t="array" ref="X13">+HLOOKUP($A$1,+[16]İcmal!$B$19:$AG$49,ROW(O11)+1,FALSE)</f>
        <v>15</v>
      </c>
      <c r="Y13" s="15" cm="1">
        <f t="array" ref="Y13">+HLOOKUP($A$1,+[17]İcmal!$B$19:$AG$49,ROW(P11)+1,FALSE)</f>
        <v>18</v>
      </c>
      <c r="Z13" s="15" cm="1">
        <f t="array" ref="Z13">+HLOOKUP($A$1,+[18]İcmal!$B$19:$AG$49,ROW(Q11)+1,FALSE)</f>
        <v>22</v>
      </c>
      <c r="AA13" s="15" cm="1">
        <f t="array" ref="AA13">+HLOOKUP($A$1,+[19]İcmal!$B$19:$AG$49,ROW(R11)+1,FALSE)</f>
        <v>0</v>
      </c>
      <c r="AB13" s="15" cm="1">
        <f t="array" ref="AB13">+HLOOKUP($A$1,+[20]İcmal!$B$19:$AG$49,ROW(S11)+1,FALSE)</f>
        <v>0</v>
      </c>
      <c r="AC13" s="15" cm="1">
        <f t="array" ref="AC13">+HLOOKUP($A$1,+[21]İcmal!$B$19:$AG$49,ROW(T11)+1,FALSE)</f>
        <v>22</v>
      </c>
      <c r="AD13" s="15" cm="1">
        <f t="array" ref="AD13">+HLOOKUP($A$1,+[22]İcmal!$B$19:$AG$49,ROW(U11)+1,FALSE)</f>
        <v>0</v>
      </c>
      <c r="AE13" s="15" cm="1">
        <f t="array" ref="AE13">+HLOOKUP($A$1,+[23]İcmal!$B$19:$AG$49,ROW(V11)+1,FALSE)</f>
        <v>0</v>
      </c>
      <c r="AF13" s="15" cm="1">
        <f t="array" ref="AF13">+HLOOKUP($A$1,+[24]İcmal!$B$19:$AG$49,ROW(W11)+1,FALSE)</f>
        <v>20</v>
      </c>
      <c r="AG13" s="15" cm="1">
        <f t="array" ref="AG13">+HLOOKUP($A$1,+[25]İcmal!$B$19:$AG$49,ROW(X11)+1,FALSE)</f>
        <v>0</v>
      </c>
      <c r="AH13" s="15" cm="1">
        <f t="array" ref="AH13">+HLOOKUP($A$1,+[26]İcmal!$B$19:$AG$49,ROW(Y11)+1,FALSE)</f>
        <v>20</v>
      </c>
      <c r="AI13" s="15" cm="1">
        <f t="array" ref="AI13">+HLOOKUP($A$1,+[27]İcmal!$B$19:$AG$49,ROW(Z11)+1,FALSE)</f>
        <v>0</v>
      </c>
      <c r="AJ13" s="15" cm="1">
        <f t="array" ref="AJ13">+HLOOKUP($A$1,+[28]İcmal!$B$19:$AG$49,ROW(AA11)+1,FALSE)</f>
        <v>0</v>
      </c>
      <c r="AK13" s="15" cm="1">
        <f t="array" ref="AK13">+HLOOKUP($A$1,+[29]İcmal!$B$19:$AG$49,ROW(AB11)+1,FALSE)</f>
        <v>22</v>
      </c>
      <c r="AL13" s="15"/>
      <c r="AM13" s="15"/>
      <c r="AN13" s="15"/>
      <c r="AO13" s="15"/>
      <c r="AP13" s="15"/>
      <c r="AQ13" s="15"/>
      <c r="AR13" s="15"/>
      <c r="AS13" s="15"/>
      <c r="AT13" s="13"/>
    </row>
    <row r="14" spans="1:46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1350</v>
      </c>
      <c r="I14" s="9">
        <f t="shared" si="2"/>
        <v>506250</v>
      </c>
      <c r="J14" s="15" cm="1">
        <f t="array" ref="J14">+HLOOKUP($A$1,+[2]İcmal!$B$19:$AG$49,ROW(A12)+1,FALSE)</f>
        <v>0</v>
      </c>
      <c r="K14" s="15" cm="1">
        <f t="array" ref="K14">+HLOOKUP($A$1,+[3]İcmal!$B$19:$AG$49,ROW(B12)+1,FALSE)</f>
        <v>0</v>
      </c>
      <c r="L14" s="15" cm="1">
        <f t="array" ref="L14">+HLOOKUP($A$1,+[4]İcmal!$B$19:$AG$49,ROW(C12)+1,FALSE)</f>
        <v>0</v>
      </c>
      <c r="M14" s="15" cm="1">
        <f t="array" ref="M14">+HLOOKUP($A$1,+[5]İcmal!$B$19:$AG$49,ROW(D12)+1,FALSE)</f>
        <v>0</v>
      </c>
      <c r="N14" s="15" cm="1">
        <f t="array" ref="N14">+HLOOKUP($A$1,+[6]İcmal!$B$19:$AG$49,ROW(E12)+1,FALSE)</f>
        <v>0</v>
      </c>
      <c r="O14" s="15" cm="1">
        <f t="array" ref="O14">+HLOOKUP($A$1,+[7]İcmal!$B$19:$AG$49,ROW(F12)+1,FALSE)</f>
        <v>324</v>
      </c>
      <c r="P14" s="15" cm="1">
        <f t="array" ref="P14">+HLOOKUP($A$1,+[8]İcmal!$B$19:$AG$49,ROW(G12)+1,FALSE)</f>
        <v>0</v>
      </c>
      <c r="Q14" s="15" cm="1">
        <f t="array" ref="Q14">+HLOOKUP($A$1,+[9]İcmal!$B$19:$AG$49,ROW(H12)+1,FALSE)</f>
        <v>0</v>
      </c>
      <c r="R14" s="15" cm="1">
        <f t="array" ref="R14">+HLOOKUP($A$1,+[10]İcmal!$B$19:$AG$49,ROW(I12)+1,FALSE)</f>
        <v>0</v>
      </c>
      <c r="S14" s="15" cm="1">
        <f t="array" ref="S14">+HLOOKUP($A$1,+[11]İcmal!$B$19:$AG$49,ROW(J12)+1,FALSE)</f>
        <v>486</v>
      </c>
      <c r="T14" s="15" cm="1">
        <f t="array" ref="T14">+HLOOKUP($A$1,+[12]İcmal!$B$19:$AG$49,ROW(K12)+1,FALSE)</f>
        <v>0</v>
      </c>
      <c r="U14" s="15" cm="1">
        <f t="array" ref="U14">+HLOOKUP($A$1,+[13]İcmal!$B$19:$AG$49,ROW(L12)+1,FALSE)</f>
        <v>0</v>
      </c>
      <c r="V14" s="15" cm="1">
        <f t="array" ref="V14">+HLOOKUP($A$1,+[14]İcmal!$B$19:$AG$49,ROW(M12)+1,FALSE)</f>
        <v>0</v>
      </c>
      <c r="W14" s="15" cm="1">
        <f t="array" ref="W14">+HLOOKUP($A$1,+[15]İcmal!$B$19:$AG$49,ROW(N12)+1,FALSE)</f>
        <v>0</v>
      </c>
      <c r="X14" s="15" cm="1">
        <f t="array" ref="X14">+HLOOKUP($A$1,+[16]İcmal!$B$19:$AG$49,ROW(O12)+1,FALSE)</f>
        <v>0</v>
      </c>
      <c r="Y14" s="15" cm="1">
        <f t="array" ref="Y14">+HLOOKUP($A$1,+[17]İcmal!$B$19:$AG$49,ROW(P12)+1,FALSE)</f>
        <v>0</v>
      </c>
      <c r="Z14" s="15" cm="1">
        <f t="array" ref="Z14">+HLOOKUP($A$1,+[18]İcmal!$B$19:$AG$49,ROW(Q12)+1,FALSE)</f>
        <v>0</v>
      </c>
      <c r="AA14" s="15" cm="1">
        <f t="array" ref="AA14">+HLOOKUP($A$1,+[19]İcmal!$B$19:$AG$49,ROW(R12)+1,FALSE)</f>
        <v>0</v>
      </c>
      <c r="AB14" s="15" cm="1">
        <f t="array" ref="AB14">+HLOOKUP($A$1,+[20]İcmal!$B$19:$AG$49,ROW(S12)+1,FALSE)</f>
        <v>0</v>
      </c>
      <c r="AC14" s="15" cm="1">
        <f t="array" ref="AC14">+HLOOKUP($A$1,+[21]İcmal!$B$19:$AG$49,ROW(T12)+1,FALSE)</f>
        <v>0</v>
      </c>
      <c r="AD14" s="15" cm="1">
        <f t="array" ref="AD14">+HLOOKUP($A$1,+[22]İcmal!$B$19:$AG$49,ROW(U12)+1,FALSE)</f>
        <v>360</v>
      </c>
      <c r="AE14" s="15" cm="1">
        <f t="array" ref="AE14">+HLOOKUP($A$1,+[23]İcmal!$B$19:$AG$49,ROW(V12)+1,FALSE)</f>
        <v>0</v>
      </c>
      <c r="AF14" s="15" cm="1">
        <f t="array" ref="AF14">+HLOOKUP($A$1,+[24]İcmal!$B$19:$AG$49,ROW(W12)+1,FALSE)</f>
        <v>0</v>
      </c>
      <c r="AG14" s="15" cm="1">
        <f t="array" ref="AG14">+HLOOKUP($A$1,+[25]İcmal!$B$19:$AG$49,ROW(X12)+1,FALSE)</f>
        <v>0</v>
      </c>
      <c r="AH14" s="15" cm="1">
        <f t="array" ref="AH14">+HLOOKUP($A$1,+[26]İcmal!$B$19:$AG$49,ROW(Y12)+1,FALSE)</f>
        <v>0</v>
      </c>
      <c r="AI14" s="15" cm="1">
        <f t="array" ref="AI14">+HLOOKUP($A$1,+[27]İcmal!$B$19:$AG$49,ROW(Z12)+1,FALSE)</f>
        <v>0</v>
      </c>
      <c r="AJ14" s="15" cm="1">
        <f t="array" ref="AJ14">+HLOOKUP($A$1,+[28]İcmal!$B$19:$AG$49,ROW(AA12)+1,FALSE)</f>
        <v>180</v>
      </c>
      <c r="AK14" s="15" cm="1">
        <f t="array" ref="AK14">+HLOOKUP($A$1,+[29]İcmal!$B$19:$AG$49,ROW(AB12)+1,FALSE)</f>
        <v>0</v>
      </c>
      <c r="AL14" s="15"/>
      <c r="AM14" s="15"/>
      <c r="AN14" s="15"/>
      <c r="AO14" s="15"/>
      <c r="AP14" s="15"/>
      <c r="AQ14" s="15"/>
      <c r="AR14" s="15"/>
      <c r="AS14" s="15"/>
      <c r="AT14" s="13"/>
    </row>
    <row r="15" spans="1:46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+HLOOKUP($A$1,+[2]İcmal!$B$19:$AG$49,ROW(A13)+1,FALSE)</f>
        <v>0</v>
      </c>
      <c r="K15" s="15" cm="1">
        <f t="array" ref="K15">+HLOOKUP($A$1,+[3]İcmal!$B$19:$AG$49,ROW(B13)+1,FALSE)</f>
        <v>0</v>
      </c>
      <c r="L15" s="15" cm="1">
        <f t="array" ref="L15">+HLOOKUP($A$1,+[4]İcmal!$B$19:$AG$49,ROW(C13)+1,FALSE)</f>
        <v>0</v>
      </c>
      <c r="M15" s="15" cm="1">
        <f t="array" ref="M15">+HLOOKUP($A$1,+[5]İcmal!$B$19:$AG$49,ROW(D13)+1,FALSE)</f>
        <v>0</v>
      </c>
      <c r="N15" s="15" cm="1">
        <f t="array" ref="N15">+HLOOKUP($A$1,+[6]İcmal!$B$19:$AG$49,ROW(E13)+1,FALSE)</f>
        <v>0</v>
      </c>
      <c r="O15" s="15" cm="1">
        <f t="array" ref="O15">+HLOOKUP($A$1,+[7]İcmal!$B$19:$AG$49,ROW(F13)+1,FALSE)</f>
        <v>0</v>
      </c>
      <c r="P15" s="15" cm="1">
        <f t="array" ref="P15">+HLOOKUP($A$1,+[8]İcmal!$B$19:$AG$49,ROW(G13)+1,FALSE)</f>
        <v>0</v>
      </c>
      <c r="Q15" s="15" cm="1">
        <f t="array" ref="Q15">+HLOOKUP($A$1,+[9]İcmal!$B$19:$AG$49,ROW(H13)+1,FALSE)</f>
        <v>0</v>
      </c>
      <c r="R15" s="15" cm="1">
        <f t="array" ref="R15">+HLOOKUP($A$1,+[10]İcmal!$B$19:$AG$49,ROW(I13)+1,FALSE)</f>
        <v>0</v>
      </c>
      <c r="S15" s="15" cm="1">
        <f t="array" ref="S15">+HLOOKUP($A$1,+[11]İcmal!$B$19:$AG$49,ROW(J13)+1,FALSE)</f>
        <v>0</v>
      </c>
      <c r="T15" s="15" cm="1">
        <f t="array" ref="T15">+HLOOKUP($A$1,+[12]İcmal!$B$19:$AG$49,ROW(K13)+1,FALSE)</f>
        <v>0</v>
      </c>
      <c r="U15" s="15" cm="1">
        <f t="array" ref="U15">+HLOOKUP($A$1,+[13]İcmal!$B$19:$AG$49,ROW(L13)+1,FALSE)</f>
        <v>0</v>
      </c>
      <c r="V15" s="15" cm="1">
        <f t="array" ref="V15">+HLOOKUP($A$1,+[14]İcmal!$B$19:$AG$49,ROW(M13)+1,FALSE)</f>
        <v>0</v>
      </c>
      <c r="W15" s="15" cm="1">
        <f t="array" ref="W15">+HLOOKUP($A$1,+[15]İcmal!$B$19:$AG$49,ROW(N13)+1,FALSE)</f>
        <v>0</v>
      </c>
      <c r="X15" s="15" cm="1">
        <f t="array" ref="X15">+HLOOKUP($A$1,+[16]İcmal!$B$19:$AG$49,ROW(O13)+1,FALSE)</f>
        <v>0</v>
      </c>
      <c r="Y15" s="15" cm="1">
        <f t="array" ref="Y15">+HLOOKUP($A$1,+[17]İcmal!$B$19:$AG$49,ROW(P13)+1,FALSE)</f>
        <v>0</v>
      </c>
      <c r="Z15" s="15" cm="1">
        <f t="array" ref="Z15">+HLOOKUP($A$1,+[18]İcmal!$B$19:$AG$49,ROW(Q13)+1,FALSE)</f>
        <v>0</v>
      </c>
      <c r="AA15" s="15" cm="1">
        <f t="array" ref="AA15">+HLOOKUP($A$1,+[19]İcmal!$B$19:$AG$49,ROW(R13)+1,FALSE)</f>
        <v>0</v>
      </c>
      <c r="AB15" s="15" cm="1">
        <f t="array" ref="AB15">+HLOOKUP($A$1,+[20]İcmal!$B$19:$AG$49,ROW(S13)+1,FALSE)</f>
        <v>0</v>
      </c>
      <c r="AC15" s="15" cm="1">
        <f t="array" ref="AC15">+HLOOKUP($A$1,+[21]İcmal!$B$19:$AG$49,ROW(T13)+1,FALSE)</f>
        <v>0</v>
      </c>
      <c r="AD15" s="15" cm="1">
        <f t="array" ref="AD15">+HLOOKUP($A$1,+[22]İcmal!$B$19:$AG$49,ROW(U13)+1,FALSE)</f>
        <v>0</v>
      </c>
      <c r="AE15" s="15" cm="1">
        <f t="array" ref="AE15">+HLOOKUP($A$1,+[23]İcmal!$B$19:$AG$49,ROW(V13)+1,FALSE)</f>
        <v>0</v>
      </c>
      <c r="AF15" s="15" cm="1">
        <f t="array" ref="AF15">+HLOOKUP($A$1,+[24]İcmal!$B$19:$AG$49,ROW(W13)+1,FALSE)</f>
        <v>0</v>
      </c>
      <c r="AG15" s="15" cm="1">
        <f t="array" ref="AG15">+HLOOKUP($A$1,+[25]İcmal!$B$19:$AG$49,ROW(X13)+1,FALSE)</f>
        <v>0</v>
      </c>
      <c r="AH15" s="15" cm="1">
        <f t="array" ref="AH15">+HLOOKUP($A$1,+[26]İcmal!$B$19:$AG$49,ROW(Y13)+1,FALSE)</f>
        <v>0</v>
      </c>
      <c r="AI15" s="15" cm="1">
        <f t="array" ref="AI15">+HLOOKUP($A$1,+[27]İcmal!$B$19:$AG$49,ROW(Z13)+1,FALSE)</f>
        <v>0</v>
      </c>
      <c r="AJ15" s="15" cm="1">
        <f t="array" ref="AJ15">+HLOOKUP($A$1,+[28]İcmal!$B$19:$AG$49,ROW(AA13)+1,FALSE)</f>
        <v>0</v>
      </c>
      <c r="AK15" s="15" cm="1">
        <f t="array" ref="AK15">+HLOOKUP($A$1,+[29]İcmal!$B$19:$AG$49,ROW(AB13)+1,FALSE)</f>
        <v>0</v>
      </c>
      <c r="AL15" s="15"/>
      <c r="AM15" s="15"/>
      <c r="AN15" s="15"/>
      <c r="AO15" s="15"/>
      <c r="AP15" s="15"/>
      <c r="AQ15" s="15"/>
      <c r="AR15" s="15"/>
      <c r="AS15" s="15"/>
      <c r="AT15" s="13"/>
    </row>
    <row r="16" spans="1:46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120.32599999999998</v>
      </c>
      <c r="I16" s="9">
        <f t="shared" si="2"/>
        <v>12273251.999999998</v>
      </c>
      <c r="J16" s="15" cm="1">
        <f t="array" ref="J16">+HLOOKUP($A$1,+[2]İcmal!$B$19:$AG$49,ROW(A14)+1,FALSE)</f>
        <v>0</v>
      </c>
      <c r="K16" s="15" cm="1">
        <f t="array" ref="K16">+HLOOKUP($A$1,+[3]İcmal!$B$19:$AG$49,ROW(B14)+1,FALSE)</f>
        <v>0</v>
      </c>
      <c r="L16" s="15" cm="1">
        <f t="array" ref="L16">+HLOOKUP($A$1,+[4]İcmal!$B$19:$AG$49,ROW(C14)+1,FALSE)</f>
        <v>1.1720000000000002</v>
      </c>
      <c r="M16" s="15" cm="1">
        <f t="array" ref="M16">+HLOOKUP($A$1,+[5]İcmal!$B$19:$AG$49,ROW(D14)+1,FALSE)</f>
        <v>25.24</v>
      </c>
      <c r="N16" s="15" cm="1">
        <f t="array" ref="N16">+HLOOKUP($A$1,+[6]İcmal!$B$19:$AG$49,ROW(E14)+1,FALSE)</f>
        <v>2.7199999999999989</v>
      </c>
      <c r="O16" s="15" cm="1">
        <f t="array" ref="O16">+HLOOKUP($A$1,+[7]İcmal!$B$19:$AG$49,ROW(F14)+1,FALSE)</f>
        <v>20.388000000000005</v>
      </c>
      <c r="P16" s="15" cm="1">
        <f t="array" ref="P16">+HLOOKUP($A$1,+[8]İcmal!$B$19:$AG$49,ROW(G14)+1,FALSE)</f>
        <v>0</v>
      </c>
      <c r="Q16" s="15" cm="1">
        <f t="array" ref="Q16">+HLOOKUP($A$1,+[9]İcmal!$B$19:$AG$49,ROW(H14)+1,FALSE)</f>
        <v>0</v>
      </c>
      <c r="R16" s="15" cm="1">
        <f t="array" ref="R16">+HLOOKUP($A$1,+[10]İcmal!$B$19:$AG$49,ROW(I14)+1,FALSE)</f>
        <v>3.0209999999999866</v>
      </c>
      <c r="S16" s="15" cm="1">
        <f t="array" ref="S16">+HLOOKUP($A$1,+[11]İcmal!$B$19:$AG$49,ROW(J14)+1,FALSE)</f>
        <v>19.950000000000003</v>
      </c>
      <c r="T16" s="15" cm="1">
        <f t="array" ref="T16">+HLOOKUP($A$1,+[12]İcmal!$B$19:$AG$49,ROW(K14)+1,FALSE)</f>
        <v>0</v>
      </c>
      <c r="U16" s="15" cm="1">
        <f t="array" ref="U16">+HLOOKUP($A$1,+[13]İcmal!$B$19:$AG$49,ROW(L14)+1,FALSE)</f>
        <v>0</v>
      </c>
      <c r="V16" s="15" cm="1">
        <f t="array" ref="V16">+HLOOKUP($A$1,+[14]İcmal!$B$19:$AG$49,ROW(M14)+1,FALSE)</f>
        <v>0</v>
      </c>
      <c r="W16" s="15" cm="1">
        <f t="array" ref="W16">+HLOOKUP($A$1,+[15]İcmal!$B$19:$AG$49,ROW(N14)+1,FALSE)</f>
        <v>0</v>
      </c>
      <c r="X16" s="15" cm="1">
        <f t="array" ref="X16">+HLOOKUP($A$1,+[16]İcmal!$B$19:$AG$49,ROW(O14)+1,FALSE)</f>
        <v>10.092000000000001</v>
      </c>
      <c r="Y16" s="15" cm="1">
        <f t="array" ref="Y16">+HLOOKUP($A$1,+[17]İcmal!$B$19:$AG$49,ROW(P14)+1,FALSE)</f>
        <v>10.125</v>
      </c>
      <c r="Z16" s="15" cm="1">
        <f t="array" ref="Z16">+HLOOKUP($A$1,+[18]İcmal!$B$19:$AG$49,ROW(Q14)+1,FALSE)</f>
        <v>0</v>
      </c>
      <c r="AA16" s="15" cm="1">
        <f t="array" ref="AA16">+HLOOKUP($A$1,+[19]İcmal!$B$19:$AG$49,ROW(R14)+1,FALSE)</f>
        <v>0</v>
      </c>
      <c r="AB16" s="15" cm="1">
        <f t="array" ref="AB16">+HLOOKUP($A$1,+[20]İcmal!$B$19:$AG$49,ROW(S14)+1,FALSE)</f>
        <v>0</v>
      </c>
      <c r="AC16" s="15" cm="1">
        <f t="array" ref="AC16">+HLOOKUP($A$1,+[21]İcmal!$B$19:$AG$49,ROW(T14)+1,FALSE)</f>
        <v>4.383</v>
      </c>
      <c r="AD16" s="15" cm="1">
        <f t="array" ref="AD16">+HLOOKUP($A$1,+[22]İcmal!$B$19:$AG$49,ROW(U14)+1,FALSE)</f>
        <v>7.2900000000000009</v>
      </c>
      <c r="AE16" s="15" cm="1">
        <f t="array" ref="AE16">+HLOOKUP($A$1,+[23]İcmal!$B$19:$AG$49,ROW(V14)+1,FALSE)</f>
        <v>4.383</v>
      </c>
      <c r="AF16" s="15" cm="1">
        <f t="array" ref="AF16">+HLOOKUP($A$1,+[24]İcmal!$B$19:$AG$49,ROW(W14)+1,FALSE)</f>
        <v>0</v>
      </c>
      <c r="AG16" s="15" cm="1">
        <f t="array" ref="AG16">+HLOOKUP($A$1,+[25]İcmal!$B$19:$AG$49,ROW(X14)+1,FALSE)</f>
        <v>4.383</v>
      </c>
      <c r="AH16" s="15" cm="1">
        <f t="array" ref="AH16">+HLOOKUP($A$1,+[26]İcmal!$B$19:$AG$49,ROW(Y14)+1,FALSE)</f>
        <v>0</v>
      </c>
      <c r="AI16" s="15" cm="1">
        <f t="array" ref="AI16">+HLOOKUP($A$1,+[27]İcmal!$B$19:$AG$49,ROW(Z14)+1,FALSE)</f>
        <v>0</v>
      </c>
      <c r="AJ16" s="15" cm="1">
        <f t="array" ref="AJ16">+HLOOKUP($A$1,+[28]İcmal!$B$19:$AG$49,ROW(AA14)+1,FALSE)</f>
        <v>7.1790000000000012</v>
      </c>
      <c r="AK16" s="15" cm="1">
        <f t="array" ref="AK16">+HLOOKUP($A$1,+[29]İcmal!$B$19:$AG$49,ROW(AB14)+1,FALSE)</f>
        <v>0</v>
      </c>
      <c r="AL16" s="15"/>
      <c r="AM16" s="15"/>
      <c r="AN16" s="15"/>
      <c r="AO16" s="15"/>
      <c r="AP16" s="15"/>
      <c r="AQ16" s="15"/>
      <c r="AR16" s="15"/>
      <c r="AS16" s="15"/>
      <c r="AT16" s="13"/>
    </row>
    <row r="17" spans="1:46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3114</v>
      </c>
      <c r="I17" s="9">
        <f t="shared" si="2"/>
        <v>10587600</v>
      </c>
      <c r="J17" s="15" cm="1">
        <f t="array" ref="J17">+HLOOKUP($A$1,+[2]İcmal!$B$19:$AG$49,ROW(A15)+1,FALSE)</f>
        <v>0</v>
      </c>
      <c r="K17" s="15" cm="1">
        <f t="array" ref="K17">+HLOOKUP($A$1,+[3]İcmal!$B$19:$AG$49,ROW(B15)+1,FALSE)</f>
        <v>0</v>
      </c>
      <c r="L17" s="15" cm="1">
        <f t="array" ref="L17">+HLOOKUP($A$1,+[4]İcmal!$B$19:$AG$49,ROW(C15)+1,FALSE)</f>
        <v>0</v>
      </c>
      <c r="M17" s="15" cm="1">
        <f t="array" ref="M17">+HLOOKUP($A$1,+[5]İcmal!$B$19:$AG$49,ROW(D15)+1,FALSE)</f>
        <v>0</v>
      </c>
      <c r="N17" s="15" cm="1">
        <f t="array" ref="N17">+HLOOKUP($A$1,+[6]İcmal!$B$19:$AG$49,ROW(E15)+1,FALSE)</f>
        <v>0</v>
      </c>
      <c r="O17" s="15" cm="1">
        <f t="array" ref="O17">+HLOOKUP($A$1,+[7]İcmal!$B$19:$AG$49,ROW(F15)+1,FALSE)</f>
        <v>846</v>
      </c>
      <c r="P17" s="15" cm="1">
        <f t="array" ref="P17">+HLOOKUP($A$1,+[8]İcmal!$B$19:$AG$49,ROW(G15)+1,FALSE)</f>
        <v>0</v>
      </c>
      <c r="Q17" s="15" cm="1">
        <f t="array" ref="Q17">+HLOOKUP($A$1,+[9]İcmal!$B$19:$AG$49,ROW(H15)+1,FALSE)</f>
        <v>0</v>
      </c>
      <c r="R17" s="15" cm="1">
        <f t="array" ref="R17">+HLOOKUP($A$1,+[10]İcmal!$B$19:$AG$49,ROW(I15)+1,FALSE)</f>
        <v>0</v>
      </c>
      <c r="S17" s="15" cm="1">
        <f t="array" ref="S17">+HLOOKUP($A$1,+[11]İcmal!$B$19:$AG$49,ROW(J15)+1,FALSE)</f>
        <v>1269</v>
      </c>
      <c r="T17" s="15" cm="1">
        <f t="array" ref="T17">+HLOOKUP($A$1,+[12]İcmal!$B$19:$AG$49,ROW(K15)+1,FALSE)</f>
        <v>0</v>
      </c>
      <c r="U17" s="15" cm="1">
        <f t="array" ref="U17">+HLOOKUP($A$1,+[13]İcmal!$B$19:$AG$49,ROW(L15)+1,FALSE)</f>
        <v>0</v>
      </c>
      <c r="V17" s="15" cm="1">
        <f t="array" ref="V17">+HLOOKUP($A$1,+[14]İcmal!$B$19:$AG$49,ROW(M15)+1,FALSE)</f>
        <v>0</v>
      </c>
      <c r="W17" s="15" cm="1">
        <f t="array" ref="W17">+HLOOKUP($A$1,+[15]İcmal!$B$19:$AG$49,ROW(N15)+1,FALSE)</f>
        <v>0</v>
      </c>
      <c r="X17" s="15" cm="1">
        <f t="array" ref="X17">+HLOOKUP($A$1,+[16]İcmal!$B$19:$AG$49,ROW(O15)+1,FALSE)</f>
        <v>0</v>
      </c>
      <c r="Y17" s="15" cm="1">
        <f t="array" ref="Y17">+HLOOKUP($A$1,+[17]İcmal!$B$19:$AG$49,ROW(P15)+1,FALSE)</f>
        <v>0</v>
      </c>
      <c r="Z17" s="15" cm="1">
        <f t="array" ref="Z17">+HLOOKUP($A$1,+[18]İcmal!$B$19:$AG$49,ROW(Q15)+1,FALSE)</f>
        <v>0</v>
      </c>
      <c r="AA17" s="15" cm="1">
        <f t="array" ref="AA17">+HLOOKUP($A$1,+[19]İcmal!$B$19:$AG$49,ROW(R15)+1,FALSE)</f>
        <v>0</v>
      </c>
      <c r="AB17" s="15" cm="1">
        <f t="array" ref="AB17">+HLOOKUP($A$1,+[20]İcmal!$B$19:$AG$49,ROW(S15)+1,FALSE)</f>
        <v>0</v>
      </c>
      <c r="AC17" s="15" cm="1">
        <f t="array" ref="AC17">+HLOOKUP($A$1,+[21]İcmal!$B$19:$AG$49,ROW(T15)+1,FALSE)</f>
        <v>0</v>
      </c>
      <c r="AD17" s="15" cm="1">
        <f t="array" ref="AD17">+HLOOKUP($A$1,+[22]İcmal!$B$19:$AG$49,ROW(U15)+1,FALSE)</f>
        <v>333</v>
      </c>
      <c r="AE17" s="15" cm="1">
        <f t="array" ref="AE17">+HLOOKUP($A$1,+[23]İcmal!$B$19:$AG$49,ROW(V15)+1,FALSE)</f>
        <v>0</v>
      </c>
      <c r="AF17" s="15" cm="1">
        <f t="array" ref="AF17">+HLOOKUP($A$1,+[24]İcmal!$B$19:$AG$49,ROW(W15)+1,FALSE)</f>
        <v>0</v>
      </c>
      <c r="AG17" s="15" cm="1">
        <f t="array" ref="AG17">+HLOOKUP($A$1,+[25]İcmal!$B$19:$AG$49,ROW(X15)+1,FALSE)</f>
        <v>0</v>
      </c>
      <c r="AH17" s="15" cm="1">
        <f t="array" ref="AH17">+HLOOKUP($A$1,+[26]İcmal!$B$19:$AG$49,ROW(Y15)+1,FALSE)</f>
        <v>0</v>
      </c>
      <c r="AI17" s="15" cm="1">
        <f t="array" ref="AI17">+HLOOKUP($A$1,+[27]İcmal!$B$19:$AG$49,ROW(Z15)+1,FALSE)</f>
        <v>0</v>
      </c>
      <c r="AJ17" s="15" cm="1">
        <f t="array" ref="AJ17">+HLOOKUP($A$1,+[28]İcmal!$B$19:$AG$49,ROW(AA15)+1,FALSE)</f>
        <v>666</v>
      </c>
      <c r="AK17" s="15" cm="1">
        <f t="array" ref="AK17">+HLOOKUP($A$1,+[29]İcmal!$B$19:$AG$49,ROW(AB15)+1,FALSE)</f>
        <v>0</v>
      </c>
      <c r="AL17" s="15"/>
      <c r="AM17" s="15"/>
      <c r="AN17" s="15"/>
      <c r="AO17" s="15"/>
      <c r="AP17" s="15"/>
      <c r="AQ17" s="15"/>
      <c r="AR17" s="15"/>
      <c r="AS17" s="15"/>
      <c r="AT17" s="13"/>
    </row>
    <row r="18" spans="1:46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+HLOOKUP($A$1,+[2]İcmal!$B$19:$AG$49,ROW(A16)+1,FALSE)</f>
        <v>0</v>
      </c>
      <c r="K18" s="15" cm="1">
        <f t="array" ref="K18">+HLOOKUP($A$1,+[3]İcmal!$B$19:$AG$49,ROW(B16)+1,FALSE)</f>
        <v>0</v>
      </c>
      <c r="L18" s="15" cm="1">
        <f t="array" ref="L18">+HLOOKUP($A$1,+[4]İcmal!$B$19:$AG$49,ROW(C16)+1,FALSE)</f>
        <v>0</v>
      </c>
      <c r="M18" s="15" cm="1">
        <f t="array" ref="M18">+HLOOKUP($A$1,+[5]İcmal!$B$19:$AG$49,ROW(D16)+1,FALSE)</f>
        <v>0</v>
      </c>
      <c r="N18" s="15" cm="1">
        <f t="array" ref="N18">+HLOOKUP($A$1,+[6]İcmal!$B$19:$AG$49,ROW(E16)+1,FALSE)</f>
        <v>0</v>
      </c>
      <c r="O18" s="15" cm="1">
        <f t="array" ref="O18">+HLOOKUP($A$1,+[7]İcmal!$B$19:$AG$49,ROW(F16)+1,FALSE)</f>
        <v>0</v>
      </c>
      <c r="P18" s="15" cm="1">
        <f t="array" ref="P18">+HLOOKUP($A$1,+[8]İcmal!$B$19:$AG$49,ROW(G16)+1,FALSE)</f>
        <v>0</v>
      </c>
      <c r="Q18" s="15" cm="1">
        <f t="array" ref="Q18">+HLOOKUP($A$1,+[9]İcmal!$B$19:$AG$49,ROW(H16)+1,FALSE)</f>
        <v>0</v>
      </c>
      <c r="R18" s="15" cm="1">
        <f t="array" ref="R18">+HLOOKUP($A$1,+[10]İcmal!$B$19:$AG$49,ROW(I16)+1,FALSE)</f>
        <v>0</v>
      </c>
      <c r="S18" s="15" cm="1">
        <f t="array" ref="S18">+HLOOKUP($A$1,+[11]İcmal!$B$19:$AG$49,ROW(J16)+1,FALSE)</f>
        <v>0</v>
      </c>
      <c r="T18" s="15" cm="1">
        <f t="array" ref="T18">+HLOOKUP($A$1,+[12]İcmal!$B$19:$AG$49,ROW(K16)+1,FALSE)</f>
        <v>0</v>
      </c>
      <c r="U18" s="15" cm="1">
        <f t="array" ref="U18">+HLOOKUP($A$1,+[13]İcmal!$B$19:$AG$49,ROW(L16)+1,FALSE)</f>
        <v>0</v>
      </c>
      <c r="V18" s="15" cm="1">
        <f t="array" ref="V18">+HLOOKUP($A$1,+[14]İcmal!$B$19:$AG$49,ROW(M16)+1,FALSE)</f>
        <v>0</v>
      </c>
      <c r="W18" s="15" cm="1">
        <f t="array" ref="W18">+HLOOKUP($A$1,+[15]İcmal!$B$19:$AG$49,ROW(N16)+1,FALSE)</f>
        <v>0</v>
      </c>
      <c r="X18" s="15" cm="1">
        <f t="array" ref="X18">+HLOOKUP($A$1,+[16]İcmal!$B$19:$AG$49,ROW(O16)+1,FALSE)</f>
        <v>0</v>
      </c>
      <c r="Y18" s="15" cm="1">
        <f t="array" ref="Y18">+HLOOKUP($A$1,+[17]İcmal!$B$19:$AG$49,ROW(P16)+1,FALSE)</f>
        <v>0</v>
      </c>
      <c r="Z18" s="15" cm="1">
        <f t="array" ref="Z18">+HLOOKUP($A$1,+[18]İcmal!$B$19:$AG$49,ROW(Q16)+1,FALSE)</f>
        <v>0</v>
      </c>
      <c r="AA18" s="15" cm="1">
        <f t="array" ref="AA18">+HLOOKUP($A$1,+[19]İcmal!$B$19:$AG$49,ROW(R16)+1,FALSE)</f>
        <v>0</v>
      </c>
      <c r="AB18" s="15" cm="1">
        <f t="array" ref="AB18">+HLOOKUP($A$1,+[20]İcmal!$B$19:$AG$49,ROW(S16)+1,FALSE)</f>
        <v>0</v>
      </c>
      <c r="AC18" s="15" cm="1">
        <f t="array" ref="AC18">+HLOOKUP($A$1,+[21]İcmal!$B$19:$AG$49,ROW(T16)+1,FALSE)</f>
        <v>0</v>
      </c>
      <c r="AD18" s="15" cm="1">
        <f t="array" ref="AD18">+HLOOKUP($A$1,+[22]İcmal!$B$19:$AG$49,ROW(U16)+1,FALSE)</f>
        <v>0</v>
      </c>
      <c r="AE18" s="15" cm="1">
        <f t="array" ref="AE18">+HLOOKUP($A$1,+[23]İcmal!$B$19:$AG$49,ROW(V16)+1,FALSE)</f>
        <v>0</v>
      </c>
      <c r="AF18" s="15" cm="1">
        <f t="array" ref="AF18">+HLOOKUP($A$1,+[24]İcmal!$B$19:$AG$49,ROW(W16)+1,FALSE)</f>
        <v>0</v>
      </c>
      <c r="AG18" s="15" cm="1">
        <f t="array" ref="AG18">+HLOOKUP($A$1,+[25]İcmal!$B$19:$AG$49,ROW(X16)+1,FALSE)</f>
        <v>0</v>
      </c>
      <c r="AH18" s="15" cm="1">
        <f t="array" ref="AH18">+HLOOKUP($A$1,+[26]İcmal!$B$19:$AG$49,ROW(Y16)+1,FALSE)</f>
        <v>0</v>
      </c>
      <c r="AI18" s="15" cm="1">
        <f t="array" ref="AI18">+HLOOKUP($A$1,+[27]İcmal!$B$19:$AG$49,ROW(Z16)+1,FALSE)</f>
        <v>0</v>
      </c>
      <c r="AJ18" s="15" cm="1">
        <f t="array" ref="AJ18">+HLOOKUP($A$1,+[28]İcmal!$B$19:$AG$49,ROW(AA16)+1,FALSE)</f>
        <v>0</v>
      </c>
      <c r="AK18" s="15" cm="1">
        <f t="array" ref="AK18">+HLOOKUP($A$1,+[29]İcmal!$B$19:$AG$49,ROW(AB16)+1,FALSE)</f>
        <v>0</v>
      </c>
      <c r="AL18" s="15"/>
      <c r="AM18" s="15"/>
      <c r="AN18" s="15"/>
      <c r="AO18" s="15"/>
      <c r="AP18" s="15"/>
      <c r="AQ18" s="15"/>
      <c r="AR18" s="15"/>
      <c r="AS18" s="15"/>
      <c r="AT18" s="13"/>
    </row>
    <row r="19" spans="1:46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+HLOOKUP($A$1,+[2]İcmal!$B$19:$AG$49,ROW(A17)+1,FALSE)</f>
        <v>0</v>
      </c>
      <c r="K19" s="15" cm="1">
        <f t="array" ref="K19">+HLOOKUP($A$1,+[3]İcmal!$B$19:$AG$49,ROW(B17)+1,FALSE)</f>
        <v>0</v>
      </c>
      <c r="L19" s="15" cm="1">
        <f t="array" ref="L19">+HLOOKUP($A$1,+[4]İcmal!$B$19:$AG$49,ROW(C17)+1,FALSE)</f>
        <v>0</v>
      </c>
      <c r="M19" s="15" cm="1">
        <f t="array" ref="M19">+HLOOKUP($A$1,+[5]İcmal!$B$19:$AG$49,ROW(D17)+1,FALSE)</f>
        <v>0</v>
      </c>
      <c r="N19" s="15" cm="1">
        <f t="array" ref="N19">+HLOOKUP($A$1,+[6]İcmal!$B$19:$AG$49,ROW(E17)+1,FALSE)</f>
        <v>0</v>
      </c>
      <c r="O19" s="15" cm="1">
        <f t="array" ref="O19">+HLOOKUP($A$1,+[7]İcmal!$B$19:$AG$49,ROW(F17)+1,FALSE)</f>
        <v>0</v>
      </c>
      <c r="P19" s="15" cm="1">
        <f t="array" ref="P19">+HLOOKUP($A$1,+[8]İcmal!$B$19:$AG$49,ROW(G17)+1,FALSE)</f>
        <v>0</v>
      </c>
      <c r="Q19" s="15" cm="1">
        <f t="array" ref="Q19">+HLOOKUP($A$1,+[9]İcmal!$B$19:$AG$49,ROW(H17)+1,FALSE)</f>
        <v>0</v>
      </c>
      <c r="R19" s="15" cm="1">
        <f t="array" ref="R19">+HLOOKUP($A$1,+[10]İcmal!$B$19:$AG$49,ROW(I17)+1,FALSE)</f>
        <v>0</v>
      </c>
      <c r="S19" s="15" cm="1">
        <f t="array" ref="S19">+HLOOKUP($A$1,+[11]İcmal!$B$19:$AG$49,ROW(J17)+1,FALSE)</f>
        <v>0</v>
      </c>
      <c r="T19" s="15" cm="1">
        <f t="array" ref="T19">+HLOOKUP($A$1,+[12]İcmal!$B$19:$AG$49,ROW(K17)+1,FALSE)</f>
        <v>0</v>
      </c>
      <c r="U19" s="15" cm="1">
        <f t="array" ref="U19">+HLOOKUP($A$1,+[13]İcmal!$B$19:$AG$49,ROW(L17)+1,FALSE)</f>
        <v>0</v>
      </c>
      <c r="V19" s="15" cm="1">
        <f t="array" ref="V19">+HLOOKUP($A$1,+[14]İcmal!$B$19:$AG$49,ROW(M17)+1,FALSE)</f>
        <v>0</v>
      </c>
      <c r="W19" s="15" cm="1">
        <f t="array" ref="W19">+HLOOKUP($A$1,+[15]İcmal!$B$19:$AG$49,ROW(N17)+1,FALSE)</f>
        <v>0</v>
      </c>
      <c r="X19" s="15" cm="1">
        <f t="array" ref="X19">+HLOOKUP($A$1,+[16]İcmal!$B$19:$AG$49,ROW(O17)+1,FALSE)</f>
        <v>0</v>
      </c>
      <c r="Y19" s="15" cm="1">
        <f t="array" ref="Y19">+HLOOKUP($A$1,+[17]İcmal!$B$19:$AG$49,ROW(P17)+1,FALSE)</f>
        <v>0</v>
      </c>
      <c r="Z19" s="15" cm="1">
        <f t="array" ref="Z19">+HLOOKUP($A$1,+[18]İcmal!$B$19:$AG$49,ROW(Q17)+1,FALSE)</f>
        <v>0</v>
      </c>
      <c r="AA19" s="15" cm="1">
        <f t="array" ref="AA19">+HLOOKUP($A$1,+[19]İcmal!$B$19:$AG$49,ROW(R17)+1,FALSE)</f>
        <v>0</v>
      </c>
      <c r="AB19" s="15" cm="1">
        <f t="array" ref="AB19">+HLOOKUP($A$1,+[20]İcmal!$B$19:$AG$49,ROW(S17)+1,FALSE)</f>
        <v>0</v>
      </c>
      <c r="AC19" s="15" cm="1">
        <f t="array" ref="AC19">+HLOOKUP($A$1,+[21]İcmal!$B$19:$AG$49,ROW(T17)+1,FALSE)</f>
        <v>0</v>
      </c>
      <c r="AD19" s="15" cm="1">
        <f t="array" ref="AD19">+HLOOKUP($A$1,+[22]İcmal!$B$19:$AG$49,ROW(U17)+1,FALSE)</f>
        <v>0</v>
      </c>
      <c r="AE19" s="15" cm="1">
        <f t="array" ref="AE19">+HLOOKUP($A$1,+[23]İcmal!$B$19:$AG$49,ROW(V17)+1,FALSE)</f>
        <v>0</v>
      </c>
      <c r="AF19" s="15" cm="1">
        <f t="array" ref="AF19">+HLOOKUP($A$1,+[24]İcmal!$B$19:$AG$49,ROW(W17)+1,FALSE)</f>
        <v>0</v>
      </c>
      <c r="AG19" s="15" cm="1">
        <f t="array" ref="AG19">+HLOOKUP($A$1,+[25]İcmal!$B$19:$AG$49,ROW(X17)+1,FALSE)</f>
        <v>0</v>
      </c>
      <c r="AH19" s="15" cm="1">
        <f t="array" ref="AH19">+HLOOKUP($A$1,+[26]İcmal!$B$19:$AG$49,ROW(Y17)+1,FALSE)</f>
        <v>0</v>
      </c>
      <c r="AI19" s="15" cm="1">
        <f t="array" ref="AI19">+HLOOKUP($A$1,+[27]İcmal!$B$19:$AG$49,ROW(Z17)+1,FALSE)</f>
        <v>0</v>
      </c>
      <c r="AJ19" s="15" cm="1">
        <f t="array" ref="AJ19">+HLOOKUP($A$1,+[28]İcmal!$B$19:$AG$49,ROW(AA17)+1,FALSE)</f>
        <v>0</v>
      </c>
      <c r="AK19" s="15" cm="1">
        <f t="array" ref="AK19">+HLOOKUP($A$1,+[29]İcmal!$B$19:$AG$49,ROW(AB17)+1,FALSE)</f>
        <v>0</v>
      </c>
      <c r="AL19" s="15"/>
      <c r="AM19" s="15"/>
      <c r="AN19" s="15"/>
      <c r="AO19" s="15"/>
      <c r="AP19" s="15"/>
      <c r="AQ19" s="15"/>
      <c r="AR19" s="15"/>
      <c r="AS19" s="15"/>
      <c r="AT19" s="13"/>
    </row>
    <row r="20" spans="1:46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+HLOOKUP($A$1,+[2]İcmal!$B$19:$AG$49,ROW(A18)+1,FALSE)</f>
        <v>0</v>
      </c>
      <c r="K20" s="15" cm="1">
        <f t="array" ref="K20">+HLOOKUP($A$1,+[3]İcmal!$B$19:$AG$49,ROW(B18)+1,FALSE)</f>
        <v>0</v>
      </c>
      <c r="L20" s="15" cm="1">
        <f t="array" ref="L20">+HLOOKUP($A$1,+[4]İcmal!$B$19:$AG$49,ROW(C18)+1,FALSE)</f>
        <v>0</v>
      </c>
      <c r="M20" s="15" cm="1">
        <f t="array" ref="M20">+HLOOKUP($A$1,+[5]İcmal!$B$19:$AG$49,ROW(D18)+1,FALSE)</f>
        <v>0</v>
      </c>
      <c r="N20" s="15" cm="1">
        <f t="array" ref="N20">+HLOOKUP($A$1,+[6]İcmal!$B$19:$AG$49,ROW(E18)+1,FALSE)</f>
        <v>0</v>
      </c>
      <c r="O20" s="15" cm="1">
        <f t="array" ref="O20">+HLOOKUP($A$1,+[7]İcmal!$B$19:$AG$49,ROW(F18)+1,FALSE)</f>
        <v>0</v>
      </c>
      <c r="P20" s="15" cm="1">
        <f t="array" ref="P20">+HLOOKUP($A$1,+[8]İcmal!$B$19:$AG$49,ROW(G18)+1,FALSE)</f>
        <v>0</v>
      </c>
      <c r="Q20" s="15" cm="1">
        <f t="array" ref="Q20">+HLOOKUP($A$1,+[9]İcmal!$B$19:$AG$49,ROW(H18)+1,FALSE)</f>
        <v>0</v>
      </c>
      <c r="R20" s="15" cm="1">
        <f t="array" ref="R20">+HLOOKUP($A$1,+[10]İcmal!$B$19:$AG$49,ROW(I18)+1,FALSE)</f>
        <v>0</v>
      </c>
      <c r="S20" s="15" cm="1">
        <f t="array" ref="S20">+HLOOKUP($A$1,+[11]İcmal!$B$19:$AG$49,ROW(J18)+1,FALSE)</f>
        <v>0</v>
      </c>
      <c r="T20" s="15" cm="1">
        <f t="array" ref="T20">+HLOOKUP($A$1,+[12]İcmal!$B$19:$AG$49,ROW(K18)+1,FALSE)</f>
        <v>0</v>
      </c>
      <c r="U20" s="15" cm="1">
        <f t="array" ref="U20">+HLOOKUP($A$1,+[13]İcmal!$B$19:$AG$49,ROW(L18)+1,FALSE)</f>
        <v>0</v>
      </c>
      <c r="V20" s="15" cm="1">
        <f t="array" ref="V20">+HLOOKUP($A$1,+[14]İcmal!$B$19:$AG$49,ROW(M18)+1,FALSE)</f>
        <v>0</v>
      </c>
      <c r="W20" s="15" cm="1">
        <f t="array" ref="W20">+HLOOKUP($A$1,+[15]İcmal!$B$19:$AG$49,ROW(N18)+1,FALSE)</f>
        <v>0</v>
      </c>
      <c r="X20" s="15" cm="1">
        <f t="array" ref="X20">+HLOOKUP($A$1,+[16]İcmal!$B$19:$AG$49,ROW(O18)+1,FALSE)</f>
        <v>0</v>
      </c>
      <c r="Y20" s="15" cm="1">
        <f t="array" ref="Y20">+HLOOKUP($A$1,+[17]İcmal!$B$19:$AG$49,ROW(P18)+1,FALSE)</f>
        <v>0</v>
      </c>
      <c r="Z20" s="15" cm="1">
        <f t="array" ref="Z20">+HLOOKUP($A$1,+[18]İcmal!$B$19:$AG$49,ROW(Q18)+1,FALSE)</f>
        <v>0</v>
      </c>
      <c r="AA20" s="15" cm="1">
        <f t="array" ref="AA20">+HLOOKUP($A$1,+[19]İcmal!$B$19:$AG$49,ROW(R18)+1,FALSE)</f>
        <v>0</v>
      </c>
      <c r="AB20" s="15" cm="1">
        <f t="array" ref="AB20">+HLOOKUP($A$1,+[20]İcmal!$B$19:$AG$49,ROW(S18)+1,FALSE)</f>
        <v>0</v>
      </c>
      <c r="AC20" s="15" cm="1">
        <f t="array" ref="AC20">+HLOOKUP($A$1,+[21]İcmal!$B$19:$AG$49,ROW(T18)+1,FALSE)</f>
        <v>0</v>
      </c>
      <c r="AD20" s="15" cm="1">
        <f t="array" ref="AD20">+HLOOKUP($A$1,+[22]İcmal!$B$19:$AG$49,ROW(U18)+1,FALSE)</f>
        <v>0</v>
      </c>
      <c r="AE20" s="15" cm="1">
        <f t="array" ref="AE20">+HLOOKUP($A$1,+[23]İcmal!$B$19:$AG$49,ROW(V18)+1,FALSE)</f>
        <v>0</v>
      </c>
      <c r="AF20" s="15" cm="1">
        <f t="array" ref="AF20">+HLOOKUP($A$1,+[24]İcmal!$B$19:$AG$49,ROW(W18)+1,FALSE)</f>
        <v>0</v>
      </c>
      <c r="AG20" s="15" cm="1">
        <f t="array" ref="AG20">+HLOOKUP($A$1,+[25]İcmal!$B$19:$AG$49,ROW(X18)+1,FALSE)</f>
        <v>0</v>
      </c>
      <c r="AH20" s="15" cm="1">
        <f t="array" ref="AH20">+HLOOKUP($A$1,+[26]İcmal!$B$19:$AG$49,ROW(Y18)+1,FALSE)</f>
        <v>0</v>
      </c>
      <c r="AI20" s="15" cm="1">
        <f t="array" ref="AI20">+HLOOKUP($A$1,+[27]İcmal!$B$19:$AG$49,ROW(Z18)+1,FALSE)</f>
        <v>0</v>
      </c>
      <c r="AJ20" s="15" cm="1">
        <f t="array" ref="AJ20">+HLOOKUP($A$1,+[28]İcmal!$B$19:$AG$49,ROW(AA18)+1,FALSE)</f>
        <v>0</v>
      </c>
      <c r="AK20" s="15" cm="1">
        <f t="array" ref="AK20">+HLOOKUP($A$1,+[29]İcmal!$B$19:$AG$49,ROW(AB18)+1,FALSE)</f>
        <v>0</v>
      </c>
      <c r="AL20" s="15"/>
      <c r="AM20" s="15"/>
      <c r="AN20" s="15"/>
      <c r="AO20" s="15"/>
      <c r="AP20" s="15"/>
      <c r="AQ20" s="15"/>
      <c r="AR20" s="15"/>
      <c r="AS20" s="15"/>
      <c r="AT20" s="13"/>
    </row>
    <row r="21" spans="1:46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+HLOOKUP($A$1,+[2]İcmal!$B$19:$AG$49,ROW(A19)+1,FALSE)</f>
        <v>0</v>
      </c>
      <c r="K21" s="15" cm="1">
        <f t="array" ref="K21">+HLOOKUP($A$1,+[3]İcmal!$B$19:$AG$49,ROW(B19)+1,FALSE)</f>
        <v>0</v>
      </c>
      <c r="L21" s="15" cm="1">
        <f t="array" ref="L21">+HLOOKUP($A$1,+[4]İcmal!$B$19:$AG$49,ROW(C19)+1,FALSE)</f>
        <v>0</v>
      </c>
      <c r="M21" s="15" cm="1">
        <f t="array" ref="M21">+HLOOKUP($A$1,+[5]İcmal!$B$19:$AG$49,ROW(D19)+1,FALSE)</f>
        <v>0</v>
      </c>
      <c r="N21" s="15" cm="1">
        <f t="array" ref="N21">+HLOOKUP($A$1,+[6]İcmal!$B$19:$AG$49,ROW(E19)+1,FALSE)</f>
        <v>0</v>
      </c>
      <c r="O21" s="15" cm="1">
        <f t="array" ref="O21">+HLOOKUP($A$1,+[7]İcmal!$B$19:$AG$49,ROW(F19)+1,FALSE)</f>
        <v>0</v>
      </c>
      <c r="P21" s="15" cm="1">
        <f t="array" ref="P21">+HLOOKUP($A$1,+[8]İcmal!$B$19:$AG$49,ROW(G19)+1,FALSE)</f>
        <v>0</v>
      </c>
      <c r="Q21" s="15" cm="1">
        <f t="array" ref="Q21">+HLOOKUP($A$1,+[9]İcmal!$B$19:$AG$49,ROW(H19)+1,FALSE)</f>
        <v>0</v>
      </c>
      <c r="R21" s="15" cm="1">
        <f t="array" ref="R21">+HLOOKUP($A$1,+[10]İcmal!$B$19:$AG$49,ROW(I19)+1,FALSE)</f>
        <v>0</v>
      </c>
      <c r="S21" s="15" cm="1">
        <f t="array" ref="S21">+HLOOKUP($A$1,+[11]İcmal!$B$19:$AG$49,ROW(J19)+1,FALSE)</f>
        <v>0</v>
      </c>
      <c r="T21" s="15" cm="1">
        <f t="array" ref="T21">+HLOOKUP($A$1,+[12]İcmal!$B$19:$AG$49,ROW(K19)+1,FALSE)</f>
        <v>0</v>
      </c>
      <c r="U21" s="15" cm="1">
        <f t="array" ref="U21">+HLOOKUP($A$1,+[13]İcmal!$B$19:$AG$49,ROW(L19)+1,FALSE)</f>
        <v>0</v>
      </c>
      <c r="V21" s="15" cm="1">
        <f t="array" ref="V21">+HLOOKUP($A$1,+[14]İcmal!$B$19:$AG$49,ROW(M19)+1,FALSE)</f>
        <v>0</v>
      </c>
      <c r="W21" s="15" cm="1">
        <f t="array" ref="W21">+HLOOKUP($A$1,+[15]İcmal!$B$19:$AG$49,ROW(N19)+1,FALSE)</f>
        <v>0</v>
      </c>
      <c r="X21" s="15" cm="1">
        <f t="array" ref="X21">+HLOOKUP($A$1,+[16]İcmal!$B$19:$AG$49,ROW(O19)+1,FALSE)</f>
        <v>0</v>
      </c>
      <c r="Y21" s="15" cm="1">
        <f t="array" ref="Y21">+HLOOKUP($A$1,+[17]İcmal!$B$19:$AG$49,ROW(P19)+1,FALSE)</f>
        <v>0</v>
      </c>
      <c r="Z21" s="15" cm="1">
        <f t="array" ref="Z21">+HLOOKUP($A$1,+[18]İcmal!$B$19:$AG$49,ROW(Q19)+1,FALSE)</f>
        <v>0</v>
      </c>
      <c r="AA21" s="15" cm="1">
        <f t="array" ref="AA21">+HLOOKUP($A$1,+[19]İcmal!$B$19:$AG$49,ROW(R19)+1,FALSE)</f>
        <v>0</v>
      </c>
      <c r="AB21" s="15" cm="1">
        <f t="array" ref="AB21">+HLOOKUP($A$1,+[20]İcmal!$B$19:$AG$49,ROW(S19)+1,FALSE)</f>
        <v>0</v>
      </c>
      <c r="AC21" s="15" cm="1">
        <f t="array" ref="AC21">+HLOOKUP($A$1,+[21]İcmal!$B$19:$AG$49,ROW(T19)+1,FALSE)</f>
        <v>0</v>
      </c>
      <c r="AD21" s="15" cm="1">
        <f t="array" ref="AD21">+HLOOKUP($A$1,+[22]İcmal!$B$19:$AG$49,ROW(U19)+1,FALSE)</f>
        <v>0</v>
      </c>
      <c r="AE21" s="15" cm="1">
        <f t="array" ref="AE21">+HLOOKUP($A$1,+[23]İcmal!$B$19:$AG$49,ROW(V19)+1,FALSE)</f>
        <v>0</v>
      </c>
      <c r="AF21" s="15" cm="1">
        <f t="array" ref="AF21">+HLOOKUP($A$1,+[24]İcmal!$B$19:$AG$49,ROW(W19)+1,FALSE)</f>
        <v>0</v>
      </c>
      <c r="AG21" s="15" cm="1">
        <f t="array" ref="AG21">+HLOOKUP($A$1,+[25]İcmal!$B$19:$AG$49,ROW(X19)+1,FALSE)</f>
        <v>0</v>
      </c>
      <c r="AH21" s="15" cm="1">
        <f t="array" ref="AH21">+HLOOKUP($A$1,+[26]İcmal!$B$19:$AG$49,ROW(Y19)+1,FALSE)</f>
        <v>0</v>
      </c>
      <c r="AI21" s="15" cm="1">
        <f t="array" ref="AI21">+HLOOKUP($A$1,+[27]İcmal!$B$19:$AG$49,ROW(Z19)+1,FALSE)</f>
        <v>0</v>
      </c>
      <c r="AJ21" s="15" cm="1">
        <f t="array" ref="AJ21">+HLOOKUP($A$1,+[28]İcmal!$B$19:$AG$49,ROW(AA19)+1,FALSE)</f>
        <v>0</v>
      </c>
      <c r="AK21" s="15" cm="1">
        <f t="array" ref="AK21">+HLOOKUP($A$1,+[29]İcmal!$B$19:$AG$49,ROW(AB19)+1,FALSE)</f>
        <v>0</v>
      </c>
      <c r="AL21" s="15"/>
      <c r="AM21" s="15"/>
      <c r="AN21" s="15"/>
      <c r="AO21" s="15"/>
      <c r="AP21" s="15"/>
      <c r="AQ21" s="15"/>
      <c r="AR21" s="15"/>
      <c r="AS21" s="15"/>
      <c r="AT21" s="13"/>
    </row>
    <row r="22" spans="1:46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+HLOOKUP($A$1,+[2]İcmal!$B$19:$AG$49,ROW(A20)+1,FALSE)</f>
        <v>0</v>
      </c>
      <c r="K22" s="15" cm="1">
        <f t="array" ref="K22">+HLOOKUP($A$1,+[3]İcmal!$B$19:$AG$49,ROW(B20)+1,FALSE)</f>
        <v>0</v>
      </c>
      <c r="L22" s="15" cm="1">
        <f t="array" ref="L22">+HLOOKUP($A$1,+[4]İcmal!$B$19:$AG$49,ROW(C20)+1,FALSE)</f>
        <v>0</v>
      </c>
      <c r="M22" s="15" cm="1">
        <f t="array" ref="M22">+HLOOKUP($A$1,+[5]İcmal!$B$19:$AG$49,ROW(D20)+1,FALSE)</f>
        <v>0</v>
      </c>
      <c r="N22" s="15" cm="1">
        <f t="array" ref="N22">+HLOOKUP($A$1,+[6]İcmal!$B$19:$AG$49,ROW(E20)+1,FALSE)</f>
        <v>0</v>
      </c>
      <c r="O22" s="15" cm="1">
        <f t="array" ref="O22">+HLOOKUP($A$1,+[7]İcmal!$B$19:$AG$49,ROW(F20)+1,FALSE)</f>
        <v>0</v>
      </c>
      <c r="P22" s="15" cm="1">
        <f t="array" ref="P22">+HLOOKUP($A$1,+[8]İcmal!$B$19:$AG$49,ROW(G20)+1,FALSE)</f>
        <v>0</v>
      </c>
      <c r="Q22" s="15" cm="1">
        <f t="array" ref="Q22">+HLOOKUP($A$1,+[9]İcmal!$B$19:$AG$49,ROW(H20)+1,FALSE)</f>
        <v>0</v>
      </c>
      <c r="R22" s="15" cm="1">
        <f t="array" ref="R22">+HLOOKUP($A$1,+[10]İcmal!$B$19:$AG$49,ROW(I20)+1,FALSE)</f>
        <v>0</v>
      </c>
      <c r="S22" s="15" cm="1">
        <f t="array" ref="S22">+HLOOKUP($A$1,+[11]İcmal!$B$19:$AG$49,ROW(J20)+1,FALSE)</f>
        <v>0</v>
      </c>
      <c r="T22" s="15" cm="1">
        <f t="array" ref="T22">+HLOOKUP($A$1,+[12]İcmal!$B$19:$AG$49,ROW(K20)+1,FALSE)</f>
        <v>0</v>
      </c>
      <c r="U22" s="15" cm="1">
        <f t="array" ref="U22">+HLOOKUP($A$1,+[13]İcmal!$B$19:$AG$49,ROW(L20)+1,FALSE)</f>
        <v>0</v>
      </c>
      <c r="V22" s="15" cm="1">
        <f t="array" ref="V22">+HLOOKUP($A$1,+[14]İcmal!$B$19:$AG$49,ROW(M20)+1,FALSE)</f>
        <v>0</v>
      </c>
      <c r="W22" s="15" cm="1">
        <f t="array" ref="W22">+HLOOKUP($A$1,+[15]İcmal!$B$19:$AG$49,ROW(N20)+1,FALSE)</f>
        <v>0</v>
      </c>
      <c r="X22" s="15" cm="1">
        <f t="array" ref="X22">+HLOOKUP($A$1,+[16]İcmal!$B$19:$AG$49,ROW(O20)+1,FALSE)</f>
        <v>0</v>
      </c>
      <c r="Y22" s="15" cm="1">
        <f t="array" ref="Y22">+HLOOKUP($A$1,+[17]İcmal!$B$19:$AG$49,ROW(P20)+1,FALSE)</f>
        <v>0</v>
      </c>
      <c r="Z22" s="15" cm="1">
        <f t="array" ref="Z22">+HLOOKUP($A$1,+[18]İcmal!$B$19:$AG$49,ROW(Q20)+1,FALSE)</f>
        <v>0</v>
      </c>
      <c r="AA22" s="15" cm="1">
        <f t="array" ref="AA22">+HLOOKUP($A$1,+[19]İcmal!$B$19:$AG$49,ROW(R20)+1,FALSE)</f>
        <v>0</v>
      </c>
      <c r="AB22" s="15" cm="1">
        <f t="array" ref="AB22">+HLOOKUP($A$1,+[20]İcmal!$B$19:$AG$49,ROW(S20)+1,FALSE)</f>
        <v>0</v>
      </c>
      <c r="AC22" s="15" cm="1">
        <f t="array" ref="AC22">+HLOOKUP($A$1,+[21]İcmal!$B$19:$AG$49,ROW(T20)+1,FALSE)</f>
        <v>0</v>
      </c>
      <c r="AD22" s="15" cm="1">
        <f t="array" ref="AD22">+HLOOKUP($A$1,+[22]İcmal!$B$19:$AG$49,ROW(U20)+1,FALSE)</f>
        <v>0</v>
      </c>
      <c r="AE22" s="15" cm="1">
        <f t="array" ref="AE22">+HLOOKUP($A$1,+[23]İcmal!$B$19:$AG$49,ROW(V20)+1,FALSE)</f>
        <v>0</v>
      </c>
      <c r="AF22" s="15" cm="1">
        <f t="array" ref="AF22">+HLOOKUP($A$1,+[24]İcmal!$B$19:$AG$49,ROW(W20)+1,FALSE)</f>
        <v>0</v>
      </c>
      <c r="AG22" s="15" cm="1">
        <f t="array" ref="AG22">+HLOOKUP($A$1,+[25]İcmal!$B$19:$AG$49,ROW(X20)+1,FALSE)</f>
        <v>0</v>
      </c>
      <c r="AH22" s="15" cm="1">
        <f t="array" ref="AH22">+HLOOKUP($A$1,+[26]İcmal!$B$19:$AG$49,ROW(Y20)+1,FALSE)</f>
        <v>0</v>
      </c>
      <c r="AI22" s="15" cm="1">
        <f t="array" ref="AI22">+HLOOKUP($A$1,+[27]İcmal!$B$19:$AG$49,ROW(Z20)+1,FALSE)</f>
        <v>0</v>
      </c>
      <c r="AJ22" s="15" cm="1">
        <f t="array" ref="AJ22">+HLOOKUP($A$1,+[28]İcmal!$B$19:$AG$49,ROW(AA20)+1,FALSE)</f>
        <v>0</v>
      </c>
      <c r="AK22" s="15" cm="1">
        <f t="array" ref="AK22">+HLOOKUP($A$1,+[29]İcmal!$B$19:$AG$49,ROW(AB20)+1,FALSE)</f>
        <v>0</v>
      </c>
      <c r="AL22" s="15"/>
      <c r="AM22" s="15"/>
      <c r="AN22" s="15"/>
      <c r="AO22" s="15"/>
      <c r="AP22" s="15"/>
      <c r="AQ22" s="15"/>
      <c r="AR22" s="15"/>
      <c r="AS22" s="15"/>
      <c r="AT22" s="13"/>
    </row>
    <row r="23" spans="1:46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+HLOOKUP($A$1,+[2]İcmal!$B$19:$AG$49,ROW(A21)+1,FALSE)</f>
        <v>0</v>
      </c>
      <c r="K23" s="15" cm="1">
        <f t="array" ref="K23">+HLOOKUP($A$1,+[3]İcmal!$B$19:$AG$49,ROW(B21)+1,FALSE)</f>
        <v>0</v>
      </c>
      <c r="L23" s="15" cm="1">
        <f t="array" ref="L23">+HLOOKUP($A$1,+[4]İcmal!$B$19:$AG$49,ROW(C21)+1,FALSE)</f>
        <v>0</v>
      </c>
      <c r="M23" s="15" cm="1">
        <f t="array" ref="M23">+HLOOKUP($A$1,+[5]İcmal!$B$19:$AG$49,ROW(D21)+1,FALSE)</f>
        <v>0</v>
      </c>
      <c r="N23" s="15" cm="1">
        <f t="array" ref="N23">+HLOOKUP($A$1,+[6]İcmal!$B$19:$AG$49,ROW(E21)+1,FALSE)</f>
        <v>0</v>
      </c>
      <c r="O23" s="15" cm="1">
        <f t="array" ref="O23">+HLOOKUP($A$1,+[7]İcmal!$B$19:$AG$49,ROW(F21)+1,FALSE)</f>
        <v>0</v>
      </c>
      <c r="P23" s="15" cm="1">
        <f t="array" ref="P23">+HLOOKUP($A$1,+[8]İcmal!$B$19:$AG$49,ROW(G21)+1,FALSE)</f>
        <v>0</v>
      </c>
      <c r="Q23" s="15" cm="1">
        <f t="array" ref="Q23">+HLOOKUP($A$1,+[9]İcmal!$B$19:$AG$49,ROW(H21)+1,FALSE)</f>
        <v>0</v>
      </c>
      <c r="R23" s="15" cm="1">
        <f t="array" ref="R23">+HLOOKUP($A$1,+[10]İcmal!$B$19:$AG$49,ROW(I21)+1,FALSE)</f>
        <v>0</v>
      </c>
      <c r="S23" s="15" cm="1">
        <f t="array" ref="S23">+HLOOKUP($A$1,+[11]İcmal!$B$19:$AG$49,ROW(J21)+1,FALSE)</f>
        <v>0</v>
      </c>
      <c r="T23" s="15" cm="1">
        <f t="array" ref="T23">+HLOOKUP($A$1,+[12]İcmal!$B$19:$AG$49,ROW(K21)+1,FALSE)</f>
        <v>0</v>
      </c>
      <c r="U23" s="15" cm="1">
        <f t="array" ref="U23">+HLOOKUP($A$1,+[13]İcmal!$B$19:$AG$49,ROW(L21)+1,FALSE)</f>
        <v>0</v>
      </c>
      <c r="V23" s="15" cm="1">
        <f t="array" ref="V23">+HLOOKUP($A$1,+[14]İcmal!$B$19:$AG$49,ROW(M21)+1,FALSE)</f>
        <v>0</v>
      </c>
      <c r="W23" s="15" cm="1">
        <f t="array" ref="W23">+HLOOKUP($A$1,+[15]İcmal!$B$19:$AG$49,ROW(N21)+1,FALSE)</f>
        <v>0</v>
      </c>
      <c r="X23" s="15" cm="1">
        <f t="array" ref="X23">+HLOOKUP($A$1,+[16]İcmal!$B$19:$AG$49,ROW(O21)+1,FALSE)</f>
        <v>0</v>
      </c>
      <c r="Y23" s="15" cm="1">
        <f t="array" ref="Y23">+HLOOKUP($A$1,+[17]İcmal!$B$19:$AG$49,ROW(P21)+1,FALSE)</f>
        <v>0</v>
      </c>
      <c r="Z23" s="15" cm="1">
        <f t="array" ref="Z23">+HLOOKUP($A$1,+[18]İcmal!$B$19:$AG$49,ROW(Q21)+1,FALSE)</f>
        <v>0</v>
      </c>
      <c r="AA23" s="15" cm="1">
        <f t="array" ref="AA23">+HLOOKUP($A$1,+[19]İcmal!$B$19:$AG$49,ROW(R21)+1,FALSE)</f>
        <v>0</v>
      </c>
      <c r="AB23" s="15" cm="1">
        <f t="array" ref="AB23">+HLOOKUP($A$1,+[20]İcmal!$B$19:$AG$49,ROW(S21)+1,FALSE)</f>
        <v>0</v>
      </c>
      <c r="AC23" s="15" cm="1">
        <f t="array" ref="AC23">+HLOOKUP($A$1,+[21]İcmal!$B$19:$AG$49,ROW(T21)+1,FALSE)</f>
        <v>0</v>
      </c>
      <c r="AD23" s="15" cm="1">
        <f t="array" ref="AD23">+HLOOKUP($A$1,+[22]İcmal!$B$19:$AG$49,ROW(U21)+1,FALSE)</f>
        <v>0</v>
      </c>
      <c r="AE23" s="15" cm="1">
        <f t="array" ref="AE23">+HLOOKUP($A$1,+[23]İcmal!$B$19:$AG$49,ROW(V21)+1,FALSE)</f>
        <v>0</v>
      </c>
      <c r="AF23" s="15" cm="1">
        <f t="array" ref="AF23">+HLOOKUP($A$1,+[24]İcmal!$B$19:$AG$49,ROW(W21)+1,FALSE)</f>
        <v>0</v>
      </c>
      <c r="AG23" s="15" cm="1">
        <f t="array" ref="AG23">+HLOOKUP($A$1,+[25]İcmal!$B$19:$AG$49,ROW(X21)+1,FALSE)</f>
        <v>0</v>
      </c>
      <c r="AH23" s="15" cm="1">
        <f t="array" ref="AH23">+HLOOKUP($A$1,+[26]İcmal!$B$19:$AG$49,ROW(Y21)+1,FALSE)</f>
        <v>0</v>
      </c>
      <c r="AI23" s="15" cm="1">
        <f t="array" ref="AI23">+HLOOKUP($A$1,+[27]İcmal!$B$19:$AG$49,ROW(Z21)+1,FALSE)</f>
        <v>0</v>
      </c>
      <c r="AJ23" s="15" cm="1">
        <f t="array" ref="AJ23">+HLOOKUP($A$1,+[28]İcmal!$B$19:$AG$49,ROW(AA21)+1,FALSE)</f>
        <v>0</v>
      </c>
      <c r="AK23" s="15" cm="1">
        <f t="array" ref="AK23">+HLOOKUP($A$1,+[29]İcmal!$B$19:$AG$49,ROW(AB21)+1,FALSE)</f>
        <v>0</v>
      </c>
      <c r="AL23" s="15"/>
      <c r="AM23" s="15"/>
      <c r="AN23" s="15"/>
      <c r="AO23" s="15"/>
      <c r="AP23" s="15"/>
      <c r="AQ23" s="15"/>
      <c r="AR23" s="15"/>
      <c r="AS23" s="15"/>
      <c r="AT23" s="13"/>
    </row>
    <row r="24" spans="1:46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+HLOOKUP($A$1,+[2]İcmal!$B$19:$AG$49,ROW(A22)+1,FALSE)</f>
        <v>0</v>
      </c>
      <c r="K24" s="15" cm="1">
        <f t="array" ref="K24">+HLOOKUP($A$1,+[3]İcmal!$B$19:$AG$49,ROW(B22)+1,FALSE)</f>
        <v>0</v>
      </c>
      <c r="L24" s="15" cm="1">
        <f t="array" ref="L24">+HLOOKUP($A$1,+[4]İcmal!$B$19:$AG$49,ROW(C22)+1,FALSE)</f>
        <v>0</v>
      </c>
      <c r="M24" s="15" cm="1">
        <f t="array" ref="M24">+HLOOKUP($A$1,+[5]İcmal!$B$19:$AG$49,ROW(D22)+1,FALSE)</f>
        <v>0</v>
      </c>
      <c r="N24" s="15" cm="1">
        <f t="array" ref="N24">+HLOOKUP($A$1,+[6]İcmal!$B$19:$AG$49,ROW(E22)+1,FALSE)</f>
        <v>0</v>
      </c>
      <c r="O24" s="15" cm="1">
        <f t="array" ref="O24">+HLOOKUP($A$1,+[7]İcmal!$B$19:$AG$49,ROW(F22)+1,FALSE)</f>
        <v>0</v>
      </c>
      <c r="P24" s="15" cm="1">
        <f t="array" ref="P24">+HLOOKUP($A$1,+[8]İcmal!$B$19:$AG$49,ROW(G22)+1,FALSE)</f>
        <v>0</v>
      </c>
      <c r="Q24" s="15" cm="1">
        <f t="array" ref="Q24">+HLOOKUP($A$1,+[9]İcmal!$B$19:$AG$49,ROW(H22)+1,FALSE)</f>
        <v>0</v>
      </c>
      <c r="R24" s="15" cm="1">
        <f t="array" ref="R24">+HLOOKUP($A$1,+[10]İcmal!$B$19:$AG$49,ROW(I22)+1,FALSE)</f>
        <v>0</v>
      </c>
      <c r="S24" s="15" cm="1">
        <f t="array" ref="S24">+HLOOKUP($A$1,+[11]İcmal!$B$19:$AG$49,ROW(J22)+1,FALSE)</f>
        <v>0</v>
      </c>
      <c r="T24" s="15" cm="1">
        <f t="array" ref="T24">+HLOOKUP($A$1,+[12]İcmal!$B$19:$AG$49,ROW(K22)+1,FALSE)</f>
        <v>0</v>
      </c>
      <c r="U24" s="15" cm="1">
        <f t="array" ref="U24">+HLOOKUP($A$1,+[13]İcmal!$B$19:$AG$49,ROW(L22)+1,FALSE)</f>
        <v>0</v>
      </c>
      <c r="V24" s="15" cm="1">
        <f t="array" ref="V24">+HLOOKUP($A$1,+[14]İcmal!$B$19:$AG$49,ROW(M22)+1,FALSE)</f>
        <v>0</v>
      </c>
      <c r="W24" s="15" cm="1">
        <f t="array" ref="W24">+HLOOKUP($A$1,+[15]İcmal!$B$19:$AG$49,ROW(N22)+1,FALSE)</f>
        <v>0</v>
      </c>
      <c r="X24" s="15" cm="1">
        <f t="array" ref="X24">+HLOOKUP($A$1,+[16]İcmal!$B$19:$AG$49,ROW(O22)+1,FALSE)</f>
        <v>0</v>
      </c>
      <c r="Y24" s="15" cm="1">
        <f t="array" ref="Y24">+HLOOKUP($A$1,+[17]İcmal!$B$19:$AG$49,ROW(P22)+1,FALSE)</f>
        <v>0</v>
      </c>
      <c r="Z24" s="15" cm="1">
        <f t="array" ref="Z24">+HLOOKUP($A$1,+[18]İcmal!$B$19:$AG$49,ROW(Q22)+1,FALSE)</f>
        <v>0</v>
      </c>
      <c r="AA24" s="15" cm="1">
        <f t="array" ref="AA24">+HLOOKUP($A$1,+[19]İcmal!$B$19:$AG$49,ROW(R22)+1,FALSE)</f>
        <v>0</v>
      </c>
      <c r="AB24" s="15" cm="1">
        <f t="array" ref="AB24">+HLOOKUP($A$1,+[20]İcmal!$B$19:$AG$49,ROW(S22)+1,FALSE)</f>
        <v>0</v>
      </c>
      <c r="AC24" s="15" cm="1">
        <f t="array" ref="AC24">+HLOOKUP($A$1,+[21]İcmal!$B$19:$AG$49,ROW(T22)+1,FALSE)</f>
        <v>0</v>
      </c>
      <c r="AD24" s="15" cm="1">
        <f t="array" ref="AD24">+HLOOKUP($A$1,+[22]İcmal!$B$19:$AG$49,ROW(U22)+1,FALSE)</f>
        <v>0</v>
      </c>
      <c r="AE24" s="15" cm="1">
        <f t="array" ref="AE24">+HLOOKUP($A$1,+[23]İcmal!$B$19:$AG$49,ROW(V22)+1,FALSE)</f>
        <v>0</v>
      </c>
      <c r="AF24" s="15" cm="1">
        <f t="array" ref="AF24">+HLOOKUP($A$1,+[24]İcmal!$B$19:$AG$49,ROW(W22)+1,FALSE)</f>
        <v>0</v>
      </c>
      <c r="AG24" s="15" cm="1">
        <f t="array" ref="AG24">+HLOOKUP($A$1,+[25]İcmal!$B$19:$AG$49,ROW(X22)+1,FALSE)</f>
        <v>0</v>
      </c>
      <c r="AH24" s="15" cm="1">
        <f t="array" ref="AH24">+HLOOKUP($A$1,+[26]İcmal!$B$19:$AG$49,ROW(Y22)+1,FALSE)</f>
        <v>0</v>
      </c>
      <c r="AI24" s="15" cm="1">
        <f t="array" ref="AI24">+HLOOKUP($A$1,+[27]İcmal!$B$19:$AG$49,ROW(Z22)+1,FALSE)</f>
        <v>0</v>
      </c>
      <c r="AJ24" s="15" cm="1">
        <f t="array" ref="AJ24">+HLOOKUP($A$1,+[28]İcmal!$B$19:$AG$49,ROW(AA22)+1,FALSE)</f>
        <v>0</v>
      </c>
      <c r="AK24" s="15" cm="1">
        <f t="array" ref="AK24">+HLOOKUP($A$1,+[29]İcmal!$B$19:$AG$49,ROW(AB22)+1,FALSE)</f>
        <v>0</v>
      </c>
      <c r="AL24" s="15"/>
      <c r="AM24" s="15"/>
      <c r="AN24" s="15"/>
      <c r="AO24" s="15"/>
      <c r="AP24" s="15"/>
      <c r="AQ24" s="15"/>
      <c r="AR24" s="15"/>
      <c r="AS24" s="15"/>
      <c r="AT24" s="13"/>
    </row>
    <row r="25" spans="1:46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+HLOOKUP($A$1,+[2]İcmal!$B$19:$AG$49,ROW(A23)+1,FALSE)</f>
        <v>0</v>
      </c>
      <c r="K25" s="15" cm="1">
        <f t="array" ref="K25">+HLOOKUP($A$1,+[3]İcmal!$B$19:$AG$49,ROW(B23)+1,FALSE)</f>
        <v>0</v>
      </c>
      <c r="L25" s="15" cm="1">
        <f t="array" ref="L25">+HLOOKUP($A$1,+[4]İcmal!$B$19:$AG$49,ROW(C23)+1,FALSE)</f>
        <v>0</v>
      </c>
      <c r="M25" s="15" cm="1">
        <f t="array" ref="M25">+HLOOKUP($A$1,+[5]İcmal!$B$19:$AG$49,ROW(D23)+1,FALSE)</f>
        <v>0</v>
      </c>
      <c r="N25" s="15" cm="1">
        <f t="array" ref="N25">+HLOOKUP($A$1,+[6]İcmal!$B$19:$AG$49,ROW(E23)+1,FALSE)</f>
        <v>0</v>
      </c>
      <c r="O25" s="15" cm="1">
        <f t="array" ref="O25">+HLOOKUP($A$1,+[7]İcmal!$B$19:$AG$49,ROW(F23)+1,FALSE)</f>
        <v>0</v>
      </c>
      <c r="P25" s="15" cm="1">
        <f t="array" ref="P25">+HLOOKUP($A$1,+[8]İcmal!$B$19:$AG$49,ROW(G23)+1,FALSE)</f>
        <v>0</v>
      </c>
      <c r="Q25" s="15" cm="1">
        <f t="array" ref="Q25">+HLOOKUP($A$1,+[9]İcmal!$B$19:$AG$49,ROW(H23)+1,FALSE)</f>
        <v>0</v>
      </c>
      <c r="R25" s="15" cm="1">
        <f t="array" ref="R25">+HLOOKUP($A$1,+[10]İcmal!$B$19:$AG$49,ROW(I23)+1,FALSE)</f>
        <v>0</v>
      </c>
      <c r="S25" s="15" cm="1">
        <f t="array" ref="S25">+HLOOKUP($A$1,+[11]İcmal!$B$19:$AG$49,ROW(J23)+1,FALSE)</f>
        <v>0</v>
      </c>
      <c r="T25" s="15" cm="1">
        <f t="array" ref="T25">+HLOOKUP($A$1,+[12]İcmal!$B$19:$AG$49,ROW(K23)+1,FALSE)</f>
        <v>0</v>
      </c>
      <c r="U25" s="15" cm="1">
        <f t="array" ref="U25">+HLOOKUP($A$1,+[13]İcmal!$B$19:$AG$49,ROW(L23)+1,FALSE)</f>
        <v>0</v>
      </c>
      <c r="V25" s="15" cm="1">
        <f t="array" ref="V25">+HLOOKUP($A$1,+[14]İcmal!$B$19:$AG$49,ROW(M23)+1,FALSE)</f>
        <v>0</v>
      </c>
      <c r="W25" s="15" cm="1">
        <f t="array" ref="W25">+HLOOKUP($A$1,+[15]İcmal!$B$19:$AG$49,ROW(N23)+1,FALSE)</f>
        <v>0</v>
      </c>
      <c r="X25" s="15" cm="1">
        <f t="array" ref="X25">+HLOOKUP($A$1,+[16]İcmal!$B$19:$AG$49,ROW(O23)+1,FALSE)</f>
        <v>0</v>
      </c>
      <c r="Y25" s="15" cm="1">
        <f t="array" ref="Y25">+HLOOKUP($A$1,+[17]İcmal!$B$19:$AG$49,ROW(P23)+1,FALSE)</f>
        <v>0</v>
      </c>
      <c r="Z25" s="15" cm="1">
        <f t="array" ref="Z25">+HLOOKUP($A$1,+[18]İcmal!$B$19:$AG$49,ROW(Q23)+1,FALSE)</f>
        <v>0</v>
      </c>
      <c r="AA25" s="15" cm="1">
        <f t="array" ref="AA25">+HLOOKUP($A$1,+[19]İcmal!$B$19:$AG$49,ROW(R23)+1,FALSE)</f>
        <v>0</v>
      </c>
      <c r="AB25" s="15" cm="1">
        <f t="array" ref="AB25">+HLOOKUP($A$1,+[20]İcmal!$B$19:$AG$49,ROW(S23)+1,FALSE)</f>
        <v>0</v>
      </c>
      <c r="AC25" s="15" cm="1">
        <f t="array" ref="AC25">+HLOOKUP($A$1,+[21]İcmal!$B$19:$AG$49,ROW(T23)+1,FALSE)</f>
        <v>0</v>
      </c>
      <c r="AD25" s="15" cm="1">
        <f t="array" ref="AD25">+HLOOKUP($A$1,+[22]İcmal!$B$19:$AG$49,ROW(U23)+1,FALSE)</f>
        <v>0</v>
      </c>
      <c r="AE25" s="15" cm="1">
        <f t="array" ref="AE25">+HLOOKUP($A$1,+[23]İcmal!$B$19:$AG$49,ROW(V23)+1,FALSE)</f>
        <v>0</v>
      </c>
      <c r="AF25" s="15" cm="1">
        <f t="array" ref="AF25">+HLOOKUP($A$1,+[24]İcmal!$B$19:$AG$49,ROW(W23)+1,FALSE)</f>
        <v>0</v>
      </c>
      <c r="AG25" s="15" cm="1">
        <f t="array" ref="AG25">+HLOOKUP($A$1,+[25]İcmal!$B$19:$AG$49,ROW(X23)+1,FALSE)</f>
        <v>0</v>
      </c>
      <c r="AH25" s="15" cm="1">
        <f t="array" ref="AH25">+HLOOKUP($A$1,+[26]İcmal!$B$19:$AG$49,ROW(Y23)+1,FALSE)</f>
        <v>0</v>
      </c>
      <c r="AI25" s="15" cm="1">
        <f t="array" ref="AI25">+HLOOKUP($A$1,+[27]İcmal!$B$19:$AG$49,ROW(Z23)+1,FALSE)</f>
        <v>0</v>
      </c>
      <c r="AJ25" s="15" cm="1">
        <f t="array" ref="AJ25">+HLOOKUP($A$1,+[28]İcmal!$B$19:$AG$49,ROW(AA23)+1,FALSE)</f>
        <v>0</v>
      </c>
      <c r="AK25" s="15" cm="1">
        <f t="array" ref="AK25">+HLOOKUP($A$1,+[29]İcmal!$B$19:$AG$49,ROW(AB23)+1,FALSE)</f>
        <v>0</v>
      </c>
      <c r="AL25" s="15"/>
      <c r="AM25" s="15"/>
      <c r="AN25" s="15"/>
      <c r="AO25" s="15"/>
      <c r="AP25" s="15"/>
      <c r="AQ25" s="15"/>
      <c r="AR25" s="15"/>
      <c r="AS25" s="15"/>
      <c r="AT25" s="13"/>
    </row>
    <row r="26" spans="1:46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+HLOOKUP($A$1,+[2]İcmal!$B$19:$AG$49,ROW(A24)+1,FALSE)</f>
        <v>0</v>
      </c>
      <c r="K26" s="15" cm="1">
        <f t="array" ref="K26">+HLOOKUP($A$1,+[3]İcmal!$B$19:$AG$49,ROW(B24)+1,FALSE)</f>
        <v>0</v>
      </c>
      <c r="L26" s="15" cm="1">
        <f t="array" ref="L26">+HLOOKUP($A$1,+[4]İcmal!$B$19:$AG$49,ROW(C24)+1,FALSE)</f>
        <v>0</v>
      </c>
      <c r="M26" s="15" cm="1">
        <f t="array" ref="M26">+HLOOKUP($A$1,+[5]İcmal!$B$19:$AG$49,ROW(D24)+1,FALSE)</f>
        <v>0</v>
      </c>
      <c r="N26" s="15" cm="1">
        <f t="array" ref="N26">+HLOOKUP($A$1,+[6]İcmal!$B$19:$AG$49,ROW(E24)+1,FALSE)</f>
        <v>0</v>
      </c>
      <c r="O26" s="15" cm="1">
        <f t="array" ref="O26">+HLOOKUP($A$1,+[7]İcmal!$B$19:$AG$49,ROW(F24)+1,FALSE)</f>
        <v>0</v>
      </c>
      <c r="P26" s="15" cm="1">
        <f t="array" ref="P26">+HLOOKUP($A$1,+[8]İcmal!$B$19:$AG$49,ROW(G24)+1,FALSE)</f>
        <v>0</v>
      </c>
      <c r="Q26" s="15" cm="1">
        <f t="array" ref="Q26">+HLOOKUP($A$1,+[9]İcmal!$B$19:$AG$49,ROW(H24)+1,FALSE)</f>
        <v>0</v>
      </c>
      <c r="R26" s="15" cm="1">
        <f t="array" ref="R26">+HLOOKUP($A$1,+[10]İcmal!$B$19:$AG$49,ROW(I24)+1,FALSE)</f>
        <v>0</v>
      </c>
      <c r="S26" s="15" cm="1">
        <f t="array" ref="S26">+HLOOKUP($A$1,+[11]İcmal!$B$19:$AG$49,ROW(J24)+1,FALSE)</f>
        <v>0</v>
      </c>
      <c r="T26" s="15" cm="1">
        <f t="array" ref="T26">+HLOOKUP($A$1,+[12]İcmal!$B$19:$AG$49,ROW(K24)+1,FALSE)</f>
        <v>0</v>
      </c>
      <c r="U26" s="15" cm="1">
        <f t="array" ref="U26">+HLOOKUP($A$1,+[13]İcmal!$B$19:$AG$49,ROW(L24)+1,FALSE)</f>
        <v>0</v>
      </c>
      <c r="V26" s="15" cm="1">
        <f t="array" ref="V26">+HLOOKUP($A$1,+[14]İcmal!$B$19:$AG$49,ROW(M24)+1,FALSE)</f>
        <v>0</v>
      </c>
      <c r="W26" s="15" cm="1">
        <f t="array" ref="W26">+HLOOKUP($A$1,+[15]İcmal!$B$19:$AG$49,ROW(N24)+1,FALSE)</f>
        <v>0</v>
      </c>
      <c r="X26" s="15" cm="1">
        <f t="array" ref="X26">+HLOOKUP($A$1,+[16]İcmal!$B$19:$AG$49,ROW(O24)+1,FALSE)</f>
        <v>0</v>
      </c>
      <c r="Y26" s="15" cm="1">
        <f t="array" ref="Y26">+HLOOKUP($A$1,+[17]İcmal!$B$19:$AG$49,ROW(P24)+1,FALSE)</f>
        <v>0</v>
      </c>
      <c r="Z26" s="15" cm="1">
        <f t="array" ref="Z26">+HLOOKUP($A$1,+[18]İcmal!$B$19:$AG$49,ROW(Q24)+1,FALSE)</f>
        <v>0</v>
      </c>
      <c r="AA26" s="15" cm="1">
        <f t="array" ref="AA26">+HLOOKUP($A$1,+[19]İcmal!$B$19:$AG$49,ROW(R24)+1,FALSE)</f>
        <v>0</v>
      </c>
      <c r="AB26" s="15" cm="1">
        <f t="array" ref="AB26">+HLOOKUP($A$1,+[20]İcmal!$B$19:$AG$49,ROW(S24)+1,FALSE)</f>
        <v>0</v>
      </c>
      <c r="AC26" s="15" cm="1">
        <f t="array" ref="AC26">+HLOOKUP($A$1,+[21]İcmal!$B$19:$AG$49,ROW(T24)+1,FALSE)</f>
        <v>0</v>
      </c>
      <c r="AD26" s="15" cm="1">
        <f t="array" ref="AD26">+HLOOKUP($A$1,+[22]İcmal!$B$19:$AG$49,ROW(U24)+1,FALSE)</f>
        <v>0</v>
      </c>
      <c r="AE26" s="15" cm="1">
        <f t="array" ref="AE26">+HLOOKUP($A$1,+[23]İcmal!$B$19:$AG$49,ROW(V24)+1,FALSE)</f>
        <v>0</v>
      </c>
      <c r="AF26" s="15" cm="1">
        <f t="array" ref="AF26">+HLOOKUP($A$1,+[24]İcmal!$B$19:$AG$49,ROW(W24)+1,FALSE)</f>
        <v>0</v>
      </c>
      <c r="AG26" s="15" cm="1">
        <f t="array" ref="AG26">+HLOOKUP($A$1,+[25]İcmal!$B$19:$AG$49,ROW(X24)+1,FALSE)</f>
        <v>0</v>
      </c>
      <c r="AH26" s="15" cm="1">
        <f t="array" ref="AH26">+HLOOKUP($A$1,+[26]İcmal!$B$19:$AG$49,ROW(Y24)+1,FALSE)</f>
        <v>0</v>
      </c>
      <c r="AI26" s="15" cm="1">
        <f t="array" ref="AI26">+HLOOKUP($A$1,+[27]İcmal!$B$19:$AG$49,ROW(Z24)+1,FALSE)</f>
        <v>0</v>
      </c>
      <c r="AJ26" s="15" cm="1">
        <f t="array" ref="AJ26">+HLOOKUP($A$1,+[28]İcmal!$B$19:$AG$49,ROW(AA24)+1,FALSE)</f>
        <v>0</v>
      </c>
      <c r="AK26" s="15" cm="1">
        <f t="array" ref="AK26">+HLOOKUP($A$1,+[29]İcmal!$B$19:$AG$49,ROW(AB24)+1,FALSE)</f>
        <v>0</v>
      </c>
      <c r="AL26" s="15"/>
      <c r="AM26" s="15"/>
      <c r="AN26" s="15"/>
      <c r="AO26" s="15"/>
      <c r="AP26" s="15"/>
      <c r="AQ26" s="15"/>
      <c r="AR26" s="15"/>
      <c r="AS26" s="15"/>
      <c r="AT26" s="13"/>
    </row>
    <row r="27" spans="1:46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+HLOOKUP($A$1,+[2]İcmal!$B$19:$AG$49,ROW(A25)+1,FALSE)</f>
        <v>0</v>
      </c>
      <c r="K27" s="15" cm="1">
        <f t="array" ref="K27">+HLOOKUP($A$1,+[3]İcmal!$B$19:$AG$49,ROW(B25)+1,FALSE)</f>
        <v>0</v>
      </c>
      <c r="L27" s="15" cm="1">
        <f t="array" ref="L27">+HLOOKUP($A$1,+[4]İcmal!$B$19:$AG$49,ROW(C25)+1,FALSE)</f>
        <v>0</v>
      </c>
      <c r="M27" s="15" cm="1">
        <f t="array" ref="M27">+HLOOKUP($A$1,+[5]İcmal!$B$19:$AG$49,ROW(D25)+1,FALSE)</f>
        <v>0</v>
      </c>
      <c r="N27" s="15" cm="1">
        <f t="array" ref="N27">+HLOOKUP($A$1,+[6]İcmal!$B$19:$AG$49,ROW(E25)+1,FALSE)</f>
        <v>0</v>
      </c>
      <c r="O27" s="15" cm="1">
        <f t="array" ref="O27">+HLOOKUP($A$1,+[7]İcmal!$B$19:$AG$49,ROW(F25)+1,FALSE)</f>
        <v>0</v>
      </c>
      <c r="P27" s="15" cm="1">
        <f t="array" ref="P27">+HLOOKUP($A$1,+[8]İcmal!$B$19:$AG$49,ROW(G25)+1,FALSE)</f>
        <v>0</v>
      </c>
      <c r="Q27" s="15" cm="1">
        <f t="array" ref="Q27">+HLOOKUP($A$1,+[9]İcmal!$B$19:$AG$49,ROW(H25)+1,FALSE)</f>
        <v>0</v>
      </c>
      <c r="R27" s="15" cm="1">
        <f t="array" ref="R27">+HLOOKUP($A$1,+[10]İcmal!$B$19:$AG$49,ROW(I25)+1,FALSE)</f>
        <v>0</v>
      </c>
      <c r="S27" s="15" cm="1">
        <f t="array" ref="S27">+HLOOKUP($A$1,+[11]İcmal!$B$19:$AG$49,ROW(J25)+1,FALSE)</f>
        <v>0</v>
      </c>
      <c r="T27" s="15" cm="1">
        <f t="array" ref="T27">+HLOOKUP($A$1,+[12]İcmal!$B$19:$AG$49,ROW(K25)+1,FALSE)</f>
        <v>0</v>
      </c>
      <c r="U27" s="15" cm="1">
        <f t="array" ref="U27">+HLOOKUP($A$1,+[13]İcmal!$B$19:$AG$49,ROW(L25)+1,FALSE)</f>
        <v>0</v>
      </c>
      <c r="V27" s="15" cm="1">
        <f t="array" ref="V27">+HLOOKUP($A$1,+[14]İcmal!$B$19:$AG$49,ROW(M25)+1,FALSE)</f>
        <v>0</v>
      </c>
      <c r="W27" s="15" cm="1">
        <f t="array" ref="W27">+HLOOKUP($A$1,+[15]İcmal!$B$19:$AG$49,ROW(N25)+1,FALSE)</f>
        <v>0</v>
      </c>
      <c r="X27" s="15" cm="1">
        <f t="array" ref="X27">+HLOOKUP($A$1,+[16]İcmal!$B$19:$AG$49,ROW(O25)+1,FALSE)</f>
        <v>0</v>
      </c>
      <c r="Y27" s="15" cm="1">
        <f t="array" ref="Y27">+HLOOKUP($A$1,+[17]İcmal!$B$19:$AG$49,ROW(P25)+1,FALSE)</f>
        <v>0</v>
      </c>
      <c r="Z27" s="15" cm="1">
        <f t="array" ref="Z27">+HLOOKUP($A$1,+[18]İcmal!$B$19:$AG$49,ROW(Q25)+1,FALSE)</f>
        <v>0</v>
      </c>
      <c r="AA27" s="15" cm="1">
        <f t="array" ref="AA27">+HLOOKUP($A$1,+[19]İcmal!$B$19:$AG$49,ROW(R25)+1,FALSE)</f>
        <v>0</v>
      </c>
      <c r="AB27" s="15" cm="1">
        <f t="array" ref="AB27">+HLOOKUP($A$1,+[20]İcmal!$B$19:$AG$49,ROW(S25)+1,FALSE)</f>
        <v>0</v>
      </c>
      <c r="AC27" s="15" cm="1">
        <f t="array" ref="AC27">+HLOOKUP($A$1,+[21]İcmal!$B$19:$AG$49,ROW(T25)+1,FALSE)</f>
        <v>0</v>
      </c>
      <c r="AD27" s="15" cm="1">
        <f t="array" ref="AD27">+HLOOKUP($A$1,+[22]İcmal!$B$19:$AG$49,ROW(U25)+1,FALSE)</f>
        <v>0</v>
      </c>
      <c r="AE27" s="15" cm="1">
        <f t="array" ref="AE27">+HLOOKUP($A$1,+[23]İcmal!$B$19:$AG$49,ROW(V25)+1,FALSE)</f>
        <v>0</v>
      </c>
      <c r="AF27" s="15" cm="1">
        <f t="array" ref="AF27">+HLOOKUP($A$1,+[24]İcmal!$B$19:$AG$49,ROW(W25)+1,FALSE)</f>
        <v>0</v>
      </c>
      <c r="AG27" s="15" cm="1">
        <f t="array" ref="AG27">+HLOOKUP($A$1,+[25]İcmal!$B$19:$AG$49,ROW(X25)+1,FALSE)</f>
        <v>0</v>
      </c>
      <c r="AH27" s="15" cm="1">
        <f t="array" ref="AH27">+HLOOKUP($A$1,+[26]İcmal!$B$19:$AG$49,ROW(Y25)+1,FALSE)</f>
        <v>0</v>
      </c>
      <c r="AI27" s="15" cm="1">
        <f t="array" ref="AI27">+HLOOKUP($A$1,+[27]İcmal!$B$19:$AG$49,ROW(Z25)+1,FALSE)</f>
        <v>0</v>
      </c>
      <c r="AJ27" s="15" cm="1">
        <f t="array" ref="AJ27">+HLOOKUP($A$1,+[28]İcmal!$B$19:$AG$49,ROW(AA25)+1,FALSE)</f>
        <v>0</v>
      </c>
      <c r="AK27" s="15" cm="1">
        <f t="array" ref="AK27">+HLOOKUP($A$1,+[29]İcmal!$B$19:$AG$49,ROW(AB25)+1,FALSE)</f>
        <v>0</v>
      </c>
      <c r="AL27" s="15"/>
      <c r="AM27" s="15"/>
      <c r="AN27" s="15"/>
      <c r="AO27" s="15"/>
      <c r="AP27" s="15"/>
      <c r="AQ27" s="15"/>
      <c r="AR27" s="15"/>
      <c r="AS27" s="15"/>
      <c r="AT27" s="13"/>
    </row>
    <row r="28" spans="1:46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5.1450000000000014</v>
      </c>
      <c r="I28" s="9">
        <f t="shared" si="2"/>
        <v>237956.25000000006</v>
      </c>
      <c r="J28" s="15" cm="1">
        <f t="array" ref="J28">+HLOOKUP($A$1,+[2]İcmal!$B$19:$AG$49,ROW(A26)+1,FALSE)</f>
        <v>0</v>
      </c>
      <c r="K28" s="15" cm="1">
        <f t="array" ref="K28">+HLOOKUP($A$1,+[3]İcmal!$B$19:$AG$49,ROW(B26)+1,FALSE)</f>
        <v>0</v>
      </c>
      <c r="L28" s="15" cm="1">
        <f t="array" ref="L28">+HLOOKUP($A$1,+[4]İcmal!$B$19:$AG$49,ROW(C26)+1,FALSE)</f>
        <v>1.1720000000000002</v>
      </c>
      <c r="M28" s="15" cm="1">
        <f t="array" ref="M28">+HLOOKUP($A$1,+[5]İcmal!$B$19:$AG$49,ROW(D26)+1,FALSE)</f>
        <v>0.379</v>
      </c>
      <c r="N28" s="15" cm="1">
        <f t="array" ref="N28">+HLOOKUP($A$1,+[6]İcmal!$B$19:$AG$49,ROW(E26)+1,FALSE)</f>
        <v>5.400000000000027E-2</v>
      </c>
      <c r="O28" s="15" cm="1">
        <f t="array" ref="O28">+HLOOKUP($A$1,+[7]İcmal!$B$19:$AG$49,ROW(F26)+1,FALSE)</f>
        <v>0.97800000000000065</v>
      </c>
      <c r="P28" s="15" cm="1">
        <f t="array" ref="P28">+HLOOKUP($A$1,+[8]İcmal!$B$19:$AG$49,ROW(G26)+1,FALSE)</f>
        <v>0</v>
      </c>
      <c r="Q28" s="15" cm="1">
        <f t="array" ref="Q28">+HLOOKUP($A$1,+[9]İcmal!$B$19:$AG$49,ROW(H26)+1,FALSE)</f>
        <v>0</v>
      </c>
      <c r="R28" s="15" cm="1">
        <f t="array" ref="R28">+HLOOKUP($A$1,+[10]İcmal!$B$19:$AG$49,ROW(I26)+1,FALSE)</f>
        <v>6.9000000000000838E-2</v>
      </c>
      <c r="S28" s="15" cm="1">
        <f t="array" ref="S28">+HLOOKUP($A$1,+[11]İcmal!$B$19:$AG$49,ROW(J26)+1,FALSE)</f>
        <v>0.98499999999999943</v>
      </c>
      <c r="T28" s="15" cm="1">
        <f t="array" ref="T28">+HLOOKUP($A$1,+[12]İcmal!$B$19:$AG$49,ROW(K26)+1,FALSE)</f>
        <v>0</v>
      </c>
      <c r="U28" s="15" cm="1">
        <f t="array" ref="U28">+HLOOKUP($A$1,+[13]İcmal!$B$19:$AG$49,ROW(L26)+1,FALSE)</f>
        <v>0</v>
      </c>
      <c r="V28" s="15" cm="1">
        <f t="array" ref="V28">+HLOOKUP($A$1,+[14]İcmal!$B$19:$AG$49,ROW(M26)+1,FALSE)</f>
        <v>0</v>
      </c>
      <c r="W28" s="15" cm="1">
        <f t="array" ref="W28">+HLOOKUP($A$1,+[15]İcmal!$B$19:$AG$49,ROW(N26)+1,FALSE)</f>
        <v>0</v>
      </c>
      <c r="X28" s="15" cm="1">
        <f t="array" ref="X28">+HLOOKUP($A$1,+[16]İcmal!$B$19:$AG$49,ROW(O26)+1,FALSE)</f>
        <v>0.44399999999999995</v>
      </c>
      <c r="Y28" s="15" cm="1">
        <f t="array" ref="Y28">+HLOOKUP($A$1,+[17]İcmal!$B$19:$AG$49,ROW(P26)+1,FALSE)</f>
        <v>0.151</v>
      </c>
      <c r="Z28" s="15" cm="1">
        <f t="array" ref="Z28">+HLOOKUP($A$1,+[18]İcmal!$B$19:$AG$49,ROW(Q26)+1,FALSE)</f>
        <v>0</v>
      </c>
      <c r="AA28" s="15" cm="1">
        <f t="array" ref="AA28">+HLOOKUP($A$1,+[19]İcmal!$B$19:$AG$49,ROW(R26)+1,FALSE)</f>
        <v>0</v>
      </c>
      <c r="AB28" s="15" cm="1">
        <f t="array" ref="AB28">+HLOOKUP($A$1,+[20]İcmal!$B$19:$AG$49,ROW(S26)+1,FALSE)</f>
        <v>-6.4999999999999891E-2</v>
      </c>
      <c r="AC28" s="15" cm="1">
        <f t="array" ref="AC28">+HLOOKUP($A$1,+[21]İcmal!$B$19:$AG$49,ROW(T26)+1,FALSE)</f>
        <v>8.6999999999999994E-2</v>
      </c>
      <c r="AD28" s="15" cm="1">
        <f t="array" ref="AD28">+HLOOKUP($A$1,+[22]İcmal!$B$19:$AG$49,ROW(U26)+1,FALSE)</f>
        <v>0.45300000000000001</v>
      </c>
      <c r="AE28" s="15" cm="1">
        <f t="array" ref="AE28">+HLOOKUP($A$1,+[23]İcmal!$B$19:$AG$49,ROW(V26)+1,FALSE)</f>
        <v>8.6999999999999994E-2</v>
      </c>
      <c r="AF28" s="15" cm="1">
        <f t="array" ref="AF28">+HLOOKUP($A$1,+[24]İcmal!$B$19:$AG$49,ROW(W26)+1,FALSE)</f>
        <v>-6.4999999999999947E-2</v>
      </c>
      <c r="AG28" s="15" cm="1">
        <f t="array" ref="AG28">+HLOOKUP($A$1,+[25]İcmal!$B$19:$AG$49,ROW(X26)+1,FALSE)</f>
        <v>8.6999999999999994E-2</v>
      </c>
      <c r="AH28" s="15" cm="1">
        <f t="array" ref="AH28">+HLOOKUP($A$1,+[26]İcmal!$B$19:$AG$49,ROW(Y26)+1,FALSE)</f>
        <v>-6.4999999999999947E-2</v>
      </c>
      <c r="AI28" s="15" cm="1">
        <f t="array" ref="AI28">+HLOOKUP($A$1,+[27]İcmal!$B$19:$AG$49,ROW(Z26)+1,FALSE)</f>
        <v>-1.4000000000000012E-2</v>
      </c>
      <c r="AJ28" s="15" cm="1">
        <f t="array" ref="AJ28">+HLOOKUP($A$1,+[28]İcmal!$B$19:$AG$49,ROW(AA26)+1,FALSE)</f>
        <v>0.40800000000000003</v>
      </c>
      <c r="AK28" s="15" cm="1">
        <f t="array" ref="AK28">+HLOOKUP($A$1,+[29]İcmal!$B$19:$AG$49,ROW(AB26)+1,FALSE)</f>
        <v>0</v>
      </c>
      <c r="AL28" s="15"/>
      <c r="AM28" s="15"/>
      <c r="AN28" s="15"/>
      <c r="AO28" s="15"/>
      <c r="AP28" s="15"/>
      <c r="AQ28" s="15"/>
      <c r="AR28" s="15"/>
      <c r="AS28" s="15"/>
      <c r="AT28" s="13"/>
    </row>
    <row r="29" spans="1:46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+HLOOKUP($A$1,+[2]İcmal!$B$19:$AG$49,ROW(A27)+1,FALSE)</f>
        <v>0</v>
      </c>
      <c r="K29" s="15" cm="1">
        <f t="array" ref="K29">+HLOOKUP($A$1,+[3]İcmal!$B$19:$AG$49,ROW(B27)+1,FALSE)</f>
        <v>0</v>
      </c>
      <c r="L29" s="15" cm="1">
        <f t="array" ref="L29">+HLOOKUP($A$1,+[4]İcmal!$B$19:$AG$49,ROW(C27)+1,FALSE)</f>
        <v>0</v>
      </c>
      <c r="M29" s="15" cm="1">
        <f t="array" ref="M29">+HLOOKUP($A$1,+[5]İcmal!$B$19:$AG$49,ROW(D27)+1,FALSE)</f>
        <v>0</v>
      </c>
      <c r="N29" s="15" cm="1">
        <f t="array" ref="N29">+HLOOKUP($A$1,+[6]İcmal!$B$19:$AG$49,ROW(E27)+1,FALSE)</f>
        <v>0</v>
      </c>
      <c r="O29" s="15" cm="1">
        <f t="array" ref="O29">+HLOOKUP($A$1,+[7]İcmal!$B$19:$AG$49,ROW(F27)+1,FALSE)</f>
        <v>0</v>
      </c>
      <c r="P29" s="15" cm="1">
        <f t="array" ref="P29">+HLOOKUP($A$1,+[8]İcmal!$B$19:$AG$49,ROW(G27)+1,FALSE)</f>
        <v>0</v>
      </c>
      <c r="Q29" s="15" cm="1">
        <f t="array" ref="Q29">+HLOOKUP($A$1,+[9]İcmal!$B$19:$AG$49,ROW(H27)+1,FALSE)</f>
        <v>0</v>
      </c>
      <c r="R29" s="15" cm="1">
        <f t="array" ref="R29">+HLOOKUP($A$1,+[10]İcmal!$B$19:$AG$49,ROW(I27)+1,FALSE)</f>
        <v>0</v>
      </c>
      <c r="S29" s="15" cm="1">
        <f t="array" ref="S29">+HLOOKUP($A$1,+[11]İcmal!$B$19:$AG$49,ROW(J27)+1,FALSE)</f>
        <v>0</v>
      </c>
      <c r="T29" s="15" cm="1">
        <f t="array" ref="T29">+HLOOKUP($A$1,+[12]İcmal!$B$19:$AG$49,ROW(K27)+1,FALSE)</f>
        <v>0</v>
      </c>
      <c r="U29" s="15" cm="1">
        <f t="array" ref="U29">+HLOOKUP($A$1,+[13]İcmal!$B$19:$AG$49,ROW(L27)+1,FALSE)</f>
        <v>0</v>
      </c>
      <c r="V29" s="15" cm="1">
        <f t="array" ref="V29">+HLOOKUP($A$1,+[14]İcmal!$B$19:$AG$49,ROW(M27)+1,FALSE)</f>
        <v>0</v>
      </c>
      <c r="W29" s="15" cm="1">
        <f t="array" ref="W29">+HLOOKUP($A$1,+[15]İcmal!$B$19:$AG$49,ROW(N27)+1,FALSE)</f>
        <v>0</v>
      </c>
      <c r="X29" s="15" cm="1">
        <f t="array" ref="X29">+HLOOKUP($A$1,+[16]İcmal!$B$19:$AG$49,ROW(O27)+1,FALSE)</f>
        <v>0</v>
      </c>
      <c r="Y29" s="15" cm="1">
        <f t="array" ref="Y29">+HLOOKUP($A$1,+[17]İcmal!$B$19:$AG$49,ROW(P27)+1,FALSE)</f>
        <v>0</v>
      </c>
      <c r="Z29" s="15" cm="1">
        <f t="array" ref="Z29">+HLOOKUP($A$1,+[18]İcmal!$B$19:$AG$49,ROW(Q27)+1,FALSE)</f>
        <v>0</v>
      </c>
      <c r="AA29" s="15" cm="1">
        <f t="array" ref="AA29">+HLOOKUP($A$1,+[19]İcmal!$B$19:$AG$49,ROW(R27)+1,FALSE)</f>
        <v>0</v>
      </c>
      <c r="AB29" s="15" cm="1">
        <f t="array" ref="AB29">+HLOOKUP($A$1,+[20]İcmal!$B$19:$AG$49,ROW(S27)+1,FALSE)</f>
        <v>0</v>
      </c>
      <c r="AC29" s="15" cm="1">
        <f t="array" ref="AC29">+HLOOKUP($A$1,+[21]İcmal!$B$19:$AG$49,ROW(T27)+1,FALSE)</f>
        <v>0</v>
      </c>
      <c r="AD29" s="15" cm="1">
        <f t="array" ref="AD29">+HLOOKUP($A$1,+[22]İcmal!$B$19:$AG$49,ROW(U27)+1,FALSE)</f>
        <v>0</v>
      </c>
      <c r="AE29" s="15" cm="1">
        <f t="array" ref="AE29">+HLOOKUP($A$1,+[23]İcmal!$B$19:$AG$49,ROW(V27)+1,FALSE)</f>
        <v>0</v>
      </c>
      <c r="AF29" s="15" cm="1">
        <f t="array" ref="AF29">+HLOOKUP($A$1,+[24]İcmal!$B$19:$AG$49,ROW(W27)+1,FALSE)</f>
        <v>0</v>
      </c>
      <c r="AG29" s="15" cm="1">
        <f t="array" ref="AG29">+HLOOKUP($A$1,+[25]İcmal!$B$19:$AG$49,ROW(X27)+1,FALSE)</f>
        <v>0</v>
      </c>
      <c r="AH29" s="15" cm="1">
        <f t="array" ref="AH29">+HLOOKUP($A$1,+[26]İcmal!$B$19:$AG$49,ROW(Y27)+1,FALSE)</f>
        <v>0</v>
      </c>
      <c r="AI29" s="15" cm="1">
        <f t="array" ref="AI29">+HLOOKUP($A$1,+[27]İcmal!$B$19:$AG$49,ROW(Z27)+1,FALSE)</f>
        <v>0</v>
      </c>
      <c r="AJ29" s="15" cm="1">
        <f t="array" ref="AJ29">+HLOOKUP($A$1,+[28]İcmal!$B$19:$AG$49,ROW(AA27)+1,FALSE)</f>
        <v>0</v>
      </c>
      <c r="AK29" s="15" cm="1">
        <f t="array" ref="AK29">+HLOOKUP($A$1,+[29]İcmal!$B$19:$AG$49,ROW(AB27)+1,FALSE)</f>
        <v>0</v>
      </c>
      <c r="AL29" s="15"/>
      <c r="AM29" s="15"/>
      <c r="AN29" s="15"/>
      <c r="AO29" s="15"/>
      <c r="AP29" s="15"/>
      <c r="AQ29" s="15"/>
      <c r="AR29" s="15"/>
      <c r="AS29" s="15"/>
      <c r="AT29" s="13"/>
    </row>
    <row r="30" spans="1:46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44.809999999999995</v>
      </c>
      <c r="I30" s="9">
        <f t="shared" si="2"/>
        <v>4361491.7299999995</v>
      </c>
      <c r="J30" s="15" cm="1">
        <f t="array" ref="J30">+HLOOKUP($A$1,+[2]İcmal!$B$19:$AG$49,ROW(A28)+1,FALSE)</f>
        <v>0</v>
      </c>
      <c r="K30" s="15" cm="1">
        <f t="array" ref="K30">+HLOOKUP($A$1,+[3]İcmal!$B$19:$AG$49,ROW(B28)+1,FALSE)</f>
        <v>0</v>
      </c>
      <c r="L30" s="15" cm="1">
        <f t="array" ref="L30">+HLOOKUP($A$1,+[4]İcmal!$B$19:$AG$49,ROW(C28)+1,FALSE)</f>
        <v>6.9589999999999996</v>
      </c>
      <c r="M30" s="15" cm="1">
        <f t="array" ref="M30">+HLOOKUP($A$1,+[5]İcmal!$B$19:$AG$49,ROW(D28)+1,FALSE)</f>
        <v>6.6180000000000003</v>
      </c>
      <c r="N30" s="15" cm="1">
        <f t="array" ref="N30">+HLOOKUP($A$1,+[6]İcmal!$B$19:$AG$49,ROW(E28)+1,FALSE)</f>
        <v>1.1850000000000023</v>
      </c>
      <c r="O30" s="15" cm="1">
        <f t="array" ref="O30">+HLOOKUP($A$1,+[7]İcmal!$B$19:$AG$49,ROW(F28)+1,FALSE)</f>
        <v>7.2510000000000012</v>
      </c>
      <c r="P30" s="15" cm="1">
        <f t="array" ref="P30">+HLOOKUP($A$1,+[8]İcmal!$B$19:$AG$49,ROW(G28)+1,FALSE)</f>
        <v>0</v>
      </c>
      <c r="Q30" s="15" cm="1">
        <f t="array" ref="Q30">+HLOOKUP($A$1,+[9]İcmal!$B$19:$AG$49,ROW(H28)+1,FALSE)</f>
        <v>0</v>
      </c>
      <c r="R30" s="15" cm="1">
        <f t="array" ref="R30">+HLOOKUP($A$1,+[10]İcmal!$B$19:$AG$49,ROW(I28)+1,FALSE)</f>
        <v>1.2590000000000003</v>
      </c>
      <c r="S30" s="15" cm="1">
        <f t="array" ref="S30">+HLOOKUP($A$1,+[11]İcmal!$B$19:$AG$49,ROW(J28)+1,FALSE)</f>
        <v>6.9489999999999981</v>
      </c>
      <c r="T30" s="15" cm="1">
        <f t="array" ref="T30">+HLOOKUP($A$1,+[12]İcmal!$B$19:$AG$49,ROW(K28)+1,FALSE)</f>
        <v>0</v>
      </c>
      <c r="U30" s="15" cm="1">
        <f t="array" ref="U30">+HLOOKUP($A$1,+[13]İcmal!$B$19:$AG$49,ROW(L28)+1,FALSE)</f>
        <v>0</v>
      </c>
      <c r="V30" s="15" cm="1">
        <f t="array" ref="V30">+HLOOKUP($A$1,+[14]İcmal!$B$19:$AG$49,ROW(M28)+1,FALSE)</f>
        <v>0</v>
      </c>
      <c r="W30" s="15" cm="1">
        <f t="array" ref="W30">+HLOOKUP($A$1,+[15]İcmal!$B$19:$AG$49,ROW(N28)+1,FALSE)</f>
        <v>0</v>
      </c>
      <c r="X30" s="15" cm="1">
        <f t="array" ref="X30">+HLOOKUP($A$1,+[16]İcmal!$B$19:$AG$49,ROW(O28)+1,FALSE)</f>
        <v>2.7629999999999999</v>
      </c>
      <c r="Y30" s="15" cm="1">
        <f t="array" ref="Y30">+HLOOKUP($A$1,+[17]İcmal!$B$19:$AG$49,ROW(P28)+1,FALSE)</f>
        <v>2.7650000000000001</v>
      </c>
      <c r="Z30" s="15" cm="1">
        <f t="array" ref="Z30">+HLOOKUP($A$1,+[18]İcmal!$B$19:$AG$49,ROW(Q28)+1,FALSE)</f>
        <v>0</v>
      </c>
      <c r="AA30" s="15" cm="1">
        <f t="array" ref="AA30">+HLOOKUP($A$1,+[19]İcmal!$B$19:$AG$49,ROW(R28)+1,FALSE)</f>
        <v>0</v>
      </c>
      <c r="AB30" s="15" cm="1">
        <f t="array" ref="AB30">+HLOOKUP($A$1,+[20]İcmal!$B$19:$AG$49,ROW(S28)+1,FALSE)</f>
        <v>0</v>
      </c>
      <c r="AC30" s="15" cm="1">
        <f t="array" ref="AC30">+HLOOKUP($A$1,+[21]İcmal!$B$19:$AG$49,ROW(T28)+1,FALSE)</f>
        <v>0.84599999999999997</v>
      </c>
      <c r="AD30" s="15" cm="1">
        <f t="array" ref="AD30">+HLOOKUP($A$1,+[22]İcmal!$B$19:$AG$49,ROW(U28)+1,FALSE)</f>
        <v>3.9539999999999997</v>
      </c>
      <c r="AE30" s="15" cm="1">
        <f t="array" ref="AE30">+HLOOKUP($A$1,+[23]İcmal!$B$19:$AG$49,ROW(V28)+1,FALSE)</f>
        <v>0.97</v>
      </c>
      <c r="AF30" s="15" cm="1">
        <f t="array" ref="AF30">+HLOOKUP($A$1,+[24]İcmal!$B$19:$AG$49,ROW(W28)+1,FALSE)</f>
        <v>0</v>
      </c>
      <c r="AG30" s="15" cm="1">
        <f t="array" ref="AG30">+HLOOKUP($A$1,+[25]İcmal!$B$19:$AG$49,ROW(X28)+1,FALSE)</f>
        <v>0.97</v>
      </c>
      <c r="AH30" s="15" cm="1">
        <f t="array" ref="AH30">+HLOOKUP($A$1,+[26]İcmal!$B$19:$AG$49,ROW(Y28)+1,FALSE)</f>
        <v>0</v>
      </c>
      <c r="AI30" s="15" cm="1">
        <f t="array" ref="AI30">+HLOOKUP($A$1,+[27]İcmal!$B$19:$AG$49,ROW(Z28)+1,FALSE)</f>
        <v>0</v>
      </c>
      <c r="AJ30" s="15" cm="1">
        <f t="array" ref="AJ30">+HLOOKUP($A$1,+[28]İcmal!$B$19:$AG$49,ROW(AA28)+1,FALSE)</f>
        <v>2.3210000000000002</v>
      </c>
      <c r="AK30" s="15" cm="1">
        <f t="array" ref="AK30">+HLOOKUP($A$1,+[29]İcmal!$B$19:$AG$49,ROW(AB28)+1,FALSE)</f>
        <v>0</v>
      </c>
      <c r="AL30" s="15"/>
      <c r="AM30" s="15"/>
      <c r="AN30" s="15"/>
      <c r="AO30" s="15"/>
      <c r="AP30" s="15"/>
      <c r="AQ30" s="15"/>
      <c r="AR30" s="15"/>
      <c r="AS30" s="15"/>
      <c r="AT30" s="13"/>
    </row>
    <row r="31" spans="1:46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+HLOOKUP($A$1,+[2]İcmal!$B$19:$AG$49,ROW(A29)+1,FALSE)</f>
        <v>0</v>
      </c>
      <c r="K31" s="15" cm="1">
        <f t="array" ref="K31">+HLOOKUP($A$1,+[3]İcmal!$B$19:$AG$49,ROW(B29)+1,FALSE)</f>
        <v>0</v>
      </c>
      <c r="L31" s="15" cm="1">
        <f t="array" ref="L31">+HLOOKUP($A$1,+[4]İcmal!$B$19:$AG$49,ROW(C29)+1,FALSE)</f>
        <v>0</v>
      </c>
      <c r="M31" s="15" cm="1">
        <f t="array" ref="M31">+HLOOKUP($A$1,+[5]İcmal!$B$19:$AG$49,ROW(D29)+1,FALSE)</f>
        <v>0</v>
      </c>
      <c r="N31" s="15" cm="1">
        <f t="array" ref="N31">+HLOOKUP($A$1,+[6]İcmal!$B$19:$AG$49,ROW(E29)+1,FALSE)</f>
        <v>0</v>
      </c>
      <c r="O31" s="15" cm="1">
        <f t="array" ref="O31">+HLOOKUP($A$1,+[7]İcmal!$B$19:$AG$49,ROW(F29)+1,FALSE)</f>
        <v>0</v>
      </c>
      <c r="P31" s="15" cm="1">
        <f t="array" ref="P31">+HLOOKUP($A$1,+[8]İcmal!$B$19:$AG$49,ROW(G29)+1,FALSE)</f>
        <v>0</v>
      </c>
      <c r="Q31" s="15" cm="1">
        <f t="array" ref="Q31">+HLOOKUP($A$1,+[9]İcmal!$B$19:$AG$49,ROW(H29)+1,FALSE)</f>
        <v>0</v>
      </c>
      <c r="R31" s="15" cm="1">
        <f t="array" ref="R31">+HLOOKUP($A$1,+[10]İcmal!$B$19:$AG$49,ROW(I29)+1,FALSE)</f>
        <v>0</v>
      </c>
      <c r="S31" s="15" cm="1">
        <f t="array" ref="S31">+HLOOKUP($A$1,+[11]İcmal!$B$19:$AG$49,ROW(J29)+1,FALSE)</f>
        <v>0</v>
      </c>
      <c r="T31" s="15" cm="1">
        <f t="array" ref="T31">+HLOOKUP($A$1,+[12]İcmal!$B$19:$AG$49,ROW(K29)+1,FALSE)</f>
        <v>0</v>
      </c>
      <c r="U31" s="15" cm="1">
        <f t="array" ref="U31">+HLOOKUP($A$1,+[13]İcmal!$B$19:$AG$49,ROW(L29)+1,FALSE)</f>
        <v>0</v>
      </c>
      <c r="V31" s="15" cm="1">
        <f t="array" ref="V31">+HLOOKUP($A$1,+[14]İcmal!$B$19:$AG$49,ROW(M29)+1,FALSE)</f>
        <v>0</v>
      </c>
      <c r="W31" s="15" cm="1">
        <f t="array" ref="W31">+HLOOKUP($A$1,+[15]İcmal!$B$19:$AG$49,ROW(N29)+1,FALSE)</f>
        <v>0</v>
      </c>
      <c r="X31" s="15" cm="1">
        <f t="array" ref="X31">+HLOOKUP($A$1,+[16]İcmal!$B$19:$AG$49,ROW(O29)+1,FALSE)</f>
        <v>0</v>
      </c>
      <c r="Y31" s="15" cm="1">
        <f t="array" ref="Y31">+HLOOKUP($A$1,+[17]İcmal!$B$19:$AG$49,ROW(P29)+1,FALSE)</f>
        <v>0</v>
      </c>
      <c r="Z31" s="15" cm="1">
        <f t="array" ref="Z31">+HLOOKUP($A$1,+[18]İcmal!$B$19:$AG$49,ROW(Q29)+1,FALSE)</f>
        <v>0</v>
      </c>
      <c r="AA31" s="15" cm="1">
        <f t="array" ref="AA31">+HLOOKUP($A$1,+[19]İcmal!$B$19:$AG$49,ROW(R29)+1,FALSE)</f>
        <v>0</v>
      </c>
      <c r="AB31" s="15" cm="1">
        <f t="array" ref="AB31">+HLOOKUP($A$1,+[20]İcmal!$B$19:$AG$49,ROW(S29)+1,FALSE)</f>
        <v>0</v>
      </c>
      <c r="AC31" s="15" cm="1">
        <f t="array" ref="AC31">+HLOOKUP($A$1,+[21]İcmal!$B$19:$AG$49,ROW(T29)+1,FALSE)</f>
        <v>0</v>
      </c>
      <c r="AD31" s="15" cm="1">
        <f t="array" ref="AD31">+HLOOKUP($A$1,+[22]İcmal!$B$19:$AG$49,ROW(U29)+1,FALSE)</f>
        <v>0</v>
      </c>
      <c r="AE31" s="15" cm="1">
        <f t="array" ref="AE31">+HLOOKUP($A$1,+[23]İcmal!$B$19:$AG$49,ROW(V29)+1,FALSE)</f>
        <v>0</v>
      </c>
      <c r="AF31" s="15" cm="1">
        <f t="array" ref="AF31">+HLOOKUP($A$1,+[24]İcmal!$B$19:$AG$49,ROW(W29)+1,FALSE)</f>
        <v>0</v>
      </c>
      <c r="AG31" s="15" cm="1">
        <f t="array" ref="AG31">+HLOOKUP($A$1,+[25]İcmal!$B$19:$AG$49,ROW(X29)+1,FALSE)</f>
        <v>0</v>
      </c>
      <c r="AH31" s="15" cm="1">
        <f t="array" ref="AH31">+HLOOKUP($A$1,+[26]İcmal!$B$19:$AG$49,ROW(Y29)+1,FALSE)</f>
        <v>0</v>
      </c>
      <c r="AI31" s="15" cm="1">
        <f t="array" ref="AI31">+HLOOKUP($A$1,+[27]İcmal!$B$19:$AG$49,ROW(Z29)+1,FALSE)</f>
        <v>0</v>
      </c>
      <c r="AJ31" s="15" cm="1">
        <f t="array" ref="AJ31">+HLOOKUP($A$1,+[28]İcmal!$B$19:$AG$49,ROW(AA29)+1,FALSE)</f>
        <v>0</v>
      </c>
      <c r="AK31" s="15" cm="1">
        <f t="array" ref="AK31">+HLOOKUP($A$1,+[29]İcmal!$B$19:$AG$49,ROW(AB29)+1,FALSE)</f>
        <v>0</v>
      </c>
      <c r="AL31" s="15"/>
      <c r="AM31" s="15"/>
      <c r="AN31" s="15"/>
      <c r="AO31" s="15"/>
      <c r="AP31" s="15"/>
      <c r="AQ31" s="15"/>
      <c r="AR31" s="15"/>
      <c r="AS31" s="15"/>
      <c r="AT31" s="13"/>
    </row>
    <row r="32" spans="1:46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+HLOOKUP($A$1,+[2]İcmal!$B$19:$AG$49,ROW(A30)+1,FALSE)</f>
        <v>0</v>
      </c>
      <c r="K32" s="15" cm="1">
        <f t="array" ref="K32">+HLOOKUP($A$1,+[3]İcmal!$B$19:$AG$49,ROW(B30)+1,FALSE)</f>
        <v>0</v>
      </c>
      <c r="L32" s="15" cm="1">
        <f t="array" ref="L32">+HLOOKUP($A$1,+[4]İcmal!$B$19:$AG$49,ROW(C30)+1,FALSE)</f>
        <v>0</v>
      </c>
      <c r="M32" s="15" cm="1">
        <f t="array" ref="M32">+HLOOKUP($A$1,+[5]İcmal!$B$19:$AG$49,ROW(D30)+1,FALSE)</f>
        <v>0</v>
      </c>
      <c r="N32" s="15" cm="1">
        <f t="array" ref="N32">+HLOOKUP($A$1,+[6]İcmal!$B$19:$AG$49,ROW(E30)+1,FALSE)</f>
        <v>0</v>
      </c>
      <c r="O32" s="15" cm="1">
        <f t="array" ref="O32">+HLOOKUP($A$1,+[7]İcmal!$B$19:$AG$49,ROW(F30)+1,FALSE)</f>
        <v>0</v>
      </c>
      <c r="P32" s="15" cm="1">
        <f t="array" ref="P32">+HLOOKUP($A$1,+[8]İcmal!$B$19:$AG$49,ROW(G30)+1,FALSE)</f>
        <v>0</v>
      </c>
      <c r="Q32" s="15" cm="1">
        <f t="array" ref="Q32">+HLOOKUP($A$1,+[9]İcmal!$B$19:$AG$49,ROW(H30)+1,FALSE)</f>
        <v>0</v>
      </c>
      <c r="R32" s="15" cm="1">
        <f t="array" ref="R32">+HLOOKUP($A$1,+[10]İcmal!$B$19:$AG$49,ROW(I30)+1,FALSE)</f>
        <v>0</v>
      </c>
      <c r="S32" s="15" cm="1">
        <f t="array" ref="S32">+HLOOKUP($A$1,+[11]İcmal!$B$19:$AG$49,ROW(J30)+1,FALSE)</f>
        <v>0</v>
      </c>
      <c r="T32" s="15" cm="1">
        <f t="array" ref="T32">+HLOOKUP($A$1,+[12]İcmal!$B$19:$AG$49,ROW(K30)+1,FALSE)</f>
        <v>0</v>
      </c>
      <c r="U32" s="15" cm="1">
        <f t="array" ref="U32">+HLOOKUP($A$1,+[13]İcmal!$B$19:$AG$49,ROW(L30)+1,FALSE)</f>
        <v>0</v>
      </c>
      <c r="V32" s="15" cm="1">
        <f t="array" ref="V32">+HLOOKUP($A$1,+[14]İcmal!$B$19:$AG$49,ROW(M30)+1,FALSE)</f>
        <v>0</v>
      </c>
      <c r="W32" s="15" cm="1">
        <f t="array" ref="W32">+HLOOKUP($A$1,+[15]İcmal!$B$19:$AG$49,ROW(N30)+1,FALSE)</f>
        <v>0</v>
      </c>
      <c r="X32" s="15" cm="1">
        <f t="array" ref="X32">+HLOOKUP($A$1,+[16]İcmal!$B$19:$AG$49,ROW(O30)+1,FALSE)</f>
        <v>0</v>
      </c>
      <c r="Y32" s="15" cm="1">
        <f t="array" ref="Y32">+HLOOKUP($A$1,+[17]İcmal!$B$19:$AG$49,ROW(P30)+1,FALSE)</f>
        <v>0</v>
      </c>
      <c r="Z32" s="15" cm="1">
        <f t="array" ref="Z32">+HLOOKUP($A$1,+[18]İcmal!$B$19:$AG$49,ROW(Q30)+1,FALSE)</f>
        <v>0</v>
      </c>
      <c r="AA32" s="15" cm="1">
        <f t="array" ref="AA32">+HLOOKUP($A$1,+[19]İcmal!$B$19:$AG$49,ROW(R30)+1,FALSE)</f>
        <v>0</v>
      </c>
      <c r="AB32" s="15" cm="1">
        <f t="array" ref="AB32">+HLOOKUP($A$1,+[20]İcmal!$B$19:$AG$49,ROW(S30)+1,FALSE)</f>
        <v>0</v>
      </c>
      <c r="AC32" s="15" cm="1">
        <f t="array" ref="AC32">+HLOOKUP($A$1,+[21]İcmal!$B$19:$AG$49,ROW(T30)+1,FALSE)</f>
        <v>0</v>
      </c>
      <c r="AD32" s="15" cm="1">
        <f t="array" ref="AD32">+HLOOKUP($A$1,+[22]İcmal!$B$19:$AG$49,ROW(U30)+1,FALSE)</f>
        <v>0</v>
      </c>
      <c r="AE32" s="15" cm="1">
        <f t="array" ref="AE32">+HLOOKUP($A$1,+[23]İcmal!$B$19:$AG$49,ROW(V30)+1,FALSE)</f>
        <v>0</v>
      </c>
      <c r="AF32" s="15" cm="1">
        <f t="array" ref="AF32">+HLOOKUP($A$1,+[24]İcmal!$B$19:$AG$49,ROW(W30)+1,FALSE)</f>
        <v>0</v>
      </c>
      <c r="AG32" s="15" cm="1">
        <f t="array" ref="AG32">+HLOOKUP($A$1,+[25]İcmal!$B$19:$AG$49,ROW(X30)+1,FALSE)</f>
        <v>0</v>
      </c>
      <c r="AH32" s="15" cm="1">
        <f t="array" ref="AH32">+HLOOKUP($A$1,+[26]İcmal!$B$19:$AG$49,ROW(Y30)+1,FALSE)</f>
        <v>0</v>
      </c>
      <c r="AI32" s="15" cm="1">
        <f t="array" ref="AI32">+HLOOKUP($A$1,+[27]İcmal!$B$19:$AG$49,ROW(Z30)+1,FALSE)</f>
        <v>0</v>
      </c>
      <c r="AJ32" s="15" cm="1">
        <f t="array" ref="AJ32">+HLOOKUP($A$1,+[28]İcmal!$B$19:$AG$49,ROW(AA30)+1,FALSE)</f>
        <v>0</v>
      </c>
      <c r="AK32" s="15" cm="1">
        <f t="array" ref="AK32">+HLOOKUP($A$1,+[29]İcmal!$B$19:$AG$49,ROW(AB30)+1,FALSE)</f>
        <v>0</v>
      </c>
      <c r="AL32" s="15"/>
      <c r="AM32" s="15"/>
      <c r="AN32" s="15"/>
      <c r="AO32" s="15"/>
      <c r="AP32" s="15"/>
      <c r="AQ32" s="15"/>
      <c r="AR32" s="15"/>
      <c r="AS32" s="15"/>
      <c r="AT32" s="14"/>
    </row>
    <row r="33" spans="7:45" x14ac:dyDescent="0.3">
      <c r="I33" s="16">
        <f>SUM(I3:I32)</f>
        <v>82849981.583000004</v>
      </c>
      <c r="J33" s="16">
        <f t="shared" ref="J33:AS33" si="3">+SUMPRODUCT(J3:J32,$F$3:$F$32)</f>
        <v>12451.208000000181</v>
      </c>
      <c r="K33" s="16">
        <f t="shared" si="3"/>
        <v>7222.3140000000558</v>
      </c>
      <c r="L33" s="16">
        <f t="shared" si="3"/>
        <v>6483362.1660000002</v>
      </c>
      <c r="M33" s="16">
        <f t="shared" si="3"/>
        <v>9439319.5010000002</v>
      </c>
      <c r="N33" s="16">
        <f t="shared" si="3"/>
        <v>636403.09200000053</v>
      </c>
      <c r="O33" s="16">
        <f t="shared" si="3"/>
        <v>12226241.721000001</v>
      </c>
      <c r="P33" s="16">
        <f t="shared" si="3"/>
        <v>0</v>
      </c>
      <c r="Q33" s="16">
        <f t="shared" si="3"/>
        <v>0</v>
      </c>
      <c r="R33" s="16">
        <f t="shared" si="3"/>
        <v>1524818.3769999985</v>
      </c>
      <c r="S33" s="16">
        <f t="shared" si="3"/>
        <v>13341767.574999997</v>
      </c>
      <c r="T33" s="16">
        <f t="shared" si="3"/>
        <v>0</v>
      </c>
      <c r="U33" s="16">
        <f t="shared" si="3"/>
        <v>0</v>
      </c>
      <c r="V33" s="16">
        <f t="shared" si="3"/>
        <v>0</v>
      </c>
      <c r="W33" s="16">
        <f t="shared" si="3"/>
        <v>6468000</v>
      </c>
      <c r="X33" s="16">
        <f t="shared" si="3"/>
        <v>3451732.32</v>
      </c>
      <c r="Y33" s="16">
        <f t="shared" si="3"/>
        <v>3299852.9010000001</v>
      </c>
      <c r="Z33" s="16">
        <f t="shared" si="3"/>
        <v>616000</v>
      </c>
      <c r="AA33" s="16">
        <f t="shared" si="3"/>
        <v>0</v>
      </c>
      <c r="AB33" s="16">
        <f t="shared" si="3"/>
        <v>2096993.75</v>
      </c>
      <c r="AC33" s="16">
        <f t="shared" si="3"/>
        <v>1827669.44</v>
      </c>
      <c r="AD33" s="16">
        <f t="shared" si="3"/>
        <v>7344161.3119999999</v>
      </c>
      <c r="AE33" s="16">
        <f t="shared" si="3"/>
        <v>3406910.3479999998</v>
      </c>
      <c r="AF33" s="16">
        <f t="shared" si="3"/>
        <v>2656993.75</v>
      </c>
      <c r="AG33" s="16">
        <f t="shared" si="3"/>
        <v>1278787.7919999999</v>
      </c>
      <c r="AH33" s="16">
        <f t="shared" si="3"/>
        <v>556993.75</v>
      </c>
      <c r="AI33" s="16">
        <f t="shared" si="3"/>
        <v>54401.56</v>
      </c>
      <c r="AJ33" s="16">
        <f t="shared" si="3"/>
        <v>5503898.7060000002</v>
      </c>
      <c r="AK33" s="16">
        <f t="shared" si="3"/>
        <v>616000</v>
      </c>
      <c r="AL33" s="16"/>
      <c r="AM33" s="16"/>
      <c r="AN33" s="16"/>
      <c r="AO33" s="16"/>
      <c r="AP33" s="16"/>
      <c r="AQ33" s="16"/>
      <c r="AR33" s="16"/>
      <c r="AS33" s="16">
        <f t="shared" si="3"/>
        <v>0</v>
      </c>
    </row>
    <row r="34" spans="7:45" x14ac:dyDescent="0.3">
      <c r="H34" s="52"/>
    </row>
    <row r="35" spans="7:45" x14ac:dyDescent="0.3">
      <c r="G35" s="16"/>
      <c r="H35" s="16"/>
      <c r="I35" s="16"/>
    </row>
    <row r="36" spans="7:45" x14ac:dyDescent="0.3">
      <c r="I36" s="16"/>
      <c r="K36" s="49"/>
      <c r="N36" s="49"/>
      <c r="O36" s="49"/>
      <c r="P36" s="49"/>
      <c r="Q36" s="49"/>
    </row>
    <row r="37" spans="7:45" x14ac:dyDescent="0.3"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7:45" x14ac:dyDescent="0.3">
      <c r="I38" s="16"/>
    </row>
    <row r="39" spans="7:45" x14ac:dyDescent="0.3">
      <c r="I39" s="16"/>
    </row>
    <row r="40" spans="7:45" x14ac:dyDescent="0.3">
      <c r="I40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3571-7FBA-4FF9-ABC0-E550453459E2}">
  <sheetPr>
    <tabColor rgb="FFFF0000"/>
  </sheetPr>
  <dimension ref="A1:AO37"/>
  <sheetViews>
    <sheetView topLeftCell="L1" zoomScale="85" zoomScaleNormal="85" workbookViewId="0">
      <selection activeCell="AK12" sqref="AK1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1" width="19.33203125" customWidth="1"/>
    <col min="12" max="13" width="21.109375" customWidth="1"/>
    <col min="14" max="15" width="19.21875" customWidth="1"/>
    <col min="16" max="16" width="19.33203125" customWidth="1"/>
    <col min="17" max="19" width="19.21875" customWidth="1"/>
    <col min="20" max="20" width="19.33203125" customWidth="1"/>
    <col min="21" max="21" width="19.21875" customWidth="1"/>
    <col min="22" max="24" width="46.77734375" customWidth="1"/>
    <col min="25" max="25" width="46.33203125" customWidth="1"/>
    <col min="26" max="32" width="46.77734375" customWidth="1"/>
    <col min="33" max="33" width="46.33203125" bestFit="1" customWidth="1"/>
    <col min="34" max="37" width="46.77734375" bestFit="1" customWidth="1"/>
    <col min="38" max="39" width="59.109375" customWidth="1"/>
    <col min="40" max="40" width="12.33203125" bestFit="1" customWidth="1"/>
    <col min="41" max="41" width="2.21875" customWidth="1"/>
  </cols>
  <sheetData>
    <row r="1" spans="1:41" ht="15" thickBot="1" x14ac:dyDescent="0.35">
      <c r="A1" s="17" t="s">
        <v>132</v>
      </c>
    </row>
    <row r="2" spans="1:4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3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11" t="s">
        <v>126</v>
      </c>
      <c r="AG2" s="3" t="s">
        <v>143</v>
      </c>
      <c r="AH2" s="11" t="s">
        <v>144</v>
      </c>
      <c r="AI2" s="3" t="s">
        <v>138</v>
      </c>
      <c r="AJ2" s="11" t="s">
        <v>125</v>
      </c>
      <c r="AK2" s="3" t="s">
        <v>133</v>
      </c>
      <c r="AL2" s="11"/>
      <c r="AM2" s="11"/>
      <c r="AN2" s="11"/>
      <c r="AO2" s="12"/>
    </row>
    <row r="3" spans="1:41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SUM(J3:AO3)</f>
        <v>2510.7960000000003</v>
      </c>
      <c r="I3" s="9">
        <f>+F3*H3</f>
        <v>12742289.700000001</v>
      </c>
      <c r="J3" s="15" cm="1">
        <f t="array" ref="J3">+HLOOKUP($A$1,+[31]İcmal!$B$19:$AG$49,ROW(A1)+1,FALSE)</f>
        <v>0</v>
      </c>
      <c r="K3" s="15" cm="1">
        <f t="array" ref="K3">+HLOOKUP($A$1,+[32]İcmal!$B$19:$AG$49,ROW(B1)+1,FALSE)</f>
        <v>0</v>
      </c>
      <c r="L3" s="15" cm="1">
        <f t="array" ref="L3">+HLOOKUP($A$1,+[33]İcmal!$B$19:$AG$49,ROW(C1)+1,FALSE)</f>
        <v>54.641000000000076</v>
      </c>
      <c r="M3" s="15" cm="1">
        <f t="array" ref="M3">+HLOOKUP($A$1,+[34]İcmal!$B$19:$AG$49,ROW(D1)+1,FALSE)</f>
        <v>52.815000000000055</v>
      </c>
      <c r="N3" s="15" cm="1">
        <f t="array" ref="N3">+HLOOKUP($A$1,+[35]İcmal!$B$19:$AG$49,ROW(A1)+1,FALSE)</f>
        <v>0</v>
      </c>
      <c r="O3" s="15" cm="1">
        <f t="array" ref="O3">+HLOOKUP($A$1,+[36]İcmal!$B$19:$AG$49,ROW(B1)+1,FALSE)</f>
        <v>0</v>
      </c>
      <c r="P3" s="15" cm="1">
        <f t="array" ref="P3">+HLOOKUP($A$1,+[37]İcmal!$B$19:$AG$49,ROW(C1)+1,FALSE)</f>
        <v>721.85699999999997</v>
      </c>
      <c r="Q3" s="15" cm="1">
        <f t="array" ref="Q3">+HLOOKUP($A$1,+[38]İcmal!$B$19:$AG$49,ROW(D1)+1,FALSE)</f>
        <v>598.17899999999997</v>
      </c>
      <c r="R3" s="15" cm="1">
        <f t="array" ref="R3">+HLOOKUP($A$1,+[39]İcmal!$B$19:$AG$49,ROW(A1)+1,FALSE)</f>
        <v>0</v>
      </c>
      <c r="S3" s="15" cm="1">
        <f t="array" ref="S3">+HLOOKUP($A$1,+[40]İcmal!$B$19:$AG$49,ROW(B1)+1,FALSE)</f>
        <v>0</v>
      </c>
      <c r="T3" s="15" cm="1">
        <f t="array" ref="T3">+HLOOKUP($A$1,+[41]İcmal!$B$19:$AG$49,ROW(C1)+1,FALSE)</f>
        <v>481.84600000000012</v>
      </c>
      <c r="U3" s="15" cm="1">
        <f t="array" ref="U3">+HLOOKUP($A$1,+[42]İcmal!$B$19:$AG$49,ROW(D1)+1,FALSE)</f>
        <v>362.96300000000008</v>
      </c>
      <c r="V3" s="15" cm="1">
        <f t="array" ref="V3">+HLOOKUP($A$1,+[43]İcmal!$B$19:$AG$49,ROW(A1)+1,FALSE)</f>
        <v>0</v>
      </c>
      <c r="W3" s="15" cm="1">
        <f t="array" ref="W3">+HLOOKUP($A$1,+[44]İcmal!$B$19:$AG$49,ROW(B1)+1,FALSE)</f>
        <v>0</v>
      </c>
      <c r="X3" s="15" cm="1">
        <f t="array" ref="X3">+HLOOKUP($A$1,+[45]İcmal!$B$19:$AG$49,ROW(C1)+1,FALSE)</f>
        <v>0</v>
      </c>
      <c r="Y3" s="15" cm="1">
        <f t="array" ref="Y3">+HLOOKUP($A$1,+[46]İcmal!$B$19:$AG$49,ROW(D1)+1,FALSE)</f>
        <v>10.968999999999999</v>
      </c>
      <c r="Z3" s="15" cm="1">
        <f t="array" ref="Z3">+HLOOKUP($A$1,+[47]İcmal!$B$19:$AG$49,ROW(A1)+1,FALSE)</f>
        <v>0</v>
      </c>
      <c r="AA3" s="15" cm="1">
        <f t="array" ref="AA3">+HLOOKUP($A$1,+[48]İcmal!$B$19:$AG$49,ROW(B1)+1,FALSE)</f>
        <v>83.763999999999996</v>
      </c>
      <c r="AB3" s="15" cm="1">
        <f t="array" ref="AB3">+HLOOKUP($A$1,+[49]İcmal!$B$19:$AG$49,ROW(A1)+1,FALSE)</f>
        <v>0</v>
      </c>
      <c r="AC3" s="15" cm="1">
        <f t="array" ref="AC3">+HLOOKUP($A$1,+[50]İcmal!$B$19:$AG$49,ROW(A1)+1,FALSE)</f>
        <v>0</v>
      </c>
      <c r="AD3" s="15" cm="1">
        <f t="array" ref="AD3">+HLOOKUP($A$1,+[51]İcmal!$B$19:$AG$49,ROW(A1)+1,FALSE)</f>
        <v>0</v>
      </c>
      <c r="AE3" s="15" cm="1">
        <f t="array" ref="AE3">+HLOOKUP($A$1,+[52]İcmal!$B$19:$AG$49,ROW(A1)+1,FALSE)</f>
        <v>74.790000000000006</v>
      </c>
      <c r="AF3" s="50" cm="1">
        <f t="array" ref="AF3">+HLOOKUP($A$1,+[53]İcmal!$B$19:$AG$49,ROW(A1)+1,FALSE)</f>
        <v>0</v>
      </c>
      <c r="AG3" s="15" cm="1">
        <f t="array" ref="AG3">+HLOOKUP($A$1,+[54]İcmal!$B$19:$AG$49,ROW(A1)+1,FALSE)</f>
        <v>0</v>
      </c>
      <c r="AH3" s="15" cm="1">
        <f t="array" ref="AH3">+HLOOKUP($A$1,+[55]İcmal!$B$19:$AG$49,ROW(A1)+1,FALSE)</f>
        <v>0</v>
      </c>
      <c r="AI3" s="15" cm="1">
        <f t="array" ref="AI3">+HLOOKUP($A$1,+[56]İcmal!$B$19:$AG$49,ROW(A1)+1,FALSE)</f>
        <v>0</v>
      </c>
      <c r="AJ3" s="15" cm="1">
        <f t="array" ref="AJ3">+HLOOKUP($A$1,+[57]İcmal!$B$19:$AG$49,ROW(A1)+1,FALSE)</f>
        <v>68.97199999999998</v>
      </c>
      <c r="AK3" s="15" cm="1">
        <f t="array" ref="AK3">+HLOOKUP($A$1,+[58]İcmal!$B$19:$AG$49,ROW(B1)+1,FALSE)</f>
        <v>0</v>
      </c>
      <c r="AL3" s="15"/>
      <c r="AM3" s="15"/>
      <c r="AN3" s="15"/>
      <c r="AO3" s="13"/>
    </row>
    <row r="4" spans="1:41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+HLOOKUP($A$1,+[31]İcmal!$B$19:$AG$49,ROW(A2)+1,FALSE)</f>
        <v>0</v>
      </c>
      <c r="K4" s="15" cm="1">
        <f t="array" ref="K4">+HLOOKUP($A$1,+[32]İcmal!$B$19:$AG$49,ROW(B2)+1,FALSE)</f>
        <v>0</v>
      </c>
      <c r="L4" s="15" cm="1">
        <f t="array" ref="L4">+HLOOKUP($A$1,+[33]İcmal!$B$19:$AG$49,ROW(C2)+1,FALSE)</f>
        <v>0</v>
      </c>
      <c r="M4" s="15" cm="1">
        <f t="array" ref="M4">+HLOOKUP($A$1,+[34]İcmal!$B$19:$AG$49,ROW(D2)+1,FALSE)</f>
        <v>0</v>
      </c>
      <c r="N4" s="15" cm="1">
        <f t="array" ref="N4">+HLOOKUP($A$1,+[35]İcmal!$B$19:$AG$49,ROW(A2)+1,FALSE)</f>
        <v>0</v>
      </c>
      <c r="O4" s="15" cm="1">
        <f t="array" ref="O4">+HLOOKUP($A$1,+[36]İcmal!$B$19:$AG$49,ROW(B2)+1,FALSE)</f>
        <v>0</v>
      </c>
      <c r="P4" s="15" cm="1">
        <f t="array" ref="P4">+HLOOKUP($A$1,+[37]İcmal!$B$19:$AG$49,ROW(C2)+1,FALSE)</f>
        <v>0</v>
      </c>
      <c r="Q4" s="15" cm="1">
        <f t="array" ref="Q4">+HLOOKUP($A$1,+[38]İcmal!$B$19:$AG$49,ROW(D2)+1,FALSE)</f>
        <v>0</v>
      </c>
      <c r="R4" s="15" cm="1">
        <f t="array" ref="R4">+HLOOKUP($A$1,+[39]İcmal!$B$19:$AG$49,ROW(A2)+1,FALSE)</f>
        <v>0</v>
      </c>
      <c r="S4" s="15" cm="1">
        <f t="array" ref="S4">+HLOOKUP($A$1,+[40]İcmal!$B$19:$AG$49,ROW(B2)+1,FALSE)</f>
        <v>0</v>
      </c>
      <c r="T4" s="15" cm="1">
        <f t="array" ref="T4">+HLOOKUP($A$1,+[41]İcmal!$B$19:$AG$49,ROW(C2)+1,FALSE)</f>
        <v>0</v>
      </c>
      <c r="U4" s="15" cm="1">
        <f t="array" ref="U4">+HLOOKUP($A$1,+[42]İcmal!$B$19:$AG$49,ROW(D2)+1,FALSE)</f>
        <v>0</v>
      </c>
      <c r="V4" s="15" cm="1">
        <f t="array" ref="V4">+HLOOKUP($A$1,+[43]İcmal!$B$19:$AG$49,ROW(A2)+1,FALSE)</f>
        <v>0</v>
      </c>
      <c r="W4" s="15" cm="1">
        <f t="array" ref="W4">+HLOOKUP($A$1,+[44]İcmal!$B$19:$AG$49,ROW(B2)+1,FALSE)</f>
        <v>0</v>
      </c>
      <c r="X4" s="15" cm="1">
        <f t="array" ref="X4">+HLOOKUP($A$1,+[45]İcmal!$B$19:$AG$49,ROW(C2)+1,FALSE)</f>
        <v>0</v>
      </c>
      <c r="Y4" s="15" cm="1">
        <f t="array" ref="Y4">+HLOOKUP($A$1,+[46]İcmal!$B$19:$AG$49,ROW(D2)+1,FALSE)</f>
        <v>0</v>
      </c>
      <c r="Z4" s="15" cm="1">
        <f t="array" ref="Z4">+HLOOKUP($A$1,+[47]İcmal!$B$19:$AG$49,ROW(A2)+1,FALSE)</f>
        <v>0</v>
      </c>
      <c r="AA4" s="15" cm="1">
        <f t="array" ref="AA4">+HLOOKUP($A$1,+[48]İcmal!$B$19:$AG$49,ROW(B2)+1,FALSE)</f>
        <v>0</v>
      </c>
      <c r="AB4" s="15" cm="1">
        <f t="array" ref="AB4">+HLOOKUP($A$1,+[49]İcmal!$B$19:$AG$49,ROW(A2)+1,FALSE)</f>
        <v>0</v>
      </c>
      <c r="AC4" s="15" cm="1">
        <f t="array" ref="AC4">+HLOOKUP($A$1,+[50]İcmal!$B$19:$AG$49,ROW(A2)+1,FALSE)</f>
        <v>0</v>
      </c>
      <c r="AD4" s="15" cm="1">
        <f t="array" ref="AD4">+HLOOKUP($A$1,+[51]İcmal!$B$19:$AG$49,ROW(A2)+1,FALSE)</f>
        <v>0</v>
      </c>
      <c r="AE4" s="15" cm="1">
        <f t="array" ref="AE4">+HLOOKUP($A$1,+[52]İcmal!$B$19:$AG$49,ROW(A2)+1,FALSE)</f>
        <v>0</v>
      </c>
      <c r="AF4" s="50" cm="1">
        <f t="array" ref="AF4">+HLOOKUP($A$1,+[53]İcmal!$B$19:$AG$49,ROW(A2)+1,FALSE)</f>
        <v>0</v>
      </c>
      <c r="AG4" s="15" cm="1">
        <f t="array" ref="AG4">+HLOOKUP($A$1,+[54]İcmal!$B$19:$AG$49,ROW(A2)+1,FALSE)</f>
        <v>0</v>
      </c>
      <c r="AH4" s="15" cm="1">
        <f t="array" ref="AH4">+HLOOKUP($A$1,+[55]İcmal!$B$19:$AG$49,ROW(A2)+1,FALSE)</f>
        <v>0</v>
      </c>
      <c r="AI4" s="15" cm="1">
        <f t="array" ref="AI4">+HLOOKUP($A$1,+[56]İcmal!$B$19:$AG$49,ROW(A2)+1,FALSE)</f>
        <v>0</v>
      </c>
      <c r="AJ4" s="15" cm="1">
        <f t="array" ref="AJ4">+HLOOKUP($A$1,+[57]İcmal!$B$19:$AG$49,ROW(A2)+1,FALSE)</f>
        <v>0</v>
      </c>
      <c r="AK4" s="15" cm="1">
        <f t="array" ref="AK4">+HLOOKUP($A$1,+[58]İcmal!$B$19:$AG$49,ROW(B2)+1,FALSE)</f>
        <v>0</v>
      </c>
      <c r="AL4" s="15"/>
      <c r="AM4" s="15"/>
      <c r="AN4" s="15"/>
      <c r="AO4" s="13"/>
    </row>
    <row r="5" spans="1:41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+HLOOKUP($A$1,+[31]İcmal!$B$19:$AG$49,ROW(A3)+1,FALSE)</f>
        <v>0</v>
      </c>
      <c r="K5" s="15" cm="1">
        <f t="array" ref="K5">+HLOOKUP($A$1,+[32]İcmal!$B$19:$AG$49,ROW(B3)+1,FALSE)</f>
        <v>0</v>
      </c>
      <c r="L5" s="15" cm="1">
        <f t="array" ref="L5">+HLOOKUP($A$1,+[33]İcmal!$B$19:$AG$49,ROW(C3)+1,FALSE)</f>
        <v>0</v>
      </c>
      <c r="M5" s="15" cm="1">
        <f t="array" ref="M5">+HLOOKUP($A$1,+[34]İcmal!$B$19:$AG$49,ROW(D3)+1,FALSE)</f>
        <v>0</v>
      </c>
      <c r="N5" s="15" cm="1">
        <f t="array" ref="N5">+HLOOKUP($A$1,+[35]İcmal!$B$19:$AG$49,ROW(A3)+1,FALSE)</f>
        <v>0</v>
      </c>
      <c r="O5" s="15" cm="1">
        <f t="array" ref="O5">+HLOOKUP($A$1,+[36]İcmal!$B$19:$AG$49,ROW(B3)+1,FALSE)</f>
        <v>0</v>
      </c>
      <c r="P5" s="15" cm="1">
        <f t="array" ref="P5">+HLOOKUP($A$1,+[37]İcmal!$B$19:$AG$49,ROW(C3)+1,FALSE)</f>
        <v>0</v>
      </c>
      <c r="Q5" s="15" cm="1">
        <f t="array" ref="Q5">+HLOOKUP($A$1,+[38]İcmal!$B$19:$AG$49,ROW(D3)+1,FALSE)</f>
        <v>0</v>
      </c>
      <c r="R5" s="15" cm="1">
        <f t="array" ref="R5">+HLOOKUP($A$1,+[39]İcmal!$B$19:$AG$49,ROW(A3)+1,FALSE)</f>
        <v>0</v>
      </c>
      <c r="S5" s="15" cm="1">
        <f t="array" ref="S5">+HLOOKUP($A$1,+[40]İcmal!$B$19:$AG$49,ROW(B3)+1,FALSE)</f>
        <v>0</v>
      </c>
      <c r="T5" s="15" cm="1">
        <f t="array" ref="T5">+HLOOKUP($A$1,+[41]İcmal!$B$19:$AG$49,ROW(C3)+1,FALSE)</f>
        <v>0</v>
      </c>
      <c r="U5" s="15" cm="1">
        <f t="array" ref="U5">+HLOOKUP($A$1,+[42]İcmal!$B$19:$AG$49,ROW(D3)+1,FALSE)</f>
        <v>0</v>
      </c>
      <c r="V5" s="15" cm="1">
        <f t="array" ref="V5">+HLOOKUP($A$1,+[43]İcmal!$B$19:$AG$49,ROW(A3)+1,FALSE)</f>
        <v>0</v>
      </c>
      <c r="W5" s="15" cm="1">
        <f t="array" ref="W5">+HLOOKUP($A$1,+[44]İcmal!$B$19:$AG$49,ROW(B3)+1,FALSE)</f>
        <v>0</v>
      </c>
      <c r="X5" s="15" cm="1">
        <f t="array" ref="X5">+HLOOKUP($A$1,+[45]İcmal!$B$19:$AG$49,ROW(C3)+1,FALSE)</f>
        <v>0</v>
      </c>
      <c r="Y5" s="15" cm="1">
        <f t="array" ref="Y5">+HLOOKUP($A$1,+[46]İcmal!$B$19:$AG$49,ROW(D3)+1,FALSE)</f>
        <v>0</v>
      </c>
      <c r="Z5" s="15" cm="1">
        <f t="array" ref="Z5">+HLOOKUP($A$1,+[47]İcmal!$B$19:$AG$49,ROW(A3)+1,FALSE)</f>
        <v>0</v>
      </c>
      <c r="AA5" s="15" cm="1">
        <f t="array" ref="AA5">+HLOOKUP($A$1,+[48]İcmal!$B$19:$AG$49,ROW(B3)+1,FALSE)</f>
        <v>0</v>
      </c>
      <c r="AB5" s="15" cm="1">
        <f t="array" ref="AB5">+HLOOKUP($A$1,+[49]İcmal!$B$19:$AG$49,ROW(A3)+1,FALSE)</f>
        <v>0</v>
      </c>
      <c r="AC5" s="15" cm="1">
        <f t="array" ref="AC5">+HLOOKUP($A$1,+[50]İcmal!$B$19:$AG$49,ROW(A3)+1,FALSE)</f>
        <v>0</v>
      </c>
      <c r="AD5" s="15" cm="1">
        <f t="array" ref="AD5">+HLOOKUP($A$1,+[51]İcmal!$B$19:$AG$49,ROW(A3)+1,FALSE)</f>
        <v>0</v>
      </c>
      <c r="AE5" s="15" cm="1">
        <f t="array" ref="AE5">+HLOOKUP($A$1,+[52]İcmal!$B$19:$AG$49,ROW(A3)+1,FALSE)</f>
        <v>0</v>
      </c>
      <c r="AF5" s="50" cm="1">
        <f t="array" ref="AF5">+HLOOKUP($A$1,+[53]İcmal!$B$19:$AG$49,ROW(A3)+1,FALSE)</f>
        <v>0</v>
      </c>
      <c r="AG5" s="15" cm="1">
        <f t="array" ref="AG5">+HLOOKUP($A$1,+[54]İcmal!$B$19:$AG$49,ROW(A3)+1,FALSE)</f>
        <v>0</v>
      </c>
      <c r="AH5" s="15" cm="1">
        <f t="array" ref="AH5">+HLOOKUP($A$1,+[55]İcmal!$B$19:$AG$49,ROW(A3)+1,FALSE)</f>
        <v>0</v>
      </c>
      <c r="AI5" s="15" cm="1">
        <f t="array" ref="AI5">+HLOOKUP($A$1,+[56]İcmal!$B$19:$AG$49,ROW(A3)+1,FALSE)</f>
        <v>0</v>
      </c>
      <c r="AJ5" s="15" cm="1">
        <f t="array" ref="AJ5">+HLOOKUP($A$1,+[57]İcmal!$B$19:$AG$49,ROW(A3)+1,FALSE)</f>
        <v>0</v>
      </c>
      <c r="AK5" s="15" cm="1">
        <f t="array" ref="AK5">+HLOOKUP($A$1,+[58]İcmal!$B$19:$AG$49,ROW(B3)+1,FALSE)</f>
        <v>0</v>
      </c>
      <c r="AL5" s="15"/>
      <c r="AM5" s="15"/>
      <c r="AN5" s="15"/>
      <c r="AO5" s="13"/>
    </row>
    <row r="6" spans="1:41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550.74199999999985</v>
      </c>
      <c r="I6" s="9">
        <f t="shared" si="2"/>
        <v>8445077.8279999979</v>
      </c>
      <c r="J6" s="15" cm="1">
        <f t="array" ref="J6">+HLOOKUP($A$1,+[31]İcmal!$B$19:$AG$49,ROW(A4)+1,FALSE)</f>
        <v>0.51000000000000512</v>
      </c>
      <c r="K6" s="15" cm="1">
        <f t="array" ref="K6">+HLOOKUP($A$1,+[32]İcmal!$B$19:$AG$49,ROW(B4)+1,FALSE)</f>
        <v>0.20499999999995566</v>
      </c>
      <c r="L6" s="15" cm="1">
        <f t="array" ref="L6">+HLOOKUP($A$1,+[33]İcmal!$B$19:$AG$49,ROW(C4)+1,FALSE)</f>
        <v>7.5560000000000009</v>
      </c>
      <c r="M6" s="15" cm="1">
        <f t="array" ref="M6">+HLOOKUP($A$1,+[34]İcmal!$B$19:$AG$49,ROW(D4)+1,FALSE)</f>
        <v>8.2050000000000125</v>
      </c>
      <c r="N6" s="15" cm="1">
        <f t="array" ref="N6">+HLOOKUP($A$1,+[35]İcmal!$B$19:$AG$49,ROW(A4)+1,FALSE)</f>
        <v>24.015999999999906</v>
      </c>
      <c r="O6" s="15" cm="1">
        <f t="array" ref="O6">+HLOOKUP($A$1,+[36]İcmal!$B$19:$AG$49,ROW(B4)+1,FALSE)</f>
        <v>24.686000000000035</v>
      </c>
      <c r="P6" s="15" cm="1">
        <f t="array" ref="P6">+HLOOKUP($A$1,+[37]İcmal!$B$19:$AG$49,ROW(C4)+1,FALSE)</f>
        <v>96.825000000000003</v>
      </c>
      <c r="Q6" s="15" cm="1">
        <f t="array" ref="Q6">+HLOOKUP($A$1,+[38]İcmal!$B$19:$AG$49,ROW(D4)+1,FALSE)</f>
        <v>96.007999999999996</v>
      </c>
      <c r="R6" s="15" cm="1">
        <f t="array" ref="R6">+HLOOKUP($A$1,+[39]İcmal!$B$19:$AG$49,ROW(A4)+1,FALSE)</f>
        <v>0.79099999999993997</v>
      </c>
      <c r="S6" s="15" cm="1">
        <f t="array" ref="S6">+HLOOKUP($A$1,+[40]İcmal!$B$19:$AG$49,ROW(B4)+1,FALSE)</f>
        <v>21.885000000000048</v>
      </c>
      <c r="T6" s="15" cm="1">
        <f t="array" ref="T6">+HLOOKUP($A$1,+[41]İcmal!$B$19:$AG$49,ROW(C4)+1,FALSE)</f>
        <v>90.770999999999987</v>
      </c>
      <c r="U6" s="15" cm="1">
        <f t="array" ref="U6">+HLOOKUP($A$1,+[42]İcmal!$B$19:$AG$49,ROW(D4)+1,FALSE)</f>
        <v>99.760999999999996</v>
      </c>
      <c r="V6" s="15" cm="1">
        <f t="array" ref="V6">+HLOOKUP($A$1,+[43]İcmal!$B$19:$AG$49,ROW(A4)+1,FALSE)</f>
        <v>13.548000000000002</v>
      </c>
      <c r="W6" s="15" cm="1">
        <f t="array" ref="W6">+HLOOKUP($A$1,+[44]İcmal!$B$19:$AG$49,ROW(B4)+1,FALSE)</f>
        <v>9.0000000000145519E-3</v>
      </c>
      <c r="X6" s="15" cm="1">
        <f t="array" ref="X6">+HLOOKUP($A$1,+[45]İcmal!$B$19:$AG$49,ROW(C4)+1,FALSE)</f>
        <v>0</v>
      </c>
      <c r="Y6" s="15" cm="1">
        <f t="array" ref="Y6">+HLOOKUP($A$1,+[46]İcmal!$B$19:$AG$49,ROW(D4)+1,FALSE)</f>
        <v>0</v>
      </c>
      <c r="Z6" s="15" cm="1">
        <f t="array" ref="Z6">+HLOOKUP($A$1,+[47]İcmal!$B$19:$AG$49,ROW(A4)+1,FALSE)</f>
        <v>3.6370000000000005</v>
      </c>
      <c r="AA6" s="15" cm="1">
        <f t="array" ref="AA6">+HLOOKUP($A$1,+[48]İcmal!$B$19:$AG$49,ROW(B4)+1,FALSE)</f>
        <v>18.341999999999999</v>
      </c>
      <c r="AB6" s="15" cm="1">
        <f t="array" ref="AB6">+HLOOKUP($A$1,+[49]İcmal!$B$19:$AG$49,ROW(A4)+1,FALSE)</f>
        <v>3.6370000000000005</v>
      </c>
      <c r="AC6" s="15" cm="1">
        <f t="array" ref="AC6">+HLOOKUP($A$1,+[50]İcmal!$B$19:$AG$49,ROW(A4)+1,FALSE)</f>
        <v>0.19699999999999918</v>
      </c>
      <c r="AD6" s="15" cm="1">
        <f t="array" ref="AD6">+HLOOKUP($A$1,+[51]İcmal!$B$19:$AG$49,ROW(A4)+1,FALSE)</f>
        <v>3.6370000000000005</v>
      </c>
      <c r="AE6" s="15" cm="1">
        <f t="array" ref="AE6">+HLOOKUP($A$1,+[52]İcmal!$B$19:$AG$49,ROW(A4)+1,FALSE)</f>
        <v>16.378</v>
      </c>
      <c r="AF6" s="50" cm="1">
        <f t="array" ref="AF6">+HLOOKUP($A$1,+[53]İcmal!$B$19:$AG$49,ROW(A4)+1,FALSE)</f>
        <v>3.6370000000000005</v>
      </c>
      <c r="AG6" s="15" cm="1">
        <f t="array" ref="AG6">+HLOOKUP($A$1,+[54]İcmal!$B$19:$AG$49,ROW(A4)+1,FALSE)</f>
        <v>1.8339999999999996</v>
      </c>
      <c r="AH6" s="15" cm="1">
        <f t="array" ref="AH6">+HLOOKUP($A$1,+[55]İcmal!$B$19:$AG$49,ROW(A4)+1,FALSE)</f>
        <v>12.833000000000013</v>
      </c>
      <c r="AI6" s="15" cm="1">
        <f t="array" ref="AI6">+HLOOKUP($A$1,+[56]İcmal!$B$19:$AG$49,ROW(A4)+1,FALSE)</f>
        <v>1.8339999999999996</v>
      </c>
      <c r="AJ6" s="15" cm="1">
        <f t="array" ref="AJ6">+HLOOKUP($A$1,+[57]İcmal!$B$19:$AG$49,ROW(A4)+1,FALSE)</f>
        <v>0</v>
      </c>
      <c r="AK6" s="15" cm="1">
        <f t="array" ref="AK6">+HLOOKUP($A$1,+[58]İcmal!$B$19:$AG$49,ROW(B4)+1,FALSE)</f>
        <v>0</v>
      </c>
      <c r="AL6" s="15"/>
      <c r="AM6" s="15"/>
      <c r="AN6" s="15"/>
      <c r="AO6" s="13"/>
    </row>
    <row r="7" spans="1:41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+HLOOKUP($A$1,+[31]İcmal!$B$19:$AG$49,ROW(A5)+1,FALSE)</f>
        <v>0</v>
      </c>
      <c r="K7" s="15" cm="1">
        <f t="array" ref="K7">+HLOOKUP($A$1,+[32]İcmal!$B$19:$AG$49,ROW(B5)+1,FALSE)</f>
        <v>0</v>
      </c>
      <c r="L7" s="15" cm="1">
        <f t="array" ref="L7">+HLOOKUP($A$1,+[33]İcmal!$B$19:$AG$49,ROW(C5)+1,FALSE)</f>
        <v>0</v>
      </c>
      <c r="M7" s="15" cm="1">
        <f t="array" ref="M7">+HLOOKUP($A$1,+[34]İcmal!$B$19:$AG$49,ROW(D5)+1,FALSE)</f>
        <v>0</v>
      </c>
      <c r="N7" s="15" cm="1">
        <f t="array" ref="N7">+HLOOKUP($A$1,+[35]İcmal!$B$19:$AG$49,ROW(A5)+1,FALSE)</f>
        <v>0</v>
      </c>
      <c r="O7" s="15" cm="1">
        <f t="array" ref="O7">+HLOOKUP($A$1,+[36]İcmal!$B$19:$AG$49,ROW(B5)+1,FALSE)</f>
        <v>0</v>
      </c>
      <c r="P7" s="15" cm="1">
        <f t="array" ref="P7">+HLOOKUP($A$1,+[37]İcmal!$B$19:$AG$49,ROW(C5)+1,FALSE)</f>
        <v>0</v>
      </c>
      <c r="Q7" s="15" cm="1">
        <f t="array" ref="Q7">+HLOOKUP($A$1,+[38]İcmal!$B$19:$AG$49,ROW(D5)+1,FALSE)</f>
        <v>0</v>
      </c>
      <c r="R7" s="15" cm="1">
        <f t="array" ref="R7">+HLOOKUP($A$1,+[39]İcmal!$B$19:$AG$49,ROW(A5)+1,FALSE)</f>
        <v>0</v>
      </c>
      <c r="S7" s="15" cm="1">
        <f t="array" ref="S7">+HLOOKUP($A$1,+[40]İcmal!$B$19:$AG$49,ROW(B5)+1,FALSE)</f>
        <v>0</v>
      </c>
      <c r="T7" s="15" cm="1">
        <f t="array" ref="T7">+HLOOKUP($A$1,+[41]İcmal!$B$19:$AG$49,ROW(C5)+1,FALSE)</f>
        <v>0</v>
      </c>
      <c r="U7" s="15" cm="1">
        <f t="array" ref="U7">+HLOOKUP($A$1,+[42]İcmal!$B$19:$AG$49,ROW(D5)+1,FALSE)</f>
        <v>0</v>
      </c>
      <c r="V7" s="15" cm="1">
        <f t="array" ref="V7">+HLOOKUP($A$1,+[43]İcmal!$B$19:$AG$49,ROW(A5)+1,FALSE)</f>
        <v>0</v>
      </c>
      <c r="W7" s="15" cm="1">
        <f t="array" ref="W7">+HLOOKUP($A$1,+[44]İcmal!$B$19:$AG$49,ROW(B5)+1,FALSE)</f>
        <v>0</v>
      </c>
      <c r="X7" s="15" cm="1">
        <f t="array" ref="X7">+HLOOKUP($A$1,+[45]İcmal!$B$19:$AG$49,ROW(C5)+1,FALSE)</f>
        <v>0</v>
      </c>
      <c r="Y7" s="15" cm="1">
        <f t="array" ref="Y7">+HLOOKUP($A$1,+[46]İcmal!$B$19:$AG$49,ROW(D5)+1,FALSE)</f>
        <v>0</v>
      </c>
      <c r="Z7" s="15" cm="1">
        <f t="array" ref="Z7">+HLOOKUP($A$1,+[47]İcmal!$B$19:$AG$49,ROW(A5)+1,FALSE)</f>
        <v>0</v>
      </c>
      <c r="AA7" s="15" cm="1">
        <f t="array" ref="AA7">+HLOOKUP($A$1,+[48]İcmal!$B$19:$AG$49,ROW(B5)+1,FALSE)</f>
        <v>0</v>
      </c>
      <c r="AB7" s="15" cm="1">
        <f t="array" ref="AB7">+HLOOKUP($A$1,+[49]İcmal!$B$19:$AG$49,ROW(A5)+1,FALSE)</f>
        <v>0</v>
      </c>
      <c r="AC7" s="15" cm="1">
        <f t="array" ref="AC7">+HLOOKUP($A$1,+[50]İcmal!$B$19:$AG$49,ROW(A5)+1,FALSE)</f>
        <v>0</v>
      </c>
      <c r="AD7" s="15" cm="1">
        <f t="array" ref="AD7">+HLOOKUP($A$1,+[51]İcmal!$B$19:$AG$49,ROW(A5)+1,FALSE)</f>
        <v>0</v>
      </c>
      <c r="AE7" s="15" cm="1">
        <f t="array" ref="AE7">+HLOOKUP($A$1,+[52]İcmal!$B$19:$AG$49,ROW(A5)+1,FALSE)</f>
        <v>0</v>
      </c>
      <c r="AF7" s="50" cm="1">
        <f t="array" ref="AF7">+HLOOKUP($A$1,+[53]İcmal!$B$19:$AG$49,ROW(A5)+1,FALSE)</f>
        <v>0</v>
      </c>
      <c r="AG7" s="15" cm="1">
        <f t="array" ref="AG7">+HLOOKUP($A$1,+[54]İcmal!$B$19:$AG$49,ROW(A5)+1,FALSE)</f>
        <v>0</v>
      </c>
      <c r="AH7" s="15" cm="1">
        <f t="array" ref="AH7">+HLOOKUP($A$1,+[55]İcmal!$B$19:$AG$49,ROW(A5)+1,FALSE)</f>
        <v>0</v>
      </c>
      <c r="AI7" s="15" cm="1">
        <f t="array" ref="AI7">+HLOOKUP($A$1,+[56]İcmal!$B$19:$AG$49,ROW(A5)+1,FALSE)</f>
        <v>0</v>
      </c>
      <c r="AJ7" s="15" cm="1">
        <f t="array" ref="AJ7">+HLOOKUP($A$1,+[57]İcmal!$B$19:$AG$49,ROW(A5)+1,FALSE)</f>
        <v>0</v>
      </c>
      <c r="AK7" s="15" cm="1">
        <f t="array" ref="AK7">+HLOOKUP($A$1,+[58]İcmal!$B$19:$AG$49,ROW(B5)+1,FALSE)</f>
        <v>0</v>
      </c>
      <c r="AL7" s="15"/>
      <c r="AM7" s="15"/>
      <c r="AN7" s="15"/>
      <c r="AO7" s="13"/>
    </row>
    <row r="8" spans="1:41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+HLOOKUP($A$1,+[31]İcmal!$B$19:$AG$49,ROW(A6)+1,FALSE)</f>
        <v>0</v>
      </c>
      <c r="K8" s="15" cm="1">
        <f t="array" ref="K8">+HLOOKUP($A$1,+[32]İcmal!$B$19:$AG$49,ROW(B6)+1,FALSE)</f>
        <v>0</v>
      </c>
      <c r="L8" s="15" cm="1">
        <f t="array" ref="L8">+HLOOKUP($A$1,+[33]İcmal!$B$19:$AG$49,ROW(C6)+1,FALSE)</f>
        <v>0</v>
      </c>
      <c r="M8" s="15" cm="1">
        <f t="array" ref="M8">+HLOOKUP($A$1,+[34]İcmal!$B$19:$AG$49,ROW(D6)+1,FALSE)</f>
        <v>0</v>
      </c>
      <c r="N8" s="15" cm="1">
        <f t="array" ref="N8">+HLOOKUP($A$1,+[35]İcmal!$B$19:$AG$49,ROW(A6)+1,FALSE)</f>
        <v>0</v>
      </c>
      <c r="O8" s="15" cm="1">
        <f t="array" ref="O8">+HLOOKUP($A$1,+[36]İcmal!$B$19:$AG$49,ROW(B6)+1,FALSE)</f>
        <v>0</v>
      </c>
      <c r="P8" s="15" cm="1">
        <f t="array" ref="P8">+HLOOKUP($A$1,+[37]İcmal!$B$19:$AG$49,ROW(C6)+1,FALSE)</f>
        <v>0</v>
      </c>
      <c r="Q8" s="15" cm="1">
        <f t="array" ref="Q8">+HLOOKUP($A$1,+[38]İcmal!$B$19:$AG$49,ROW(D6)+1,FALSE)</f>
        <v>0</v>
      </c>
      <c r="R8" s="15" cm="1">
        <f t="array" ref="R8">+HLOOKUP($A$1,+[39]İcmal!$B$19:$AG$49,ROW(A6)+1,FALSE)</f>
        <v>0</v>
      </c>
      <c r="S8" s="15" cm="1">
        <f t="array" ref="S8">+HLOOKUP($A$1,+[40]İcmal!$B$19:$AG$49,ROW(B6)+1,FALSE)</f>
        <v>0</v>
      </c>
      <c r="T8" s="15" cm="1">
        <f t="array" ref="T8">+HLOOKUP($A$1,+[41]İcmal!$B$19:$AG$49,ROW(C6)+1,FALSE)</f>
        <v>0</v>
      </c>
      <c r="U8" s="15" cm="1">
        <f t="array" ref="U8">+HLOOKUP($A$1,+[42]İcmal!$B$19:$AG$49,ROW(D6)+1,FALSE)</f>
        <v>0</v>
      </c>
      <c r="V8" s="15" cm="1">
        <f t="array" ref="V8">+HLOOKUP($A$1,+[43]İcmal!$B$19:$AG$49,ROW(A6)+1,FALSE)</f>
        <v>0</v>
      </c>
      <c r="W8" s="15" cm="1">
        <f t="array" ref="W8">+HLOOKUP($A$1,+[44]İcmal!$B$19:$AG$49,ROW(B6)+1,FALSE)</f>
        <v>0</v>
      </c>
      <c r="X8" s="15" cm="1">
        <f t="array" ref="X8">+HLOOKUP($A$1,+[45]İcmal!$B$19:$AG$49,ROW(C6)+1,FALSE)</f>
        <v>0</v>
      </c>
      <c r="Y8" s="15" cm="1">
        <f t="array" ref="Y8">+HLOOKUP($A$1,+[46]İcmal!$B$19:$AG$49,ROW(D6)+1,FALSE)</f>
        <v>0</v>
      </c>
      <c r="Z8" s="15" cm="1">
        <f t="array" ref="Z8">+HLOOKUP($A$1,+[47]İcmal!$B$19:$AG$49,ROW(A6)+1,FALSE)</f>
        <v>0</v>
      </c>
      <c r="AA8" s="15" cm="1">
        <f t="array" ref="AA8">+HLOOKUP($A$1,+[48]İcmal!$B$19:$AG$49,ROW(B6)+1,FALSE)</f>
        <v>0</v>
      </c>
      <c r="AB8" s="15" cm="1">
        <f t="array" ref="AB8">+HLOOKUP($A$1,+[49]İcmal!$B$19:$AG$49,ROW(A6)+1,FALSE)</f>
        <v>0</v>
      </c>
      <c r="AC8" s="15" cm="1">
        <f t="array" ref="AC8">+HLOOKUP($A$1,+[50]İcmal!$B$19:$AG$49,ROW(A6)+1,FALSE)</f>
        <v>0</v>
      </c>
      <c r="AD8" s="15" cm="1">
        <f t="array" ref="AD8">+HLOOKUP($A$1,+[51]İcmal!$B$19:$AG$49,ROW(A6)+1,FALSE)</f>
        <v>0</v>
      </c>
      <c r="AE8" s="15" cm="1">
        <f t="array" ref="AE8">+HLOOKUP($A$1,+[52]İcmal!$B$19:$AG$49,ROW(A6)+1,FALSE)</f>
        <v>0</v>
      </c>
      <c r="AF8" s="50" cm="1">
        <f t="array" ref="AF8">+HLOOKUP($A$1,+[53]İcmal!$B$19:$AG$49,ROW(A6)+1,FALSE)</f>
        <v>0</v>
      </c>
      <c r="AG8" s="15" cm="1">
        <f t="array" ref="AG8">+HLOOKUP($A$1,+[54]İcmal!$B$19:$AG$49,ROW(A6)+1,FALSE)</f>
        <v>0</v>
      </c>
      <c r="AH8" s="15" cm="1">
        <f t="array" ref="AH8">+HLOOKUP($A$1,+[55]İcmal!$B$19:$AG$49,ROW(A6)+1,FALSE)</f>
        <v>0</v>
      </c>
      <c r="AI8" s="15" cm="1">
        <f t="array" ref="AI8">+HLOOKUP($A$1,+[56]İcmal!$B$19:$AG$49,ROW(A6)+1,FALSE)</f>
        <v>0</v>
      </c>
      <c r="AJ8" s="15" cm="1">
        <f t="array" ref="AJ8">+HLOOKUP($A$1,+[57]İcmal!$B$19:$AG$49,ROW(A6)+1,FALSE)</f>
        <v>0</v>
      </c>
      <c r="AK8" s="15" cm="1">
        <f t="array" ref="AK8">+HLOOKUP($A$1,+[58]İcmal!$B$19:$AG$49,ROW(B6)+1,FALSE)</f>
        <v>0</v>
      </c>
      <c r="AL8" s="15"/>
      <c r="AM8" s="15"/>
      <c r="AN8" s="15"/>
      <c r="AO8" s="13"/>
    </row>
    <row r="9" spans="1:41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+HLOOKUP($A$1,+[31]İcmal!$B$19:$AG$49,ROW(A7)+1,FALSE)</f>
        <v>0</v>
      </c>
      <c r="K9" s="15" cm="1">
        <f t="array" ref="K9">+HLOOKUP($A$1,+[32]İcmal!$B$19:$AG$49,ROW(B7)+1,FALSE)</f>
        <v>0</v>
      </c>
      <c r="L9" s="15" cm="1">
        <f t="array" ref="L9">+HLOOKUP($A$1,+[33]İcmal!$B$19:$AG$49,ROW(C7)+1,FALSE)</f>
        <v>0</v>
      </c>
      <c r="M9" s="15" cm="1">
        <f t="array" ref="M9">+HLOOKUP($A$1,+[34]İcmal!$B$19:$AG$49,ROW(D7)+1,FALSE)</f>
        <v>0</v>
      </c>
      <c r="N9" s="15" cm="1">
        <f t="array" ref="N9">+HLOOKUP($A$1,+[35]İcmal!$B$19:$AG$49,ROW(A7)+1,FALSE)</f>
        <v>0</v>
      </c>
      <c r="O9" s="15" cm="1">
        <f t="array" ref="O9">+HLOOKUP($A$1,+[36]İcmal!$B$19:$AG$49,ROW(B7)+1,FALSE)</f>
        <v>0</v>
      </c>
      <c r="P9" s="15" cm="1">
        <f t="array" ref="P9">+HLOOKUP($A$1,+[37]İcmal!$B$19:$AG$49,ROW(C7)+1,FALSE)</f>
        <v>0</v>
      </c>
      <c r="Q9" s="15" cm="1">
        <f t="array" ref="Q9">+HLOOKUP($A$1,+[38]İcmal!$B$19:$AG$49,ROW(D7)+1,FALSE)</f>
        <v>0</v>
      </c>
      <c r="R9" s="15" cm="1">
        <f t="array" ref="R9">+HLOOKUP($A$1,+[39]İcmal!$B$19:$AG$49,ROW(A7)+1,FALSE)</f>
        <v>0</v>
      </c>
      <c r="S9" s="15" cm="1">
        <f t="array" ref="S9">+HLOOKUP($A$1,+[40]İcmal!$B$19:$AG$49,ROW(B7)+1,FALSE)</f>
        <v>0</v>
      </c>
      <c r="T9" s="15" cm="1">
        <f t="array" ref="T9">+HLOOKUP($A$1,+[41]İcmal!$B$19:$AG$49,ROW(C7)+1,FALSE)</f>
        <v>0</v>
      </c>
      <c r="U9" s="15" cm="1">
        <f t="array" ref="U9">+HLOOKUP($A$1,+[42]İcmal!$B$19:$AG$49,ROW(D7)+1,FALSE)</f>
        <v>0</v>
      </c>
      <c r="V9" s="15" cm="1">
        <f t="array" ref="V9">+HLOOKUP($A$1,+[43]İcmal!$B$19:$AG$49,ROW(A7)+1,FALSE)</f>
        <v>0</v>
      </c>
      <c r="W9" s="15" cm="1">
        <f t="array" ref="W9">+HLOOKUP($A$1,+[44]İcmal!$B$19:$AG$49,ROW(B7)+1,FALSE)</f>
        <v>0</v>
      </c>
      <c r="X9" s="15" cm="1">
        <f t="array" ref="X9">+HLOOKUP($A$1,+[45]İcmal!$B$19:$AG$49,ROW(C7)+1,FALSE)</f>
        <v>0</v>
      </c>
      <c r="Y9" s="15" cm="1">
        <f t="array" ref="Y9">+HLOOKUP($A$1,+[46]İcmal!$B$19:$AG$49,ROW(D7)+1,FALSE)</f>
        <v>0</v>
      </c>
      <c r="Z9" s="15" cm="1">
        <f t="array" ref="Z9">+HLOOKUP($A$1,+[47]İcmal!$B$19:$AG$49,ROW(A7)+1,FALSE)</f>
        <v>0</v>
      </c>
      <c r="AA9" s="15" cm="1">
        <f t="array" ref="AA9">+HLOOKUP($A$1,+[48]İcmal!$B$19:$AG$49,ROW(B7)+1,FALSE)</f>
        <v>0</v>
      </c>
      <c r="AB9" s="15" cm="1">
        <f t="array" ref="AB9">+HLOOKUP($A$1,+[49]İcmal!$B$19:$AG$49,ROW(A7)+1,FALSE)</f>
        <v>0</v>
      </c>
      <c r="AC9" s="15" cm="1">
        <f t="array" ref="AC9">+HLOOKUP($A$1,+[50]İcmal!$B$19:$AG$49,ROW(A7)+1,FALSE)</f>
        <v>0</v>
      </c>
      <c r="AD9" s="15" cm="1">
        <f t="array" ref="AD9">+HLOOKUP($A$1,+[51]İcmal!$B$19:$AG$49,ROW(A7)+1,FALSE)</f>
        <v>0</v>
      </c>
      <c r="AE9" s="15" cm="1">
        <f t="array" ref="AE9">+HLOOKUP($A$1,+[52]İcmal!$B$19:$AG$49,ROW(A7)+1,FALSE)</f>
        <v>0</v>
      </c>
      <c r="AF9" s="50" cm="1">
        <f t="array" ref="AF9">+HLOOKUP($A$1,+[53]İcmal!$B$19:$AG$49,ROW(A7)+1,FALSE)</f>
        <v>0</v>
      </c>
      <c r="AG9" s="15" cm="1">
        <f t="array" ref="AG9">+HLOOKUP($A$1,+[54]İcmal!$B$19:$AG$49,ROW(A7)+1,FALSE)</f>
        <v>0</v>
      </c>
      <c r="AH9" s="15" cm="1">
        <f t="array" ref="AH9">+HLOOKUP($A$1,+[55]İcmal!$B$19:$AG$49,ROW(A7)+1,FALSE)</f>
        <v>0</v>
      </c>
      <c r="AI9" s="15" cm="1">
        <f t="array" ref="AI9">+HLOOKUP($A$1,+[56]İcmal!$B$19:$AG$49,ROW(A7)+1,FALSE)</f>
        <v>0</v>
      </c>
      <c r="AJ9" s="15" cm="1">
        <f t="array" ref="AJ9">+HLOOKUP($A$1,+[57]İcmal!$B$19:$AG$49,ROW(A7)+1,FALSE)</f>
        <v>0</v>
      </c>
      <c r="AK9" s="15" cm="1">
        <f t="array" ref="AK9">+HLOOKUP($A$1,+[58]İcmal!$B$19:$AG$49,ROW(B7)+1,FALSE)</f>
        <v>0</v>
      </c>
      <c r="AL9" s="15"/>
      <c r="AM9" s="15"/>
      <c r="AN9" s="15"/>
      <c r="AO9" s="13"/>
    </row>
    <row r="10" spans="1:41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36</v>
      </c>
      <c r="I10" s="9">
        <f t="shared" si="2"/>
        <v>288000</v>
      </c>
      <c r="J10" s="15" cm="1">
        <f t="array" ref="J10">+HLOOKUP($A$1,+[31]İcmal!$B$19:$AG$49,ROW(A8)+1,FALSE)</f>
        <v>0</v>
      </c>
      <c r="K10" s="15" cm="1">
        <f t="array" ref="K10">+HLOOKUP($A$1,+[32]İcmal!$B$19:$AG$49,ROW(B8)+1,FALSE)</f>
        <v>0</v>
      </c>
      <c r="L10" s="15" cm="1">
        <f t="array" ref="L10">+HLOOKUP($A$1,+[33]İcmal!$B$19:$AG$49,ROW(C8)+1,FALSE)</f>
        <v>9</v>
      </c>
      <c r="M10" s="15" cm="1">
        <f t="array" ref="M10">+HLOOKUP($A$1,+[34]İcmal!$B$19:$AG$49,ROW(D8)+1,FALSE)</f>
        <v>0</v>
      </c>
      <c r="N10" s="15" cm="1">
        <f t="array" ref="N10">+HLOOKUP($A$1,+[35]İcmal!$B$19:$AG$49,ROW(A8)+1,FALSE)</f>
        <v>0</v>
      </c>
      <c r="O10" s="15" cm="1">
        <f t="array" ref="O10">+HLOOKUP($A$1,+[36]İcmal!$B$19:$AG$49,ROW(B8)+1,FALSE)</f>
        <v>0</v>
      </c>
      <c r="P10" s="15" cm="1">
        <f t="array" ref="P10">+HLOOKUP($A$1,+[37]İcmal!$B$19:$AG$49,ROW(C8)+1,FALSE)</f>
        <v>0</v>
      </c>
      <c r="Q10" s="15" cm="1">
        <f t="array" ref="Q10">+HLOOKUP($A$1,+[38]İcmal!$B$19:$AG$49,ROW(D8)+1,FALSE)</f>
        <v>0</v>
      </c>
      <c r="R10" s="15" cm="1">
        <f t="array" ref="R10">+HLOOKUP($A$1,+[39]İcmal!$B$19:$AG$49,ROW(A8)+1,FALSE)</f>
        <v>0</v>
      </c>
      <c r="S10" s="15" cm="1">
        <f t="array" ref="S10">+HLOOKUP($A$1,+[40]İcmal!$B$19:$AG$49,ROW(B8)+1,FALSE)</f>
        <v>27</v>
      </c>
      <c r="T10" s="15" cm="1">
        <f t="array" ref="T10">+HLOOKUP($A$1,+[41]İcmal!$B$19:$AG$49,ROW(C8)+1,FALSE)</f>
        <v>0</v>
      </c>
      <c r="U10" s="15" cm="1">
        <f t="array" ref="U10">+HLOOKUP($A$1,+[42]İcmal!$B$19:$AG$49,ROW(D8)+1,FALSE)</f>
        <v>0</v>
      </c>
      <c r="V10" s="15" cm="1">
        <f t="array" ref="V10">+HLOOKUP($A$1,+[43]İcmal!$B$19:$AG$49,ROW(A8)+1,FALSE)</f>
        <v>0</v>
      </c>
      <c r="W10" s="15" cm="1">
        <f t="array" ref="W10">+HLOOKUP($A$1,+[44]İcmal!$B$19:$AG$49,ROW(B8)+1,FALSE)</f>
        <v>0</v>
      </c>
      <c r="X10" s="15" cm="1">
        <f t="array" ref="X10">+HLOOKUP($A$1,+[45]İcmal!$B$19:$AG$49,ROW(C8)+1,FALSE)</f>
        <v>0</v>
      </c>
      <c r="Y10" s="15" cm="1">
        <f t="array" ref="Y10">+HLOOKUP($A$1,+[46]İcmal!$B$19:$AG$49,ROW(D8)+1,FALSE)</f>
        <v>0</v>
      </c>
      <c r="Z10" s="15" cm="1">
        <f t="array" ref="Z10">+HLOOKUP($A$1,+[47]İcmal!$B$19:$AG$49,ROW(A8)+1,FALSE)</f>
        <v>0</v>
      </c>
      <c r="AA10" s="15" cm="1">
        <f t="array" ref="AA10">+HLOOKUP($A$1,+[48]İcmal!$B$19:$AG$49,ROW(B8)+1,FALSE)</f>
        <v>0</v>
      </c>
      <c r="AB10" s="15" cm="1">
        <f t="array" ref="AB10">+HLOOKUP($A$1,+[49]İcmal!$B$19:$AG$49,ROW(A8)+1,FALSE)</f>
        <v>0</v>
      </c>
      <c r="AC10" s="15" cm="1">
        <f t="array" ref="AC10">+HLOOKUP($A$1,+[50]İcmal!$B$19:$AG$49,ROW(A8)+1,FALSE)</f>
        <v>0</v>
      </c>
      <c r="AD10" s="15" cm="1">
        <f t="array" ref="AD10">+HLOOKUP($A$1,+[51]İcmal!$B$19:$AG$49,ROW(A8)+1,FALSE)</f>
        <v>0</v>
      </c>
      <c r="AE10" s="15" cm="1">
        <f t="array" ref="AE10">+HLOOKUP($A$1,+[52]İcmal!$B$19:$AG$49,ROW(A8)+1,FALSE)</f>
        <v>0</v>
      </c>
      <c r="AF10" s="50" cm="1">
        <f t="array" ref="AF10">+HLOOKUP($A$1,+[53]İcmal!$B$19:$AG$49,ROW(A8)+1,FALSE)</f>
        <v>0</v>
      </c>
      <c r="AG10" s="15" cm="1">
        <f t="array" ref="AG10">+HLOOKUP($A$1,+[54]İcmal!$B$19:$AG$49,ROW(A8)+1,FALSE)</f>
        <v>0</v>
      </c>
      <c r="AH10" s="15" cm="1">
        <f t="array" ref="AH10">+HLOOKUP($A$1,+[55]İcmal!$B$19:$AG$49,ROW(A8)+1,FALSE)</f>
        <v>0</v>
      </c>
      <c r="AI10" s="15" cm="1">
        <f t="array" ref="AI10">+HLOOKUP($A$1,+[56]İcmal!$B$19:$AG$49,ROW(A8)+1,FALSE)</f>
        <v>0</v>
      </c>
      <c r="AJ10" s="15" cm="1">
        <f t="array" ref="AJ10">+HLOOKUP($A$1,+[57]İcmal!$B$19:$AG$49,ROW(A8)+1,FALSE)</f>
        <v>0</v>
      </c>
      <c r="AK10" s="15" cm="1">
        <f t="array" ref="AK10">+HLOOKUP($A$1,+[58]İcmal!$B$19:$AG$49,ROW(B8)+1,FALSE)</f>
        <v>0</v>
      </c>
      <c r="AL10" s="15"/>
      <c r="AM10" s="15"/>
      <c r="AN10" s="15"/>
      <c r="AO10" s="13"/>
    </row>
    <row r="11" spans="1:41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+HLOOKUP($A$1,+[31]İcmal!$B$19:$AG$49,ROW(A9)+1,FALSE)</f>
        <v>0</v>
      </c>
      <c r="K11" s="15" cm="1">
        <f t="array" ref="K11">+HLOOKUP($A$1,+[32]İcmal!$B$19:$AG$49,ROW(B9)+1,FALSE)</f>
        <v>0</v>
      </c>
      <c r="L11" s="15" cm="1">
        <f t="array" ref="L11">+HLOOKUP($A$1,+[33]İcmal!$B$19:$AG$49,ROW(C9)+1,FALSE)</f>
        <v>0</v>
      </c>
      <c r="M11" s="15" cm="1">
        <f t="array" ref="M11">+HLOOKUP($A$1,+[34]İcmal!$B$19:$AG$49,ROW(D9)+1,FALSE)</f>
        <v>0</v>
      </c>
      <c r="N11" s="15" cm="1">
        <f t="array" ref="N11">+HLOOKUP($A$1,+[35]İcmal!$B$19:$AG$49,ROW(A9)+1,FALSE)</f>
        <v>0</v>
      </c>
      <c r="O11" s="15" cm="1">
        <f t="array" ref="O11">+HLOOKUP($A$1,+[36]İcmal!$B$19:$AG$49,ROW(B9)+1,FALSE)</f>
        <v>0</v>
      </c>
      <c r="P11" s="15" cm="1">
        <f t="array" ref="P11">+HLOOKUP($A$1,+[37]İcmal!$B$19:$AG$49,ROW(C9)+1,FALSE)</f>
        <v>0</v>
      </c>
      <c r="Q11" s="15" cm="1">
        <f t="array" ref="Q11">+HLOOKUP($A$1,+[38]İcmal!$B$19:$AG$49,ROW(D9)+1,FALSE)</f>
        <v>0</v>
      </c>
      <c r="R11" s="15" cm="1">
        <f t="array" ref="R11">+HLOOKUP($A$1,+[39]İcmal!$B$19:$AG$49,ROW(A9)+1,FALSE)</f>
        <v>0</v>
      </c>
      <c r="S11" s="15" cm="1">
        <f t="array" ref="S11">+HLOOKUP($A$1,+[40]İcmal!$B$19:$AG$49,ROW(B9)+1,FALSE)</f>
        <v>0</v>
      </c>
      <c r="T11" s="15" cm="1">
        <f t="array" ref="T11">+HLOOKUP($A$1,+[41]İcmal!$B$19:$AG$49,ROW(C9)+1,FALSE)</f>
        <v>0</v>
      </c>
      <c r="U11" s="15" cm="1">
        <f t="array" ref="U11">+HLOOKUP($A$1,+[42]İcmal!$B$19:$AG$49,ROW(D9)+1,FALSE)</f>
        <v>0</v>
      </c>
      <c r="V11" s="15" cm="1">
        <f t="array" ref="V11">+HLOOKUP($A$1,+[43]İcmal!$B$19:$AG$49,ROW(A9)+1,FALSE)</f>
        <v>0</v>
      </c>
      <c r="W11" s="15" cm="1">
        <f t="array" ref="W11">+HLOOKUP($A$1,+[44]İcmal!$B$19:$AG$49,ROW(B9)+1,FALSE)</f>
        <v>0</v>
      </c>
      <c r="X11" s="15" cm="1">
        <f t="array" ref="X11">+HLOOKUP($A$1,+[45]İcmal!$B$19:$AG$49,ROW(C9)+1,FALSE)</f>
        <v>0</v>
      </c>
      <c r="Y11" s="15" cm="1">
        <f t="array" ref="Y11">+HLOOKUP($A$1,+[46]İcmal!$B$19:$AG$49,ROW(D9)+1,FALSE)</f>
        <v>0</v>
      </c>
      <c r="Z11" s="15" cm="1">
        <f t="array" ref="Z11">+HLOOKUP($A$1,+[47]İcmal!$B$19:$AG$49,ROW(A9)+1,FALSE)</f>
        <v>0</v>
      </c>
      <c r="AA11" s="15" cm="1">
        <f t="array" ref="AA11">+HLOOKUP($A$1,+[48]İcmal!$B$19:$AG$49,ROW(B9)+1,FALSE)</f>
        <v>0</v>
      </c>
      <c r="AB11" s="15" cm="1">
        <f t="array" ref="AB11">+HLOOKUP($A$1,+[49]İcmal!$B$19:$AG$49,ROW(A9)+1,FALSE)</f>
        <v>0</v>
      </c>
      <c r="AC11" s="15" cm="1">
        <f t="array" ref="AC11">+HLOOKUP($A$1,+[50]İcmal!$B$19:$AG$49,ROW(A9)+1,FALSE)</f>
        <v>0</v>
      </c>
      <c r="AD11" s="15" cm="1">
        <f t="array" ref="AD11">+HLOOKUP($A$1,+[51]İcmal!$B$19:$AG$49,ROW(A9)+1,FALSE)</f>
        <v>0</v>
      </c>
      <c r="AE11" s="15" cm="1">
        <f t="array" ref="AE11">+HLOOKUP($A$1,+[52]İcmal!$B$19:$AG$49,ROW(A9)+1,FALSE)</f>
        <v>0</v>
      </c>
      <c r="AF11" s="50" cm="1">
        <f t="array" ref="AF11">+HLOOKUP($A$1,+[53]İcmal!$B$19:$AG$49,ROW(A9)+1,FALSE)</f>
        <v>0</v>
      </c>
      <c r="AG11" s="15" cm="1">
        <f t="array" ref="AG11">+HLOOKUP($A$1,+[54]İcmal!$B$19:$AG$49,ROW(A9)+1,FALSE)</f>
        <v>0</v>
      </c>
      <c r="AH11" s="15" cm="1">
        <f t="array" ref="AH11">+HLOOKUP($A$1,+[55]İcmal!$B$19:$AG$49,ROW(A9)+1,FALSE)</f>
        <v>0</v>
      </c>
      <c r="AI11" s="15" cm="1">
        <f t="array" ref="AI11">+HLOOKUP($A$1,+[56]İcmal!$B$19:$AG$49,ROW(A9)+1,FALSE)</f>
        <v>0</v>
      </c>
      <c r="AJ11" s="15" cm="1">
        <f t="array" ref="AJ11">+HLOOKUP($A$1,+[57]İcmal!$B$19:$AG$49,ROW(A9)+1,FALSE)</f>
        <v>0</v>
      </c>
      <c r="AK11" s="15" cm="1">
        <f t="array" ref="AK11">+HLOOKUP($A$1,+[58]İcmal!$B$19:$AG$49,ROW(B9)+1,FALSE)</f>
        <v>0</v>
      </c>
      <c r="AL11" s="15"/>
      <c r="AM11" s="15"/>
      <c r="AN11" s="15"/>
      <c r="AO11" s="13"/>
    </row>
    <row r="12" spans="1:41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530</v>
      </c>
      <c r="I12" s="9">
        <f t="shared" si="2"/>
        <v>6360000</v>
      </c>
      <c r="J12" s="15" cm="1">
        <f t="array" ref="J12">+HLOOKUP($A$1,+[31]İcmal!$B$19:$AG$49,ROW(A10)+1,FALSE)</f>
        <v>0</v>
      </c>
      <c r="K12" s="15" cm="1">
        <f t="array" ref="K12">+HLOOKUP($A$1,+[32]İcmal!$B$19:$AG$49,ROW(B10)+1,FALSE)</f>
        <v>0</v>
      </c>
      <c r="L12" s="15" cm="1">
        <f t="array" ref="L12">+HLOOKUP($A$1,+[33]İcmal!$B$19:$AG$49,ROW(C10)+1,FALSE)</f>
        <v>0</v>
      </c>
      <c r="M12" s="15" cm="1">
        <f t="array" ref="M12">+HLOOKUP($A$1,+[34]İcmal!$B$19:$AG$49,ROW(D10)+1,FALSE)</f>
        <v>0</v>
      </c>
      <c r="N12" s="15" cm="1">
        <f t="array" ref="N12">+HLOOKUP($A$1,+[35]İcmal!$B$19:$AG$49,ROW(A10)+1,FALSE)</f>
        <v>0</v>
      </c>
      <c r="O12" s="15" cm="1">
        <f t="array" ref="O12">+HLOOKUP($A$1,+[36]İcmal!$B$19:$AG$49,ROW(B10)+1,FALSE)</f>
        <v>0</v>
      </c>
      <c r="P12" s="15" cm="1">
        <f t="array" ref="P12">+HLOOKUP($A$1,+[37]İcmal!$B$19:$AG$49,ROW(C10)+1,FALSE)</f>
        <v>0</v>
      </c>
      <c r="Q12" s="15" cm="1">
        <f t="array" ref="Q12">+HLOOKUP($A$1,+[38]İcmal!$B$19:$AG$49,ROW(D10)+1,FALSE)</f>
        <v>0</v>
      </c>
      <c r="R12" s="15" cm="1">
        <f t="array" ref="R12">+HLOOKUP($A$1,+[39]İcmal!$B$19:$AG$49,ROW(A10)+1,FALSE)</f>
        <v>0</v>
      </c>
      <c r="S12" s="15" cm="1">
        <f t="array" ref="S12">+HLOOKUP($A$1,+[40]İcmal!$B$19:$AG$49,ROW(B10)+1,FALSE)</f>
        <v>0</v>
      </c>
      <c r="T12" s="15" cm="1">
        <f t="array" ref="T12">+HLOOKUP($A$1,+[41]İcmal!$B$19:$AG$49,ROW(C10)+1,FALSE)</f>
        <v>0</v>
      </c>
      <c r="U12" s="15" cm="1">
        <f t="array" ref="U12">+HLOOKUP($A$1,+[42]İcmal!$B$19:$AG$49,ROW(D10)+1,FALSE)</f>
        <v>0</v>
      </c>
      <c r="V12" s="15" cm="1">
        <f t="array" ref="V12">+HLOOKUP($A$1,+[43]İcmal!$B$19:$AG$49,ROW(A10)+1,FALSE)</f>
        <v>0</v>
      </c>
      <c r="W12" s="15" cm="1">
        <f t="array" ref="W12">+HLOOKUP($A$1,+[44]İcmal!$B$19:$AG$49,ROW(B10)+1,FALSE)</f>
        <v>0</v>
      </c>
      <c r="X12" s="15" cm="1">
        <f t="array" ref="X12">+HLOOKUP($A$1,+[45]İcmal!$B$19:$AG$49,ROW(C10)+1,FALSE)</f>
        <v>0</v>
      </c>
      <c r="Y12" s="15" cm="1">
        <f t="array" ref="Y12">+HLOOKUP($A$1,+[46]İcmal!$B$19:$AG$49,ROW(D10)+1,FALSE)</f>
        <v>0</v>
      </c>
      <c r="Z12" s="15" cm="1">
        <f t="array" ref="Z12">+HLOOKUP($A$1,+[47]İcmal!$B$19:$AG$49,ROW(A10)+1,FALSE)</f>
        <v>177</v>
      </c>
      <c r="AA12" s="15" cm="1">
        <f t="array" ref="AA12">+HLOOKUP($A$1,+[48]İcmal!$B$19:$AG$49,ROW(B10)+1,FALSE)</f>
        <v>0</v>
      </c>
      <c r="AB12" s="15" cm="1">
        <f t="array" ref="AB12">+HLOOKUP($A$1,+[49]İcmal!$B$19:$AG$49,ROW(A10)+1,FALSE)</f>
        <v>0</v>
      </c>
      <c r="AC12" s="15" cm="1">
        <f t="array" ref="AC12">+HLOOKUP($A$1,+[50]İcmal!$B$19:$AG$49,ROW(A10)+1,FALSE)</f>
        <v>0</v>
      </c>
      <c r="AD12" s="15" cm="1">
        <f t="array" ref="AD12">+HLOOKUP($A$1,+[51]İcmal!$B$19:$AG$49,ROW(A10)+1,FALSE)</f>
        <v>176</v>
      </c>
      <c r="AE12" s="15" cm="1">
        <f t="array" ref="AE12">+HLOOKUP($A$1,+[52]İcmal!$B$19:$AG$49,ROW(A10)+1,FALSE)</f>
        <v>0</v>
      </c>
      <c r="AF12" s="50" cm="1">
        <f t="array" ref="AF12">+HLOOKUP($A$1,+[53]İcmal!$B$19:$AG$49,ROW(A10)+1,FALSE)</f>
        <v>0</v>
      </c>
      <c r="AG12" s="15" cm="1">
        <f t="array" ref="AG12">+HLOOKUP($A$1,+[54]İcmal!$B$19:$AG$49,ROW(A10)+1,FALSE)</f>
        <v>0</v>
      </c>
      <c r="AH12" s="15" cm="1">
        <f t="array" ref="AH12">+HLOOKUP($A$1,+[55]İcmal!$B$19:$AG$49,ROW(A10)+1,FALSE)</f>
        <v>0</v>
      </c>
      <c r="AI12" s="15" cm="1">
        <f t="array" ref="AI12">+HLOOKUP($A$1,+[56]İcmal!$B$19:$AG$49,ROW(A10)+1,FALSE)</f>
        <v>0</v>
      </c>
      <c r="AJ12" s="15" cm="1">
        <f t="array" ref="AJ12">+HLOOKUP($A$1,+[57]İcmal!$B$19:$AG$49,ROW(A10)+1,FALSE)</f>
        <v>177</v>
      </c>
      <c r="AK12" s="15" cm="1">
        <f t="array" ref="AK12">+HLOOKUP($A$1,+[58]İcmal!$B$19:$AG$49,ROW(B10)+1,FALSE)</f>
        <v>0</v>
      </c>
      <c r="AL12" s="15"/>
      <c r="AM12" s="15"/>
      <c r="AN12" s="15"/>
      <c r="AO12" s="13"/>
    </row>
    <row r="13" spans="1:41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817</v>
      </c>
      <c r="I13" s="9">
        <f t="shared" si="2"/>
        <v>22876000</v>
      </c>
      <c r="J13" s="15" cm="1">
        <f t="array" ref="J13">+HLOOKUP($A$1,+[31]İcmal!$B$19:$AG$49,ROW(A11)+1,FALSE)</f>
        <v>0</v>
      </c>
      <c r="K13" s="15" cm="1">
        <f t="array" ref="K13">+HLOOKUP($A$1,+[32]İcmal!$B$19:$AG$49,ROW(B11)+1,FALSE)</f>
        <v>0</v>
      </c>
      <c r="L13" s="15" cm="1">
        <f t="array" ref="L13">+HLOOKUP($A$1,+[33]İcmal!$B$19:$AG$49,ROW(C11)+1,FALSE)</f>
        <v>36</v>
      </c>
      <c r="M13" s="15" cm="1">
        <f t="array" ref="M13">+HLOOKUP($A$1,+[34]İcmal!$B$19:$AG$49,ROW(D11)+1,FALSE)</f>
        <v>54</v>
      </c>
      <c r="N13" s="15" cm="1">
        <f t="array" ref="N13">+HLOOKUP($A$1,+[35]İcmal!$B$19:$AG$49,ROW(A11)+1,FALSE)</f>
        <v>10</v>
      </c>
      <c r="O13" s="15" cm="1">
        <f t="array" ref="O13">+HLOOKUP($A$1,+[36]İcmal!$B$19:$AG$49,ROW(B11)+1,FALSE)</f>
        <v>86</v>
      </c>
      <c r="P13" s="15" cm="1">
        <f t="array" ref="P13">+HLOOKUP($A$1,+[37]İcmal!$B$19:$AG$49,ROW(C11)+1,FALSE)</f>
        <v>117</v>
      </c>
      <c r="Q13" s="15" cm="1">
        <f t="array" ref="Q13">+HLOOKUP($A$1,+[38]İcmal!$B$19:$AG$49,ROW(D11)+1,FALSE)</f>
        <v>84</v>
      </c>
      <c r="R13" s="15" cm="1">
        <f t="array" ref="R13">+HLOOKUP($A$1,+[39]İcmal!$B$19:$AG$49,ROW(A11)+1,FALSE)</f>
        <v>100</v>
      </c>
      <c r="S13" s="15" cm="1">
        <f t="array" ref="S13">+HLOOKUP($A$1,+[40]İcmal!$B$19:$AG$49,ROW(B11)+1,FALSE)</f>
        <v>55</v>
      </c>
      <c r="T13" s="15" cm="1">
        <f t="array" ref="T13">+HLOOKUP($A$1,+[41]İcmal!$B$19:$AG$49,ROW(C11)+1,FALSE)</f>
        <v>225</v>
      </c>
      <c r="U13" s="15" cm="1">
        <f t="array" ref="U13">+HLOOKUP($A$1,+[42]İcmal!$B$19:$AG$49,ROW(D11)+1,FALSE)</f>
        <v>192</v>
      </c>
      <c r="V13" s="15" cm="1">
        <f t="array" ref="V13">+HLOOKUP($A$1,+[43]İcmal!$B$19:$AG$49,ROW(A11)+1,FALSE)</f>
        <v>0</v>
      </c>
      <c r="W13" s="15" cm="1">
        <f t="array" ref="W13">+HLOOKUP($A$1,+[44]İcmal!$B$19:$AG$49,ROW(B11)+1,FALSE)</f>
        <v>0</v>
      </c>
      <c r="X13" s="15" cm="1">
        <f t="array" ref="X13">+HLOOKUP($A$1,+[45]İcmal!$B$19:$AG$49,ROW(C11)+1,FALSE)</f>
        <v>0</v>
      </c>
      <c r="Y13" s="15" cm="1">
        <f t="array" ref="Y13">+HLOOKUP($A$1,+[46]İcmal!$B$19:$AG$49,ROW(D11)+1,FALSE)</f>
        <v>0</v>
      </c>
      <c r="Z13" s="15" cm="1">
        <f t="array" ref="Z13">+HLOOKUP($A$1,+[47]İcmal!$B$19:$AG$49,ROW(A11)+1,FALSE)</f>
        <v>0</v>
      </c>
      <c r="AA13" s="15" cm="1">
        <f t="array" ref="AA13">+HLOOKUP($A$1,+[48]İcmal!$B$19:$AG$49,ROW(B11)+1,FALSE)</f>
        <v>19</v>
      </c>
      <c r="AB13" s="15" cm="1">
        <f t="array" ref="AB13">+HLOOKUP($A$1,+[49]İcmal!$B$19:$AG$49,ROW(A11)+1,FALSE)</f>
        <v>-18</v>
      </c>
      <c r="AC13" s="15" cm="1">
        <f t="array" ref="AC13">+HLOOKUP($A$1,+[50]İcmal!$B$19:$AG$49,ROW(A11)+1,FALSE)</f>
        <v>18</v>
      </c>
      <c r="AD13" s="15" cm="1">
        <f t="array" ref="AD13">+HLOOKUP($A$1,+[51]İcmal!$B$19:$AG$49,ROW(A11)+1,FALSE)</f>
        <v>0</v>
      </c>
      <c r="AE13" s="15" cm="1">
        <f t="array" ref="AE13">+HLOOKUP($A$1,+[52]İcmal!$B$19:$AG$49,ROW(A11)+1,FALSE)</f>
        <v>0</v>
      </c>
      <c r="AF13" s="50" cm="1">
        <f t="array" ref="AF13">+HLOOKUP($A$1,+[53]İcmal!$B$19:$AG$49,ROW(A11)+1,FALSE)</f>
        <v>0</v>
      </c>
      <c r="AG13" s="15" cm="1">
        <f t="array" ref="AG13">+HLOOKUP($A$1,+[54]İcmal!$B$19:$AG$49,ROW(A11)+1,FALSE)</f>
        <v>20</v>
      </c>
      <c r="AH13" s="15" cm="1">
        <f t="array" ref="AH13">+HLOOKUP($A$1,+[55]İcmal!$B$19:$AG$49,ROW(A11)+1,FALSE)</f>
        <v>-4</v>
      </c>
      <c r="AI13" s="15" cm="1">
        <f t="array" ref="AI13">+HLOOKUP($A$1,+[56]İcmal!$B$19:$AG$49,ROW(A11)+1,FALSE)</f>
        <v>0</v>
      </c>
      <c r="AJ13" s="15" cm="1">
        <f t="array" ref="AJ13">+HLOOKUP($A$1,+[57]İcmal!$B$19:$AG$49,ROW(A11)+1,FALSE)</f>
        <v>-177</v>
      </c>
      <c r="AK13" s="15" cm="1">
        <f t="array" ref="AK13">+HLOOKUP($A$1,+[58]İcmal!$B$19:$AG$49,ROW(B11)+1,FALSE)</f>
        <v>0</v>
      </c>
      <c r="AL13" s="15"/>
      <c r="AM13" s="15"/>
      <c r="AN13" s="15"/>
      <c r="AO13" s="13"/>
    </row>
    <row r="14" spans="1:41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-324</v>
      </c>
      <c r="I14" s="9">
        <f t="shared" si="2"/>
        <v>-121500</v>
      </c>
      <c r="J14" s="15" cm="1">
        <f t="array" ref="J14">+HLOOKUP($A$1,+[31]İcmal!$B$19:$AG$49,ROW(A12)+1,FALSE)</f>
        <v>0</v>
      </c>
      <c r="K14" s="15" cm="1">
        <f t="array" ref="K14">+HLOOKUP($A$1,+[32]İcmal!$B$19:$AG$49,ROW(B12)+1,FALSE)</f>
        <v>0</v>
      </c>
      <c r="L14" s="15" cm="1">
        <f t="array" ref="L14">+HLOOKUP($A$1,+[33]İcmal!$B$19:$AG$49,ROW(C12)+1,FALSE)</f>
        <v>0</v>
      </c>
      <c r="M14" s="15" cm="1">
        <f t="array" ref="M14">+HLOOKUP($A$1,+[34]İcmal!$B$19:$AG$49,ROW(D12)+1,FALSE)</f>
        <v>0</v>
      </c>
      <c r="N14" s="15" cm="1">
        <f t="array" ref="N14">+HLOOKUP($A$1,+[35]İcmal!$B$19:$AG$49,ROW(A12)+1,FALSE)</f>
        <v>0</v>
      </c>
      <c r="O14" s="15" cm="1">
        <f t="array" ref="O14">+HLOOKUP($A$1,+[36]İcmal!$B$19:$AG$49,ROW(B12)+1,FALSE)</f>
        <v>0</v>
      </c>
      <c r="P14" s="15" cm="1">
        <f t="array" ref="P14">+HLOOKUP($A$1,+[37]İcmal!$B$19:$AG$49,ROW(C12)+1,FALSE)</f>
        <v>0</v>
      </c>
      <c r="Q14" s="15" cm="1">
        <f t="array" ref="Q14">+HLOOKUP($A$1,+[38]İcmal!$B$19:$AG$49,ROW(D12)+1,FALSE)</f>
        <v>0</v>
      </c>
      <c r="R14" s="15" cm="1">
        <f t="array" ref="R14">+HLOOKUP($A$1,+[39]İcmal!$B$19:$AG$49,ROW(A12)+1,FALSE)</f>
        <v>0</v>
      </c>
      <c r="S14" s="15" cm="1">
        <f t="array" ref="S14">+HLOOKUP($A$1,+[40]İcmal!$B$19:$AG$49,ROW(B12)+1,FALSE)</f>
        <v>-324</v>
      </c>
      <c r="T14" s="15" cm="1">
        <f t="array" ref="T14">+HLOOKUP($A$1,+[41]İcmal!$B$19:$AG$49,ROW(C12)+1,FALSE)</f>
        <v>0</v>
      </c>
      <c r="U14" s="15" cm="1">
        <f t="array" ref="U14">+HLOOKUP($A$1,+[42]İcmal!$B$19:$AG$49,ROW(D12)+1,FALSE)</f>
        <v>0</v>
      </c>
      <c r="V14" s="15" cm="1">
        <f t="array" ref="V14">+HLOOKUP($A$1,+[43]İcmal!$B$19:$AG$49,ROW(A12)+1,FALSE)</f>
        <v>0</v>
      </c>
      <c r="W14" s="15" cm="1">
        <f t="array" ref="W14">+HLOOKUP($A$1,+[44]İcmal!$B$19:$AG$49,ROW(B12)+1,FALSE)</f>
        <v>0</v>
      </c>
      <c r="X14" s="15" cm="1">
        <f t="array" ref="X14">+HLOOKUP($A$1,+[45]İcmal!$B$19:$AG$49,ROW(C12)+1,FALSE)</f>
        <v>0</v>
      </c>
      <c r="Y14" s="15" cm="1">
        <f t="array" ref="Y14">+HLOOKUP($A$1,+[46]İcmal!$B$19:$AG$49,ROW(D12)+1,FALSE)</f>
        <v>0</v>
      </c>
      <c r="Z14" s="15" cm="1">
        <f t="array" ref="Z14">+HLOOKUP($A$1,+[47]İcmal!$B$19:$AG$49,ROW(A12)+1,FALSE)</f>
        <v>0</v>
      </c>
      <c r="AA14" s="15" cm="1">
        <f t="array" ref="AA14">+HLOOKUP($A$1,+[48]İcmal!$B$19:$AG$49,ROW(B12)+1,FALSE)</f>
        <v>0</v>
      </c>
      <c r="AB14" s="15" cm="1">
        <f t="array" ref="AB14">+HLOOKUP($A$1,+[49]İcmal!$B$19:$AG$49,ROW(A12)+1,FALSE)</f>
        <v>0</v>
      </c>
      <c r="AC14" s="15" cm="1">
        <f t="array" ref="AC14">+HLOOKUP($A$1,+[50]İcmal!$B$19:$AG$49,ROW(A12)+1,FALSE)</f>
        <v>0</v>
      </c>
      <c r="AD14" s="15" cm="1">
        <f t="array" ref="AD14">+HLOOKUP($A$1,+[51]İcmal!$B$19:$AG$49,ROW(A12)+1,FALSE)</f>
        <v>0</v>
      </c>
      <c r="AE14" s="15" cm="1">
        <f t="array" ref="AE14">+HLOOKUP($A$1,+[52]İcmal!$B$19:$AG$49,ROW(A12)+1,FALSE)</f>
        <v>0</v>
      </c>
      <c r="AF14" s="50" cm="1">
        <f t="array" ref="AF14">+HLOOKUP($A$1,+[53]İcmal!$B$19:$AG$49,ROW(A12)+1,FALSE)</f>
        <v>0</v>
      </c>
      <c r="AG14" s="15" cm="1">
        <f t="array" ref="AG14">+HLOOKUP($A$1,+[54]İcmal!$B$19:$AG$49,ROW(A12)+1,FALSE)</f>
        <v>0</v>
      </c>
      <c r="AH14" s="15" cm="1">
        <f t="array" ref="AH14">+HLOOKUP($A$1,+[55]İcmal!$B$19:$AG$49,ROW(A12)+1,FALSE)</f>
        <v>0</v>
      </c>
      <c r="AI14" s="15" cm="1">
        <f t="array" ref="AI14">+HLOOKUP($A$1,+[56]İcmal!$B$19:$AG$49,ROW(A12)+1,FALSE)</f>
        <v>0</v>
      </c>
      <c r="AJ14" s="15" cm="1">
        <f t="array" ref="AJ14">+HLOOKUP($A$1,+[57]İcmal!$B$19:$AG$49,ROW(A12)+1,FALSE)</f>
        <v>0</v>
      </c>
      <c r="AK14" s="15" cm="1">
        <f t="array" ref="AK14">+HLOOKUP($A$1,+[58]İcmal!$B$19:$AG$49,ROW(B12)+1,FALSE)</f>
        <v>0</v>
      </c>
      <c r="AL14" s="15"/>
      <c r="AM14" s="15"/>
      <c r="AN14" s="15"/>
      <c r="AO14" s="13"/>
    </row>
    <row r="15" spans="1:41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+HLOOKUP($A$1,+[31]İcmal!$B$19:$AG$49,ROW(A13)+1,FALSE)</f>
        <v>0</v>
      </c>
      <c r="K15" s="15" cm="1">
        <f t="array" ref="K15">+HLOOKUP($A$1,+[32]İcmal!$B$19:$AG$49,ROW(B13)+1,FALSE)</f>
        <v>0</v>
      </c>
      <c r="L15" s="15" cm="1">
        <f t="array" ref="L15">+HLOOKUP($A$1,+[33]İcmal!$B$19:$AG$49,ROW(C13)+1,FALSE)</f>
        <v>0</v>
      </c>
      <c r="M15" s="15" cm="1">
        <f t="array" ref="M15">+HLOOKUP($A$1,+[34]İcmal!$B$19:$AG$49,ROW(D13)+1,FALSE)</f>
        <v>0</v>
      </c>
      <c r="N15" s="15" cm="1">
        <f t="array" ref="N15">+HLOOKUP($A$1,+[35]İcmal!$B$19:$AG$49,ROW(A13)+1,FALSE)</f>
        <v>0</v>
      </c>
      <c r="O15" s="15" cm="1">
        <f t="array" ref="O15">+HLOOKUP($A$1,+[36]İcmal!$B$19:$AG$49,ROW(B13)+1,FALSE)</f>
        <v>0</v>
      </c>
      <c r="P15" s="15" cm="1">
        <f t="array" ref="P15">+HLOOKUP($A$1,+[37]İcmal!$B$19:$AG$49,ROW(C13)+1,FALSE)</f>
        <v>0</v>
      </c>
      <c r="Q15" s="15" cm="1">
        <f t="array" ref="Q15">+HLOOKUP($A$1,+[38]İcmal!$B$19:$AG$49,ROW(D13)+1,FALSE)</f>
        <v>0</v>
      </c>
      <c r="R15" s="15" cm="1">
        <f t="array" ref="R15">+HLOOKUP($A$1,+[39]İcmal!$B$19:$AG$49,ROW(A13)+1,FALSE)</f>
        <v>0</v>
      </c>
      <c r="S15" s="15" cm="1">
        <f t="array" ref="S15">+HLOOKUP($A$1,+[40]İcmal!$B$19:$AG$49,ROW(B13)+1,FALSE)</f>
        <v>0</v>
      </c>
      <c r="T15" s="15" cm="1">
        <f t="array" ref="T15">+HLOOKUP($A$1,+[41]İcmal!$B$19:$AG$49,ROW(C13)+1,FALSE)</f>
        <v>0</v>
      </c>
      <c r="U15" s="15" cm="1">
        <f t="array" ref="U15">+HLOOKUP($A$1,+[42]İcmal!$B$19:$AG$49,ROW(D13)+1,FALSE)</f>
        <v>0</v>
      </c>
      <c r="V15" s="15" cm="1">
        <f t="array" ref="V15">+HLOOKUP($A$1,+[43]İcmal!$B$19:$AG$49,ROW(A13)+1,FALSE)</f>
        <v>0</v>
      </c>
      <c r="W15" s="15" cm="1">
        <f t="array" ref="W15">+HLOOKUP($A$1,+[44]İcmal!$B$19:$AG$49,ROW(B13)+1,FALSE)</f>
        <v>0</v>
      </c>
      <c r="X15" s="15" cm="1">
        <f t="array" ref="X15">+HLOOKUP($A$1,+[45]İcmal!$B$19:$AG$49,ROW(C13)+1,FALSE)</f>
        <v>0</v>
      </c>
      <c r="Y15" s="15" cm="1">
        <f t="array" ref="Y15">+HLOOKUP($A$1,+[46]İcmal!$B$19:$AG$49,ROW(D13)+1,FALSE)</f>
        <v>0</v>
      </c>
      <c r="Z15" s="15" cm="1">
        <f t="array" ref="Z15">+HLOOKUP($A$1,+[47]İcmal!$B$19:$AG$49,ROW(A13)+1,FALSE)</f>
        <v>0</v>
      </c>
      <c r="AA15" s="15" cm="1">
        <f t="array" ref="AA15">+HLOOKUP($A$1,+[48]İcmal!$B$19:$AG$49,ROW(B13)+1,FALSE)</f>
        <v>0</v>
      </c>
      <c r="AB15" s="15" cm="1">
        <f t="array" ref="AB15">+HLOOKUP($A$1,+[49]İcmal!$B$19:$AG$49,ROW(A13)+1,FALSE)</f>
        <v>0</v>
      </c>
      <c r="AC15" s="15" cm="1">
        <f t="array" ref="AC15">+HLOOKUP($A$1,+[50]İcmal!$B$19:$AG$49,ROW(A13)+1,FALSE)</f>
        <v>0</v>
      </c>
      <c r="AD15" s="15" cm="1">
        <f t="array" ref="AD15">+HLOOKUP($A$1,+[51]İcmal!$B$19:$AG$49,ROW(A13)+1,FALSE)</f>
        <v>0</v>
      </c>
      <c r="AE15" s="15" cm="1">
        <f t="array" ref="AE15">+HLOOKUP($A$1,+[52]İcmal!$B$19:$AG$49,ROW(A13)+1,FALSE)</f>
        <v>0</v>
      </c>
      <c r="AF15" s="50" cm="1">
        <f t="array" ref="AF15">+HLOOKUP($A$1,+[53]İcmal!$B$19:$AG$49,ROW(A13)+1,FALSE)</f>
        <v>0</v>
      </c>
      <c r="AG15" s="15" cm="1">
        <f t="array" ref="AG15">+HLOOKUP($A$1,+[54]İcmal!$B$19:$AG$49,ROW(A13)+1,FALSE)</f>
        <v>0</v>
      </c>
      <c r="AH15" s="15" cm="1">
        <f t="array" ref="AH15">+HLOOKUP($A$1,+[55]İcmal!$B$19:$AG$49,ROW(A13)+1,FALSE)</f>
        <v>0</v>
      </c>
      <c r="AI15" s="15" cm="1">
        <f t="array" ref="AI15">+HLOOKUP($A$1,+[56]İcmal!$B$19:$AG$49,ROW(A13)+1,FALSE)</f>
        <v>0</v>
      </c>
      <c r="AJ15" s="15" cm="1">
        <f t="array" ref="AJ15">+HLOOKUP($A$1,+[57]İcmal!$B$19:$AG$49,ROW(A13)+1,FALSE)</f>
        <v>0</v>
      </c>
      <c r="AK15" s="15" cm="1">
        <f t="array" ref="AK15">+HLOOKUP($A$1,+[58]İcmal!$B$19:$AG$49,ROW(B13)+1,FALSE)</f>
        <v>0</v>
      </c>
      <c r="AL15" s="15"/>
      <c r="AM15" s="15"/>
      <c r="AN15" s="15"/>
      <c r="AO15" s="13"/>
    </row>
    <row r="16" spans="1:41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127.10499999999999</v>
      </c>
      <c r="I16" s="9">
        <f t="shared" si="2"/>
        <v>12964709.999999998</v>
      </c>
      <c r="J16" s="15" cm="1">
        <f t="array" ref="J16">+HLOOKUP($A$1,+[31]İcmal!$B$19:$AG$49,ROW(A14)+1,FALSE)</f>
        <v>0</v>
      </c>
      <c r="K16" s="15" cm="1">
        <f t="array" ref="K16">+HLOOKUP($A$1,+[32]İcmal!$B$19:$AG$49,ROW(B14)+1,FALSE)</f>
        <v>0</v>
      </c>
      <c r="L16" s="15" cm="1">
        <f t="array" ref="L16">+HLOOKUP($A$1,+[33]İcmal!$B$19:$AG$49,ROW(C14)+1,FALSE)</f>
        <v>2.7430000000000003</v>
      </c>
      <c r="M16" s="15" cm="1">
        <f t="array" ref="M16">+HLOOKUP($A$1,+[34]İcmal!$B$19:$AG$49,ROW(D14)+1,FALSE)</f>
        <v>2.7519999999999953</v>
      </c>
      <c r="N16" s="15" cm="1">
        <f t="array" ref="N16">+HLOOKUP($A$1,+[35]İcmal!$B$19:$AG$49,ROW(A14)+1,FALSE)</f>
        <v>0</v>
      </c>
      <c r="O16" s="15" cm="1">
        <f t="array" ref="O16">+HLOOKUP($A$1,+[36]İcmal!$B$19:$AG$49,ROW(B14)+1,FALSE)</f>
        <v>0</v>
      </c>
      <c r="P16" s="15" cm="1">
        <f t="array" ref="P16">+HLOOKUP($A$1,+[37]İcmal!$B$19:$AG$49,ROW(C14)+1,FALSE)</f>
        <v>30.638999999999999</v>
      </c>
      <c r="Q16" s="15" cm="1">
        <f t="array" ref="Q16">+HLOOKUP($A$1,+[38]İcmal!$B$19:$AG$49,ROW(D14)+1,FALSE)</f>
        <v>30.744</v>
      </c>
      <c r="R16" s="15" cm="1">
        <f t="array" ref="R16">+HLOOKUP($A$1,+[39]İcmal!$B$19:$AG$49,ROW(A14)+1,FALSE)</f>
        <v>0</v>
      </c>
      <c r="S16" s="15" cm="1">
        <f t="array" ref="S16">+HLOOKUP($A$1,+[40]İcmal!$B$19:$AG$49,ROW(B14)+1,FALSE)</f>
        <v>0</v>
      </c>
      <c r="T16" s="15" cm="1">
        <f t="array" ref="T16">+HLOOKUP($A$1,+[41]İcmal!$B$19:$AG$49,ROW(C14)+1,FALSE)</f>
        <v>25.861000000000001</v>
      </c>
      <c r="U16" s="15" cm="1">
        <f t="array" ref="U16">+HLOOKUP($A$1,+[42]İcmal!$B$19:$AG$49,ROW(D14)+1,FALSE)</f>
        <v>26.011999999999997</v>
      </c>
      <c r="V16" s="15" cm="1">
        <f t="array" ref="V16">+HLOOKUP($A$1,+[43]İcmal!$B$19:$AG$49,ROW(A14)+1,FALSE)</f>
        <v>0</v>
      </c>
      <c r="W16" s="15" cm="1">
        <f t="array" ref="W16">+HLOOKUP($A$1,+[44]İcmal!$B$19:$AG$49,ROW(B14)+1,FALSE)</f>
        <v>0</v>
      </c>
      <c r="X16" s="15" cm="1">
        <f t="array" ref="X16">+HLOOKUP($A$1,+[45]İcmal!$B$19:$AG$49,ROW(C14)+1,FALSE)</f>
        <v>0</v>
      </c>
      <c r="Y16" s="15" cm="1">
        <f t="array" ref="Y16">+HLOOKUP($A$1,+[46]İcmal!$B$19:$AG$49,ROW(D14)+1,FALSE)</f>
        <v>0</v>
      </c>
      <c r="Z16" s="15" cm="1">
        <f t="array" ref="Z16">+HLOOKUP($A$1,+[47]İcmal!$B$19:$AG$49,ROW(A14)+1,FALSE)</f>
        <v>0</v>
      </c>
      <c r="AA16" s="15" cm="1">
        <f t="array" ref="AA16">+HLOOKUP($A$1,+[48]İcmal!$B$19:$AG$49,ROW(B14)+1,FALSE)</f>
        <v>4.383</v>
      </c>
      <c r="AB16" s="15" cm="1">
        <f t="array" ref="AB16">+HLOOKUP($A$1,+[49]İcmal!$B$19:$AG$49,ROW(A14)+1,FALSE)</f>
        <v>0</v>
      </c>
      <c r="AC16" s="15" cm="1">
        <f t="array" ref="AC16">+HLOOKUP($A$1,+[50]İcmal!$B$19:$AG$49,ROW(A14)+1,FALSE)</f>
        <v>0</v>
      </c>
      <c r="AD16" s="15" cm="1">
        <f t="array" ref="AD16">+HLOOKUP($A$1,+[51]İcmal!$B$19:$AG$49,ROW(A14)+1,FALSE)</f>
        <v>0</v>
      </c>
      <c r="AE16" s="15" cm="1">
        <f t="array" ref="AE16">+HLOOKUP($A$1,+[52]İcmal!$B$19:$AG$49,ROW(A14)+1,FALSE)</f>
        <v>3.9710000000000001</v>
      </c>
      <c r="AF16" s="50" cm="1">
        <f t="array" ref="AF16">+HLOOKUP($A$1,+[53]İcmal!$B$19:$AG$49,ROW(A14)+1,FALSE)</f>
        <v>0</v>
      </c>
      <c r="AG16" s="15" cm="1">
        <f t="array" ref="AG16">+HLOOKUP($A$1,+[54]İcmal!$B$19:$AG$49,ROW(A14)+1,FALSE)</f>
        <v>0</v>
      </c>
      <c r="AH16" s="15" cm="1">
        <f t="array" ref="AH16">+HLOOKUP($A$1,+[55]İcmal!$B$19:$AG$49,ROW(A14)+1,FALSE)</f>
        <v>0</v>
      </c>
      <c r="AI16" s="15" cm="1">
        <f t="array" ref="AI16">+HLOOKUP($A$1,+[56]İcmal!$B$19:$AG$49,ROW(A14)+1,FALSE)</f>
        <v>0</v>
      </c>
      <c r="AJ16" s="15" cm="1">
        <f t="array" ref="AJ16">+HLOOKUP($A$1,+[57]İcmal!$B$19:$AG$49,ROW(A14)+1,FALSE)</f>
        <v>0</v>
      </c>
      <c r="AK16" s="15" cm="1">
        <f t="array" ref="AK16">+HLOOKUP($A$1,+[58]İcmal!$B$19:$AG$49,ROW(B14)+1,FALSE)</f>
        <v>0</v>
      </c>
      <c r="AL16" s="15"/>
      <c r="AM16" s="15"/>
      <c r="AN16" s="15"/>
      <c r="AO16" s="13"/>
    </row>
    <row r="17" spans="1:41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333</v>
      </c>
      <c r="I17" s="9">
        <f t="shared" si="2"/>
        <v>1132200</v>
      </c>
      <c r="J17" s="15" cm="1">
        <f t="array" ref="J17">+HLOOKUP($A$1,+[31]İcmal!$B$19:$AG$49,ROW(A15)+1,FALSE)</f>
        <v>0</v>
      </c>
      <c r="K17" s="15" cm="1">
        <f t="array" ref="K17">+HLOOKUP($A$1,+[32]İcmal!$B$19:$AG$49,ROW(B15)+1,FALSE)</f>
        <v>0</v>
      </c>
      <c r="L17" s="15" cm="1">
        <f t="array" ref="L17">+HLOOKUP($A$1,+[33]İcmal!$B$19:$AG$49,ROW(C15)+1,FALSE)</f>
        <v>0</v>
      </c>
      <c r="M17" s="15" cm="1">
        <f t="array" ref="M17">+HLOOKUP($A$1,+[34]İcmal!$B$19:$AG$49,ROW(D15)+1,FALSE)</f>
        <v>0</v>
      </c>
      <c r="N17" s="15" cm="1">
        <f t="array" ref="N17">+HLOOKUP($A$1,+[35]İcmal!$B$19:$AG$49,ROW(A15)+1,FALSE)</f>
        <v>0</v>
      </c>
      <c r="O17" s="15" cm="1">
        <f t="array" ref="O17">+HLOOKUP($A$1,+[36]İcmal!$B$19:$AG$49,ROW(B15)+1,FALSE)</f>
        <v>0</v>
      </c>
      <c r="P17" s="15" cm="1">
        <f t="array" ref="P17">+HLOOKUP($A$1,+[37]İcmal!$B$19:$AG$49,ROW(C15)+1,FALSE)</f>
        <v>0</v>
      </c>
      <c r="Q17" s="15" cm="1">
        <f t="array" ref="Q17">+HLOOKUP($A$1,+[38]İcmal!$B$19:$AG$49,ROW(D15)+1,FALSE)</f>
        <v>0</v>
      </c>
      <c r="R17" s="15" cm="1">
        <f t="array" ref="R17">+HLOOKUP($A$1,+[39]İcmal!$B$19:$AG$49,ROW(A15)+1,FALSE)</f>
        <v>0</v>
      </c>
      <c r="S17" s="15" cm="1">
        <f t="array" ref="S17">+HLOOKUP($A$1,+[40]İcmal!$B$19:$AG$49,ROW(B15)+1,FALSE)</f>
        <v>0</v>
      </c>
      <c r="T17" s="15" cm="1">
        <f t="array" ref="T17">+HLOOKUP($A$1,+[41]İcmal!$B$19:$AG$49,ROW(C15)+1,FALSE)</f>
        <v>0</v>
      </c>
      <c r="U17" s="15" cm="1">
        <f t="array" ref="U17">+HLOOKUP($A$1,+[42]İcmal!$B$19:$AG$49,ROW(D15)+1,FALSE)</f>
        <v>0</v>
      </c>
      <c r="V17" s="15" cm="1">
        <f t="array" ref="V17">+HLOOKUP($A$1,+[43]İcmal!$B$19:$AG$49,ROW(A15)+1,FALSE)</f>
        <v>0</v>
      </c>
      <c r="W17" s="15" cm="1">
        <f t="array" ref="W17">+HLOOKUP($A$1,+[44]İcmal!$B$19:$AG$49,ROW(B15)+1,FALSE)</f>
        <v>0</v>
      </c>
      <c r="X17" s="15" cm="1">
        <f t="array" ref="X17">+HLOOKUP($A$1,+[45]İcmal!$B$19:$AG$49,ROW(C15)+1,FALSE)</f>
        <v>0</v>
      </c>
      <c r="Y17" s="15" cm="1">
        <f t="array" ref="Y17">+HLOOKUP($A$1,+[46]İcmal!$B$19:$AG$49,ROW(D15)+1,FALSE)</f>
        <v>0</v>
      </c>
      <c r="Z17" s="15" cm="1">
        <f t="array" ref="Z17">+HLOOKUP($A$1,+[47]İcmal!$B$19:$AG$49,ROW(A15)+1,FALSE)</f>
        <v>0</v>
      </c>
      <c r="AA17" s="15" cm="1">
        <f t="array" ref="AA17">+HLOOKUP($A$1,+[48]İcmal!$B$19:$AG$49,ROW(B15)+1,FALSE)</f>
        <v>0</v>
      </c>
      <c r="AB17" s="15" cm="1">
        <f t="array" ref="AB17">+HLOOKUP($A$1,+[49]İcmal!$B$19:$AG$49,ROW(A15)+1,FALSE)</f>
        <v>333</v>
      </c>
      <c r="AC17" s="15" cm="1">
        <f t="array" ref="AC17">+HLOOKUP($A$1,+[50]İcmal!$B$19:$AG$49,ROW(A15)+1,FALSE)</f>
        <v>0</v>
      </c>
      <c r="AD17" s="15" cm="1">
        <f t="array" ref="AD17">+HLOOKUP($A$1,+[51]İcmal!$B$19:$AG$49,ROW(A15)+1,FALSE)</f>
        <v>0</v>
      </c>
      <c r="AE17" s="15" cm="1">
        <f t="array" ref="AE17">+HLOOKUP($A$1,+[52]İcmal!$B$19:$AG$49,ROW(A15)+1,FALSE)</f>
        <v>0</v>
      </c>
      <c r="AF17" s="50" cm="1">
        <f t="array" ref="AF17">+HLOOKUP($A$1,+[53]İcmal!$B$19:$AG$49,ROW(A15)+1,FALSE)</f>
        <v>0</v>
      </c>
      <c r="AG17" s="15" cm="1">
        <f t="array" ref="AG17">+HLOOKUP($A$1,+[54]İcmal!$B$19:$AG$49,ROW(A15)+1,FALSE)</f>
        <v>0</v>
      </c>
      <c r="AH17" s="15" cm="1">
        <f t="array" ref="AH17">+HLOOKUP($A$1,+[55]İcmal!$B$19:$AG$49,ROW(A15)+1,FALSE)</f>
        <v>0</v>
      </c>
      <c r="AI17" s="15" cm="1">
        <f t="array" ref="AI17">+HLOOKUP($A$1,+[56]İcmal!$B$19:$AG$49,ROW(A15)+1,FALSE)</f>
        <v>0</v>
      </c>
      <c r="AJ17" s="15" cm="1">
        <f t="array" ref="AJ17">+HLOOKUP($A$1,+[57]İcmal!$B$19:$AG$49,ROW(A15)+1,FALSE)</f>
        <v>0</v>
      </c>
      <c r="AK17" s="15" cm="1">
        <f t="array" ref="AK17">+HLOOKUP($A$1,+[58]İcmal!$B$19:$AG$49,ROW(B15)+1,FALSE)</f>
        <v>0</v>
      </c>
      <c r="AL17" s="15"/>
      <c r="AM17" s="15"/>
      <c r="AN17" s="15"/>
      <c r="AO17" s="13"/>
    </row>
    <row r="18" spans="1:41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+HLOOKUP($A$1,+[31]İcmal!$B$19:$AG$49,ROW(A16)+1,FALSE)</f>
        <v>0</v>
      </c>
      <c r="K18" s="15" cm="1">
        <f t="array" ref="K18">+HLOOKUP($A$1,+[32]İcmal!$B$19:$AG$49,ROW(B16)+1,FALSE)</f>
        <v>0</v>
      </c>
      <c r="L18" s="15" cm="1">
        <f t="array" ref="L18">+HLOOKUP($A$1,+[33]İcmal!$B$19:$AG$49,ROW(C16)+1,FALSE)</f>
        <v>0</v>
      </c>
      <c r="M18" s="15" cm="1">
        <f t="array" ref="M18">+HLOOKUP($A$1,+[34]İcmal!$B$19:$AG$49,ROW(D16)+1,FALSE)</f>
        <v>0</v>
      </c>
      <c r="N18" s="15" cm="1">
        <f t="array" ref="N18">+HLOOKUP($A$1,+[35]İcmal!$B$19:$AG$49,ROW(A16)+1,FALSE)</f>
        <v>0</v>
      </c>
      <c r="O18" s="15" cm="1">
        <f t="array" ref="O18">+HLOOKUP($A$1,+[36]İcmal!$B$19:$AG$49,ROW(B16)+1,FALSE)</f>
        <v>0</v>
      </c>
      <c r="P18" s="15" cm="1">
        <f t="array" ref="P18">+HLOOKUP($A$1,+[37]İcmal!$B$19:$AG$49,ROW(C16)+1,FALSE)</f>
        <v>0</v>
      </c>
      <c r="Q18" s="15" cm="1">
        <f t="array" ref="Q18">+HLOOKUP($A$1,+[38]İcmal!$B$19:$AG$49,ROW(D16)+1,FALSE)</f>
        <v>0</v>
      </c>
      <c r="R18" s="15" cm="1">
        <f t="array" ref="R18">+HLOOKUP($A$1,+[39]İcmal!$B$19:$AG$49,ROW(A16)+1,FALSE)</f>
        <v>0</v>
      </c>
      <c r="S18" s="15" cm="1">
        <f t="array" ref="S18">+HLOOKUP($A$1,+[40]İcmal!$B$19:$AG$49,ROW(B16)+1,FALSE)</f>
        <v>0</v>
      </c>
      <c r="T18" s="15" cm="1">
        <f t="array" ref="T18">+HLOOKUP($A$1,+[41]İcmal!$B$19:$AG$49,ROW(C16)+1,FALSE)</f>
        <v>0</v>
      </c>
      <c r="U18" s="15" cm="1">
        <f t="array" ref="U18">+HLOOKUP($A$1,+[42]İcmal!$B$19:$AG$49,ROW(D16)+1,FALSE)</f>
        <v>0</v>
      </c>
      <c r="V18" s="15" cm="1">
        <f t="array" ref="V18">+HLOOKUP($A$1,+[43]İcmal!$B$19:$AG$49,ROW(A16)+1,FALSE)</f>
        <v>0</v>
      </c>
      <c r="W18" s="15" cm="1">
        <f t="array" ref="W18">+HLOOKUP($A$1,+[44]İcmal!$B$19:$AG$49,ROW(B16)+1,FALSE)</f>
        <v>0</v>
      </c>
      <c r="X18" s="15" cm="1">
        <f t="array" ref="X18">+HLOOKUP($A$1,+[45]İcmal!$B$19:$AG$49,ROW(C16)+1,FALSE)</f>
        <v>0</v>
      </c>
      <c r="Y18" s="15" cm="1">
        <f t="array" ref="Y18">+HLOOKUP($A$1,+[46]İcmal!$B$19:$AG$49,ROW(D16)+1,FALSE)</f>
        <v>0</v>
      </c>
      <c r="Z18" s="15" cm="1">
        <f t="array" ref="Z18">+HLOOKUP($A$1,+[47]İcmal!$B$19:$AG$49,ROW(A16)+1,FALSE)</f>
        <v>0</v>
      </c>
      <c r="AA18" s="15" cm="1">
        <f t="array" ref="AA18">+HLOOKUP($A$1,+[48]İcmal!$B$19:$AG$49,ROW(B16)+1,FALSE)</f>
        <v>0</v>
      </c>
      <c r="AB18" s="15" cm="1">
        <f t="array" ref="AB18">+HLOOKUP($A$1,+[49]İcmal!$B$19:$AG$49,ROW(A16)+1,FALSE)</f>
        <v>0</v>
      </c>
      <c r="AC18" s="15" cm="1">
        <f t="array" ref="AC18">+HLOOKUP($A$1,+[50]İcmal!$B$19:$AG$49,ROW(A16)+1,FALSE)</f>
        <v>0</v>
      </c>
      <c r="AD18" s="15" cm="1">
        <f t="array" ref="AD18">+HLOOKUP($A$1,+[51]İcmal!$B$19:$AG$49,ROW(A16)+1,FALSE)</f>
        <v>0</v>
      </c>
      <c r="AE18" s="15" cm="1">
        <f t="array" ref="AE18">+HLOOKUP($A$1,+[52]İcmal!$B$19:$AG$49,ROW(A16)+1,FALSE)</f>
        <v>0</v>
      </c>
      <c r="AF18" s="50" cm="1">
        <f t="array" ref="AF18">+HLOOKUP($A$1,+[53]İcmal!$B$19:$AG$49,ROW(A16)+1,FALSE)</f>
        <v>0</v>
      </c>
      <c r="AG18" s="15" cm="1">
        <f t="array" ref="AG18">+HLOOKUP($A$1,+[54]İcmal!$B$19:$AG$49,ROW(A16)+1,FALSE)</f>
        <v>0</v>
      </c>
      <c r="AH18" s="15" cm="1">
        <f t="array" ref="AH18">+HLOOKUP($A$1,+[55]İcmal!$B$19:$AG$49,ROW(A16)+1,FALSE)</f>
        <v>0</v>
      </c>
      <c r="AI18" s="15" cm="1">
        <f t="array" ref="AI18">+HLOOKUP($A$1,+[56]İcmal!$B$19:$AG$49,ROW(A16)+1,FALSE)</f>
        <v>0</v>
      </c>
      <c r="AJ18" s="15" cm="1">
        <f t="array" ref="AJ18">+HLOOKUP($A$1,+[57]İcmal!$B$19:$AG$49,ROW(A16)+1,FALSE)</f>
        <v>0</v>
      </c>
      <c r="AK18" s="15" cm="1">
        <f t="array" ref="AK18">+HLOOKUP($A$1,+[58]İcmal!$B$19:$AG$49,ROW(B16)+1,FALSE)</f>
        <v>0</v>
      </c>
      <c r="AL18" s="15"/>
      <c r="AM18" s="15"/>
      <c r="AN18" s="15"/>
      <c r="AO18" s="13"/>
    </row>
    <row r="19" spans="1:41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+HLOOKUP($A$1,+[31]İcmal!$B$19:$AG$49,ROW(A17)+1,FALSE)</f>
        <v>0</v>
      </c>
      <c r="K19" s="15" cm="1">
        <f t="array" ref="K19">+HLOOKUP($A$1,+[32]İcmal!$B$19:$AG$49,ROW(B17)+1,FALSE)</f>
        <v>0</v>
      </c>
      <c r="L19" s="15" cm="1">
        <f t="array" ref="L19">+HLOOKUP($A$1,+[33]İcmal!$B$19:$AG$49,ROW(C17)+1,FALSE)</f>
        <v>0</v>
      </c>
      <c r="M19" s="15" cm="1">
        <f t="array" ref="M19">+HLOOKUP($A$1,+[34]İcmal!$B$19:$AG$49,ROW(D17)+1,FALSE)</f>
        <v>0</v>
      </c>
      <c r="N19" s="15" cm="1">
        <f t="array" ref="N19">+HLOOKUP($A$1,+[35]İcmal!$B$19:$AG$49,ROW(A17)+1,FALSE)</f>
        <v>0</v>
      </c>
      <c r="O19" s="15" cm="1">
        <f t="array" ref="O19">+HLOOKUP($A$1,+[36]İcmal!$B$19:$AG$49,ROW(B17)+1,FALSE)</f>
        <v>0</v>
      </c>
      <c r="P19" s="15" cm="1">
        <f t="array" ref="P19">+HLOOKUP($A$1,+[37]İcmal!$B$19:$AG$49,ROW(C17)+1,FALSE)</f>
        <v>0</v>
      </c>
      <c r="Q19" s="15" cm="1">
        <f t="array" ref="Q19">+HLOOKUP($A$1,+[38]İcmal!$B$19:$AG$49,ROW(D17)+1,FALSE)</f>
        <v>0</v>
      </c>
      <c r="R19" s="15" cm="1">
        <f t="array" ref="R19">+HLOOKUP($A$1,+[39]İcmal!$B$19:$AG$49,ROW(A17)+1,FALSE)</f>
        <v>0</v>
      </c>
      <c r="S19" s="15" cm="1">
        <f t="array" ref="S19">+HLOOKUP($A$1,+[40]İcmal!$B$19:$AG$49,ROW(B17)+1,FALSE)</f>
        <v>0</v>
      </c>
      <c r="T19" s="15" cm="1">
        <f t="array" ref="T19">+HLOOKUP($A$1,+[41]İcmal!$B$19:$AG$49,ROW(C17)+1,FALSE)</f>
        <v>0</v>
      </c>
      <c r="U19" s="15" cm="1">
        <f t="array" ref="U19">+HLOOKUP($A$1,+[42]İcmal!$B$19:$AG$49,ROW(D17)+1,FALSE)</f>
        <v>0</v>
      </c>
      <c r="V19" s="15" cm="1">
        <f t="array" ref="V19">+HLOOKUP($A$1,+[43]İcmal!$B$19:$AG$49,ROW(A17)+1,FALSE)</f>
        <v>0</v>
      </c>
      <c r="W19" s="15" cm="1">
        <f t="array" ref="W19">+HLOOKUP($A$1,+[44]İcmal!$B$19:$AG$49,ROW(B17)+1,FALSE)</f>
        <v>0</v>
      </c>
      <c r="X19" s="15" cm="1">
        <f t="array" ref="X19">+HLOOKUP($A$1,+[45]İcmal!$B$19:$AG$49,ROW(C17)+1,FALSE)</f>
        <v>0</v>
      </c>
      <c r="Y19" s="15" cm="1">
        <f t="array" ref="Y19">+HLOOKUP($A$1,+[46]İcmal!$B$19:$AG$49,ROW(D17)+1,FALSE)</f>
        <v>0</v>
      </c>
      <c r="Z19" s="15" cm="1">
        <f t="array" ref="Z19">+HLOOKUP($A$1,+[47]İcmal!$B$19:$AG$49,ROW(A17)+1,FALSE)</f>
        <v>0</v>
      </c>
      <c r="AA19" s="15" cm="1">
        <f t="array" ref="AA19">+HLOOKUP($A$1,+[48]İcmal!$B$19:$AG$49,ROW(B17)+1,FALSE)</f>
        <v>0</v>
      </c>
      <c r="AB19" s="15" cm="1">
        <f t="array" ref="AB19">+HLOOKUP($A$1,+[49]İcmal!$B$19:$AG$49,ROW(A17)+1,FALSE)</f>
        <v>0</v>
      </c>
      <c r="AC19" s="15" cm="1">
        <f t="array" ref="AC19">+HLOOKUP($A$1,+[50]İcmal!$B$19:$AG$49,ROW(A17)+1,FALSE)</f>
        <v>0</v>
      </c>
      <c r="AD19" s="15" cm="1">
        <f t="array" ref="AD19">+HLOOKUP($A$1,+[51]İcmal!$B$19:$AG$49,ROW(A17)+1,FALSE)</f>
        <v>0</v>
      </c>
      <c r="AE19" s="15" cm="1">
        <f t="array" ref="AE19">+HLOOKUP($A$1,+[52]İcmal!$B$19:$AG$49,ROW(A17)+1,FALSE)</f>
        <v>0</v>
      </c>
      <c r="AF19" s="50" cm="1">
        <f t="array" ref="AF19">+HLOOKUP($A$1,+[53]İcmal!$B$19:$AG$49,ROW(A17)+1,FALSE)</f>
        <v>0</v>
      </c>
      <c r="AG19" s="15" cm="1">
        <f t="array" ref="AG19">+HLOOKUP($A$1,+[54]İcmal!$B$19:$AG$49,ROW(A17)+1,FALSE)</f>
        <v>0</v>
      </c>
      <c r="AH19" s="15" cm="1">
        <f t="array" ref="AH19">+HLOOKUP($A$1,+[55]İcmal!$B$19:$AG$49,ROW(A17)+1,FALSE)</f>
        <v>0</v>
      </c>
      <c r="AI19" s="15" cm="1">
        <f t="array" ref="AI19">+HLOOKUP($A$1,+[56]İcmal!$B$19:$AG$49,ROW(A17)+1,FALSE)</f>
        <v>0</v>
      </c>
      <c r="AJ19" s="15" cm="1">
        <f t="array" ref="AJ19">+HLOOKUP($A$1,+[57]İcmal!$B$19:$AG$49,ROW(A17)+1,FALSE)</f>
        <v>0</v>
      </c>
      <c r="AK19" s="15" cm="1">
        <f t="array" ref="AK19">+HLOOKUP($A$1,+[58]İcmal!$B$19:$AG$49,ROW(B17)+1,FALSE)</f>
        <v>0</v>
      </c>
      <c r="AL19" s="15"/>
      <c r="AM19" s="15"/>
      <c r="AN19" s="15"/>
      <c r="AO19" s="13"/>
    </row>
    <row r="20" spans="1:41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+HLOOKUP($A$1,+[31]İcmal!$B$19:$AG$49,ROW(A18)+1,FALSE)</f>
        <v>0</v>
      </c>
      <c r="K20" s="15" cm="1">
        <f t="array" ref="K20">+HLOOKUP($A$1,+[32]İcmal!$B$19:$AG$49,ROW(B18)+1,FALSE)</f>
        <v>0</v>
      </c>
      <c r="L20" s="15" cm="1">
        <f t="array" ref="L20">+HLOOKUP($A$1,+[33]İcmal!$B$19:$AG$49,ROW(C18)+1,FALSE)</f>
        <v>0</v>
      </c>
      <c r="M20" s="15" cm="1">
        <f t="array" ref="M20">+HLOOKUP($A$1,+[34]İcmal!$B$19:$AG$49,ROW(D18)+1,FALSE)</f>
        <v>0</v>
      </c>
      <c r="N20" s="15" cm="1">
        <f t="array" ref="N20">+HLOOKUP($A$1,+[35]İcmal!$B$19:$AG$49,ROW(A18)+1,FALSE)</f>
        <v>0</v>
      </c>
      <c r="O20" s="15" cm="1">
        <f t="array" ref="O20">+HLOOKUP($A$1,+[36]İcmal!$B$19:$AG$49,ROW(B18)+1,FALSE)</f>
        <v>0</v>
      </c>
      <c r="P20" s="15" cm="1">
        <f t="array" ref="P20">+HLOOKUP($A$1,+[37]İcmal!$B$19:$AG$49,ROW(C18)+1,FALSE)</f>
        <v>0</v>
      </c>
      <c r="Q20" s="15" cm="1">
        <f t="array" ref="Q20">+HLOOKUP($A$1,+[38]İcmal!$B$19:$AG$49,ROW(D18)+1,FALSE)</f>
        <v>0</v>
      </c>
      <c r="R20" s="15" cm="1">
        <f t="array" ref="R20">+HLOOKUP($A$1,+[39]İcmal!$B$19:$AG$49,ROW(A18)+1,FALSE)</f>
        <v>0</v>
      </c>
      <c r="S20" s="15" cm="1">
        <f t="array" ref="S20">+HLOOKUP($A$1,+[40]İcmal!$B$19:$AG$49,ROW(B18)+1,FALSE)</f>
        <v>0</v>
      </c>
      <c r="T20" s="15" cm="1">
        <f t="array" ref="T20">+HLOOKUP($A$1,+[41]İcmal!$B$19:$AG$49,ROW(C18)+1,FALSE)</f>
        <v>0</v>
      </c>
      <c r="U20" s="15" cm="1">
        <f t="array" ref="U20">+HLOOKUP($A$1,+[42]İcmal!$B$19:$AG$49,ROW(D18)+1,FALSE)</f>
        <v>0</v>
      </c>
      <c r="V20" s="15" cm="1">
        <f t="array" ref="V20">+HLOOKUP($A$1,+[43]İcmal!$B$19:$AG$49,ROW(A18)+1,FALSE)</f>
        <v>0</v>
      </c>
      <c r="W20" s="15" cm="1">
        <f t="array" ref="W20">+HLOOKUP($A$1,+[44]İcmal!$B$19:$AG$49,ROW(B18)+1,FALSE)</f>
        <v>0</v>
      </c>
      <c r="X20" s="15" cm="1">
        <f t="array" ref="X20">+HLOOKUP($A$1,+[45]İcmal!$B$19:$AG$49,ROW(C18)+1,FALSE)</f>
        <v>0</v>
      </c>
      <c r="Y20" s="15" cm="1">
        <f t="array" ref="Y20">+HLOOKUP($A$1,+[46]İcmal!$B$19:$AG$49,ROW(D18)+1,FALSE)</f>
        <v>0</v>
      </c>
      <c r="Z20" s="15" cm="1">
        <f t="array" ref="Z20">+HLOOKUP($A$1,+[47]İcmal!$B$19:$AG$49,ROW(A18)+1,FALSE)</f>
        <v>0</v>
      </c>
      <c r="AA20" s="15" cm="1">
        <f t="array" ref="AA20">+HLOOKUP($A$1,+[48]İcmal!$B$19:$AG$49,ROW(B18)+1,FALSE)</f>
        <v>0</v>
      </c>
      <c r="AB20" s="15" cm="1">
        <f t="array" ref="AB20">+HLOOKUP($A$1,+[49]İcmal!$B$19:$AG$49,ROW(A18)+1,FALSE)</f>
        <v>0</v>
      </c>
      <c r="AC20" s="15" cm="1">
        <f t="array" ref="AC20">+HLOOKUP($A$1,+[50]İcmal!$B$19:$AG$49,ROW(A18)+1,FALSE)</f>
        <v>0</v>
      </c>
      <c r="AD20" s="15" cm="1">
        <f t="array" ref="AD20">+HLOOKUP($A$1,+[51]İcmal!$B$19:$AG$49,ROW(A18)+1,FALSE)</f>
        <v>0</v>
      </c>
      <c r="AE20" s="15" cm="1">
        <f t="array" ref="AE20">+HLOOKUP($A$1,+[52]İcmal!$B$19:$AG$49,ROW(A18)+1,FALSE)</f>
        <v>0</v>
      </c>
      <c r="AF20" s="50" cm="1">
        <f t="array" ref="AF20">+HLOOKUP($A$1,+[53]İcmal!$B$19:$AG$49,ROW(A18)+1,FALSE)</f>
        <v>0</v>
      </c>
      <c r="AG20" s="15" cm="1">
        <f t="array" ref="AG20">+HLOOKUP($A$1,+[54]İcmal!$B$19:$AG$49,ROW(A18)+1,FALSE)</f>
        <v>0</v>
      </c>
      <c r="AH20" s="15" cm="1">
        <f t="array" ref="AH20">+HLOOKUP($A$1,+[55]İcmal!$B$19:$AG$49,ROW(A18)+1,FALSE)</f>
        <v>0</v>
      </c>
      <c r="AI20" s="15" cm="1">
        <f t="array" ref="AI20">+HLOOKUP($A$1,+[56]İcmal!$B$19:$AG$49,ROW(A18)+1,FALSE)</f>
        <v>0</v>
      </c>
      <c r="AJ20" s="15" cm="1">
        <f t="array" ref="AJ20">+HLOOKUP($A$1,+[57]İcmal!$B$19:$AG$49,ROW(A18)+1,FALSE)</f>
        <v>0</v>
      </c>
      <c r="AK20" s="15" cm="1">
        <f t="array" ref="AK20">+HLOOKUP($A$1,+[58]İcmal!$B$19:$AG$49,ROW(B18)+1,FALSE)</f>
        <v>0</v>
      </c>
      <c r="AL20" s="15"/>
      <c r="AM20" s="15"/>
      <c r="AN20" s="15"/>
      <c r="AO20" s="13"/>
    </row>
    <row r="21" spans="1:41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+HLOOKUP($A$1,+[31]İcmal!$B$19:$AG$49,ROW(A19)+1,FALSE)</f>
        <v>0</v>
      </c>
      <c r="K21" s="15" cm="1">
        <f t="array" ref="K21">+HLOOKUP($A$1,+[32]İcmal!$B$19:$AG$49,ROW(B19)+1,FALSE)</f>
        <v>0</v>
      </c>
      <c r="L21" s="15" cm="1">
        <f t="array" ref="L21">+HLOOKUP($A$1,+[33]İcmal!$B$19:$AG$49,ROW(C19)+1,FALSE)</f>
        <v>0</v>
      </c>
      <c r="M21" s="15" cm="1">
        <f t="array" ref="M21">+HLOOKUP($A$1,+[34]İcmal!$B$19:$AG$49,ROW(D19)+1,FALSE)</f>
        <v>0</v>
      </c>
      <c r="N21" s="15" cm="1">
        <f t="array" ref="N21">+HLOOKUP($A$1,+[35]İcmal!$B$19:$AG$49,ROW(A19)+1,FALSE)</f>
        <v>0</v>
      </c>
      <c r="O21" s="15" cm="1">
        <f t="array" ref="O21">+HLOOKUP($A$1,+[36]İcmal!$B$19:$AG$49,ROW(B19)+1,FALSE)</f>
        <v>0</v>
      </c>
      <c r="P21" s="15" cm="1">
        <f t="array" ref="P21">+HLOOKUP($A$1,+[37]İcmal!$B$19:$AG$49,ROW(C19)+1,FALSE)</f>
        <v>0</v>
      </c>
      <c r="Q21" s="15" cm="1">
        <f t="array" ref="Q21">+HLOOKUP($A$1,+[38]İcmal!$B$19:$AG$49,ROW(D19)+1,FALSE)</f>
        <v>0</v>
      </c>
      <c r="R21" s="15" cm="1">
        <f t="array" ref="R21">+HLOOKUP($A$1,+[39]İcmal!$B$19:$AG$49,ROW(A19)+1,FALSE)</f>
        <v>0</v>
      </c>
      <c r="S21" s="15" cm="1">
        <f t="array" ref="S21">+HLOOKUP($A$1,+[40]İcmal!$B$19:$AG$49,ROW(B19)+1,FALSE)</f>
        <v>0</v>
      </c>
      <c r="T21" s="15" cm="1">
        <f t="array" ref="T21">+HLOOKUP($A$1,+[41]İcmal!$B$19:$AG$49,ROW(C19)+1,FALSE)</f>
        <v>0</v>
      </c>
      <c r="U21" s="15" cm="1">
        <f t="array" ref="U21">+HLOOKUP($A$1,+[42]İcmal!$B$19:$AG$49,ROW(D19)+1,FALSE)</f>
        <v>0</v>
      </c>
      <c r="V21" s="15" cm="1">
        <f t="array" ref="V21">+HLOOKUP($A$1,+[43]İcmal!$B$19:$AG$49,ROW(A19)+1,FALSE)</f>
        <v>0</v>
      </c>
      <c r="W21" s="15" cm="1">
        <f t="array" ref="W21">+HLOOKUP($A$1,+[44]İcmal!$B$19:$AG$49,ROW(B19)+1,FALSE)</f>
        <v>0</v>
      </c>
      <c r="X21" s="15" cm="1">
        <f t="array" ref="X21">+HLOOKUP($A$1,+[45]İcmal!$B$19:$AG$49,ROW(C19)+1,FALSE)</f>
        <v>0</v>
      </c>
      <c r="Y21" s="15" cm="1">
        <f t="array" ref="Y21">+HLOOKUP($A$1,+[46]İcmal!$B$19:$AG$49,ROW(D19)+1,FALSE)</f>
        <v>0</v>
      </c>
      <c r="Z21" s="15" cm="1">
        <f t="array" ref="Z21">+HLOOKUP($A$1,+[47]İcmal!$B$19:$AG$49,ROW(A19)+1,FALSE)</f>
        <v>0</v>
      </c>
      <c r="AA21" s="15" cm="1">
        <f t="array" ref="AA21">+HLOOKUP($A$1,+[48]İcmal!$B$19:$AG$49,ROW(B19)+1,FALSE)</f>
        <v>0</v>
      </c>
      <c r="AB21" s="15" cm="1">
        <f t="array" ref="AB21">+HLOOKUP($A$1,+[49]İcmal!$B$19:$AG$49,ROW(A19)+1,FALSE)</f>
        <v>0</v>
      </c>
      <c r="AC21" s="15" cm="1">
        <f t="array" ref="AC21">+HLOOKUP($A$1,+[50]İcmal!$B$19:$AG$49,ROW(A19)+1,FALSE)</f>
        <v>0</v>
      </c>
      <c r="AD21" s="15" cm="1">
        <f t="array" ref="AD21">+HLOOKUP($A$1,+[51]İcmal!$B$19:$AG$49,ROW(A19)+1,FALSE)</f>
        <v>0</v>
      </c>
      <c r="AE21" s="15" cm="1">
        <f t="array" ref="AE21">+HLOOKUP($A$1,+[52]İcmal!$B$19:$AG$49,ROW(A19)+1,FALSE)</f>
        <v>0</v>
      </c>
      <c r="AF21" s="50" cm="1">
        <f t="array" ref="AF21">+HLOOKUP($A$1,+[53]İcmal!$B$19:$AG$49,ROW(A19)+1,FALSE)</f>
        <v>0</v>
      </c>
      <c r="AG21" s="15" cm="1">
        <f t="array" ref="AG21">+HLOOKUP($A$1,+[54]İcmal!$B$19:$AG$49,ROW(A19)+1,FALSE)</f>
        <v>0</v>
      </c>
      <c r="AH21" s="15" cm="1">
        <f t="array" ref="AH21">+HLOOKUP($A$1,+[55]İcmal!$B$19:$AG$49,ROW(A19)+1,FALSE)</f>
        <v>0</v>
      </c>
      <c r="AI21" s="15" cm="1">
        <f t="array" ref="AI21">+HLOOKUP($A$1,+[56]İcmal!$B$19:$AG$49,ROW(A19)+1,FALSE)</f>
        <v>0</v>
      </c>
      <c r="AJ21" s="15" cm="1">
        <f t="array" ref="AJ21">+HLOOKUP($A$1,+[57]İcmal!$B$19:$AG$49,ROW(A19)+1,FALSE)</f>
        <v>0</v>
      </c>
      <c r="AK21" s="15" cm="1">
        <f t="array" ref="AK21">+HLOOKUP($A$1,+[58]İcmal!$B$19:$AG$49,ROW(B19)+1,FALSE)</f>
        <v>0</v>
      </c>
      <c r="AL21" s="15"/>
      <c r="AM21" s="15"/>
      <c r="AN21" s="15"/>
      <c r="AO21" s="13"/>
    </row>
    <row r="22" spans="1:41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+HLOOKUP($A$1,+[31]İcmal!$B$19:$AG$49,ROW(A20)+1,FALSE)</f>
        <v>0</v>
      </c>
      <c r="K22" s="15" cm="1">
        <f t="array" ref="K22">+HLOOKUP($A$1,+[32]İcmal!$B$19:$AG$49,ROW(B20)+1,FALSE)</f>
        <v>0</v>
      </c>
      <c r="L22" s="15" cm="1">
        <f t="array" ref="L22">+HLOOKUP($A$1,+[33]İcmal!$B$19:$AG$49,ROW(C20)+1,FALSE)</f>
        <v>0</v>
      </c>
      <c r="M22" s="15" cm="1">
        <f t="array" ref="M22">+HLOOKUP($A$1,+[34]İcmal!$B$19:$AG$49,ROW(D20)+1,FALSE)</f>
        <v>0</v>
      </c>
      <c r="N22" s="15" cm="1">
        <f t="array" ref="N22">+HLOOKUP($A$1,+[35]İcmal!$B$19:$AG$49,ROW(A20)+1,FALSE)</f>
        <v>0</v>
      </c>
      <c r="O22" s="15" cm="1">
        <f t="array" ref="O22">+HLOOKUP($A$1,+[36]İcmal!$B$19:$AG$49,ROW(B20)+1,FALSE)</f>
        <v>0</v>
      </c>
      <c r="P22" s="15" cm="1">
        <f t="array" ref="P22">+HLOOKUP($A$1,+[37]İcmal!$B$19:$AG$49,ROW(C20)+1,FALSE)</f>
        <v>0</v>
      </c>
      <c r="Q22" s="15" cm="1">
        <f t="array" ref="Q22">+HLOOKUP($A$1,+[38]İcmal!$B$19:$AG$49,ROW(D20)+1,FALSE)</f>
        <v>0</v>
      </c>
      <c r="R22" s="15" cm="1">
        <f t="array" ref="R22">+HLOOKUP($A$1,+[39]İcmal!$B$19:$AG$49,ROW(A20)+1,FALSE)</f>
        <v>0</v>
      </c>
      <c r="S22" s="15" cm="1">
        <f t="array" ref="S22">+HLOOKUP($A$1,+[40]İcmal!$B$19:$AG$49,ROW(B20)+1,FALSE)</f>
        <v>0</v>
      </c>
      <c r="T22" s="15" cm="1">
        <f t="array" ref="T22">+HLOOKUP($A$1,+[41]İcmal!$B$19:$AG$49,ROW(C20)+1,FALSE)</f>
        <v>0</v>
      </c>
      <c r="U22" s="15" cm="1">
        <f t="array" ref="U22">+HLOOKUP($A$1,+[42]İcmal!$B$19:$AG$49,ROW(D20)+1,FALSE)</f>
        <v>0</v>
      </c>
      <c r="V22" s="15" cm="1">
        <f t="array" ref="V22">+HLOOKUP($A$1,+[43]İcmal!$B$19:$AG$49,ROW(A20)+1,FALSE)</f>
        <v>0</v>
      </c>
      <c r="W22" s="15" cm="1">
        <f t="array" ref="W22">+HLOOKUP($A$1,+[44]İcmal!$B$19:$AG$49,ROW(B20)+1,FALSE)</f>
        <v>0</v>
      </c>
      <c r="X22" s="15" cm="1">
        <f t="array" ref="X22">+HLOOKUP($A$1,+[45]İcmal!$B$19:$AG$49,ROW(C20)+1,FALSE)</f>
        <v>0</v>
      </c>
      <c r="Y22" s="15" cm="1">
        <f t="array" ref="Y22">+HLOOKUP($A$1,+[46]İcmal!$B$19:$AG$49,ROW(D20)+1,FALSE)</f>
        <v>0</v>
      </c>
      <c r="Z22" s="15" cm="1">
        <f t="array" ref="Z22">+HLOOKUP($A$1,+[47]İcmal!$B$19:$AG$49,ROW(A20)+1,FALSE)</f>
        <v>0</v>
      </c>
      <c r="AA22" s="15" cm="1">
        <f t="array" ref="AA22">+HLOOKUP($A$1,+[48]İcmal!$B$19:$AG$49,ROW(B20)+1,FALSE)</f>
        <v>0</v>
      </c>
      <c r="AB22" s="15" cm="1">
        <f t="array" ref="AB22">+HLOOKUP($A$1,+[49]İcmal!$B$19:$AG$49,ROW(A20)+1,FALSE)</f>
        <v>0</v>
      </c>
      <c r="AC22" s="15" cm="1">
        <f t="array" ref="AC22">+HLOOKUP($A$1,+[50]İcmal!$B$19:$AG$49,ROW(A20)+1,FALSE)</f>
        <v>0</v>
      </c>
      <c r="AD22" s="15" cm="1">
        <f t="array" ref="AD22">+HLOOKUP($A$1,+[51]İcmal!$B$19:$AG$49,ROW(A20)+1,FALSE)</f>
        <v>0</v>
      </c>
      <c r="AE22" s="15" cm="1">
        <f t="array" ref="AE22">+HLOOKUP($A$1,+[52]İcmal!$B$19:$AG$49,ROW(A20)+1,FALSE)</f>
        <v>0</v>
      </c>
      <c r="AF22" s="50" cm="1">
        <f t="array" ref="AF22">+HLOOKUP($A$1,+[53]İcmal!$B$19:$AG$49,ROW(A20)+1,FALSE)</f>
        <v>0</v>
      </c>
      <c r="AG22" s="15" cm="1">
        <f t="array" ref="AG22">+HLOOKUP($A$1,+[54]İcmal!$B$19:$AG$49,ROW(A20)+1,FALSE)</f>
        <v>0</v>
      </c>
      <c r="AH22" s="15" cm="1">
        <f t="array" ref="AH22">+HLOOKUP($A$1,+[55]İcmal!$B$19:$AG$49,ROW(A20)+1,FALSE)</f>
        <v>0</v>
      </c>
      <c r="AI22" s="15" cm="1">
        <f t="array" ref="AI22">+HLOOKUP($A$1,+[56]İcmal!$B$19:$AG$49,ROW(A20)+1,FALSE)</f>
        <v>0</v>
      </c>
      <c r="AJ22" s="15" cm="1">
        <f t="array" ref="AJ22">+HLOOKUP($A$1,+[57]İcmal!$B$19:$AG$49,ROW(A20)+1,FALSE)</f>
        <v>0</v>
      </c>
      <c r="AK22" s="15" cm="1">
        <f t="array" ref="AK22">+HLOOKUP($A$1,+[58]İcmal!$B$19:$AG$49,ROW(B20)+1,FALSE)</f>
        <v>0</v>
      </c>
      <c r="AL22" s="15"/>
      <c r="AM22" s="15"/>
      <c r="AN22" s="15"/>
      <c r="AO22" s="13"/>
    </row>
    <row r="23" spans="1:41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+HLOOKUP($A$1,+[31]İcmal!$B$19:$AG$49,ROW(A21)+1,FALSE)</f>
        <v>0</v>
      </c>
      <c r="K23" s="15" cm="1">
        <f t="array" ref="K23">+HLOOKUP($A$1,+[32]İcmal!$B$19:$AG$49,ROW(B21)+1,FALSE)</f>
        <v>0</v>
      </c>
      <c r="L23" s="15" cm="1">
        <f t="array" ref="L23">+HLOOKUP($A$1,+[33]İcmal!$B$19:$AG$49,ROW(C21)+1,FALSE)</f>
        <v>0</v>
      </c>
      <c r="M23" s="15" cm="1">
        <f t="array" ref="M23">+HLOOKUP($A$1,+[34]İcmal!$B$19:$AG$49,ROW(D21)+1,FALSE)</f>
        <v>0</v>
      </c>
      <c r="N23" s="15" cm="1">
        <f t="array" ref="N23">+HLOOKUP($A$1,+[35]İcmal!$B$19:$AG$49,ROW(A21)+1,FALSE)</f>
        <v>0</v>
      </c>
      <c r="O23" s="15" cm="1">
        <f t="array" ref="O23">+HLOOKUP($A$1,+[36]İcmal!$B$19:$AG$49,ROW(B21)+1,FALSE)</f>
        <v>0</v>
      </c>
      <c r="P23" s="15" cm="1">
        <f t="array" ref="P23">+HLOOKUP($A$1,+[37]İcmal!$B$19:$AG$49,ROW(C21)+1,FALSE)</f>
        <v>0</v>
      </c>
      <c r="Q23" s="15" cm="1">
        <f t="array" ref="Q23">+HLOOKUP($A$1,+[38]İcmal!$B$19:$AG$49,ROW(D21)+1,FALSE)</f>
        <v>0</v>
      </c>
      <c r="R23" s="15" cm="1">
        <f t="array" ref="R23">+HLOOKUP($A$1,+[39]İcmal!$B$19:$AG$49,ROW(A21)+1,FALSE)</f>
        <v>0</v>
      </c>
      <c r="S23" s="15" cm="1">
        <f t="array" ref="S23">+HLOOKUP($A$1,+[40]İcmal!$B$19:$AG$49,ROW(B21)+1,FALSE)</f>
        <v>0</v>
      </c>
      <c r="T23" s="15" cm="1">
        <f t="array" ref="T23">+HLOOKUP($A$1,+[41]İcmal!$B$19:$AG$49,ROW(C21)+1,FALSE)</f>
        <v>0</v>
      </c>
      <c r="U23" s="15" cm="1">
        <f t="array" ref="U23">+HLOOKUP($A$1,+[42]İcmal!$B$19:$AG$49,ROW(D21)+1,FALSE)</f>
        <v>0</v>
      </c>
      <c r="V23" s="15" cm="1">
        <f t="array" ref="V23">+HLOOKUP($A$1,+[43]İcmal!$B$19:$AG$49,ROW(A21)+1,FALSE)</f>
        <v>0</v>
      </c>
      <c r="W23" s="15" cm="1">
        <f t="array" ref="W23">+HLOOKUP($A$1,+[44]İcmal!$B$19:$AG$49,ROW(B21)+1,FALSE)</f>
        <v>0</v>
      </c>
      <c r="X23" s="15" cm="1">
        <f t="array" ref="X23">+HLOOKUP($A$1,+[45]İcmal!$B$19:$AG$49,ROW(C21)+1,FALSE)</f>
        <v>0</v>
      </c>
      <c r="Y23" s="15" cm="1">
        <f t="array" ref="Y23">+HLOOKUP($A$1,+[46]İcmal!$B$19:$AG$49,ROW(D21)+1,FALSE)</f>
        <v>0</v>
      </c>
      <c r="Z23" s="15" cm="1">
        <f t="array" ref="Z23">+HLOOKUP($A$1,+[47]İcmal!$B$19:$AG$49,ROW(A21)+1,FALSE)</f>
        <v>0</v>
      </c>
      <c r="AA23" s="15" cm="1">
        <f t="array" ref="AA23">+HLOOKUP($A$1,+[48]İcmal!$B$19:$AG$49,ROW(B21)+1,FALSE)</f>
        <v>0</v>
      </c>
      <c r="AB23" s="15" cm="1">
        <f t="array" ref="AB23">+HLOOKUP($A$1,+[49]İcmal!$B$19:$AG$49,ROW(A21)+1,FALSE)</f>
        <v>0</v>
      </c>
      <c r="AC23" s="15" cm="1">
        <f t="array" ref="AC23">+HLOOKUP($A$1,+[50]İcmal!$B$19:$AG$49,ROW(A21)+1,FALSE)</f>
        <v>0</v>
      </c>
      <c r="AD23" s="15" cm="1">
        <f t="array" ref="AD23">+HLOOKUP($A$1,+[51]İcmal!$B$19:$AG$49,ROW(A21)+1,FALSE)</f>
        <v>0</v>
      </c>
      <c r="AE23" s="15" cm="1">
        <f t="array" ref="AE23">+HLOOKUP($A$1,+[52]İcmal!$B$19:$AG$49,ROW(A21)+1,FALSE)</f>
        <v>0</v>
      </c>
      <c r="AF23" s="50" cm="1">
        <f t="array" ref="AF23">+HLOOKUP($A$1,+[53]İcmal!$B$19:$AG$49,ROW(A21)+1,FALSE)</f>
        <v>0</v>
      </c>
      <c r="AG23" s="15" cm="1">
        <f t="array" ref="AG23">+HLOOKUP($A$1,+[54]İcmal!$B$19:$AG$49,ROW(A21)+1,FALSE)</f>
        <v>0</v>
      </c>
      <c r="AH23" s="15" cm="1">
        <f t="array" ref="AH23">+HLOOKUP($A$1,+[55]İcmal!$B$19:$AG$49,ROW(A21)+1,FALSE)</f>
        <v>0</v>
      </c>
      <c r="AI23" s="15" cm="1">
        <f t="array" ref="AI23">+HLOOKUP($A$1,+[56]İcmal!$B$19:$AG$49,ROW(A21)+1,FALSE)</f>
        <v>0</v>
      </c>
      <c r="AJ23" s="15" cm="1">
        <f t="array" ref="AJ23">+HLOOKUP($A$1,+[57]İcmal!$B$19:$AG$49,ROW(A21)+1,FALSE)</f>
        <v>0</v>
      </c>
      <c r="AK23" s="15" cm="1">
        <f t="array" ref="AK23">+HLOOKUP($A$1,+[58]İcmal!$B$19:$AG$49,ROW(B21)+1,FALSE)</f>
        <v>0</v>
      </c>
      <c r="AL23" s="15"/>
      <c r="AM23" s="15"/>
      <c r="AN23" s="15"/>
      <c r="AO23" s="13"/>
    </row>
    <row r="24" spans="1:41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+HLOOKUP($A$1,+[31]İcmal!$B$19:$AG$49,ROW(A22)+1,FALSE)</f>
        <v>0</v>
      </c>
      <c r="K24" s="15" cm="1">
        <f t="array" ref="K24">+HLOOKUP($A$1,+[32]İcmal!$B$19:$AG$49,ROW(B22)+1,FALSE)</f>
        <v>0</v>
      </c>
      <c r="L24" s="15" cm="1">
        <f t="array" ref="L24">+HLOOKUP($A$1,+[33]İcmal!$B$19:$AG$49,ROW(C22)+1,FALSE)</f>
        <v>0</v>
      </c>
      <c r="M24" s="15" cm="1">
        <f t="array" ref="M24">+HLOOKUP($A$1,+[34]İcmal!$B$19:$AG$49,ROW(D22)+1,FALSE)</f>
        <v>0</v>
      </c>
      <c r="N24" s="15" cm="1">
        <f t="array" ref="N24">+HLOOKUP($A$1,+[35]İcmal!$B$19:$AG$49,ROW(A22)+1,FALSE)</f>
        <v>0</v>
      </c>
      <c r="O24" s="15" cm="1">
        <f t="array" ref="O24">+HLOOKUP($A$1,+[36]İcmal!$B$19:$AG$49,ROW(B22)+1,FALSE)</f>
        <v>0</v>
      </c>
      <c r="P24" s="15" cm="1">
        <f t="array" ref="P24">+HLOOKUP($A$1,+[37]İcmal!$B$19:$AG$49,ROW(C22)+1,FALSE)</f>
        <v>0</v>
      </c>
      <c r="Q24" s="15" cm="1">
        <f t="array" ref="Q24">+HLOOKUP($A$1,+[38]İcmal!$B$19:$AG$49,ROW(D22)+1,FALSE)</f>
        <v>0</v>
      </c>
      <c r="R24" s="15" cm="1">
        <f t="array" ref="R24">+HLOOKUP($A$1,+[39]İcmal!$B$19:$AG$49,ROW(A22)+1,FALSE)</f>
        <v>0</v>
      </c>
      <c r="S24" s="15" cm="1">
        <f t="array" ref="S24">+HLOOKUP($A$1,+[40]İcmal!$B$19:$AG$49,ROW(B22)+1,FALSE)</f>
        <v>0</v>
      </c>
      <c r="T24" s="15" cm="1">
        <f t="array" ref="T24">+HLOOKUP($A$1,+[41]İcmal!$B$19:$AG$49,ROW(C22)+1,FALSE)</f>
        <v>0</v>
      </c>
      <c r="U24" s="15" cm="1">
        <f t="array" ref="U24">+HLOOKUP($A$1,+[42]İcmal!$B$19:$AG$49,ROW(D22)+1,FALSE)</f>
        <v>0</v>
      </c>
      <c r="V24" s="15" cm="1">
        <f t="array" ref="V24">+HLOOKUP($A$1,+[43]İcmal!$B$19:$AG$49,ROW(A22)+1,FALSE)</f>
        <v>0</v>
      </c>
      <c r="W24" s="15" cm="1">
        <f t="array" ref="W24">+HLOOKUP($A$1,+[44]İcmal!$B$19:$AG$49,ROW(B22)+1,FALSE)</f>
        <v>0</v>
      </c>
      <c r="X24" s="15" cm="1">
        <f t="array" ref="X24">+HLOOKUP($A$1,+[45]İcmal!$B$19:$AG$49,ROW(C22)+1,FALSE)</f>
        <v>0</v>
      </c>
      <c r="Y24" s="15" cm="1">
        <f t="array" ref="Y24">+HLOOKUP($A$1,+[46]İcmal!$B$19:$AG$49,ROW(D22)+1,FALSE)</f>
        <v>0</v>
      </c>
      <c r="Z24" s="15" cm="1">
        <f t="array" ref="Z24">+HLOOKUP($A$1,+[47]İcmal!$B$19:$AG$49,ROW(A22)+1,FALSE)</f>
        <v>0</v>
      </c>
      <c r="AA24" s="15" cm="1">
        <f t="array" ref="AA24">+HLOOKUP($A$1,+[48]İcmal!$B$19:$AG$49,ROW(B22)+1,FALSE)</f>
        <v>0</v>
      </c>
      <c r="AB24" s="15" cm="1">
        <f t="array" ref="AB24">+HLOOKUP($A$1,+[49]İcmal!$B$19:$AG$49,ROW(A22)+1,FALSE)</f>
        <v>0</v>
      </c>
      <c r="AC24" s="15" cm="1">
        <f t="array" ref="AC24">+HLOOKUP($A$1,+[50]İcmal!$B$19:$AG$49,ROW(A22)+1,FALSE)</f>
        <v>0</v>
      </c>
      <c r="AD24" s="15" cm="1">
        <f t="array" ref="AD24">+HLOOKUP($A$1,+[51]İcmal!$B$19:$AG$49,ROW(A22)+1,FALSE)</f>
        <v>0</v>
      </c>
      <c r="AE24" s="15" cm="1">
        <f t="array" ref="AE24">+HLOOKUP($A$1,+[52]İcmal!$B$19:$AG$49,ROW(A22)+1,FALSE)</f>
        <v>0</v>
      </c>
      <c r="AF24" s="50" cm="1">
        <f t="array" ref="AF24">+HLOOKUP($A$1,+[53]İcmal!$B$19:$AG$49,ROW(A22)+1,FALSE)</f>
        <v>0</v>
      </c>
      <c r="AG24" s="15" cm="1">
        <f t="array" ref="AG24">+HLOOKUP($A$1,+[54]İcmal!$B$19:$AG$49,ROW(A22)+1,FALSE)</f>
        <v>0</v>
      </c>
      <c r="AH24" s="15" cm="1">
        <f t="array" ref="AH24">+HLOOKUP($A$1,+[55]İcmal!$B$19:$AG$49,ROW(A22)+1,FALSE)</f>
        <v>0</v>
      </c>
      <c r="AI24" s="15" cm="1">
        <f t="array" ref="AI24">+HLOOKUP($A$1,+[56]İcmal!$B$19:$AG$49,ROW(A22)+1,FALSE)</f>
        <v>0</v>
      </c>
      <c r="AJ24" s="15" cm="1">
        <f t="array" ref="AJ24">+HLOOKUP($A$1,+[57]İcmal!$B$19:$AG$49,ROW(A22)+1,FALSE)</f>
        <v>0</v>
      </c>
      <c r="AK24" s="15" cm="1">
        <f t="array" ref="AK24">+HLOOKUP($A$1,+[58]İcmal!$B$19:$AG$49,ROW(B22)+1,FALSE)</f>
        <v>0</v>
      </c>
      <c r="AL24" s="15"/>
      <c r="AM24" s="15"/>
      <c r="AN24" s="15"/>
      <c r="AO24" s="13"/>
    </row>
    <row r="25" spans="1:41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+HLOOKUP($A$1,+[31]İcmal!$B$19:$AG$49,ROW(A23)+1,FALSE)</f>
        <v>0</v>
      </c>
      <c r="K25" s="15" cm="1">
        <f t="array" ref="K25">+HLOOKUP($A$1,+[32]İcmal!$B$19:$AG$49,ROW(B23)+1,FALSE)</f>
        <v>0</v>
      </c>
      <c r="L25" s="15" cm="1">
        <f t="array" ref="L25">+HLOOKUP($A$1,+[33]İcmal!$B$19:$AG$49,ROW(C23)+1,FALSE)</f>
        <v>0</v>
      </c>
      <c r="M25" s="15" cm="1">
        <f t="array" ref="M25">+HLOOKUP($A$1,+[34]İcmal!$B$19:$AG$49,ROW(D23)+1,FALSE)</f>
        <v>0</v>
      </c>
      <c r="N25" s="15" cm="1">
        <f t="array" ref="N25">+HLOOKUP($A$1,+[35]İcmal!$B$19:$AG$49,ROW(A23)+1,FALSE)</f>
        <v>0</v>
      </c>
      <c r="O25" s="15" cm="1">
        <f t="array" ref="O25">+HLOOKUP($A$1,+[36]İcmal!$B$19:$AG$49,ROW(B23)+1,FALSE)</f>
        <v>0</v>
      </c>
      <c r="P25" s="15" cm="1">
        <f t="array" ref="P25">+HLOOKUP($A$1,+[37]İcmal!$B$19:$AG$49,ROW(C23)+1,FALSE)</f>
        <v>0</v>
      </c>
      <c r="Q25" s="15" cm="1">
        <f t="array" ref="Q25">+HLOOKUP($A$1,+[38]İcmal!$B$19:$AG$49,ROW(D23)+1,FALSE)</f>
        <v>0</v>
      </c>
      <c r="R25" s="15" cm="1">
        <f t="array" ref="R25">+HLOOKUP($A$1,+[39]İcmal!$B$19:$AG$49,ROW(A23)+1,FALSE)</f>
        <v>0</v>
      </c>
      <c r="S25" s="15" cm="1">
        <f t="array" ref="S25">+HLOOKUP($A$1,+[40]İcmal!$B$19:$AG$49,ROW(B23)+1,FALSE)</f>
        <v>0</v>
      </c>
      <c r="T25" s="15" cm="1">
        <f t="array" ref="T25">+HLOOKUP($A$1,+[41]İcmal!$B$19:$AG$49,ROW(C23)+1,FALSE)</f>
        <v>0</v>
      </c>
      <c r="U25" s="15" cm="1">
        <f t="array" ref="U25">+HLOOKUP($A$1,+[42]İcmal!$B$19:$AG$49,ROW(D23)+1,FALSE)</f>
        <v>0</v>
      </c>
      <c r="V25" s="15" cm="1">
        <f t="array" ref="V25">+HLOOKUP($A$1,+[43]İcmal!$B$19:$AG$49,ROW(A23)+1,FALSE)</f>
        <v>0</v>
      </c>
      <c r="W25" s="15" cm="1">
        <f t="array" ref="W25">+HLOOKUP($A$1,+[44]İcmal!$B$19:$AG$49,ROW(B23)+1,FALSE)</f>
        <v>0</v>
      </c>
      <c r="X25" s="15" cm="1">
        <f t="array" ref="X25">+HLOOKUP($A$1,+[45]İcmal!$B$19:$AG$49,ROW(C23)+1,FALSE)</f>
        <v>0</v>
      </c>
      <c r="Y25" s="15" cm="1">
        <f t="array" ref="Y25">+HLOOKUP($A$1,+[46]İcmal!$B$19:$AG$49,ROW(D23)+1,FALSE)</f>
        <v>0</v>
      </c>
      <c r="Z25" s="15" cm="1">
        <f t="array" ref="Z25">+HLOOKUP($A$1,+[47]İcmal!$B$19:$AG$49,ROW(A23)+1,FALSE)</f>
        <v>0</v>
      </c>
      <c r="AA25" s="15" cm="1">
        <f t="array" ref="AA25">+HLOOKUP($A$1,+[48]İcmal!$B$19:$AG$49,ROW(B23)+1,FALSE)</f>
        <v>0</v>
      </c>
      <c r="AB25" s="15" cm="1">
        <f t="array" ref="AB25">+HLOOKUP($A$1,+[49]İcmal!$B$19:$AG$49,ROW(A23)+1,FALSE)</f>
        <v>0</v>
      </c>
      <c r="AC25" s="15" cm="1">
        <f t="array" ref="AC25">+HLOOKUP($A$1,+[50]İcmal!$B$19:$AG$49,ROW(A23)+1,FALSE)</f>
        <v>0</v>
      </c>
      <c r="AD25" s="15" cm="1">
        <f t="array" ref="AD25">+HLOOKUP($A$1,+[51]İcmal!$B$19:$AG$49,ROW(A23)+1,FALSE)</f>
        <v>0</v>
      </c>
      <c r="AE25" s="15" cm="1">
        <f t="array" ref="AE25">+HLOOKUP($A$1,+[52]İcmal!$B$19:$AG$49,ROW(A23)+1,FALSE)</f>
        <v>0</v>
      </c>
      <c r="AF25" s="50" cm="1">
        <f t="array" ref="AF25">+HLOOKUP($A$1,+[53]İcmal!$B$19:$AG$49,ROW(A23)+1,FALSE)</f>
        <v>0</v>
      </c>
      <c r="AG25" s="15" cm="1">
        <f t="array" ref="AG25">+HLOOKUP($A$1,+[54]İcmal!$B$19:$AG$49,ROW(A23)+1,FALSE)</f>
        <v>0</v>
      </c>
      <c r="AH25" s="15" cm="1">
        <f t="array" ref="AH25">+HLOOKUP($A$1,+[55]İcmal!$B$19:$AG$49,ROW(A23)+1,FALSE)</f>
        <v>0</v>
      </c>
      <c r="AI25" s="15" cm="1">
        <f t="array" ref="AI25">+HLOOKUP($A$1,+[56]İcmal!$B$19:$AG$49,ROW(A23)+1,FALSE)</f>
        <v>0</v>
      </c>
      <c r="AJ25" s="15" cm="1">
        <f t="array" ref="AJ25">+HLOOKUP($A$1,+[57]İcmal!$B$19:$AG$49,ROW(A23)+1,FALSE)</f>
        <v>0</v>
      </c>
      <c r="AK25" s="15" cm="1">
        <f t="array" ref="AK25">+HLOOKUP($A$1,+[58]İcmal!$B$19:$AG$49,ROW(B23)+1,FALSE)</f>
        <v>0</v>
      </c>
      <c r="AL25" s="15"/>
      <c r="AM25" s="15"/>
      <c r="AN25" s="15"/>
      <c r="AO25" s="13"/>
    </row>
    <row r="26" spans="1:41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+HLOOKUP($A$1,+[31]İcmal!$B$19:$AG$49,ROW(A24)+1,FALSE)</f>
        <v>0</v>
      </c>
      <c r="K26" s="15" cm="1">
        <f t="array" ref="K26">+HLOOKUP($A$1,+[32]İcmal!$B$19:$AG$49,ROW(B24)+1,FALSE)</f>
        <v>0</v>
      </c>
      <c r="L26" s="15" cm="1">
        <f t="array" ref="L26">+HLOOKUP($A$1,+[33]İcmal!$B$19:$AG$49,ROW(C24)+1,FALSE)</f>
        <v>0</v>
      </c>
      <c r="M26" s="15" cm="1">
        <f t="array" ref="M26">+HLOOKUP($A$1,+[34]İcmal!$B$19:$AG$49,ROW(D24)+1,FALSE)</f>
        <v>0</v>
      </c>
      <c r="N26" s="15" cm="1">
        <f t="array" ref="N26">+HLOOKUP($A$1,+[35]İcmal!$B$19:$AG$49,ROW(A24)+1,FALSE)</f>
        <v>0</v>
      </c>
      <c r="O26" s="15" cm="1">
        <f t="array" ref="O26">+HLOOKUP($A$1,+[36]İcmal!$B$19:$AG$49,ROW(B24)+1,FALSE)</f>
        <v>0</v>
      </c>
      <c r="P26" s="15" cm="1">
        <f t="array" ref="P26">+HLOOKUP($A$1,+[37]İcmal!$B$19:$AG$49,ROW(C24)+1,FALSE)</f>
        <v>0</v>
      </c>
      <c r="Q26" s="15" cm="1">
        <f t="array" ref="Q26">+HLOOKUP($A$1,+[38]İcmal!$B$19:$AG$49,ROW(D24)+1,FALSE)</f>
        <v>0</v>
      </c>
      <c r="R26" s="15" cm="1">
        <f t="array" ref="R26">+HLOOKUP($A$1,+[39]İcmal!$B$19:$AG$49,ROW(A24)+1,FALSE)</f>
        <v>0</v>
      </c>
      <c r="S26" s="15" cm="1">
        <f t="array" ref="S26">+HLOOKUP($A$1,+[40]İcmal!$B$19:$AG$49,ROW(B24)+1,FALSE)</f>
        <v>0</v>
      </c>
      <c r="T26" s="15" cm="1">
        <f t="array" ref="T26">+HLOOKUP($A$1,+[41]İcmal!$B$19:$AG$49,ROW(C24)+1,FALSE)</f>
        <v>0</v>
      </c>
      <c r="U26" s="15" cm="1">
        <f t="array" ref="U26">+HLOOKUP($A$1,+[42]İcmal!$B$19:$AG$49,ROW(D24)+1,FALSE)</f>
        <v>0</v>
      </c>
      <c r="V26" s="15" cm="1">
        <f t="array" ref="V26">+HLOOKUP($A$1,+[43]İcmal!$B$19:$AG$49,ROW(A24)+1,FALSE)</f>
        <v>0</v>
      </c>
      <c r="W26" s="15" cm="1">
        <f t="array" ref="W26">+HLOOKUP($A$1,+[44]İcmal!$B$19:$AG$49,ROW(B24)+1,FALSE)</f>
        <v>0</v>
      </c>
      <c r="X26" s="15" cm="1">
        <f t="array" ref="X26">+HLOOKUP($A$1,+[45]İcmal!$B$19:$AG$49,ROW(C24)+1,FALSE)</f>
        <v>0</v>
      </c>
      <c r="Y26" s="15" cm="1">
        <f t="array" ref="Y26">+HLOOKUP($A$1,+[46]İcmal!$B$19:$AG$49,ROW(D24)+1,FALSE)</f>
        <v>0</v>
      </c>
      <c r="Z26" s="15" cm="1">
        <f t="array" ref="Z26">+HLOOKUP($A$1,+[47]İcmal!$B$19:$AG$49,ROW(A24)+1,FALSE)</f>
        <v>0</v>
      </c>
      <c r="AA26" s="15" cm="1">
        <f t="array" ref="AA26">+HLOOKUP($A$1,+[48]İcmal!$B$19:$AG$49,ROW(B24)+1,FALSE)</f>
        <v>0</v>
      </c>
      <c r="AB26" s="15" cm="1">
        <f t="array" ref="AB26">+HLOOKUP($A$1,+[49]İcmal!$B$19:$AG$49,ROW(A24)+1,FALSE)</f>
        <v>0</v>
      </c>
      <c r="AC26" s="15" cm="1">
        <f t="array" ref="AC26">+HLOOKUP($A$1,+[50]İcmal!$B$19:$AG$49,ROW(A24)+1,FALSE)</f>
        <v>0</v>
      </c>
      <c r="AD26" s="15" cm="1">
        <f t="array" ref="AD26">+HLOOKUP($A$1,+[51]İcmal!$B$19:$AG$49,ROW(A24)+1,FALSE)</f>
        <v>0</v>
      </c>
      <c r="AE26" s="15" cm="1">
        <f t="array" ref="AE26">+HLOOKUP($A$1,+[52]İcmal!$B$19:$AG$49,ROW(A24)+1,FALSE)</f>
        <v>0</v>
      </c>
      <c r="AF26" s="50" cm="1">
        <f t="array" ref="AF26">+HLOOKUP($A$1,+[53]İcmal!$B$19:$AG$49,ROW(A24)+1,FALSE)</f>
        <v>0</v>
      </c>
      <c r="AG26" s="15" cm="1">
        <f t="array" ref="AG26">+HLOOKUP($A$1,+[54]İcmal!$B$19:$AG$49,ROW(A24)+1,FALSE)</f>
        <v>0</v>
      </c>
      <c r="AH26" s="15" cm="1">
        <f t="array" ref="AH26">+HLOOKUP($A$1,+[55]İcmal!$B$19:$AG$49,ROW(A24)+1,FALSE)</f>
        <v>0</v>
      </c>
      <c r="AI26" s="15" cm="1">
        <f t="array" ref="AI26">+HLOOKUP($A$1,+[56]İcmal!$B$19:$AG$49,ROW(A24)+1,FALSE)</f>
        <v>0</v>
      </c>
      <c r="AJ26" s="15" cm="1">
        <f t="array" ref="AJ26">+HLOOKUP($A$1,+[57]İcmal!$B$19:$AG$49,ROW(A24)+1,FALSE)</f>
        <v>0</v>
      </c>
      <c r="AK26" s="15" cm="1">
        <f t="array" ref="AK26">+HLOOKUP($A$1,+[58]İcmal!$B$19:$AG$49,ROW(B24)+1,FALSE)</f>
        <v>0</v>
      </c>
      <c r="AL26" s="15"/>
      <c r="AM26" s="15"/>
      <c r="AN26" s="15"/>
      <c r="AO26" s="13"/>
    </row>
    <row r="27" spans="1:41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+HLOOKUP($A$1,+[31]İcmal!$B$19:$AG$49,ROW(A25)+1,FALSE)</f>
        <v>0</v>
      </c>
      <c r="K27" s="15" cm="1">
        <f t="array" ref="K27">+HLOOKUP($A$1,+[32]İcmal!$B$19:$AG$49,ROW(B25)+1,FALSE)</f>
        <v>0</v>
      </c>
      <c r="L27" s="15" cm="1">
        <f t="array" ref="L27">+HLOOKUP($A$1,+[33]İcmal!$B$19:$AG$49,ROW(C25)+1,FALSE)</f>
        <v>0</v>
      </c>
      <c r="M27" s="15" cm="1">
        <f t="array" ref="M27">+HLOOKUP($A$1,+[34]İcmal!$B$19:$AG$49,ROW(D25)+1,FALSE)</f>
        <v>0</v>
      </c>
      <c r="N27" s="15" cm="1">
        <f t="array" ref="N27">+HLOOKUP($A$1,+[35]İcmal!$B$19:$AG$49,ROW(A25)+1,FALSE)</f>
        <v>0</v>
      </c>
      <c r="O27" s="15" cm="1">
        <f t="array" ref="O27">+HLOOKUP($A$1,+[36]İcmal!$B$19:$AG$49,ROW(B25)+1,FALSE)</f>
        <v>0</v>
      </c>
      <c r="P27" s="15" cm="1">
        <f t="array" ref="P27">+HLOOKUP($A$1,+[37]İcmal!$B$19:$AG$49,ROW(C25)+1,FALSE)</f>
        <v>0</v>
      </c>
      <c r="Q27" s="15" cm="1">
        <f t="array" ref="Q27">+HLOOKUP($A$1,+[38]İcmal!$B$19:$AG$49,ROW(D25)+1,FALSE)</f>
        <v>0</v>
      </c>
      <c r="R27" s="15" cm="1">
        <f t="array" ref="R27">+HLOOKUP($A$1,+[39]İcmal!$B$19:$AG$49,ROW(A25)+1,FALSE)</f>
        <v>0</v>
      </c>
      <c r="S27" s="15" cm="1">
        <f t="array" ref="S27">+HLOOKUP($A$1,+[40]İcmal!$B$19:$AG$49,ROW(B25)+1,FALSE)</f>
        <v>0</v>
      </c>
      <c r="T27" s="15" cm="1">
        <f t="array" ref="T27">+HLOOKUP($A$1,+[41]İcmal!$B$19:$AG$49,ROW(C25)+1,FALSE)</f>
        <v>0</v>
      </c>
      <c r="U27" s="15" cm="1">
        <f t="array" ref="U27">+HLOOKUP($A$1,+[42]İcmal!$B$19:$AG$49,ROW(D25)+1,FALSE)</f>
        <v>0</v>
      </c>
      <c r="V27" s="15" cm="1">
        <f t="array" ref="V27">+HLOOKUP($A$1,+[43]İcmal!$B$19:$AG$49,ROW(A25)+1,FALSE)</f>
        <v>0</v>
      </c>
      <c r="W27" s="15" cm="1">
        <f t="array" ref="W27">+HLOOKUP($A$1,+[44]İcmal!$B$19:$AG$49,ROW(B25)+1,FALSE)</f>
        <v>0</v>
      </c>
      <c r="X27" s="15" cm="1">
        <f t="array" ref="X27">+HLOOKUP($A$1,+[45]İcmal!$B$19:$AG$49,ROW(C25)+1,FALSE)</f>
        <v>0</v>
      </c>
      <c r="Y27" s="15" cm="1">
        <f t="array" ref="Y27">+HLOOKUP($A$1,+[46]İcmal!$B$19:$AG$49,ROW(D25)+1,FALSE)</f>
        <v>0</v>
      </c>
      <c r="Z27" s="15" cm="1">
        <f t="array" ref="Z27">+HLOOKUP($A$1,+[47]İcmal!$B$19:$AG$49,ROW(A25)+1,FALSE)</f>
        <v>0</v>
      </c>
      <c r="AA27" s="15" cm="1">
        <f t="array" ref="AA27">+HLOOKUP($A$1,+[48]İcmal!$B$19:$AG$49,ROW(B25)+1,FALSE)</f>
        <v>0</v>
      </c>
      <c r="AB27" s="15" cm="1">
        <f t="array" ref="AB27">+HLOOKUP($A$1,+[49]İcmal!$B$19:$AG$49,ROW(A25)+1,FALSE)</f>
        <v>0</v>
      </c>
      <c r="AC27" s="15" cm="1">
        <f t="array" ref="AC27">+HLOOKUP($A$1,+[50]İcmal!$B$19:$AG$49,ROW(A25)+1,FALSE)</f>
        <v>0</v>
      </c>
      <c r="AD27" s="15" cm="1">
        <f t="array" ref="AD27">+HLOOKUP($A$1,+[51]İcmal!$B$19:$AG$49,ROW(A25)+1,FALSE)</f>
        <v>0</v>
      </c>
      <c r="AE27" s="15" cm="1">
        <f t="array" ref="AE27">+HLOOKUP($A$1,+[52]İcmal!$B$19:$AG$49,ROW(A25)+1,FALSE)</f>
        <v>0</v>
      </c>
      <c r="AF27" s="50" cm="1">
        <f t="array" ref="AF27">+HLOOKUP($A$1,+[53]İcmal!$B$19:$AG$49,ROW(A25)+1,FALSE)</f>
        <v>0</v>
      </c>
      <c r="AG27" s="15" cm="1">
        <f t="array" ref="AG27">+HLOOKUP($A$1,+[54]İcmal!$B$19:$AG$49,ROW(A25)+1,FALSE)</f>
        <v>0</v>
      </c>
      <c r="AH27" s="15" cm="1">
        <f t="array" ref="AH27">+HLOOKUP($A$1,+[55]İcmal!$B$19:$AG$49,ROW(A25)+1,FALSE)</f>
        <v>0</v>
      </c>
      <c r="AI27" s="15" cm="1">
        <f t="array" ref="AI27">+HLOOKUP($A$1,+[56]İcmal!$B$19:$AG$49,ROW(A25)+1,FALSE)</f>
        <v>0</v>
      </c>
      <c r="AJ27" s="15" cm="1">
        <f t="array" ref="AJ27">+HLOOKUP($A$1,+[57]İcmal!$B$19:$AG$49,ROW(A25)+1,FALSE)</f>
        <v>0</v>
      </c>
      <c r="AK27" s="15" cm="1">
        <f t="array" ref="AK27">+HLOOKUP($A$1,+[58]İcmal!$B$19:$AG$49,ROW(B25)+1,FALSE)</f>
        <v>0</v>
      </c>
      <c r="AL27" s="15"/>
      <c r="AM27" s="15"/>
      <c r="AN27" s="15"/>
      <c r="AO27" s="13"/>
    </row>
    <row r="28" spans="1:41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0.56899999999999995</v>
      </c>
      <c r="I28" s="9">
        <f t="shared" si="2"/>
        <v>26316.249999999996</v>
      </c>
      <c r="J28" s="15" cm="1">
        <f t="array" ref="J28">+HLOOKUP($A$1,+[31]İcmal!$B$19:$AG$49,ROW(A26)+1,FALSE)</f>
        <v>0</v>
      </c>
      <c r="K28" s="15" cm="1">
        <f t="array" ref="K28">+HLOOKUP($A$1,+[32]İcmal!$B$19:$AG$49,ROW(B26)+1,FALSE)</f>
        <v>0</v>
      </c>
      <c r="L28" s="15" cm="1">
        <f t="array" ref="L28">+HLOOKUP($A$1,+[33]İcmal!$B$19:$AG$49,ROW(C26)+1,FALSE)</f>
        <v>0.10099999999999998</v>
      </c>
      <c r="M28" s="15" cm="1">
        <f t="array" ref="M28">+HLOOKUP($A$1,+[34]İcmal!$B$19:$AG$49,ROW(D26)+1,FALSE)</f>
        <v>-1.3320000000000003</v>
      </c>
      <c r="N28" s="15" cm="1">
        <f t="array" ref="N28">+HLOOKUP($A$1,+[35]İcmal!$B$19:$AG$49,ROW(A26)+1,FALSE)</f>
        <v>0</v>
      </c>
      <c r="O28" s="15" cm="1">
        <f t="array" ref="O28">+HLOOKUP($A$1,+[36]İcmal!$B$19:$AG$49,ROW(B26)+1,FALSE)</f>
        <v>0</v>
      </c>
      <c r="P28" s="15" cm="1">
        <f t="array" ref="P28">+HLOOKUP($A$1,+[37]İcmal!$B$19:$AG$49,ROW(C26)+1,FALSE)</f>
        <v>1.353</v>
      </c>
      <c r="Q28" s="15" cm="1">
        <f t="array" ref="Q28">+HLOOKUP($A$1,+[38]İcmal!$B$19:$AG$49,ROW(D26)+1,FALSE)</f>
        <v>0.46100000000000002</v>
      </c>
      <c r="R28" s="15" cm="1">
        <f t="array" ref="R28">+HLOOKUP($A$1,+[39]İcmal!$B$19:$AG$49,ROW(A26)+1,FALSE)</f>
        <v>0</v>
      </c>
      <c r="S28" s="15" cm="1">
        <f t="array" ref="S28">+HLOOKUP($A$1,+[40]İcmal!$B$19:$AG$49,ROW(B26)+1,FALSE)</f>
        <v>0</v>
      </c>
      <c r="T28" s="15" cm="1">
        <f t="array" ref="T28">+HLOOKUP($A$1,+[41]İcmal!$B$19:$AG$49,ROW(C26)+1,FALSE)</f>
        <v>1.036</v>
      </c>
      <c r="U28" s="15" cm="1">
        <f t="array" ref="U28">+HLOOKUP($A$1,+[42]İcmal!$B$19:$AG$49,ROW(D26)+1,FALSE)</f>
        <v>-0.25600000000000001</v>
      </c>
      <c r="V28" s="15" cm="1">
        <f t="array" ref="V28">+HLOOKUP($A$1,+[43]İcmal!$B$19:$AG$49,ROW(A26)+1,FALSE)</f>
        <v>0</v>
      </c>
      <c r="W28" s="15" cm="1">
        <f t="array" ref="W28">+HLOOKUP($A$1,+[44]İcmal!$B$19:$AG$49,ROW(B26)+1,FALSE)</f>
        <v>0</v>
      </c>
      <c r="X28" s="15" cm="1">
        <f t="array" ref="X28">+HLOOKUP($A$1,+[45]İcmal!$B$19:$AG$49,ROW(C26)+1,FALSE)</f>
        <v>0.57299999999999995</v>
      </c>
      <c r="Y28" s="15" cm="1">
        <f t="array" ref="Y28">+HLOOKUP($A$1,+[46]İcmal!$B$19:$AG$49,ROW(D26)+1,FALSE)</f>
        <v>-1.1709999999999998</v>
      </c>
      <c r="Z28" s="15" cm="1">
        <f t="array" ref="Z28">+HLOOKUP($A$1,+[47]İcmal!$B$19:$AG$49,ROW(A26)+1,FALSE)</f>
        <v>-6.4999999999999947E-2</v>
      </c>
      <c r="AA28" s="15" cm="1">
        <f t="array" ref="AA28">+HLOOKUP($A$1,+[48]İcmal!$B$19:$AG$49,ROW(B26)+1,FALSE)</f>
        <v>8.6999999999999994E-2</v>
      </c>
      <c r="AB28" s="15" cm="1">
        <f t="array" ref="AB28">+HLOOKUP($A$1,+[49]İcmal!$B$19:$AG$49,ROW(A26)+1,FALSE)</f>
        <v>-6.4999999999999947E-2</v>
      </c>
      <c r="AC28" s="15" cm="1">
        <f t="array" ref="AC28">+HLOOKUP($A$1,+[50]İcmal!$B$19:$AG$49,ROW(A26)+1,FALSE)</f>
        <v>-1.4000000000000012E-2</v>
      </c>
      <c r="AD28" s="15" cm="1">
        <f t="array" ref="AD28">+HLOOKUP($A$1,+[51]İcmal!$B$19:$AG$49,ROW(A26)+1,FALSE)</f>
        <v>3.0000000000000027E-3</v>
      </c>
      <c r="AE28" s="15" cm="1">
        <f t="array" ref="AE28">+HLOOKUP($A$1,+[52]İcmal!$B$19:$AG$49,ROW(A26)+1,FALSE)</f>
        <v>8.6999999999999994E-2</v>
      </c>
      <c r="AF28" s="50" cm="1">
        <f t="array" ref="AF28">+HLOOKUP($A$1,+[53]İcmal!$B$19:$AG$49,ROW(A26)+1,FALSE)</f>
        <v>-6.4999999999999947E-2</v>
      </c>
      <c r="AG28" s="15" cm="1">
        <f t="array" ref="AG28">+HLOOKUP($A$1,+[54]İcmal!$B$19:$AG$49,ROW(A26)+1,FALSE)</f>
        <v>-1.4000000000000012E-2</v>
      </c>
      <c r="AH28" s="15" cm="1">
        <f t="array" ref="AH28">+HLOOKUP($A$1,+[55]İcmal!$B$19:$AG$49,ROW(A26)+1,FALSE)</f>
        <v>-5.600000000000005E-2</v>
      </c>
      <c r="AI28" s="15" cm="1">
        <f t="array" ref="AI28">+HLOOKUP($A$1,+[56]İcmal!$B$19:$AG$49,ROW(A26)+1,FALSE)</f>
        <v>-1.4000000000000012E-2</v>
      </c>
      <c r="AJ28" s="15" cm="1">
        <f t="array" ref="AJ28">+HLOOKUP($A$1,+[57]İcmal!$B$19:$AG$49,ROW(A26)+1,FALSE)</f>
        <v>-6.5999999999999948E-2</v>
      </c>
      <c r="AK28" s="15" cm="1">
        <f t="array" ref="AK28">+HLOOKUP($A$1,+[58]İcmal!$B$19:$AG$49,ROW(B26)+1,FALSE)</f>
        <v>-1.4000000000000012E-2</v>
      </c>
      <c r="AL28" s="15"/>
      <c r="AM28" s="15"/>
      <c r="AN28" s="15"/>
      <c r="AO28" s="13"/>
    </row>
    <row r="29" spans="1:41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+HLOOKUP($A$1,+[31]İcmal!$B$19:$AG$49,ROW(A27)+1,FALSE)</f>
        <v>0</v>
      </c>
      <c r="K29" s="15" cm="1">
        <f t="array" ref="K29">+HLOOKUP($A$1,+[32]İcmal!$B$19:$AG$49,ROW(B27)+1,FALSE)</f>
        <v>0</v>
      </c>
      <c r="L29" s="15" cm="1">
        <f t="array" ref="L29">+HLOOKUP($A$1,+[33]İcmal!$B$19:$AG$49,ROW(C27)+1,FALSE)</f>
        <v>0</v>
      </c>
      <c r="M29" s="15" cm="1">
        <f t="array" ref="M29">+HLOOKUP($A$1,+[34]İcmal!$B$19:$AG$49,ROW(D27)+1,FALSE)</f>
        <v>0</v>
      </c>
      <c r="N29" s="15" cm="1">
        <f t="array" ref="N29">+HLOOKUP($A$1,+[35]İcmal!$B$19:$AG$49,ROW(A27)+1,FALSE)</f>
        <v>0</v>
      </c>
      <c r="O29" s="15" cm="1">
        <f t="array" ref="O29">+HLOOKUP($A$1,+[36]İcmal!$B$19:$AG$49,ROW(B27)+1,FALSE)</f>
        <v>0</v>
      </c>
      <c r="P29" s="15" cm="1">
        <f t="array" ref="P29">+HLOOKUP($A$1,+[37]İcmal!$B$19:$AG$49,ROW(C27)+1,FALSE)</f>
        <v>0</v>
      </c>
      <c r="Q29" s="15" cm="1">
        <f t="array" ref="Q29">+HLOOKUP($A$1,+[38]İcmal!$B$19:$AG$49,ROW(D27)+1,FALSE)</f>
        <v>0</v>
      </c>
      <c r="R29" s="15" cm="1">
        <f t="array" ref="R29">+HLOOKUP($A$1,+[39]İcmal!$B$19:$AG$49,ROW(A27)+1,FALSE)</f>
        <v>0</v>
      </c>
      <c r="S29" s="15" cm="1">
        <f t="array" ref="S29">+HLOOKUP($A$1,+[40]İcmal!$B$19:$AG$49,ROW(B27)+1,FALSE)</f>
        <v>0</v>
      </c>
      <c r="T29" s="15" cm="1">
        <f t="array" ref="T29">+HLOOKUP($A$1,+[41]İcmal!$B$19:$AG$49,ROW(C27)+1,FALSE)</f>
        <v>0</v>
      </c>
      <c r="U29" s="15" cm="1">
        <f t="array" ref="U29">+HLOOKUP($A$1,+[42]İcmal!$B$19:$AG$49,ROW(D27)+1,FALSE)</f>
        <v>0</v>
      </c>
      <c r="V29" s="15" cm="1">
        <f t="array" ref="V29">+HLOOKUP($A$1,+[43]İcmal!$B$19:$AG$49,ROW(A27)+1,FALSE)</f>
        <v>0</v>
      </c>
      <c r="W29" s="15" cm="1">
        <f t="array" ref="W29">+HLOOKUP($A$1,+[44]İcmal!$B$19:$AG$49,ROW(B27)+1,FALSE)</f>
        <v>0</v>
      </c>
      <c r="X29" s="15" cm="1">
        <f t="array" ref="X29">+HLOOKUP($A$1,+[45]İcmal!$B$19:$AG$49,ROW(C27)+1,FALSE)</f>
        <v>0</v>
      </c>
      <c r="Y29" s="15" cm="1">
        <f t="array" ref="Y29">+HLOOKUP($A$1,+[46]İcmal!$B$19:$AG$49,ROW(D27)+1,FALSE)</f>
        <v>0</v>
      </c>
      <c r="Z29" s="15" cm="1">
        <f t="array" ref="Z29">+HLOOKUP($A$1,+[47]İcmal!$B$19:$AG$49,ROW(A27)+1,FALSE)</f>
        <v>0</v>
      </c>
      <c r="AA29" s="15" cm="1">
        <f t="array" ref="AA29">+HLOOKUP($A$1,+[48]İcmal!$B$19:$AG$49,ROW(B27)+1,FALSE)</f>
        <v>0</v>
      </c>
      <c r="AB29" s="15" cm="1">
        <f t="array" ref="AB29">+HLOOKUP($A$1,+[49]İcmal!$B$19:$AG$49,ROW(A27)+1,FALSE)</f>
        <v>0</v>
      </c>
      <c r="AC29" s="15" cm="1">
        <f t="array" ref="AC29">+HLOOKUP($A$1,+[50]İcmal!$B$19:$AG$49,ROW(A27)+1,FALSE)</f>
        <v>0</v>
      </c>
      <c r="AD29" s="15" cm="1">
        <f t="array" ref="AD29">+HLOOKUP($A$1,+[51]İcmal!$B$19:$AG$49,ROW(A27)+1,FALSE)</f>
        <v>0</v>
      </c>
      <c r="AE29" s="15" cm="1">
        <f t="array" ref="AE29">+HLOOKUP($A$1,+[52]İcmal!$B$19:$AG$49,ROW(A27)+1,FALSE)</f>
        <v>0</v>
      </c>
      <c r="AF29" s="50" cm="1">
        <f t="array" ref="AF29">+HLOOKUP($A$1,+[53]İcmal!$B$19:$AG$49,ROW(A27)+1,FALSE)</f>
        <v>0</v>
      </c>
      <c r="AG29" s="15" cm="1">
        <f t="array" ref="AG29">+HLOOKUP($A$1,+[54]İcmal!$B$19:$AG$49,ROW(A27)+1,FALSE)</f>
        <v>0</v>
      </c>
      <c r="AH29" s="15" cm="1">
        <f t="array" ref="AH29">+HLOOKUP($A$1,+[55]İcmal!$B$19:$AG$49,ROW(A27)+1,FALSE)</f>
        <v>0</v>
      </c>
      <c r="AI29" s="15" cm="1">
        <f t="array" ref="AI29">+HLOOKUP($A$1,+[56]İcmal!$B$19:$AG$49,ROW(A27)+1,FALSE)</f>
        <v>0</v>
      </c>
      <c r="AJ29" s="15" cm="1">
        <f t="array" ref="AJ29">+HLOOKUP($A$1,+[57]İcmal!$B$19:$AG$49,ROW(A27)+1,FALSE)</f>
        <v>0</v>
      </c>
      <c r="AK29" s="15" cm="1">
        <f t="array" ref="AK29">+HLOOKUP($A$1,+[58]İcmal!$B$19:$AG$49,ROW(B27)+1,FALSE)</f>
        <v>0</v>
      </c>
      <c r="AL29" s="15"/>
      <c r="AM29" s="15"/>
      <c r="AN29" s="15"/>
      <c r="AO29" s="13"/>
    </row>
    <row r="30" spans="1:41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30.996999999999996</v>
      </c>
      <c r="I30" s="9">
        <f t="shared" si="2"/>
        <v>3017031.0009999997</v>
      </c>
      <c r="J30" s="15" cm="1">
        <f t="array" ref="J30">+HLOOKUP($A$1,+[31]İcmal!$B$19:$AG$49,ROW(A28)+1,FALSE)</f>
        <v>0</v>
      </c>
      <c r="K30" s="15" cm="1">
        <f t="array" ref="K30">+HLOOKUP($A$1,+[32]İcmal!$B$19:$AG$49,ROW(B28)+1,FALSE)</f>
        <v>0</v>
      </c>
      <c r="L30" s="15" cm="1">
        <f t="array" ref="L30">+HLOOKUP($A$1,+[33]İcmal!$B$19:$AG$49,ROW(C28)+1,FALSE)</f>
        <v>-0.7669999999999999</v>
      </c>
      <c r="M30" s="15" cm="1">
        <f t="array" ref="M30">+HLOOKUP($A$1,+[34]İcmal!$B$19:$AG$49,ROW(D28)+1,FALSE)</f>
        <v>-0.71000000000000085</v>
      </c>
      <c r="N30" s="15" cm="1">
        <f t="array" ref="N30">+HLOOKUP($A$1,+[35]İcmal!$B$19:$AG$49,ROW(A28)+1,FALSE)</f>
        <v>2.5849999999999973</v>
      </c>
      <c r="O30" s="15" cm="1">
        <f t="array" ref="O30">+HLOOKUP($A$1,+[36]İcmal!$B$19:$AG$49,ROW(B28)+1,FALSE)</f>
        <v>0</v>
      </c>
      <c r="P30" s="15" cm="1">
        <f t="array" ref="P30">+HLOOKUP($A$1,+[37]İcmal!$B$19:$AG$49,ROW(C28)+1,FALSE)</f>
        <v>8.0259999999999998</v>
      </c>
      <c r="Q30" s="15" cm="1">
        <f t="array" ref="Q30">+HLOOKUP($A$1,+[38]İcmal!$B$19:$AG$49,ROW(D28)+1,FALSE)</f>
        <v>8.032</v>
      </c>
      <c r="R30" s="15" cm="1">
        <f t="array" ref="R30">+HLOOKUP($A$1,+[39]İcmal!$B$19:$AG$49,ROW(A28)+1,FALSE)</f>
        <v>0</v>
      </c>
      <c r="S30" s="15" cm="1">
        <f t="array" ref="S30">+HLOOKUP($A$1,+[40]İcmal!$B$19:$AG$49,ROW(B28)+1,FALSE)</f>
        <v>0</v>
      </c>
      <c r="T30" s="15" cm="1">
        <f t="array" ref="T30">+HLOOKUP($A$1,+[41]İcmal!$B$19:$AG$49,ROW(C28)+1,FALSE)</f>
        <v>6.2430000000000003</v>
      </c>
      <c r="U30" s="15" cm="1">
        <f t="array" ref="U30">+HLOOKUP($A$1,+[42]İcmal!$B$19:$AG$49,ROW(D28)+1,FALSE)</f>
        <v>6.25</v>
      </c>
      <c r="V30" s="15" cm="1">
        <f t="array" ref="V30">+HLOOKUP($A$1,+[43]İcmal!$B$19:$AG$49,ROW(A28)+1,FALSE)</f>
        <v>0</v>
      </c>
      <c r="W30" s="15" cm="1">
        <f t="array" ref="W30">+HLOOKUP($A$1,+[44]İcmal!$B$19:$AG$49,ROW(B28)+1,FALSE)</f>
        <v>0</v>
      </c>
      <c r="X30" s="15" cm="1">
        <f t="array" ref="X30">+HLOOKUP($A$1,+[45]İcmal!$B$19:$AG$49,ROW(C28)+1,FALSE)</f>
        <v>0</v>
      </c>
      <c r="Y30" s="15" cm="1">
        <f t="array" ref="Y30">+HLOOKUP($A$1,+[46]İcmal!$B$19:$AG$49,ROW(D28)+1,FALSE)</f>
        <v>-0.48000000000000043</v>
      </c>
      <c r="Z30" s="15" cm="1">
        <f t="array" ref="Z30">+HLOOKUP($A$1,+[47]İcmal!$B$19:$AG$49,ROW(A28)+1,FALSE)</f>
        <v>0</v>
      </c>
      <c r="AA30" s="15" cm="1">
        <f t="array" ref="AA30">+HLOOKUP($A$1,+[48]İcmal!$B$19:$AG$49,ROW(B28)+1,FALSE)</f>
        <v>0.84599999999999997</v>
      </c>
      <c r="AB30" s="15" cm="1">
        <f t="array" ref="AB30">+HLOOKUP($A$1,+[49]İcmal!$B$19:$AG$49,ROW(A28)+1,FALSE)</f>
        <v>0</v>
      </c>
      <c r="AC30" s="15" cm="1">
        <f t="array" ref="AC30">+HLOOKUP($A$1,+[50]İcmal!$B$19:$AG$49,ROW(A28)+1,FALSE)</f>
        <v>0</v>
      </c>
      <c r="AD30" s="15" cm="1">
        <f t="array" ref="AD30">+HLOOKUP($A$1,+[51]İcmal!$B$19:$AG$49,ROW(A28)+1,FALSE)</f>
        <v>0</v>
      </c>
      <c r="AE30" s="15" cm="1">
        <f t="array" ref="AE30">+HLOOKUP($A$1,+[52]İcmal!$B$19:$AG$49,ROW(A28)+1,FALSE)</f>
        <v>0.755</v>
      </c>
      <c r="AF30" s="50" cm="1">
        <f t="array" ref="AF30">+HLOOKUP($A$1,+[53]İcmal!$B$19:$AG$49,ROW(A28)+1,FALSE)</f>
        <v>0</v>
      </c>
      <c r="AG30" s="15" cm="1">
        <f t="array" ref="AG30">+HLOOKUP($A$1,+[54]İcmal!$B$19:$AG$49,ROW(A28)+1,FALSE)</f>
        <v>0</v>
      </c>
      <c r="AH30" s="15" cm="1">
        <f t="array" ref="AH30">+HLOOKUP($A$1,+[55]İcmal!$B$19:$AG$49,ROW(A28)+1,FALSE)</f>
        <v>0.21700000000000008</v>
      </c>
      <c r="AI30" s="15" cm="1">
        <f t="array" ref="AI30">+HLOOKUP($A$1,+[56]İcmal!$B$19:$AG$49,ROW(A28)+1,FALSE)</f>
        <v>0</v>
      </c>
      <c r="AJ30" s="15" cm="1">
        <f t="array" ref="AJ30">+HLOOKUP($A$1,+[57]İcmal!$B$19:$AG$49,ROW(A28)+1,FALSE)</f>
        <v>0</v>
      </c>
      <c r="AK30" s="15" cm="1">
        <f t="array" ref="AK30">+HLOOKUP($A$1,+[58]İcmal!$B$19:$AG$49,ROW(B28)+1,FALSE)</f>
        <v>0</v>
      </c>
      <c r="AL30" s="15"/>
      <c r="AM30" s="15"/>
      <c r="AN30" s="15"/>
      <c r="AO30" s="13"/>
    </row>
    <row r="31" spans="1:41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+HLOOKUP($A$1,+[31]İcmal!$B$19:$AG$49,ROW(A29)+1,FALSE)</f>
        <v>0</v>
      </c>
      <c r="K31" s="15" cm="1">
        <f t="array" ref="K31">+HLOOKUP($A$1,+[32]İcmal!$B$19:$AG$49,ROW(B29)+1,FALSE)</f>
        <v>0</v>
      </c>
      <c r="L31" s="15" cm="1">
        <f t="array" ref="L31">+HLOOKUP($A$1,+[33]İcmal!$B$19:$AG$49,ROW(C29)+1,FALSE)</f>
        <v>0</v>
      </c>
      <c r="M31" s="15" cm="1">
        <f t="array" ref="M31">+HLOOKUP($A$1,+[34]İcmal!$B$19:$AG$49,ROW(D29)+1,FALSE)</f>
        <v>0</v>
      </c>
      <c r="N31" s="15" cm="1">
        <f t="array" ref="N31">+HLOOKUP($A$1,+[35]İcmal!$B$19:$AG$49,ROW(A29)+1,FALSE)</f>
        <v>0</v>
      </c>
      <c r="O31" s="15" cm="1">
        <f t="array" ref="O31">+HLOOKUP($A$1,+[36]İcmal!$B$19:$AG$49,ROW(B29)+1,FALSE)</f>
        <v>0</v>
      </c>
      <c r="P31" s="15" cm="1">
        <f t="array" ref="P31">+HLOOKUP($A$1,+[37]İcmal!$B$19:$AG$49,ROW(C29)+1,FALSE)</f>
        <v>0</v>
      </c>
      <c r="Q31" s="15" cm="1">
        <f t="array" ref="Q31">+HLOOKUP($A$1,+[38]İcmal!$B$19:$AG$49,ROW(D29)+1,FALSE)</f>
        <v>0</v>
      </c>
      <c r="R31" s="15" cm="1">
        <f t="array" ref="R31">+HLOOKUP($A$1,+[39]İcmal!$B$19:$AG$49,ROW(A29)+1,FALSE)</f>
        <v>0</v>
      </c>
      <c r="S31" s="15" cm="1">
        <f t="array" ref="S31">+HLOOKUP($A$1,+[40]İcmal!$B$19:$AG$49,ROW(B29)+1,FALSE)</f>
        <v>0</v>
      </c>
      <c r="T31" s="15" cm="1">
        <f t="array" ref="T31">+HLOOKUP($A$1,+[41]İcmal!$B$19:$AG$49,ROW(C29)+1,FALSE)</f>
        <v>0</v>
      </c>
      <c r="U31" s="15" cm="1">
        <f t="array" ref="U31">+HLOOKUP($A$1,+[42]İcmal!$B$19:$AG$49,ROW(D29)+1,FALSE)</f>
        <v>0</v>
      </c>
      <c r="V31" s="15" cm="1">
        <f t="array" ref="V31">+HLOOKUP($A$1,+[43]İcmal!$B$19:$AG$49,ROW(A29)+1,FALSE)</f>
        <v>0</v>
      </c>
      <c r="W31" s="15" cm="1">
        <f t="array" ref="W31">+HLOOKUP($A$1,+[44]İcmal!$B$19:$AG$49,ROW(B29)+1,FALSE)</f>
        <v>0</v>
      </c>
      <c r="X31" s="15" cm="1">
        <f t="array" ref="X31">+HLOOKUP($A$1,+[45]İcmal!$B$19:$AG$49,ROW(C29)+1,FALSE)</f>
        <v>0</v>
      </c>
      <c r="Y31" s="15" cm="1">
        <f t="array" ref="Y31">+HLOOKUP($A$1,+[46]İcmal!$B$19:$AG$49,ROW(D29)+1,FALSE)</f>
        <v>0</v>
      </c>
      <c r="Z31" s="15" cm="1">
        <f t="array" ref="Z31">+HLOOKUP($A$1,+[47]İcmal!$B$19:$AG$49,ROW(A29)+1,FALSE)</f>
        <v>0</v>
      </c>
      <c r="AA31" s="15" cm="1">
        <f t="array" ref="AA31">+HLOOKUP($A$1,+[48]İcmal!$B$19:$AG$49,ROW(B29)+1,FALSE)</f>
        <v>0</v>
      </c>
      <c r="AB31" s="15" cm="1">
        <f t="array" ref="AB31">+HLOOKUP($A$1,+[49]İcmal!$B$19:$AG$49,ROW(A29)+1,FALSE)</f>
        <v>0</v>
      </c>
      <c r="AC31" s="15" cm="1">
        <f t="array" ref="AC31">+HLOOKUP($A$1,+[50]İcmal!$B$19:$AG$49,ROW(A29)+1,FALSE)</f>
        <v>0</v>
      </c>
      <c r="AD31" s="15" cm="1">
        <f t="array" ref="AD31">+HLOOKUP($A$1,+[51]İcmal!$B$19:$AG$49,ROW(A29)+1,FALSE)</f>
        <v>0</v>
      </c>
      <c r="AE31" s="15" cm="1">
        <f t="array" ref="AE31">+HLOOKUP($A$1,+[52]İcmal!$B$19:$AG$49,ROW(A29)+1,FALSE)</f>
        <v>0</v>
      </c>
      <c r="AF31" s="50" cm="1">
        <f t="array" ref="AF31">+HLOOKUP($A$1,+[53]İcmal!$B$19:$AG$49,ROW(A29)+1,FALSE)</f>
        <v>0</v>
      </c>
      <c r="AG31" s="15" cm="1">
        <f t="array" ref="AG31">+HLOOKUP($A$1,+[54]İcmal!$B$19:$AG$49,ROW(A29)+1,FALSE)</f>
        <v>0</v>
      </c>
      <c r="AH31" s="15" cm="1">
        <f t="array" ref="AH31">+HLOOKUP($A$1,+[55]İcmal!$B$19:$AG$49,ROW(A29)+1,FALSE)</f>
        <v>0</v>
      </c>
      <c r="AI31" s="15" cm="1">
        <f t="array" ref="AI31">+HLOOKUP($A$1,+[56]İcmal!$B$19:$AG$49,ROW(A29)+1,FALSE)</f>
        <v>0</v>
      </c>
      <c r="AJ31" s="15" cm="1">
        <f t="array" ref="AJ31">+HLOOKUP($A$1,+[57]İcmal!$B$19:$AG$49,ROW(A29)+1,FALSE)</f>
        <v>0</v>
      </c>
      <c r="AK31" s="15" cm="1">
        <f t="array" ref="AK31">+HLOOKUP($A$1,+[58]İcmal!$B$19:$AG$49,ROW(B29)+1,FALSE)</f>
        <v>0</v>
      </c>
      <c r="AL31" s="15"/>
      <c r="AM31" s="15"/>
      <c r="AN31" s="15"/>
      <c r="AO31" s="13"/>
    </row>
    <row r="32" spans="1:41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+HLOOKUP($A$1,+[31]İcmal!$B$19:$AG$49,ROW(A30)+1,FALSE)</f>
        <v>0</v>
      </c>
      <c r="K32" s="15" cm="1">
        <f t="array" ref="K32">+HLOOKUP($A$1,+[32]İcmal!$B$19:$AG$49,ROW(B30)+1,FALSE)</f>
        <v>0</v>
      </c>
      <c r="L32" s="15" cm="1">
        <f t="array" ref="L32">+HLOOKUP($A$1,+[33]İcmal!$B$19:$AG$49,ROW(C30)+1,FALSE)</f>
        <v>0</v>
      </c>
      <c r="M32" s="15" cm="1">
        <f t="array" ref="M32">+HLOOKUP($A$1,+[34]İcmal!$B$19:$AG$49,ROW(D30)+1,FALSE)</f>
        <v>0</v>
      </c>
      <c r="N32" s="15" cm="1">
        <f t="array" ref="N32">+HLOOKUP($A$1,+[35]İcmal!$B$19:$AG$49,ROW(A30)+1,FALSE)</f>
        <v>0</v>
      </c>
      <c r="O32" s="15" cm="1">
        <f t="array" ref="O32">+HLOOKUP($A$1,+[36]İcmal!$B$19:$AG$49,ROW(B30)+1,FALSE)</f>
        <v>0</v>
      </c>
      <c r="P32" s="15" cm="1">
        <f t="array" ref="P32">+HLOOKUP($A$1,+[37]İcmal!$B$19:$AG$49,ROW(C30)+1,FALSE)</f>
        <v>0</v>
      </c>
      <c r="Q32" s="15" cm="1">
        <f t="array" ref="Q32">+HLOOKUP($A$1,+[38]İcmal!$B$19:$AG$49,ROW(D30)+1,FALSE)</f>
        <v>0</v>
      </c>
      <c r="R32" s="15" cm="1">
        <f t="array" ref="R32">+HLOOKUP($A$1,+[39]İcmal!$B$19:$AG$49,ROW(A30)+1,FALSE)</f>
        <v>0</v>
      </c>
      <c r="S32" s="15" cm="1">
        <f t="array" ref="S32">+HLOOKUP($A$1,+[40]İcmal!$B$19:$AG$49,ROW(B30)+1,FALSE)</f>
        <v>0</v>
      </c>
      <c r="T32" s="15" cm="1">
        <f t="array" ref="T32">+HLOOKUP($A$1,+[41]İcmal!$B$19:$AG$49,ROW(C30)+1,FALSE)</f>
        <v>0</v>
      </c>
      <c r="U32" s="15" cm="1">
        <f t="array" ref="U32">+HLOOKUP($A$1,+[42]İcmal!$B$19:$AG$49,ROW(D30)+1,FALSE)</f>
        <v>0</v>
      </c>
      <c r="V32" s="15" cm="1">
        <f t="array" ref="V32">+HLOOKUP($A$1,+[43]İcmal!$B$19:$AG$49,ROW(A30)+1,FALSE)</f>
        <v>0</v>
      </c>
      <c r="W32" s="15" cm="1">
        <f t="array" ref="W32">+HLOOKUP($A$1,+[44]İcmal!$B$19:$AG$49,ROW(B30)+1,FALSE)</f>
        <v>0</v>
      </c>
      <c r="X32" s="15" cm="1">
        <f t="array" ref="X32">+HLOOKUP($A$1,+[45]İcmal!$B$19:$AG$49,ROW(C30)+1,FALSE)</f>
        <v>0</v>
      </c>
      <c r="Y32" s="15" cm="1">
        <f t="array" ref="Y32">+HLOOKUP($A$1,+[46]İcmal!$B$19:$AG$49,ROW(D30)+1,FALSE)</f>
        <v>0</v>
      </c>
      <c r="Z32" s="15" cm="1">
        <f t="array" ref="Z32">+HLOOKUP($A$1,+[47]İcmal!$B$19:$AG$49,ROW(A30)+1,FALSE)</f>
        <v>0</v>
      </c>
      <c r="AA32" s="15" cm="1">
        <f t="array" ref="AA32">+HLOOKUP($A$1,+[48]İcmal!$B$19:$AG$49,ROW(B30)+1,FALSE)</f>
        <v>0</v>
      </c>
      <c r="AB32" s="15" cm="1">
        <f t="array" ref="AB32">+HLOOKUP($A$1,+[49]İcmal!$B$19:$AG$49,ROW(A30)+1,FALSE)</f>
        <v>0</v>
      </c>
      <c r="AC32" s="15" cm="1">
        <f t="array" ref="AC32">+HLOOKUP($A$1,+[50]İcmal!$B$19:$AG$49,ROW(A30)+1,FALSE)</f>
        <v>0</v>
      </c>
      <c r="AD32" s="15" cm="1">
        <f t="array" ref="AD32">+HLOOKUP($A$1,+[51]İcmal!$B$19:$AG$49,ROW(A30)+1,FALSE)</f>
        <v>0</v>
      </c>
      <c r="AE32" s="15" cm="1">
        <f t="array" ref="AE32">+HLOOKUP($A$1,+[52]İcmal!$B$19:$AG$49,ROW(A30)+1,FALSE)</f>
        <v>0</v>
      </c>
      <c r="AF32" s="50" cm="1">
        <f t="array" ref="AF32">+HLOOKUP($A$1,+[53]İcmal!$B$19:$AG$49,ROW(A30)+1,FALSE)</f>
        <v>0</v>
      </c>
      <c r="AG32" s="15" cm="1">
        <f t="array" ref="AG32">+HLOOKUP($A$1,+[54]İcmal!$B$19:$AG$49,ROW(A30)+1,FALSE)</f>
        <v>0</v>
      </c>
      <c r="AH32" s="15" cm="1">
        <f t="array" ref="AH32">+HLOOKUP($A$1,+[55]İcmal!$B$19:$AG$49,ROW(A30)+1,FALSE)</f>
        <v>0</v>
      </c>
      <c r="AI32" s="15" cm="1">
        <f t="array" ref="AI32">+HLOOKUP($A$1,+[56]İcmal!$B$19:$AG$49,ROW(A30)+1,FALSE)</f>
        <v>0</v>
      </c>
      <c r="AJ32" s="15" cm="1">
        <f t="array" ref="AJ32">+HLOOKUP($A$1,+[57]İcmal!$B$19:$AG$49,ROW(A30)+1,FALSE)</f>
        <v>0</v>
      </c>
      <c r="AK32" s="15" cm="1">
        <f t="array" ref="AK32">+HLOOKUP($A$1,+[58]İcmal!$B$19:$AG$49,ROW(B30)+1,FALSE)</f>
        <v>0</v>
      </c>
      <c r="AL32" s="15"/>
      <c r="AM32" s="15"/>
      <c r="AN32" s="15"/>
      <c r="AO32" s="14"/>
    </row>
    <row r="33" spans="8:40" x14ac:dyDescent="0.3">
      <c r="I33" s="16">
        <f>SUM(I3:I32)</f>
        <v>67730124.778999999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>
        <f t="shared" ref="AN33" si="3">+SUMPRODUCT(AN3:AN32,$F$3:$F$32)</f>
        <v>0</v>
      </c>
    </row>
    <row r="34" spans="8:40" x14ac:dyDescent="0.3">
      <c r="H34" s="52"/>
    </row>
    <row r="35" spans="8:40" x14ac:dyDescent="0.3">
      <c r="I35" s="16"/>
    </row>
    <row r="36" spans="8:40" x14ac:dyDescent="0.3">
      <c r="I36" s="16"/>
      <c r="K36" s="52"/>
    </row>
    <row r="37" spans="8:40" x14ac:dyDescent="0.3">
      <c r="J37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9D1D-6CC1-4E67-80E9-ADC61B24A958}">
  <sheetPr>
    <tabColor rgb="FFFF0000"/>
  </sheetPr>
  <dimension ref="A1:AT40"/>
  <sheetViews>
    <sheetView topLeftCell="AJ1" zoomScale="70" zoomScaleNormal="70" workbookViewId="0">
      <selection activeCell="AK12" sqref="AK1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7" width="19.33203125" customWidth="1"/>
    <col min="18" max="25" width="19.21875" customWidth="1"/>
    <col min="26" max="26" width="46.77734375" customWidth="1"/>
    <col min="27" max="27" width="48.88671875" customWidth="1"/>
    <col min="28" max="28" width="57.109375" customWidth="1"/>
    <col min="29" max="29" width="56.77734375" customWidth="1"/>
    <col min="30" max="30" width="57.44140625" customWidth="1"/>
    <col min="31" max="31" width="57" customWidth="1"/>
    <col min="32" max="32" width="57.109375" customWidth="1"/>
    <col min="33" max="33" width="46.33203125" customWidth="1"/>
    <col min="34" max="37" width="46.77734375" customWidth="1"/>
    <col min="38" max="44" width="19.88671875" customWidth="1"/>
    <col min="45" max="45" width="19.5546875" bestFit="1" customWidth="1"/>
    <col min="46" max="46" width="2.21875" customWidth="1"/>
  </cols>
  <sheetData>
    <row r="1" spans="1:46" ht="15" thickBot="1" x14ac:dyDescent="0.35">
      <c r="A1" s="17" t="s">
        <v>136</v>
      </c>
    </row>
    <row r="2" spans="1:46" ht="27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54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3" t="s">
        <v>126</v>
      </c>
      <c r="AG2" s="3" t="s">
        <v>143</v>
      </c>
      <c r="AH2" s="3" t="s">
        <v>144</v>
      </c>
      <c r="AI2" s="3" t="s">
        <v>138</v>
      </c>
      <c r="AJ2" s="3" t="s">
        <v>125</v>
      </c>
      <c r="AK2" s="3" t="s">
        <v>133</v>
      </c>
      <c r="AL2" s="3"/>
      <c r="AM2" s="3"/>
      <c r="AN2" s="3"/>
      <c r="AO2" s="3"/>
      <c r="AP2" s="3"/>
      <c r="AQ2" s="3"/>
      <c r="AR2" s="3"/>
      <c r="AS2" s="3"/>
      <c r="AT2" s="12"/>
    </row>
    <row r="3" spans="1:46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SUM(J3:AT3)</f>
        <v>2841.64</v>
      </c>
      <c r="I3" s="9">
        <f>+F3*H3</f>
        <v>14421323</v>
      </c>
      <c r="J3" s="15" cm="1">
        <f t="array" ref="J3">+HLOOKUP($A$1,+[2]İcmal!$B$19:$AG$49,ROW(A1)+1,FALSE)</f>
        <v>0</v>
      </c>
      <c r="K3" s="15" cm="1">
        <f t="array" ref="K3">+HLOOKUP($A$1,+[3]İcmal!$B$19:$AG$49,ROW(B1)+1,FALSE)</f>
        <v>0</v>
      </c>
      <c r="L3" s="15" cm="1">
        <f t="array" ref="L3">+HLOOKUP($A$1,+[4]İcmal!$B$19:$AG$49,ROW(C1)+1,FALSE)</f>
        <v>479.59399999999999</v>
      </c>
      <c r="M3" s="15" cm="1">
        <f t="array" ref="M3">+HLOOKUP($A$1,+[5]İcmal!$B$19:$AG$49,ROW(D1)+1,FALSE)</f>
        <v>422.51400000000001</v>
      </c>
      <c r="N3" s="15" cm="1">
        <f t="array" ref="N3">+HLOOKUP($A$1,+[6]İcmal!$B$19:$AG$49,ROW(E1)+1,FALSE)</f>
        <v>0</v>
      </c>
      <c r="O3" s="15" cm="1">
        <f t="array" ref="O3">+HLOOKUP($A$1,+[7]İcmal!$B$19:$AG$49,ROW(F1)+1,FALSE)</f>
        <v>0</v>
      </c>
      <c r="P3" s="15" cm="1">
        <f t="array" ref="P3">+HLOOKUP($A$1,+[8]İcmal!$B$19:$AG$49,ROW(G1)+1,FALSE)</f>
        <v>0</v>
      </c>
      <c r="Q3" s="15" cm="1">
        <f t="array" ref="Q3">+HLOOKUP($A$1,+[9]İcmal!$B$19:$AG$49,ROW(H1)+1,FALSE)</f>
        <v>0</v>
      </c>
      <c r="R3" s="15" cm="1">
        <f t="array" ref="R3">+HLOOKUP($A$1,+[10]İcmal!$B$19:$AG$49,ROW(I1)+1,FALSE)</f>
        <v>0</v>
      </c>
      <c r="S3" s="15" cm="1">
        <f t="array" ref="S3">+HLOOKUP($A$1,+[11]İcmal!$B$19:$AG$49,ROW(J1)+1,FALSE)</f>
        <v>0</v>
      </c>
      <c r="T3" s="15" cm="1">
        <f t="array" ref="T3">+HLOOKUP($A$1,+[12]İcmal!$B$19:$AG$49,ROW(K1)+1,FALSE)</f>
        <v>201.64800000000002</v>
      </c>
      <c r="U3" s="15" cm="1">
        <f t="array" ref="U3">+HLOOKUP($A$1,+[13]İcmal!$B$19:$AG$49,ROW(L1)+1,FALSE)</f>
        <v>139.81499999999997</v>
      </c>
      <c r="V3" s="15" cm="1">
        <f t="array" ref="V3">+HLOOKUP($A$1,+[14]İcmal!$B$19:$AG$49,ROW(M1)+1,FALSE)</f>
        <v>0</v>
      </c>
      <c r="W3" s="15" cm="1">
        <f t="array" ref="W3">+HLOOKUP($A$1,+[15]İcmal!$B$19:$AG$49,ROW(N1)+1,FALSE)</f>
        <v>0</v>
      </c>
      <c r="X3" s="15" cm="1">
        <f t="array" ref="X3">+HLOOKUP($A$1,+[16]İcmal!$B$19:$AG$49,ROW(O1)+1,FALSE)</f>
        <v>640.71900000000005</v>
      </c>
      <c r="Y3" s="15" cm="1">
        <f t="array" ref="Y3">+HLOOKUP($A$1,+[17]İcmal!$B$19:$AG$49,ROW(P1)+1,FALSE)</f>
        <v>528.14499999999998</v>
      </c>
      <c r="Z3" s="15" cm="1">
        <f t="array" ref="Z3">+HLOOKUP($A$1,+[18]İcmal!$B$19:$AG$49,ROW(Q1)+1,FALSE)</f>
        <v>354.87</v>
      </c>
      <c r="AA3" s="15" cm="1">
        <f t="array" ref="AA3">+HLOOKUP($A$1,+[19]İcmal!$B$19:$AG$49,ROW(R1)+1,FALSE)</f>
        <v>0</v>
      </c>
      <c r="AB3" s="15" cm="1">
        <f t="array" ref="AB3">+HLOOKUP($A$1,+[20]İcmal!$B$19:$AG$49,ROW(S1)+1,FALSE)</f>
        <v>0</v>
      </c>
      <c r="AC3" s="15" cm="1">
        <f t="array" ref="AC3">+HLOOKUP($A$1,+[21]İcmal!$B$19:$AG$49,ROW(T1)+1,FALSE)</f>
        <v>0</v>
      </c>
      <c r="AD3" s="15" cm="1">
        <f t="array" ref="AD3">+HLOOKUP($A$1,+[22]İcmal!$B$19:$AG$49,ROW(U1)+1,FALSE)</f>
        <v>0</v>
      </c>
      <c r="AE3" s="15" cm="1">
        <f t="array" ref="AE3">+HLOOKUP($A$1,+[23]İcmal!$B$19:$AG$49,ROW(V1)+1,FALSE)</f>
        <v>0</v>
      </c>
      <c r="AF3" s="15" cm="1">
        <f t="array" ref="AF3">+HLOOKUP($A$1,+[24]İcmal!$B$19:$AG$49,ROW(W1)+1,FALSE)</f>
        <v>0</v>
      </c>
      <c r="AG3" s="15" cm="1">
        <f t="array" ref="AG3">+HLOOKUP($A$1,+[25]İcmal!$B$19:$AG$49,ROW(X1)+1,FALSE)</f>
        <v>0</v>
      </c>
      <c r="AH3" s="15" cm="1">
        <f t="array" ref="AH3">+HLOOKUP($A$1,+[26]İcmal!$B$19:$AG$49,ROW(Y1)+1,FALSE)</f>
        <v>0</v>
      </c>
      <c r="AI3" s="15" cm="1">
        <f t="array" ref="AI3">+HLOOKUP($A$1,+[27]İcmal!$B$19:$AG$49,ROW(Z1)+1,FALSE)</f>
        <v>0</v>
      </c>
      <c r="AJ3" s="15" cm="1">
        <f t="array" ref="AJ3">+HLOOKUP($A$1,+[28]İcmal!$B$19:$AG$49,ROW(AA1)+1,FALSE)</f>
        <v>74.335000000000036</v>
      </c>
      <c r="AK3" s="15" cm="1">
        <f t="array" ref="AK3">+HLOOKUP($A$1,+[29]İcmal!$B$19:$AG$49,ROW(AB1)+1,FALSE)</f>
        <v>0</v>
      </c>
      <c r="AL3" s="15"/>
      <c r="AM3" s="15"/>
      <c r="AN3" s="15"/>
      <c r="AO3" s="15"/>
      <c r="AP3" s="15"/>
      <c r="AQ3" s="15"/>
      <c r="AR3" s="15"/>
      <c r="AS3" s="15"/>
      <c r="AT3" s="13"/>
    </row>
    <row r="4" spans="1:46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+HLOOKUP($A$1,+[2]İcmal!$B$19:$AG$49,ROW(A2)+1,FALSE)</f>
        <v>0</v>
      </c>
      <c r="K4" s="15" cm="1">
        <f t="array" ref="K4">+HLOOKUP($A$1,+[3]İcmal!$B$19:$AG$49,ROW(B2)+1,FALSE)</f>
        <v>0</v>
      </c>
      <c r="L4" s="15" cm="1">
        <f t="array" ref="L4">+HLOOKUP($A$1,+[4]İcmal!$B$19:$AG$49,ROW(C2)+1,FALSE)</f>
        <v>0</v>
      </c>
      <c r="M4" s="15" cm="1">
        <f t="array" ref="M4">+HLOOKUP($A$1,+[5]İcmal!$B$19:$AG$49,ROW(D2)+1,FALSE)</f>
        <v>0</v>
      </c>
      <c r="N4" s="15" cm="1">
        <f t="array" ref="N4">+HLOOKUP($A$1,+[6]İcmal!$B$19:$AG$49,ROW(E2)+1,FALSE)</f>
        <v>0</v>
      </c>
      <c r="O4" s="15" cm="1">
        <f t="array" ref="O4">+HLOOKUP($A$1,+[7]İcmal!$B$19:$AG$49,ROW(F2)+1,FALSE)</f>
        <v>0</v>
      </c>
      <c r="P4" s="15" cm="1">
        <f t="array" ref="P4">+HLOOKUP($A$1,+[8]İcmal!$B$19:$AG$49,ROW(G2)+1,FALSE)</f>
        <v>0</v>
      </c>
      <c r="Q4" s="15" cm="1">
        <f t="array" ref="Q4">+HLOOKUP($A$1,+[9]İcmal!$B$19:$AG$49,ROW(H2)+1,FALSE)</f>
        <v>0</v>
      </c>
      <c r="R4" s="15" cm="1">
        <f t="array" ref="R4">+HLOOKUP($A$1,+[10]İcmal!$B$19:$AG$49,ROW(I2)+1,FALSE)</f>
        <v>0</v>
      </c>
      <c r="S4" s="15" cm="1">
        <f t="array" ref="S4">+HLOOKUP($A$1,+[11]İcmal!$B$19:$AG$49,ROW(J2)+1,FALSE)</f>
        <v>0</v>
      </c>
      <c r="T4" s="15" cm="1">
        <f t="array" ref="T4">+HLOOKUP($A$1,+[12]İcmal!$B$19:$AG$49,ROW(K2)+1,FALSE)</f>
        <v>0</v>
      </c>
      <c r="U4" s="15" cm="1">
        <f t="array" ref="U4">+HLOOKUP($A$1,+[13]İcmal!$B$19:$AG$49,ROW(L2)+1,FALSE)</f>
        <v>0</v>
      </c>
      <c r="V4" s="15" cm="1">
        <f t="array" ref="V4">+HLOOKUP($A$1,+[14]İcmal!$B$19:$AG$49,ROW(M2)+1,FALSE)</f>
        <v>0</v>
      </c>
      <c r="W4" s="15" cm="1">
        <f t="array" ref="W4">+HLOOKUP($A$1,+[15]İcmal!$B$19:$AG$49,ROW(N2)+1,FALSE)</f>
        <v>0</v>
      </c>
      <c r="X4" s="15" cm="1">
        <f t="array" ref="X4">+HLOOKUP($A$1,+[16]İcmal!$B$19:$AG$49,ROW(O2)+1,FALSE)</f>
        <v>0</v>
      </c>
      <c r="Y4" s="15" cm="1">
        <f t="array" ref="Y4">+HLOOKUP($A$1,+[17]İcmal!$B$19:$AG$49,ROW(P2)+1,FALSE)</f>
        <v>0</v>
      </c>
      <c r="Z4" s="15" cm="1">
        <f t="array" ref="Z4">+HLOOKUP($A$1,+[18]İcmal!$B$19:$AG$49,ROW(Q2)+1,FALSE)</f>
        <v>0</v>
      </c>
      <c r="AA4" s="15" cm="1">
        <f t="array" ref="AA4">+HLOOKUP($A$1,+[19]İcmal!$B$19:$AG$49,ROW(R2)+1,FALSE)</f>
        <v>0</v>
      </c>
      <c r="AB4" s="15" cm="1">
        <f t="array" ref="AB4">+HLOOKUP($A$1,+[20]İcmal!$B$19:$AG$49,ROW(S2)+1,FALSE)</f>
        <v>0</v>
      </c>
      <c r="AC4" s="15" cm="1">
        <f t="array" ref="AC4">+HLOOKUP($A$1,+[21]İcmal!$B$19:$AG$49,ROW(T2)+1,FALSE)</f>
        <v>0</v>
      </c>
      <c r="AD4" s="15" cm="1">
        <f t="array" ref="AD4">+HLOOKUP($A$1,+[22]İcmal!$B$19:$AG$49,ROW(U2)+1,FALSE)</f>
        <v>0</v>
      </c>
      <c r="AE4" s="15" cm="1">
        <f t="array" ref="AE4">+HLOOKUP($A$1,+[23]İcmal!$B$19:$AG$49,ROW(V2)+1,FALSE)</f>
        <v>0</v>
      </c>
      <c r="AF4" s="15" cm="1">
        <f t="array" ref="AF4">+HLOOKUP($A$1,+[24]İcmal!$B$19:$AG$49,ROW(W2)+1,FALSE)</f>
        <v>0</v>
      </c>
      <c r="AG4" s="15" cm="1">
        <f t="array" ref="AG4">+HLOOKUP($A$1,+[25]İcmal!$B$19:$AG$49,ROW(X2)+1,FALSE)</f>
        <v>0</v>
      </c>
      <c r="AH4" s="15" cm="1">
        <f t="array" ref="AH4">+HLOOKUP($A$1,+[26]İcmal!$B$19:$AG$49,ROW(Y2)+1,FALSE)</f>
        <v>0</v>
      </c>
      <c r="AI4" s="15" cm="1">
        <f t="array" ref="AI4">+HLOOKUP($A$1,+[27]İcmal!$B$19:$AG$49,ROW(Z2)+1,FALSE)</f>
        <v>0</v>
      </c>
      <c r="AJ4" s="15" cm="1">
        <f t="array" ref="AJ4">+HLOOKUP($A$1,+[28]İcmal!$B$19:$AG$49,ROW(AA2)+1,FALSE)</f>
        <v>0</v>
      </c>
      <c r="AK4" s="15" cm="1">
        <f t="array" ref="AK4">+HLOOKUP($A$1,+[29]İcmal!$B$19:$AG$49,ROW(AB2)+1,FALSE)</f>
        <v>0</v>
      </c>
      <c r="AL4" s="15"/>
      <c r="AM4" s="15"/>
      <c r="AN4" s="15"/>
      <c r="AO4" s="15"/>
      <c r="AP4" s="15"/>
      <c r="AQ4" s="15"/>
      <c r="AR4" s="15"/>
      <c r="AS4" s="15"/>
      <c r="AT4" s="13"/>
    </row>
    <row r="5" spans="1:46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+HLOOKUP($A$1,+[2]İcmal!$B$19:$AG$49,ROW(A3)+1,FALSE)</f>
        <v>0</v>
      </c>
      <c r="K5" s="15" cm="1">
        <f t="array" ref="K5">+HLOOKUP($A$1,+[3]İcmal!$B$19:$AG$49,ROW(B3)+1,FALSE)</f>
        <v>0</v>
      </c>
      <c r="L5" s="15" cm="1">
        <f t="array" ref="L5">+HLOOKUP($A$1,+[4]İcmal!$B$19:$AG$49,ROW(C3)+1,FALSE)</f>
        <v>0</v>
      </c>
      <c r="M5" s="15" cm="1">
        <f t="array" ref="M5">+HLOOKUP($A$1,+[5]İcmal!$B$19:$AG$49,ROW(D3)+1,FALSE)</f>
        <v>0</v>
      </c>
      <c r="N5" s="15" cm="1">
        <f t="array" ref="N5">+HLOOKUP($A$1,+[6]İcmal!$B$19:$AG$49,ROW(E3)+1,FALSE)</f>
        <v>0</v>
      </c>
      <c r="O5" s="15" cm="1">
        <f t="array" ref="O5">+HLOOKUP($A$1,+[7]İcmal!$B$19:$AG$49,ROW(F3)+1,FALSE)</f>
        <v>0</v>
      </c>
      <c r="P5" s="15" cm="1">
        <f t="array" ref="P5">+HLOOKUP($A$1,+[8]İcmal!$B$19:$AG$49,ROW(G3)+1,FALSE)</f>
        <v>0</v>
      </c>
      <c r="Q5" s="15" cm="1">
        <f t="array" ref="Q5">+HLOOKUP($A$1,+[9]İcmal!$B$19:$AG$49,ROW(H3)+1,FALSE)</f>
        <v>0</v>
      </c>
      <c r="R5" s="15" cm="1">
        <f t="array" ref="R5">+HLOOKUP($A$1,+[10]İcmal!$B$19:$AG$49,ROW(I3)+1,FALSE)</f>
        <v>0</v>
      </c>
      <c r="S5" s="15" cm="1">
        <f t="array" ref="S5">+HLOOKUP($A$1,+[11]İcmal!$B$19:$AG$49,ROW(J3)+1,FALSE)</f>
        <v>0</v>
      </c>
      <c r="T5" s="15" cm="1">
        <f t="array" ref="T5">+HLOOKUP($A$1,+[12]İcmal!$B$19:$AG$49,ROW(K3)+1,FALSE)</f>
        <v>0</v>
      </c>
      <c r="U5" s="15" cm="1">
        <f t="array" ref="U5">+HLOOKUP($A$1,+[13]İcmal!$B$19:$AG$49,ROW(L3)+1,FALSE)</f>
        <v>0</v>
      </c>
      <c r="V5" s="15" cm="1">
        <f t="array" ref="V5">+HLOOKUP($A$1,+[14]İcmal!$B$19:$AG$49,ROW(M3)+1,FALSE)</f>
        <v>0</v>
      </c>
      <c r="W5" s="15" cm="1">
        <f t="array" ref="W5">+HLOOKUP($A$1,+[15]İcmal!$B$19:$AG$49,ROW(N3)+1,FALSE)</f>
        <v>0</v>
      </c>
      <c r="X5" s="15" cm="1">
        <f t="array" ref="X5">+HLOOKUP($A$1,+[16]İcmal!$B$19:$AG$49,ROW(O3)+1,FALSE)</f>
        <v>0</v>
      </c>
      <c r="Y5" s="15" cm="1">
        <f t="array" ref="Y5">+HLOOKUP($A$1,+[17]İcmal!$B$19:$AG$49,ROW(P3)+1,FALSE)</f>
        <v>0</v>
      </c>
      <c r="Z5" s="15" cm="1">
        <f t="array" ref="Z5">+HLOOKUP($A$1,+[18]İcmal!$B$19:$AG$49,ROW(Q3)+1,FALSE)</f>
        <v>0</v>
      </c>
      <c r="AA5" s="15" cm="1">
        <f t="array" ref="AA5">+HLOOKUP($A$1,+[19]İcmal!$B$19:$AG$49,ROW(R3)+1,FALSE)</f>
        <v>0</v>
      </c>
      <c r="AB5" s="15" cm="1">
        <f t="array" ref="AB5">+HLOOKUP($A$1,+[20]İcmal!$B$19:$AG$49,ROW(S3)+1,FALSE)</f>
        <v>0</v>
      </c>
      <c r="AC5" s="15" cm="1">
        <f t="array" ref="AC5">+HLOOKUP($A$1,+[21]İcmal!$B$19:$AG$49,ROW(T3)+1,FALSE)</f>
        <v>0</v>
      </c>
      <c r="AD5" s="15" cm="1">
        <f t="array" ref="AD5">+HLOOKUP($A$1,+[22]İcmal!$B$19:$AG$49,ROW(U3)+1,FALSE)</f>
        <v>0</v>
      </c>
      <c r="AE5" s="15" cm="1">
        <f t="array" ref="AE5">+HLOOKUP($A$1,+[23]İcmal!$B$19:$AG$49,ROW(V3)+1,FALSE)</f>
        <v>0</v>
      </c>
      <c r="AF5" s="15" cm="1">
        <f t="array" ref="AF5">+HLOOKUP($A$1,+[24]İcmal!$B$19:$AG$49,ROW(W3)+1,FALSE)</f>
        <v>0</v>
      </c>
      <c r="AG5" s="15" cm="1">
        <f t="array" ref="AG5">+HLOOKUP($A$1,+[25]İcmal!$B$19:$AG$49,ROW(X3)+1,FALSE)</f>
        <v>0</v>
      </c>
      <c r="AH5" s="15" cm="1">
        <f t="array" ref="AH5">+HLOOKUP($A$1,+[26]İcmal!$B$19:$AG$49,ROW(Y3)+1,FALSE)</f>
        <v>0</v>
      </c>
      <c r="AI5" s="15" cm="1">
        <f t="array" ref="AI5">+HLOOKUP($A$1,+[27]İcmal!$B$19:$AG$49,ROW(Z3)+1,FALSE)</f>
        <v>0</v>
      </c>
      <c r="AJ5" s="15" cm="1">
        <f t="array" ref="AJ5">+HLOOKUP($A$1,+[28]İcmal!$B$19:$AG$49,ROW(AA3)+1,FALSE)</f>
        <v>0</v>
      </c>
      <c r="AK5" s="15" cm="1">
        <f t="array" ref="AK5">+HLOOKUP($A$1,+[29]İcmal!$B$19:$AG$49,ROW(AB3)+1,FALSE)</f>
        <v>0</v>
      </c>
      <c r="AL5" s="15"/>
      <c r="AM5" s="15"/>
      <c r="AN5" s="15"/>
      <c r="AO5" s="15"/>
      <c r="AP5" s="15"/>
      <c r="AQ5" s="15"/>
      <c r="AR5" s="15"/>
      <c r="AS5" s="15"/>
      <c r="AT5" s="13"/>
    </row>
    <row r="6" spans="1:46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548.7349999999999</v>
      </c>
      <c r="I6" s="9">
        <f t="shared" si="2"/>
        <v>8414302.4899999984</v>
      </c>
      <c r="J6" s="15" cm="1">
        <f t="array" ref="J6">+HLOOKUP($A$1,+[2]İcmal!$B$19:$AG$49,ROW(A4)+1,FALSE)</f>
        <v>0</v>
      </c>
      <c r="K6" s="15" cm="1">
        <f t="array" ref="K6">+HLOOKUP($A$1,+[3]İcmal!$B$19:$AG$49,ROW(B4)+1,FALSE)</f>
        <v>0</v>
      </c>
      <c r="L6" s="15" cm="1">
        <f t="array" ref="L6">+HLOOKUP($A$1,+[4]İcmal!$B$19:$AG$49,ROW(C4)+1,FALSE)</f>
        <v>77.124000000000009</v>
      </c>
      <c r="M6" s="15" cm="1">
        <f t="array" ref="M6">+HLOOKUP($A$1,+[5]İcmal!$B$19:$AG$49,ROW(D4)+1,FALSE)</f>
        <v>81.340999999999994</v>
      </c>
      <c r="N6" s="15" cm="1">
        <f t="array" ref="N6">+HLOOKUP($A$1,+[6]İcmal!$B$19:$AG$49,ROW(E4)+1,FALSE)</f>
        <v>0</v>
      </c>
      <c r="O6" s="15" cm="1">
        <f t="array" ref="O6">+HLOOKUP($A$1,+[7]İcmal!$B$19:$AG$49,ROW(F4)+1,FALSE)</f>
        <v>0</v>
      </c>
      <c r="P6" s="15" cm="1">
        <f t="array" ref="P6">+HLOOKUP($A$1,+[8]İcmal!$B$19:$AG$49,ROW(G4)+1,FALSE)</f>
        <v>0</v>
      </c>
      <c r="Q6" s="15" cm="1">
        <f t="array" ref="Q6">+HLOOKUP($A$1,+[9]İcmal!$B$19:$AG$49,ROW(H4)+1,FALSE)</f>
        <v>0</v>
      </c>
      <c r="R6" s="15" cm="1">
        <f t="array" ref="R6">+HLOOKUP($A$1,+[10]İcmal!$B$19:$AG$49,ROW(I4)+1,FALSE)</f>
        <v>0</v>
      </c>
      <c r="S6" s="15" cm="1">
        <f t="array" ref="S6">+HLOOKUP($A$1,+[11]İcmal!$B$19:$AG$49,ROW(J4)+1,FALSE)</f>
        <v>0</v>
      </c>
      <c r="T6" s="15" cm="1">
        <f t="array" ref="T6">+HLOOKUP($A$1,+[12]İcmal!$B$19:$AG$49,ROW(K4)+1,FALSE)</f>
        <v>32.260000000000005</v>
      </c>
      <c r="U6" s="15" cm="1">
        <f t="array" ref="U6">+HLOOKUP($A$1,+[13]İcmal!$B$19:$AG$49,ROW(L4)+1,FALSE)</f>
        <v>25.363000000000003</v>
      </c>
      <c r="V6" s="15" cm="1">
        <f t="array" ref="V6">+HLOOKUP($A$1,+[14]İcmal!$B$19:$AG$49,ROW(M4)+1,FALSE)</f>
        <v>21.376999999999953</v>
      </c>
      <c r="W6" s="15" cm="1">
        <f t="array" ref="W6">+HLOOKUP($A$1,+[15]İcmal!$B$19:$AG$49,ROW(N4)+1,FALSE)</f>
        <v>21.908999999999992</v>
      </c>
      <c r="X6" s="15" cm="1">
        <f t="array" ref="X6">+HLOOKUP($A$1,+[16]İcmal!$B$19:$AG$49,ROW(O4)+1,FALSE)</f>
        <v>82.02600000000001</v>
      </c>
      <c r="Y6" s="15" cm="1">
        <f t="array" ref="Y6">+HLOOKUP($A$1,+[17]İcmal!$B$19:$AG$49,ROW(P4)+1,FALSE)</f>
        <v>82.066000000000003</v>
      </c>
      <c r="Z6" s="15" cm="1">
        <f t="array" ref="Z6">+HLOOKUP($A$1,+[18]İcmal!$B$19:$AG$49,ROW(Q4)+1,FALSE)</f>
        <v>79.956999999999994</v>
      </c>
      <c r="AA6" s="15" cm="1">
        <f t="array" ref="AA6">+HLOOKUP($A$1,+[19]İcmal!$B$19:$AG$49,ROW(R4)+1,FALSE)</f>
        <v>0</v>
      </c>
      <c r="AB6" s="15" cm="1">
        <f t="array" ref="AB6">+HLOOKUP($A$1,+[20]İcmal!$B$19:$AG$49,ROW(S4)+1,FALSE)</f>
        <v>3.6370000000000005</v>
      </c>
      <c r="AC6" s="15" cm="1">
        <f t="array" ref="AC6">+HLOOKUP($A$1,+[21]İcmal!$B$19:$AG$49,ROW(T4)+1,FALSE)</f>
        <v>1.8339999999999996</v>
      </c>
      <c r="AD6" s="15" cm="1">
        <f t="array" ref="AD6">+HLOOKUP($A$1,+[22]İcmal!$B$19:$AG$49,ROW(U4)+1,FALSE)</f>
        <v>0</v>
      </c>
      <c r="AE6" s="15" cm="1">
        <f t="array" ref="AE6">+HLOOKUP($A$1,+[23]İcmal!$B$19:$AG$49,ROW(V4)+1,FALSE)</f>
        <v>0</v>
      </c>
      <c r="AF6" s="15" cm="1">
        <f t="array" ref="AF6">+HLOOKUP($A$1,+[24]İcmal!$B$19:$AG$49,ROW(W4)+1,FALSE)</f>
        <v>3.6370000000000005</v>
      </c>
      <c r="AG6" s="15" cm="1">
        <f t="array" ref="AG6">+HLOOKUP($A$1,+[25]İcmal!$B$19:$AG$49,ROW(X4)+1,FALSE)</f>
        <v>1.8339999999999996</v>
      </c>
      <c r="AH6" s="15" cm="1">
        <f t="array" ref="AH6">+HLOOKUP($A$1,+[26]İcmal!$B$19:$AG$49,ROW(Y4)+1,FALSE)</f>
        <v>3.6370000000000005</v>
      </c>
      <c r="AI6" s="15" cm="1">
        <f t="array" ref="AI6">+HLOOKUP($A$1,+[27]İcmal!$B$19:$AG$49,ROW(Z4)+1,FALSE)</f>
        <v>1.8339999999999996</v>
      </c>
      <c r="AJ6" s="15" cm="1">
        <f t="array" ref="AJ6">+HLOOKUP($A$1,+[28]İcmal!$B$19:$AG$49,ROW(AA4)+1,FALSE)</f>
        <v>28.898999999999997</v>
      </c>
      <c r="AK6" s="15" cm="1">
        <f t="array" ref="AK6">+HLOOKUP($A$1,+[29]İcmal!$B$19:$AG$49,ROW(AB4)+1,FALSE)</f>
        <v>0</v>
      </c>
      <c r="AL6" s="15"/>
      <c r="AM6" s="15"/>
      <c r="AN6" s="15"/>
      <c r="AO6" s="15"/>
      <c r="AP6" s="15"/>
      <c r="AQ6" s="15"/>
      <c r="AR6" s="15"/>
      <c r="AS6" s="15"/>
      <c r="AT6" s="13"/>
    </row>
    <row r="7" spans="1:46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+HLOOKUP($A$1,+[2]İcmal!$B$19:$AG$49,ROW(A5)+1,FALSE)</f>
        <v>0</v>
      </c>
      <c r="K7" s="15" cm="1">
        <f t="array" ref="K7">+HLOOKUP($A$1,+[3]İcmal!$B$19:$AG$49,ROW(B5)+1,FALSE)</f>
        <v>0</v>
      </c>
      <c r="L7" s="15" cm="1">
        <f t="array" ref="L7">+HLOOKUP($A$1,+[4]İcmal!$B$19:$AG$49,ROW(C5)+1,FALSE)</f>
        <v>0</v>
      </c>
      <c r="M7" s="15" cm="1">
        <f t="array" ref="M7">+HLOOKUP($A$1,+[5]İcmal!$B$19:$AG$49,ROW(D5)+1,FALSE)</f>
        <v>0</v>
      </c>
      <c r="N7" s="15" cm="1">
        <f t="array" ref="N7">+HLOOKUP($A$1,+[6]İcmal!$B$19:$AG$49,ROW(E5)+1,FALSE)</f>
        <v>0</v>
      </c>
      <c r="O7" s="15" cm="1">
        <f t="array" ref="O7">+HLOOKUP($A$1,+[7]İcmal!$B$19:$AG$49,ROW(F5)+1,FALSE)</f>
        <v>0</v>
      </c>
      <c r="P7" s="15" cm="1">
        <f t="array" ref="P7">+HLOOKUP($A$1,+[8]İcmal!$B$19:$AG$49,ROW(G5)+1,FALSE)</f>
        <v>0</v>
      </c>
      <c r="Q7" s="15" cm="1">
        <f t="array" ref="Q7">+HLOOKUP($A$1,+[9]İcmal!$B$19:$AG$49,ROW(H5)+1,FALSE)</f>
        <v>0</v>
      </c>
      <c r="R7" s="15" cm="1">
        <f t="array" ref="R7">+HLOOKUP($A$1,+[10]İcmal!$B$19:$AG$49,ROW(I5)+1,FALSE)</f>
        <v>0</v>
      </c>
      <c r="S7" s="15" cm="1">
        <f t="array" ref="S7">+HLOOKUP($A$1,+[11]İcmal!$B$19:$AG$49,ROW(J5)+1,FALSE)</f>
        <v>0</v>
      </c>
      <c r="T7" s="15" cm="1">
        <f t="array" ref="T7">+HLOOKUP($A$1,+[12]İcmal!$B$19:$AG$49,ROW(K5)+1,FALSE)</f>
        <v>0</v>
      </c>
      <c r="U7" s="15" cm="1">
        <f t="array" ref="U7">+HLOOKUP($A$1,+[13]İcmal!$B$19:$AG$49,ROW(L5)+1,FALSE)</f>
        <v>0</v>
      </c>
      <c r="V7" s="15" cm="1">
        <f t="array" ref="V7">+HLOOKUP($A$1,+[14]İcmal!$B$19:$AG$49,ROW(M5)+1,FALSE)</f>
        <v>0</v>
      </c>
      <c r="W7" s="15" cm="1">
        <f t="array" ref="W7">+HLOOKUP($A$1,+[15]İcmal!$B$19:$AG$49,ROW(N5)+1,FALSE)</f>
        <v>0</v>
      </c>
      <c r="X7" s="15" cm="1">
        <f t="array" ref="X7">+HLOOKUP($A$1,+[16]İcmal!$B$19:$AG$49,ROW(O5)+1,FALSE)</f>
        <v>0</v>
      </c>
      <c r="Y7" s="15" cm="1">
        <f t="array" ref="Y7">+HLOOKUP($A$1,+[17]İcmal!$B$19:$AG$49,ROW(P5)+1,FALSE)</f>
        <v>0</v>
      </c>
      <c r="Z7" s="15" cm="1">
        <f t="array" ref="Z7">+HLOOKUP($A$1,+[18]İcmal!$B$19:$AG$49,ROW(Q5)+1,FALSE)</f>
        <v>0</v>
      </c>
      <c r="AA7" s="15" cm="1">
        <f t="array" ref="AA7">+HLOOKUP($A$1,+[19]İcmal!$B$19:$AG$49,ROW(R5)+1,FALSE)</f>
        <v>0</v>
      </c>
      <c r="AB7" s="15" cm="1">
        <f t="array" ref="AB7">+HLOOKUP($A$1,+[20]İcmal!$B$19:$AG$49,ROW(S5)+1,FALSE)</f>
        <v>0</v>
      </c>
      <c r="AC7" s="15" cm="1">
        <f t="array" ref="AC7">+HLOOKUP($A$1,+[21]İcmal!$B$19:$AG$49,ROW(T5)+1,FALSE)</f>
        <v>0</v>
      </c>
      <c r="AD7" s="15" cm="1">
        <f t="array" ref="AD7">+HLOOKUP($A$1,+[22]İcmal!$B$19:$AG$49,ROW(U5)+1,FALSE)</f>
        <v>0</v>
      </c>
      <c r="AE7" s="15" cm="1">
        <f t="array" ref="AE7">+HLOOKUP($A$1,+[23]İcmal!$B$19:$AG$49,ROW(V5)+1,FALSE)</f>
        <v>0</v>
      </c>
      <c r="AF7" s="15" cm="1">
        <f t="array" ref="AF7">+HLOOKUP($A$1,+[24]İcmal!$B$19:$AG$49,ROW(W5)+1,FALSE)</f>
        <v>0</v>
      </c>
      <c r="AG7" s="15" cm="1">
        <f t="array" ref="AG7">+HLOOKUP($A$1,+[25]İcmal!$B$19:$AG$49,ROW(X5)+1,FALSE)</f>
        <v>0</v>
      </c>
      <c r="AH7" s="15" cm="1">
        <f t="array" ref="AH7">+HLOOKUP($A$1,+[26]İcmal!$B$19:$AG$49,ROW(Y5)+1,FALSE)</f>
        <v>0</v>
      </c>
      <c r="AI7" s="15" cm="1">
        <f t="array" ref="AI7">+HLOOKUP($A$1,+[27]İcmal!$B$19:$AG$49,ROW(Z5)+1,FALSE)</f>
        <v>0</v>
      </c>
      <c r="AJ7" s="15" cm="1">
        <f t="array" ref="AJ7">+HLOOKUP($A$1,+[28]İcmal!$B$19:$AG$49,ROW(AA5)+1,FALSE)</f>
        <v>0</v>
      </c>
      <c r="AK7" s="15" cm="1">
        <f t="array" ref="AK7">+HLOOKUP($A$1,+[29]İcmal!$B$19:$AG$49,ROW(AB5)+1,FALSE)</f>
        <v>0</v>
      </c>
      <c r="AL7" s="15"/>
      <c r="AM7" s="15"/>
      <c r="AN7" s="15"/>
      <c r="AO7" s="15"/>
      <c r="AP7" s="15"/>
      <c r="AQ7" s="15"/>
      <c r="AR7" s="15"/>
      <c r="AS7" s="15"/>
      <c r="AT7" s="13"/>
    </row>
    <row r="8" spans="1:46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+HLOOKUP($A$1,+[2]İcmal!$B$19:$AG$49,ROW(A6)+1,FALSE)</f>
        <v>0</v>
      </c>
      <c r="K8" s="15" cm="1">
        <f t="array" ref="K8">+HLOOKUP($A$1,+[3]İcmal!$B$19:$AG$49,ROW(B6)+1,FALSE)</f>
        <v>0</v>
      </c>
      <c r="L8" s="15" cm="1">
        <f t="array" ref="L8">+HLOOKUP($A$1,+[4]İcmal!$B$19:$AG$49,ROW(C6)+1,FALSE)</f>
        <v>0</v>
      </c>
      <c r="M8" s="15" cm="1">
        <f t="array" ref="M8">+HLOOKUP($A$1,+[5]İcmal!$B$19:$AG$49,ROW(D6)+1,FALSE)</f>
        <v>0</v>
      </c>
      <c r="N8" s="15" cm="1">
        <f t="array" ref="N8">+HLOOKUP($A$1,+[6]İcmal!$B$19:$AG$49,ROW(E6)+1,FALSE)</f>
        <v>0</v>
      </c>
      <c r="O8" s="15" cm="1">
        <f t="array" ref="O8">+HLOOKUP($A$1,+[7]İcmal!$B$19:$AG$49,ROW(F6)+1,FALSE)</f>
        <v>0</v>
      </c>
      <c r="P8" s="15" cm="1">
        <f t="array" ref="P8">+HLOOKUP($A$1,+[8]İcmal!$B$19:$AG$49,ROW(G6)+1,FALSE)</f>
        <v>0</v>
      </c>
      <c r="Q8" s="15" cm="1">
        <f t="array" ref="Q8">+HLOOKUP($A$1,+[9]İcmal!$B$19:$AG$49,ROW(H6)+1,FALSE)</f>
        <v>0</v>
      </c>
      <c r="R8" s="15" cm="1">
        <f t="array" ref="R8">+HLOOKUP($A$1,+[10]İcmal!$B$19:$AG$49,ROW(I6)+1,FALSE)</f>
        <v>0</v>
      </c>
      <c r="S8" s="15" cm="1">
        <f t="array" ref="S8">+HLOOKUP($A$1,+[11]İcmal!$B$19:$AG$49,ROW(J6)+1,FALSE)</f>
        <v>0</v>
      </c>
      <c r="T8" s="15" cm="1">
        <f t="array" ref="T8">+HLOOKUP($A$1,+[12]İcmal!$B$19:$AG$49,ROW(K6)+1,FALSE)</f>
        <v>0</v>
      </c>
      <c r="U8" s="15" cm="1">
        <f t="array" ref="U8">+HLOOKUP($A$1,+[13]İcmal!$B$19:$AG$49,ROW(L6)+1,FALSE)</f>
        <v>0</v>
      </c>
      <c r="V8" s="15" cm="1">
        <f t="array" ref="V8">+HLOOKUP($A$1,+[14]İcmal!$B$19:$AG$49,ROW(M6)+1,FALSE)</f>
        <v>0</v>
      </c>
      <c r="W8" s="15" cm="1">
        <f t="array" ref="W8">+HLOOKUP($A$1,+[15]İcmal!$B$19:$AG$49,ROW(N6)+1,FALSE)</f>
        <v>0</v>
      </c>
      <c r="X8" s="15" cm="1">
        <f t="array" ref="X8">+HLOOKUP($A$1,+[16]İcmal!$B$19:$AG$49,ROW(O6)+1,FALSE)</f>
        <v>0</v>
      </c>
      <c r="Y8" s="15" cm="1">
        <f t="array" ref="Y8">+HLOOKUP($A$1,+[17]İcmal!$B$19:$AG$49,ROW(P6)+1,FALSE)</f>
        <v>0</v>
      </c>
      <c r="Z8" s="15" cm="1">
        <f t="array" ref="Z8">+HLOOKUP($A$1,+[18]İcmal!$B$19:$AG$49,ROW(Q6)+1,FALSE)</f>
        <v>0</v>
      </c>
      <c r="AA8" s="15" cm="1">
        <f t="array" ref="AA8">+HLOOKUP($A$1,+[19]İcmal!$B$19:$AG$49,ROW(R6)+1,FALSE)</f>
        <v>0</v>
      </c>
      <c r="AB8" s="15" cm="1">
        <f t="array" ref="AB8">+HLOOKUP($A$1,+[20]İcmal!$B$19:$AG$49,ROW(S6)+1,FALSE)</f>
        <v>0</v>
      </c>
      <c r="AC8" s="15" cm="1">
        <f t="array" ref="AC8">+HLOOKUP($A$1,+[21]İcmal!$B$19:$AG$49,ROW(T6)+1,FALSE)</f>
        <v>0</v>
      </c>
      <c r="AD8" s="15" cm="1">
        <f t="array" ref="AD8">+HLOOKUP($A$1,+[22]İcmal!$B$19:$AG$49,ROW(U6)+1,FALSE)</f>
        <v>0</v>
      </c>
      <c r="AE8" s="15" cm="1">
        <f t="array" ref="AE8">+HLOOKUP($A$1,+[23]İcmal!$B$19:$AG$49,ROW(V6)+1,FALSE)</f>
        <v>0</v>
      </c>
      <c r="AF8" s="15" cm="1">
        <f t="array" ref="AF8">+HLOOKUP($A$1,+[24]İcmal!$B$19:$AG$49,ROW(W6)+1,FALSE)</f>
        <v>0</v>
      </c>
      <c r="AG8" s="15" cm="1">
        <f t="array" ref="AG8">+HLOOKUP($A$1,+[25]İcmal!$B$19:$AG$49,ROW(X6)+1,FALSE)</f>
        <v>0</v>
      </c>
      <c r="AH8" s="15" cm="1">
        <f t="array" ref="AH8">+HLOOKUP($A$1,+[26]İcmal!$B$19:$AG$49,ROW(Y6)+1,FALSE)</f>
        <v>0</v>
      </c>
      <c r="AI8" s="15" cm="1">
        <f t="array" ref="AI8">+HLOOKUP($A$1,+[27]İcmal!$B$19:$AG$49,ROW(Z6)+1,FALSE)</f>
        <v>0</v>
      </c>
      <c r="AJ8" s="15" cm="1">
        <f t="array" ref="AJ8">+HLOOKUP($A$1,+[28]İcmal!$B$19:$AG$49,ROW(AA6)+1,FALSE)</f>
        <v>0</v>
      </c>
      <c r="AK8" s="15" cm="1">
        <f t="array" ref="AK8">+HLOOKUP($A$1,+[29]İcmal!$B$19:$AG$49,ROW(AB6)+1,FALSE)</f>
        <v>0</v>
      </c>
      <c r="AL8" s="15"/>
      <c r="AM8" s="15"/>
      <c r="AN8" s="15"/>
      <c r="AO8" s="15"/>
      <c r="AP8" s="15"/>
      <c r="AQ8" s="15"/>
      <c r="AR8" s="15"/>
      <c r="AS8" s="15"/>
      <c r="AT8" s="13"/>
    </row>
    <row r="9" spans="1:46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+HLOOKUP($A$1,+[2]İcmal!$B$19:$AG$49,ROW(A7)+1,FALSE)</f>
        <v>0</v>
      </c>
      <c r="K9" s="15" cm="1">
        <f t="array" ref="K9">+HLOOKUP($A$1,+[3]İcmal!$B$19:$AG$49,ROW(B7)+1,FALSE)</f>
        <v>0</v>
      </c>
      <c r="L9" s="15" cm="1">
        <f t="array" ref="L9">+HLOOKUP($A$1,+[4]İcmal!$B$19:$AG$49,ROW(C7)+1,FALSE)</f>
        <v>0</v>
      </c>
      <c r="M9" s="15" cm="1">
        <f t="array" ref="M9">+HLOOKUP($A$1,+[5]İcmal!$B$19:$AG$49,ROW(D7)+1,FALSE)</f>
        <v>0</v>
      </c>
      <c r="N9" s="15" cm="1">
        <f t="array" ref="N9">+HLOOKUP($A$1,+[6]İcmal!$B$19:$AG$49,ROW(E7)+1,FALSE)</f>
        <v>0</v>
      </c>
      <c r="O9" s="15" cm="1">
        <f t="array" ref="O9">+HLOOKUP($A$1,+[7]İcmal!$B$19:$AG$49,ROW(F7)+1,FALSE)</f>
        <v>0</v>
      </c>
      <c r="P9" s="15" cm="1">
        <f t="array" ref="P9">+HLOOKUP($A$1,+[8]İcmal!$B$19:$AG$49,ROW(G7)+1,FALSE)</f>
        <v>0</v>
      </c>
      <c r="Q9" s="15" cm="1">
        <f t="array" ref="Q9">+HLOOKUP($A$1,+[9]İcmal!$B$19:$AG$49,ROW(H7)+1,FALSE)</f>
        <v>0</v>
      </c>
      <c r="R9" s="15" cm="1">
        <f t="array" ref="R9">+HLOOKUP($A$1,+[10]İcmal!$B$19:$AG$49,ROW(I7)+1,FALSE)</f>
        <v>0</v>
      </c>
      <c r="S9" s="15" cm="1">
        <f t="array" ref="S9">+HLOOKUP($A$1,+[11]İcmal!$B$19:$AG$49,ROW(J7)+1,FALSE)</f>
        <v>0</v>
      </c>
      <c r="T9" s="15" cm="1">
        <f t="array" ref="T9">+HLOOKUP($A$1,+[12]İcmal!$B$19:$AG$49,ROW(K7)+1,FALSE)</f>
        <v>0</v>
      </c>
      <c r="U9" s="15" cm="1">
        <f t="array" ref="U9">+HLOOKUP($A$1,+[13]İcmal!$B$19:$AG$49,ROW(L7)+1,FALSE)</f>
        <v>0</v>
      </c>
      <c r="V9" s="15" cm="1">
        <f t="array" ref="V9">+HLOOKUP($A$1,+[14]İcmal!$B$19:$AG$49,ROW(M7)+1,FALSE)</f>
        <v>0</v>
      </c>
      <c r="W9" s="15" cm="1">
        <f t="array" ref="W9">+HLOOKUP($A$1,+[15]İcmal!$B$19:$AG$49,ROW(N7)+1,FALSE)</f>
        <v>0</v>
      </c>
      <c r="X9" s="15" cm="1">
        <f t="array" ref="X9">+HLOOKUP($A$1,+[16]İcmal!$B$19:$AG$49,ROW(O7)+1,FALSE)</f>
        <v>0</v>
      </c>
      <c r="Y9" s="15" cm="1">
        <f t="array" ref="Y9">+HLOOKUP($A$1,+[17]İcmal!$B$19:$AG$49,ROW(P7)+1,FALSE)</f>
        <v>0</v>
      </c>
      <c r="Z9" s="15" cm="1">
        <f t="array" ref="Z9">+HLOOKUP($A$1,+[18]İcmal!$B$19:$AG$49,ROW(Q7)+1,FALSE)</f>
        <v>0</v>
      </c>
      <c r="AA9" s="15" cm="1">
        <f t="array" ref="AA9">+HLOOKUP($A$1,+[19]İcmal!$B$19:$AG$49,ROW(R7)+1,FALSE)</f>
        <v>0</v>
      </c>
      <c r="AB9" s="15" cm="1">
        <f t="array" ref="AB9">+HLOOKUP($A$1,+[20]İcmal!$B$19:$AG$49,ROW(S7)+1,FALSE)</f>
        <v>0</v>
      </c>
      <c r="AC9" s="15" cm="1">
        <f t="array" ref="AC9">+HLOOKUP($A$1,+[21]İcmal!$B$19:$AG$49,ROW(T7)+1,FALSE)</f>
        <v>0</v>
      </c>
      <c r="AD9" s="15" cm="1">
        <f t="array" ref="AD9">+HLOOKUP($A$1,+[22]İcmal!$B$19:$AG$49,ROW(U7)+1,FALSE)</f>
        <v>0</v>
      </c>
      <c r="AE9" s="15" cm="1">
        <f t="array" ref="AE9">+HLOOKUP($A$1,+[23]İcmal!$B$19:$AG$49,ROW(V7)+1,FALSE)</f>
        <v>0</v>
      </c>
      <c r="AF9" s="15" cm="1">
        <f t="array" ref="AF9">+HLOOKUP($A$1,+[24]İcmal!$B$19:$AG$49,ROW(W7)+1,FALSE)</f>
        <v>0</v>
      </c>
      <c r="AG9" s="15" cm="1">
        <f t="array" ref="AG9">+HLOOKUP($A$1,+[25]İcmal!$B$19:$AG$49,ROW(X7)+1,FALSE)</f>
        <v>0</v>
      </c>
      <c r="AH9" s="15" cm="1">
        <f t="array" ref="AH9">+HLOOKUP($A$1,+[26]İcmal!$B$19:$AG$49,ROW(Y7)+1,FALSE)</f>
        <v>0</v>
      </c>
      <c r="AI9" s="15" cm="1">
        <f t="array" ref="AI9">+HLOOKUP($A$1,+[27]İcmal!$B$19:$AG$49,ROW(Z7)+1,FALSE)</f>
        <v>0</v>
      </c>
      <c r="AJ9" s="15" cm="1">
        <f t="array" ref="AJ9">+HLOOKUP($A$1,+[28]İcmal!$B$19:$AG$49,ROW(AA7)+1,FALSE)</f>
        <v>0</v>
      </c>
      <c r="AK9" s="15" cm="1">
        <f t="array" ref="AK9">+HLOOKUP($A$1,+[29]İcmal!$B$19:$AG$49,ROW(AB7)+1,FALSE)</f>
        <v>0</v>
      </c>
      <c r="AL9" s="15"/>
      <c r="AM9" s="15"/>
      <c r="AN9" s="15"/>
      <c r="AO9" s="15"/>
      <c r="AP9" s="15"/>
      <c r="AQ9" s="15"/>
      <c r="AR9" s="15"/>
      <c r="AS9" s="15"/>
      <c r="AT9" s="13"/>
    </row>
    <row r="10" spans="1:46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0</v>
      </c>
      <c r="I10" s="9">
        <f t="shared" si="2"/>
        <v>0</v>
      </c>
      <c r="J10" s="15" cm="1">
        <f t="array" ref="J10">+HLOOKUP($A$1,+[2]İcmal!$B$19:$AG$49,ROW(A8)+1,FALSE)</f>
        <v>0</v>
      </c>
      <c r="K10" s="15" cm="1">
        <f t="array" ref="K10">+HLOOKUP($A$1,+[3]İcmal!$B$19:$AG$49,ROW(B8)+1,FALSE)</f>
        <v>0</v>
      </c>
      <c r="L10" s="15" cm="1">
        <f t="array" ref="L10">+HLOOKUP($A$1,+[4]İcmal!$B$19:$AG$49,ROW(C8)+1,FALSE)</f>
        <v>0</v>
      </c>
      <c r="M10" s="15" cm="1">
        <f t="array" ref="M10">+HLOOKUP($A$1,+[5]İcmal!$B$19:$AG$49,ROW(D8)+1,FALSE)</f>
        <v>0</v>
      </c>
      <c r="N10" s="15" cm="1">
        <f t="array" ref="N10">+HLOOKUP($A$1,+[6]İcmal!$B$19:$AG$49,ROW(E8)+1,FALSE)</f>
        <v>0</v>
      </c>
      <c r="O10" s="15" cm="1">
        <f t="array" ref="O10">+HLOOKUP($A$1,+[7]İcmal!$B$19:$AG$49,ROW(F8)+1,FALSE)</f>
        <v>0</v>
      </c>
      <c r="P10" s="15" cm="1">
        <f t="array" ref="P10">+HLOOKUP($A$1,+[8]İcmal!$B$19:$AG$49,ROW(G8)+1,FALSE)</f>
        <v>0</v>
      </c>
      <c r="Q10" s="15" cm="1">
        <f t="array" ref="Q10">+HLOOKUP($A$1,+[9]İcmal!$B$19:$AG$49,ROW(H8)+1,FALSE)</f>
        <v>0</v>
      </c>
      <c r="R10" s="15" cm="1">
        <f t="array" ref="R10">+HLOOKUP($A$1,+[10]İcmal!$B$19:$AG$49,ROW(I8)+1,FALSE)</f>
        <v>0</v>
      </c>
      <c r="S10" s="15" cm="1">
        <f t="array" ref="S10">+HLOOKUP($A$1,+[11]İcmal!$B$19:$AG$49,ROW(J8)+1,FALSE)</f>
        <v>0</v>
      </c>
      <c r="T10" s="15" cm="1">
        <f t="array" ref="T10">+HLOOKUP($A$1,+[12]İcmal!$B$19:$AG$49,ROW(K8)+1,FALSE)</f>
        <v>0</v>
      </c>
      <c r="U10" s="15" cm="1">
        <f t="array" ref="U10">+HLOOKUP($A$1,+[13]İcmal!$B$19:$AG$49,ROW(L8)+1,FALSE)</f>
        <v>0</v>
      </c>
      <c r="V10" s="15" cm="1">
        <f t="array" ref="V10">+HLOOKUP($A$1,+[14]İcmal!$B$19:$AG$49,ROW(M8)+1,FALSE)</f>
        <v>0</v>
      </c>
      <c r="W10" s="15" cm="1">
        <f t="array" ref="W10">+HLOOKUP($A$1,+[15]İcmal!$B$19:$AG$49,ROW(N8)+1,FALSE)</f>
        <v>0</v>
      </c>
      <c r="X10" s="15" cm="1">
        <f t="array" ref="X10">+HLOOKUP($A$1,+[16]İcmal!$B$19:$AG$49,ROW(O8)+1,FALSE)</f>
        <v>0</v>
      </c>
      <c r="Y10" s="15" cm="1">
        <f t="array" ref="Y10">+HLOOKUP($A$1,+[17]İcmal!$B$19:$AG$49,ROW(P8)+1,FALSE)</f>
        <v>0</v>
      </c>
      <c r="Z10" s="15" cm="1">
        <f t="array" ref="Z10">+HLOOKUP($A$1,+[18]İcmal!$B$19:$AG$49,ROW(Q8)+1,FALSE)</f>
        <v>0</v>
      </c>
      <c r="AA10" s="15" cm="1">
        <f t="array" ref="AA10">+HLOOKUP($A$1,+[19]İcmal!$B$19:$AG$49,ROW(R8)+1,FALSE)</f>
        <v>0</v>
      </c>
      <c r="AB10" s="15" cm="1">
        <f t="array" ref="AB10">+HLOOKUP($A$1,+[20]İcmal!$B$19:$AG$49,ROW(S8)+1,FALSE)</f>
        <v>0</v>
      </c>
      <c r="AC10" s="15" cm="1">
        <f t="array" ref="AC10">+HLOOKUP($A$1,+[21]İcmal!$B$19:$AG$49,ROW(T8)+1,FALSE)</f>
        <v>0</v>
      </c>
      <c r="AD10" s="15" cm="1">
        <f t="array" ref="AD10">+HLOOKUP($A$1,+[22]İcmal!$B$19:$AG$49,ROW(U8)+1,FALSE)</f>
        <v>0</v>
      </c>
      <c r="AE10" s="15" cm="1">
        <f t="array" ref="AE10">+HLOOKUP($A$1,+[23]İcmal!$B$19:$AG$49,ROW(V8)+1,FALSE)</f>
        <v>0</v>
      </c>
      <c r="AF10" s="15" cm="1">
        <f t="array" ref="AF10">+HLOOKUP($A$1,+[24]İcmal!$B$19:$AG$49,ROW(W8)+1,FALSE)</f>
        <v>0</v>
      </c>
      <c r="AG10" s="15" cm="1">
        <f t="array" ref="AG10">+HLOOKUP($A$1,+[25]İcmal!$B$19:$AG$49,ROW(X8)+1,FALSE)</f>
        <v>0</v>
      </c>
      <c r="AH10" s="15" cm="1">
        <f t="array" ref="AH10">+HLOOKUP($A$1,+[26]İcmal!$B$19:$AG$49,ROW(Y8)+1,FALSE)</f>
        <v>0</v>
      </c>
      <c r="AI10" s="15" cm="1">
        <f t="array" ref="AI10">+HLOOKUP($A$1,+[27]İcmal!$B$19:$AG$49,ROW(Z8)+1,FALSE)</f>
        <v>0</v>
      </c>
      <c r="AJ10" s="15" cm="1">
        <f t="array" ref="AJ10">+HLOOKUP($A$1,+[28]İcmal!$B$19:$AG$49,ROW(AA8)+1,FALSE)</f>
        <v>0</v>
      </c>
      <c r="AK10" s="15" cm="1">
        <f t="array" ref="AK10">+HLOOKUP($A$1,+[29]İcmal!$B$19:$AG$49,ROW(AB8)+1,FALSE)</f>
        <v>0</v>
      </c>
      <c r="AL10" s="15"/>
      <c r="AM10" s="15"/>
      <c r="AN10" s="15"/>
      <c r="AO10" s="15"/>
      <c r="AP10" s="15"/>
      <c r="AQ10" s="15"/>
      <c r="AR10" s="15"/>
      <c r="AS10" s="15"/>
      <c r="AT10" s="13"/>
    </row>
    <row r="11" spans="1:46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+HLOOKUP($A$1,+[2]İcmal!$B$19:$AG$49,ROW(A9)+1,FALSE)</f>
        <v>0</v>
      </c>
      <c r="K11" s="15" cm="1">
        <f t="array" ref="K11">+HLOOKUP($A$1,+[3]İcmal!$B$19:$AG$49,ROW(B9)+1,FALSE)</f>
        <v>0</v>
      </c>
      <c r="L11" s="15" cm="1">
        <f t="array" ref="L11">+HLOOKUP($A$1,+[4]İcmal!$B$19:$AG$49,ROW(C9)+1,FALSE)</f>
        <v>0</v>
      </c>
      <c r="M11" s="15" cm="1">
        <f t="array" ref="M11">+HLOOKUP($A$1,+[5]İcmal!$B$19:$AG$49,ROW(D9)+1,FALSE)</f>
        <v>0</v>
      </c>
      <c r="N11" s="15" cm="1">
        <f t="array" ref="N11">+HLOOKUP($A$1,+[6]İcmal!$B$19:$AG$49,ROW(E9)+1,FALSE)</f>
        <v>0</v>
      </c>
      <c r="O11" s="15" cm="1">
        <f t="array" ref="O11">+HLOOKUP($A$1,+[7]İcmal!$B$19:$AG$49,ROW(F9)+1,FALSE)</f>
        <v>0</v>
      </c>
      <c r="P11" s="15" cm="1">
        <f t="array" ref="P11">+HLOOKUP($A$1,+[8]İcmal!$B$19:$AG$49,ROW(G9)+1,FALSE)</f>
        <v>0</v>
      </c>
      <c r="Q11" s="15" cm="1">
        <f t="array" ref="Q11">+HLOOKUP($A$1,+[9]İcmal!$B$19:$AG$49,ROW(H9)+1,FALSE)</f>
        <v>0</v>
      </c>
      <c r="R11" s="15" cm="1">
        <f t="array" ref="R11">+HLOOKUP($A$1,+[10]İcmal!$B$19:$AG$49,ROW(I9)+1,FALSE)</f>
        <v>0</v>
      </c>
      <c r="S11" s="15" cm="1">
        <f t="array" ref="S11">+HLOOKUP($A$1,+[11]İcmal!$B$19:$AG$49,ROW(J9)+1,FALSE)</f>
        <v>0</v>
      </c>
      <c r="T11" s="15" cm="1">
        <f t="array" ref="T11">+HLOOKUP($A$1,+[12]İcmal!$B$19:$AG$49,ROW(K9)+1,FALSE)</f>
        <v>0</v>
      </c>
      <c r="U11" s="15" cm="1">
        <f t="array" ref="U11">+HLOOKUP($A$1,+[13]İcmal!$B$19:$AG$49,ROW(L9)+1,FALSE)</f>
        <v>0</v>
      </c>
      <c r="V11" s="15" cm="1">
        <f t="array" ref="V11">+HLOOKUP($A$1,+[14]İcmal!$B$19:$AG$49,ROW(M9)+1,FALSE)</f>
        <v>0</v>
      </c>
      <c r="W11" s="15" cm="1">
        <f t="array" ref="W11">+HLOOKUP($A$1,+[15]İcmal!$B$19:$AG$49,ROW(N9)+1,FALSE)</f>
        <v>0</v>
      </c>
      <c r="X11" s="15" cm="1">
        <f t="array" ref="X11">+HLOOKUP($A$1,+[16]İcmal!$B$19:$AG$49,ROW(O9)+1,FALSE)</f>
        <v>0</v>
      </c>
      <c r="Y11" s="15" cm="1">
        <f t="array" ref="Y11">+HLOOKUP($A$1,+[17]İcmal!$B$19:$AG$49,ROW(P9)+1,FALSE)</f>
        <v>0</v>
      </c>
      <c r="Z11" s="15" cm="1">
        <f t="array" ref="Z11">+HLOOKUP($A$1,+[18]İcmal!$B$19:$AG$49,ROW(Q9)+1,FALSE)</f>
        <v>0</v>
      </c>
      <c r="AA11" s="15" cm="1">
        <f t="array" ref="AA11">+HLOOKUP($A$1,+[19]İcmal!$B$19:$AG$49,ROW(R9)+1,FALSE)</f>
        <v>0</v>
      </c>
      <c r="AB11" s="15" cm="1">
        <f t="array" ref="AB11">+HLOOKUP($A$1,+[20]İcmal!$B$19:$AG$49,ROW(S9)+1,FALSE)</f>
        <v>0</v>
      </c>
      <c r="AC11" s="15" cm="1">
        <f t="array" ref="AC11">+HLOOKUP($A$1,+[21]İcmal!$B$19:$AG$49,ROW(T9)+1,FALSE)</f>
        <v>0</v>
      </c>
      <c r="AD11" s="15" cm="1">
        <f t="array" ref="AD11">+HLOOKUP($A$1,+[22]İcmal!$B$19:$AG$49,ROW(U9)+1,FALSE)</f>
        <v>0</v>
      </c>
      <c r="AE11" s="15" cm="1">
        <f t="array" ref="AE11">+HLOOKUP($A$1,+[23]İcmal!$B$19:$AG$49,ROW(V9)+1,FALSE)</f>
        <v>0</v>
      </c>
      <c r="AF11" s="15" cm="1">
        <f t="array" ref="AF11">+HLOOKUP($A$1,+[24]İcmal!$B$19:$AG$49,ROW(W9)+1,FALSE)</f>
        <v>0</v>
      </c>
      <c r="AG11" s="15" cm="1">
        <f t="array" ref="AG11">+HLOOKUP($A$1,+[25]İcmal!$B$19:$AG$49,ROW(X9)+1,FALSE)</f>
        <v>0</v>
      </c>
      <c r="AH11" s="15" cm="1">
        <f t="array" ref="AH11">+HLOOKUP($A$1,+[26]İcmal!$B$19:$AG$49,ROW(Y9)+1,FALSE)</f>
        <v>0</v>
      </c>
      <c r="AI11" s="15" cm="1">
        <f t="array" ref="AI11">+HLOOKUP($A$1,+[27]İcmal!$B$19:$AG$49,ROW(Z9)+1,FALSE)</f>
        <v>0</v>
      </c>
      <c r="AJ11" s="15" cm="1">
        <f t="array" ref="AJ11">+HLOOKUP($A$1,+[28]İcmal!$B$19:$AG$49,ROW(AA9)+1,FALSE)</f>
        <v>0</v>
      </c>
      <c r="AK11" s="15" cm="1">
        <f t="array" ref="AK11">+HLOOKUP($A$1,+[29]İcmal!$B$19:$AG$49,ROW(AB9)+1,FALSE)</f>
        <v>0</v>
      </c>
      <c r="AL11" s="15"/>
      <c r="AM11" s="15"/>
      <c r="AN11" s="15"/>
      <c r="AO11" s="15"/>
      <c r="AP11" s="15"/>
      <c r="AQ11" s="15"/>
      <c r="AR11" s="15"/>
      <c r="AS11" s="15"/>
      <c r="AT11" s="13"/>
    </row>
    <row r="12" spans="1:46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-175</v>
      </c>
      <c r="I12" s="9">
        <f t="shared" si="2"/>
        <v>-2100000</v>
      </c>
      <c r="J12" s="15" cm="1">
        <f t="array" ref="J12">+HLOOKUP($A$1,+[2]İcmal!$B$19:$AG$49,ROW(A10)+1,FALSE)</f>
        <v>0</v>
      </c>
      <c r="K12" s="15" cm="1">
        <f t="array" ref="K12">+HLOOKUP($A$1,+[3]İcmal!$B$19:$AG$49,ROW(B10)+1,FALSE)</f>
        <v>0</v>
      </c>
      <c r="L12" s="15" cm="1">
        <f t="array" ref="L12">+HLOOKUP($A$1,+[4]İcmal!$B$19:$AG$49,ROW(C10)+1,FALSE)</f>
        <v>0</v>
      </c>
      <c r="M12" s="15" cm="1">
        <f t="array" ref="M12">+HLOOKUP($A$1,+[5]İcmal!$B$19:$AG$49,ROW(D10)+1,FALSE)</f>
        <v>0</v>
      </c>
      <c r="N12" s="15" cm="1">
        <f t="array" ref="N12">+HLOOKUP($A$1,+[6]İcmal!$B$19:$AG$49,ROW(E10)+1,FALSE)</f>
        <v>0</v>
      </c>
      <c r="O12" s="15" cm="1">
        <f t="array" ref="O12">+HLOOKUP($A$1,+[7]İcmal!$B$19:$AG$49,ROW(F10)+1,FALSE)</f>
        <v>0</v>
      </c>
      <c r="P12" s="15" cm="1">
        <f t="array" ref="P12">+HLOOKUP($A$1,+[8]İcmal!$B$19:$AG$49,ROW(G10)+1,FALSE)</f>
        <v>0</v>
      </c>
      <c r="Q12" s="15" cm="1">
        <f t="array" ref="Q12">+HLOOKUP($A$1,+[9]İcmal!$B$19:$AG$49,ROW(H10)+1,FALSE)</f>
        <v>0</v>
      </c>
      <c r="R12" s="15" cm="1">
        <f t="array" ref="R12">+HLOOKUP($A$1,+[10]İcmal!$B$19:$AG$49,ROW(I10)+1,FALSE)</f>
        <v>0</v>
      </c>
      <c r="S12" s="15" cm="1">
        <f t="array" ref="S12">+HLOOKUP($A$1,+[11]İcmal!$B$19:$AG$49,ROW(J10)+1,FALSE)</f>
        <v>0</v>
      </c>
      <c r="T12" s="15" cm="1">
        <f t="array" ref="T12">+HLOOKUP($A$1,+[12]İcmal!$B$19:$AG$49,ROW(K10)+1,FALSE)</f>
        <v>0</v>
      </c>
      <c r="U12" s="15" cm="1">
        <f t="array" ref="U12">+HLOOKUP($A$1,+[13]İcmal!$B$19:$AG$49,ROW(L10)+1,FALSE)</f>
        <v>0</v>
      </c>
      <c r="V12" s="15" cm="1">
        <f t="array" ref="V12">+HLOOKUP($A$1,+[14]İcmal!$B$19:$AG$49,ROW(M10)+1,FALSE)</f>
        <v>0</v>
      </c>
      <c r="W12" s="15" cm="1">
        <f t="array" ref="W12">+HLOOKUP($A$1,+[15]İcmal!$B$19:$AG$49,ROW(N10)+1,FALSE)</f>
        <v>0</v>
      </c>
      <c r="X12" s="15" cm="1">
        <f t="array" ref="X12">+HLOOKUP($A$1,+[16]İcmal!$B$19:$AG$49,ROW(O10)+1,FALSE)</f>
        <v>0</v>
      </c>
      <c r="Y12" s="15" cm="1">
        <f t="array" ref="Y12">+HLOOKUP($A$1,+[17]İcmal!$B$19:$AG$49,ROW(P10)+1,FALSE)</f>
        <v>0</v>
      </c>
      <c r="Z12" s="15" cm="1">
        <f t="array" ref="Z12">+HLOOKUP($A$1,+[18]İcmal!$B$19:$AG$49,ROW(Q10)+1,FALSE)</f>
        <v>0</v>
      </c>
      <c r="AA12" s="15" cm="1">
        <f t="array" ref="AA12">+HLOOKUP($A$1,+[19]İcmal!$B$19:$AG$49,ROW(R10)+1,FALSE)</f>
        <v>0</v>
      </c>
      <c r="AB12" s="15" cm="1">
        <f t="array" ref="AB12">+HLOOKUP($A$1,+[20]İcmal!$B$19:$AG$49,ROW(S10)+1,FALSE)</f>
        <v>0</v>
      </c>
      <c r="AC12" s="15" cm="1">
        <f t="array" ref="AC12">+HLOOKUP($A$1,+[21]İcmal!$B$19:$AG$49,ROW(T10)+1,FALSE)</f>
        <v>0</v>
      </c>
      <c r="AD12" s="15" cm="1">
        <f t="array" ref="AD12">+HLOOKUP($A$1,+[22]İcmal!$B$19:$AG$49,ROW(U10)+1,FALSE)</f>
        <v>0</v>
      </c>
      <c r="AE12" s="15" cm="1">
        <f t="array" ref="AE12">+HLOOKUP($A$1,+[23]İcmal!$B$19:$AG$49,ROW(V10)+1,FALSE)</f>
        <v>-175</v>
      </c>
      <c r="AF12" s="15" cm="1">
        <f t="array" ref="AF12">+HLOOKUP($A$1,+[24]İcmal!$B$19:$AG$49,ROW(W10)+1,FALSE)</f>
        <v>0</v>
      </c>
      <c r="AG12" s="15" cm="1">
        <f t="array" ref="AG12">+HLOOKUP($A$1,+[25]İcmal!$B$19:$AG$49,ROW(X10)+1,FALSE)</f>
        <v>0</v>
      </c>
      <c r="AH12" s="15" cm="1">
        <f t="array" ref="AH12">+HLOOKUP($A$1,+[26]İcmal!$B$19:$AG$49,ROW(Y10)+1,FALSE)</f>
        <v>0</v>
      </c>
      <c r="AI12" s="15" cm="1">
        <f t="array" ref="AI12">+HLOOKUP($A$1,+[27]İcmal!$B$19:$AG$49,ROW(Z10)+1,FALSE)</f>
        <v>0</v>
      </c>
      <c r="AJ12" s="15" cm="1">
        <f t="array" ref="AJ12">+HLOOKUP($A$1,+[28]İcmal!$B$19:$AG$49,ROW(AA10)+1,FALSE)</f>
        <v>0</v>
      </c>
      <c r="AK12" s="15" cm="1">
        <f t="array" ref="AK12">+HLOOKUP($A$1,+[29]İcmal!$B$19:$AG$49,ROW(AB10)+1,FALSE)</f>
        <v>0</v>
      </c>
      <c r="AL12" s="15"/>
      <c r="AM12" s="15"/>
      <c r="AN12" s="15"/>
      <c r="AO12" s="15"/>
      <c r="AP12" s="15"/>
      <c r="AQ12" s="15"/>
      <c r="AR12" s="15"/>
      <c r="AS12" s="15"/>
      <c r="AT12" s="13"/>
    </row>
    <row r="13" spans="1:46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938</v>
      </c>
      <c r="I13" s="9">
        <f t="shared" si="2"/>
        <v>26264000</v>
      </c>
      <c r="J13" s="15" cm="1">
        <f t="array" ref="J13">+HLOOKUP($A$1,+[2]İcmal!$B$19:$AG$49,ROW(A11)+1,FALSE)</f>
        <v>0</v>
      </c>
      <c r="K13" s="15" cm="1">
        <f t="array" ref="K13">+HLOOKUP($A$1,+[3]İcmal!$B$19:$AG$49,ROW(B11)+1,FALSE)</f>
        <v>0</v>
      </c>
      <c r="L13" s="15" cm="1">
        <f t="array" ref="L13">+HLOOKUP($A$1,+[4]İcmal!$B$19:$AG$49,ROW(C11)+1,FALSE)</f>
        <v>189</v>
      </c>
      <c r="M13" s="15" cm="1">
        <f t="array" ref="M13">+HLOOKUP($A$1,+[5]İcmal!$B$19:$AG$49,ROW(D11)+1,FALSE)</f>
        <v>207</v>
      </c>
      <c r="N13" s="15" cm="1">
        <f t="array" ref="N13">+HLOOKUP($A$1,+[6]İcmal!$B$19:$AG$49,ROW(E11)+1,FALSE)</f>
        <v>0</v>
      </c>
      <c r="O13" s="15" cm="1">
        <f t="array" ref="O13">+HLOOKUP($A$1,+[7]İcmal!$B$19:$AG$49,ROW(F11)+1,FALSE)</f>
        <v>0</v>
      </c>
      <c r="P13" s="15" cm="1">
        <f t="array" ref="P13">+HLOOKUP($A$1,+[8]İcmal!$B$19:$AG$49,ROW(G11)+1,FALSE)</f>
        <v>0</v>
      </c>
      <c r="Q13" s="15" cm="1">
        <f t="array" ref="Q13">+HLOOKUP($A$1,+[9]İcmal!$B$19:$AG$49,ROW(H11)+1,FALSE)</f>
        <v>0</v>
      </c>
      <c r="R13" s="15" cm="1">
        <f t="array" ref="R13">+HLOOKUP($A$1,+[10]İcmal!$B$19:$AG$49,ROW(I11)+1,FALSE)</f>
        <v>74</v>
      </c>
      <c r="S13" s="15" cm="1">
        <f t="array" ref="S13">+HLOOKUP($A$1,+[11]İcmal!$B$19:$AG$49,ROW(J11)+1,FALSE)</f>
        <v>115</v>
      </c>
      <c r="T13" s="15" cm="1">
        <f t="array" ref="T13">+HLOOKUP($A$1,+[12]İcmal!$B$19:$AG$49,ROW(K11)+1,FALSE)</f>
        <v>0</v>
      </c>
      <c r="U13" s="15" cm="1">
        <f t="array" ref="U13">+HLOOKUP($A$1,+[13]İcmal!$B$19:$AG$49,ROW(L11)+1,FALSE)</f>
        <v>0</v>
      </c>
      <c r="V13" s="15" cm="1">
        <f t="array" ref="V13">+HLOOKUP($A$1,+[14]İcmal!$B$19:$AG$49,ROW(M11)+1,FALSE)</f>
        <v>0</v>
      </c>
      <c r="W13" s="15" cm="1">
        <f t="array" ref="W13">+HLOOKUP($A$1,+[15]İcmal!$B$19:$AG$49,ROW(N11)+1,FALSE)</f>
        <v>0</v>
      </c>
      <c r="X13" s="15" cm="1">
        <f t="array" ref="X13">+HLOOKUP($A$1,+[16]İcmal!$B$19:$AG$49,ROW(O11)+1,FALSE)</f>
        <v>138</v>
      </c>
      <c r="Y13" s="15" cm="1">
        <f t="array" ref="Y13">+HLOOKUP($A$1,+[17]İcmal!$B$19:$AG$49,ROW(P11)+1,FALSE)</f>
        <v>171</v>
      </c>
      <c r="Z13" s="15" cm="1">
        <f t="array" ref="Z13">+HLOOKUP($A$1,+[18]İcmal!$B$19:$AG$49,ROW(Q11)+1,FALSE)</f>
        <v>0</v>
      </c>
      <c r="AA13" s="15" cm="1">
        <f t="array" ref="AA13">+HLOOKUP($A$1,+[19]İcmal!$B$19:$AG$49,ROW(R11)+1,FALSE)</f>
        <v>0</v>
      </c>
      <c r="AB13" s="15" cm="1">
        <f t="array" ref="AB13">+HLOOKUP($A$1,+[20]İcmal!$B$19:$AG$49,ROW(S11)+1,FALSE)</f>
        <v>0</v>
      </c>
      <c r="AC13" s="15" cm="1">
        <f t="array" ref="AC13">+HLOOKUP($A$1,+[21]İcmal!$B$19:$AG$49,ROW(T11)+1,FALSE)</f>
        <v>0</v>
      </c>
      <c r="AD13" s="15" cm="1">
        <f t="array" ref="AD13">+HLOOKUP($A$1,+[22]İcmal!$B$19:$AG$49,ROW(U11)+1,FALSE)</f>
        <v>0</v>
      </c>
      <c r="AE13" s="15" cm="1">
        <f t="array" ref="AE13">+HLOOKUP($A$1,+[23]İcmal!$B$19:$AG$49,ROW(V11)+1,FALSE)</f>
        <v>0</v>
      </c>
      <c r="AF13" s="15" cm="1">
        <f t="array" ref="AF13">+HLOOKUP($A$1,+[24]İcmal!$B$19:$AG$49,ROW(W11)+1,FALSE)</f>
        <v>0</v>
      </c>
      <c r="AG13" s="15" cm="1">
        <f t="array" ref="AG13">+HLOOKUP($A$1,+[25]İcmal!$B$19:$AG$49,ROW(X11)+1,FALSE)</f>
        <v>22</v>
      </c>
      <c r="AH13" s="15" cm="1">
        <f t="array" ref="AH13">+HLOOKUP($A$1,+[26]İcmal!$B$19:$AG$49,ROW(Y11)+1,FALSE)</f>
        <v>0</v>
      </c>
      <c r="AI13" s="15" cm="1">
        <f t="array" ref="AI13">+HLOOKUP($A$1,+[27]İcmal!$B$19:$AG$49,ROW(Z11)+1,FALSE)</f>
        <v>22</v>
      </c>
      <c r="AJ13" s="15" cm="1">
        <f t="array" ref="AJ13">+HLOOKUP($A$1,+[28]İcmal!$B$19:$AG$49,ROW(AA11)+1,FALSE)</f>
        <v>0</v>
      </c>
      <c r="AK13" s="15" cm="1">
        <f t="array" ref="AK13">+HLOOKUP($A$1,+[29]İcmal!$B$19:$AG$49,ROW(AB11)+1,FALSE)</f>
        <v>0</v>
      </c>
      <c r="AL13" s="15"/>
      <c r="AM13" s="15"/>
      <c r="AN13" s="15"/>
      <c r="AO13" s="15"/>
      <c r="AP13" s="15"/>
      <c r="AQ13" s="15"/>
      <c r="AR13" s="15"/>
      <c r="AS13" s="15"/>
      <c r="AT13" s="13"/>
    </row>
    <row r="14" spans="1:46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540</v>
      </c>
      <c r="I14" s="9">
        <f t="shared" si="2"/>
        <v>202500</v>
      </c>
      <c r="J14" s="15" cm="1">
        <f t="array" ref="J14">+HLOOKUP($A$1,+[2]İcmal!$B$19:$AG$49,ROW(A12)+1,FALSE)</f>
        <v>0</v>
      </c>
      <c r="K14" s="15" cm="1">
        <f t="array" ref="K14">+HLOOKUP($A$1,+[3]İcmal!$B$19:$AG$49,ROW(B12)+1,FALSE)</f>
        <v>0</v>
      </c>
      <c r="L14" s="15" cm="1">
        <f t="array" ref="L14">+HLOOKUP($A$1,+[4]İcmal!$B$19:$AG$49,ROW(C12)+1,FALSE)</f>
        <v>0</v>
      </c>
      <c r="M14" s="15" cm="1">
        <f t="array" ref="M14">+HLOOKUP($A$1,+[5]İcmal!$B$19:$AG$49,ROW(D12)+1,FALSE)</f>
        <v>0</v>
      </c>
      <c r="N14" s="15" cm="1">
        <f t="array" ref="N14">+HLOOKUP($A$1,+[6]İcmal!$B$19:$AG$49,ROW(E12)+1,FALSE)</f>
        <v>0</v>
      </c>
      <c r="O14" s="15" cm="1">
        <f t="array" ref="O14">+HLOOKUP($A$1,+[7]İcmal!$B$19:$AG$49,ROW(F12)+1,FALSE)</f>
        <v>0</v>
      </c>
      <c r="P14" s="15" cm="1">
        <f t="array" ref="P14">+HLOOKUP($A$1,+[8]İcmal!$B$19:$AG$49,ROW(G12)+1,FALSE)</f>
        <v>0</v>
      </c>
      <c r="Q14" s="15" cm="1">
        <f t="array" ref="Q14">+HLOOKUP($A$1,+[9]İcmal!$B$19:$AG$49,ROW(H12)+1,FALSE)</f>
        <v>0</v>
      </c>
      <c r="R14" s="15" cm="1">
        <f t="array" ref="R14">+HLOOKUP($A$1,+[10]İcmal!$B$19:$AG$49,ROW(I12)+1,FALSE)</f>
        <v>0</v>
      </c>
      <c r="S14" s="15" cm="1">
        <f t="array" ref="S14">+HLOOKUP($A$1,+[11]İcmal!$B$19:$AG$49,ROW(J12)+1,FALSE)</f>
        <v>0</v>
      </c>
      <c r="T14" s="15" cm="1">
        <f t="array" ref="T14">+HLOOKUP($A$1,+[12]İcmal!$B$19:$AG$49,ROW(K12)+1,FALSE)</f>
        <v>0</v>
      </c>
      <c r="U14" s="15" cm="1">
        <f t="array" ref="U14">+HLOOKUP($A$1,+[13]İcmal!$B$19:$AG$49,ROW(L12)+1,FALSE)</f>
        <v>0</v>
      </c>
      <c r="V14" s="15" cm="1">
        <f t="array" ref="V14">+HLOOKUP($A$1,+[14]İcmal!$B$19:$AG$49,ROW(M12)+1,FALSE)</f>
        <v>0</v>
      </c>
      <c r="W14" s="15" cm="1">
        <f t="array" ref="W14">+HLOOKUP($A$1,+[15]İcmal!$B$19:$AG$49,ROW(N12)+1,FALSE)</f>
        <v>0</v>
      </c>
      <c r="X14" s="15" cm="1">
        <f t="array" ref="X14">+HLOOKUP($A$1,+[16]İcmal!$B$19:$AG$49,ROW(O12)+1,FALSE)</f>
        <v>0</v>
      </c>
      <c r="Y14" s="15" cm="1">
        <f t="array" ref="Y14">+HLOOKUP($A$1,+[17]İcmal!$B$19:$AG$49,ROW(P12)+1,FALSE)</f>
        <v>0</v>
      </c>
      <c r="Z14" s="15" cm="1">
        <f t="array" ref="Z14">+HLOOKUP($A$1,+[18]İcmal!$B$19:$AG$49,ROW(Q12)+1,FALSE)</f>
        <v>360</v>
      </c>
      <c r="AA14" s="15" cm="1">
        <f t="array" ref="AA14">+HLOOKUP($A$1,+[19]İcmal!$B$19:$AG$49,ROW(R12)+1,FALSE)</f>
        <v>0</v>
      </c>
      <c r="AB14" s="15" cm="1">
        <f t="array" ref="AB14">+HLOOKUP($A$1,+[20]İcmal!$B$19:$AG$49,ROW(S12)+1,FALSE)</f>
        <v>0</v>
      </c>
      <c r="AC14" s="15" cm="1">
        <f t="array" ref="AC14">+HLOOKUP($A$1,+[21]İcmal!$B$19:$AG$49,ROW(T12)+1,FALSE)</f>
        <v>0</v>
      </c>
      <c r="AD14" s="15" cm="1">
        <f t="array" ref="AD14">+HLOOKUP($A$1,+[22]İcmal!$B$19:$AG$49,ROW(U12)+1,FALSE)</f>
        <v>0</v>
      </c>
      <c r="AE14" s="15" cm="1">
        <f t="array" ref="AE14">+HLOOKUP($A$1,+[23]İcmal!$B$19:$AG$49,ROW(V12)+1,FALSE)</f>
        <v>0</v>
      </c>
      <c r="AF14" s="15" cm="1">
        <f t="array" ref="AF14">+HLOOKUP($A$1,+[24]İcmal!$B$19:$AG$49,ROW(W12)+1,FALSE)</f>
        <v>0</v>
      </c>
      <c r="AG14" s="15" cm="1">
        <f t="array" ref="AG14">+HLOOKUP($A$1,+[25]İcmal!$B$19:$AG$49,ROW(X12)+1,FALSE)</f>
        <v>0</v>
      </c>
      <c r="AH14" s="15" cm="1">
        <f t="array" ref="AH14">+HLOOKUP($A$1,+[26]İcmal!$B$19:$AG$49,ROW(Y12)+1,FALSE)</f>
        <v>0</v>
      </c>
      <c r="AI14" s="15" cm="1">
        <f t="array" ref="AI14">+HLOOKUP($A$1,+[27]İcmal!$B$19:$AG$49,ROW(Z12)+1,FALSE)</f>
        <v>0</v>
      </c>
      <c r="AJ14" s="15" cm="1">
        <f t="array" ref="AJ14">+HLOOKUP($A$1,+[28]İcmal!$B$19:$AG$49,ROW(AA12)+1,FALSE)</f>
        <v>180</v>
      </c>
      <c r="AK14" s="15" cm="1">
        <f t="array" ref="AK14">+HLOOKUP($A$1,+[29]İcmal!$B$19:$AG$49,ROW(AB12)+1,FALSE)</f>
        <v>0</v>
      </c>
      <c r="AL14" s="15"/>
      <c r="AM14" s="15"/>
      <c r="AN14" s="15"/>
      <c r="AO14" s="15"/>
      <c r="AP14" s="15"/>
      <c r="AQ14" s="15"/>
      <c r="AR14" s="15"/>
      <c r="AS14" s="15"/>
      <c r="AT14" s="13"/>
    </row>
    <row r="15" spans="1:46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+HLOOKUP($A$1,+[2]İcmal!$B$19:$AG$49,ROW(A13)+1,FALSE)</f>
        <v>0</v>
      </c>
      <c r="K15" s="15" cm="1">
        <f t="array" ref="K15">+HLOOKUP($A$1,+[3]İcmal!$B$19:$AG$49,ROW(B13)+1,FALSE)</f>
        <v>0</v>
      </c>
      <c r="L15" s="15" cm="1">
        <f t="array" ref="L15">+HLOOKUP($A$1,+[4]İcmal!$B$19:$AG$49,ROW(C13)+1,FALSE)</f>
        <v>0</v>
      </c>
      <c r="M15" s="15" cm="1">
        <f t="array" ref="M15">+HLOOKUP($A$1,+[5]İcmal!$B$19:$AG$49,ROW(D13)+1,FALSE)</f>
        <v>0</v>
      </c>
      <c r="N15" s="15" cm="1">
        <f t="array" ref="N15">+HLOOKUP($A$1,+[6]İcmal!$B$19:$AG$49,ROW(E13)+1,FALSE)</f>
        <v>0</v>
      </c>
      <c r="O15" s="15" cm="1">
        <f t="array" ref="O15">+HLOOKUP($A$1,+[7]İcmal!$B$19:$AG$49,ROW(F13)+1,FALSE)</f>
        <v>0</v>
      </c>
      <c r="P15" s="15" cm="1">
        <f t="array" ref="P15">+HLOOKUP($A$1,+[8]İcmal!$B$19:$AG$49,ROW(G13)+1,FALSE)</f>
        <v>0</v>
      </c>
      <c r="Q15" s="15" cm="1">
        <f t="array" ref="Q15">+HLOOKUP($A$1,+[9]İcmal!$B$19:$AG$49,ROW(H13)+1,FALSE)</f>
        <v>0</v>
      </c>
      <c r="R15" s="15" cm="1">
        <f t="array" ref="R15">+HLOOKUP($A$1,+[10]İcmal!$B$19:$AG$49,ROW(I13)+1,FALSE)</f>
        <v>0</v>
      </c>
      <c r="S15" s="15" cm="1">
        <f t="array" ref="S15">+HLOOKUP($A$1,+[11]İcmal!$B$19:$AG$49,ROW(J13)+1,FALSE)</f>
        <v>0</v>
      </c>
      <c r="T15" s="15" cm="1">
        <f t="array" ref="T15">+HLOOKUP($A$1,+[12]İcmal!$B$19:$AG$49,ROW(K13)+1,FALSE)</f>
        <v>0</v>
      </c>
      <c r="U15" s="15" cm="1">
        <f t="array" ref="U15">+HLOOKUP($A$1,+[13]İcmal!$B$19:$AG$49,ROW(L13)+1,FALSE)</f>
        <v>0</v>
      </c>
      <c r="V15" s="15" cm="1">
        <f t="array" ref="V15">+HLOOKUP($A$1,+[14]İcmal!$B$19:$AG$49,ROW(M13)+1,FALSE)</f>
        <v>0</v>
      </c>
      <c r="W15" s="15" cm="1">
        <f t="array" ref="W15">+HLOOKUP($A$1,+[15]İcmal!$B$19:$AG$49,ROW(N13)+1,FALSE)</f>
        <v>0</v>
      </c>
      <c r="X15" s="15" cm="1">
        <f t="array" ref="X15">+HLOOKUP($A$1,+[16]İcmal!$B$19:$AG$49,ROW(O13)+1,FALSE)</f>
        <v>0</v>
      </c>
      <c r="Y15" s="15" cm="1">
        <f t="array" ref="Y15">+HLOOKUP($A$1,+[17]İcmal!$B$19:$AG$49,ROW(P13)+1,FALSE)</f>
        <v>0</v>
      </c>
      <c r="Z15" s="15" cm="1">
        <f t="array" ref="Z15">+HLOOKUP($A$1,+[18]İcmal!$B$19:$AG$49,ROW(Q13)+1,FALSE)</f>
        <v>0</v>
      </c>
      <c r="AA15" s="15" cm="1">
        <f t="array" ref="AA15">+HLOOKUP($A$1,+[19]İcmal!$B$19:$AG$49,ROW(R13)+1,FALSE)</f>
        <v>0</v>
      </c>
      <c r="AB15" s="15" cm="1">
        <f t="array" ref="AB15">+HLOOKUP($A$1,+[20]İcmal!$B$19:$AG$49,ROW(S13)+1,FALSE)</f>
        <v>0</v>
      </c>
      <c r="AC15" s="15" cm="1">
        <f t="array" ref="AC15">+HLOOKUP($A$1,+[21]İcmal!$B$19:$AG$49,ROW(T13)+1,FALSE)</f>
        <v>0</v>
      </c>
      <c r="AD15" s="15" cm="1">
        <f t="array" ref="AD15">+HLOOKUP($A$1,+[22]İcmal!$B$19:$AG$49,ROW(U13)+1,FALSE)</f>
        <v>0</v>
      </c>
      <c r="AE15" s="15" cm="1">
        <f t="array" ref="AE15">+HLOOKUP($A$1,+[23]İcmal!$B$19:$AG$49,ROW(V13)+1,FALSE)</f>
        <v>0</v>
      </c>
      <c r="AF15" s="15" cm="1">
        <f t="array" ref="AF15">+HLOOKUP($A$1,+[24]İcmal!$B$19:$AG$49,ROW(W13)+1,FALSE)</f>
        <v>0</v>
      </c>
      <c r="AG15" s="15" cm="1">
        <f t="array" ref="AG15">+HLOOKUP($A$1,+[25]İcmal!$B$19:$AG$49,ROW(X13)+1,FALSE)</f>
        <v>0</v>
      </c>
      <c r="AH15" s="15" cm="1">
        <f t="array" ref="AH15">+HLOOKUP($A$1,+[26]İcmal!$B$19:$AG$49,ROW(Y13)+1,FALSE)</f>
        <v>0</v>
      </c>
      <c r="AI15" s="15" cm="1">
        <f t="array" ref="AI15">+HLOOKUP($A$1,+[27]İcmal!$B$19:$AG$49,ROW(Z13)+1,FALSE)</f>
        <v>0</v>
      </c>
      <c r="AJ15" s="15" cm="1">
        <f t="array" ref="AJ15">+HLOOKUP($A$1,+[28]İcmal!$B$19:$AG$49,ROW(AA13)+1,FALSE)</f>
        <v>0</v>
      </c>
      <c r="AK15" s="15" cm="1">
        <f t="array" ref="AK15">+HLOOKUP($A$1,+[29]İcmal!$B$19:$AG$49,ROW(AB13)+1,FALSE)</f>
        <v>0</v>
      </c>
      <c r="AL15" s="15"/>
      <c r="AM15" s="15"/>
      <c r="AN15" s="15"/>
      <c r="AO15" s="15"/>
      <c r="AP15" s="15"/>
      <c r="AQ15" s="15"/>
      <c r="AR15" s="15"/>
      <c r="AS15" s="15"/>
      <c r="AT15" s="13"/>
    </row>
    <row r="16" spans="1:46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124.11</v>
      </c>
      <c r="I16" s="9">
        <f t="shared" si="2"/>
        <v>12659220</v>
      </c>
      <c r="J16" s="15" cm="1">
        <f t="array" ref="J16">+HLOOKUP($A$1,+[2]İcmal!$B$19:$AG$49,ROW(A14)+1,FALSE)</f>
        <v>0</v>
      </c>
      <c r="K16" s="15" cm="1">
        <f t="array" ref="K16">+HLOOKUP($A$1,+[3]İcmal!$B$19:$AG$49,ROW(B14)+1,FALSE)</f>
        <v>0</v>
      </c>
      <c r="L16" s="15" cm="1">
        <f t="array" ref="L16">+HLOOKUP($A$1,+[4]İcmal!$B$19:$AG$49,ROW(C14)+1,FALSE)</f>
        <v>20.547999999999998</v>
      </c>
      <c r="M16" s="15" cm="1">
        <f t="array" ref="M16">+HLOOKUP($A$1,+[5]İcmal!$B$19:$AG$49,ROW(D14)+1,FALSE)</f>
        <v>22.016000000000002</v>
      </c>
      <c r="N16" s="15" cm="1">
        <f t="array" ref="N16">+HLOOKUP($A$1,+[6]İcmal!$B$19:$AG$49,ROW(E14)+1,FALSE)</f>
        <v>0</v>
      </c>
      <c r="O16" s="15" cm="1">
        <f t="array" ref="O16">+HLOOKUP($A$1,+[7]İcmal!$B$19:$AG$49,ROW(F14)+1,FALSE)</f>
        <v>0</v>
      </c>
      <c r="P16" s="15" cm="1">
        <f t="array" ref="P16">+HLOOKUP($A$1,+[8]İcmal!$B$19:$AG$49,ROW(G14)+1,FALSE)</f>
        <v>0</v>
      </c>
      <c r="Q16" s="15" cm="1">
        <f t="array" ref="Q16">+HLOOKUP($A$1,+[9]İcmal!$B$19:$AG$49,ROW(H14)+1,FALSE)</f>
        <v>0</v>
      </c>
      <c r="R16" s="15" cm="1">
        <f t="array" ref="R16">+HLOOKUP($A$1,+[10]İcmal!$B$19:$AG$49,ROW(I14)+1,FALSE)</f>
        <v>0</v>
      </c>
      <c r="S16" s="15" cm="1">
        <f t="array" ref="S16">+HLOOKUP($A$1,+[11]İcmal!$B$19:$AG$49,ROW(J14)+1,FALSE)</f>
        <v>0</v>
      </c>
      <c r="T16" s="15" cm="1">
        <f t="array" ref="T16">+HLOOKUP($A$1,+[12]İcmal!$B$19:$AG$49,ROW(K14)+1,FALSE)</f>
        <v>8.6989999999999998</v>
      </c>
      <c r="U16" s="15" cm="1">
        <f t="array" ref="U16">+HLOOKUP($A$1,+[13]İcmal!$B$19:$AG$49,ROW(L14)+1,FALSE)</f>
        <v>7.375</v>
      </c>
      <c r="V16" s="15" cm="1">
        <f t="array" ref="V16">+HLOOKUP($A$1,+[14]İcmal!$B$19:$AG$49,ROW(M14)+1,FALSE)</f>
        <v>0</v>
      </c>
      <c r="W16" s="15" cm="1">
        <f t="array" ref="W16">+HLOOKUP($A$1,+[15]İcmal!$B$19:$AG$49,ROW(N14)+1,FALSE)</f>
        <v>0</v>
      </c>
      <c r="X16" s="15" cm="1">
        <f t="array" ref="X16">+HLOOKUP($A$1,+[16]İcmal!$B$19:$AG$49,ROW(O14)+1,FALSE)</f>
        <v>27.426000000000002</v>
      </c>
      <c r="Y16" s="15" cm="1">
        <f t="array" ref="Y16">+HLOOKUP($A$1,+[17]İcmal!$B$19:$AG$49,ROW(P14)+1,FALSE)</f>
        <v>27.520000000000003</v>
      </c>
      <c r="Z16" s="15" cm="1">
        <f t="array" ref="Z16">+HLOOKUP($A$1,+[18]İcmal!$B$19:$AG$49,ROW(Q14)+1,FALSE)</f>
        <v>8.8520000000000003</v>
      </c>
      <c r="AA16" s="15" cm="1">
        <f t="array" ref="AA16">+HLOOKUP($A$1,+[19]İcmal!$B$19:$AG$49,ROW(R14)+1,FALSE)</f>
        <v>0</v>
      </c>
      <c r="AB16" s="15" cm="1">
        <f t="array" ref="AB16">+HLOOKUP($A$1,+[20]İcmal!$B$19:$AG$49,ROW(S14)+1,FALSE)</f>
        <v>0</v>
      </c>
      <c r="AC16" s="15" cm="1">
        <f t="array" ref="AC16">+HLOOKUP($A$1,+[21]İcmal!$B$19:$AG$49,ROW(T14)+1,FALSE)</f>
        <v>0</v>
      </c>
      <c r="AD16" s="15" cm="1">
        <f t="array" ref="AD16">+HLOOKUP($A$1,+[22]İcmal!$B$19:$AG$49,ROW(U14)+1,FALSE)</f>
        <v>0</v>
      </c>
      <c r="AE16" s="15" cm="1">
        <f t="array" ref="AE16">+HLOOKUP($A$1,+[23]İcmal!$B$19:$AG$49,ROW(V14)+1,FALSE)</f>
        <v>0</v>
      </c>
      <c r="AF16" s="15" cm="1">
        <f t="array" ref="AF16">+HLOOKUP($A$1,+[24]İcmal!$B$19:$AG$49,ROW(W14)+1,FALSE)</f>
        <v>0</v>
      </c>
      <c r="AG16" s="15" cm="1">
        <f t="array" ref="AG16">+HLOOKUP($A$1,+[25]İcmal!$B$19:$AG$49,ROW(X14)+1,FALSE)</f>
        <v>0</v>
      </c>
      <c r="AH16" s="15" cm="1">
        <f t="array" ref="AH16">+HLOOKUP($A$1,+[26]İcmal!$B$19:$AG$49,ROW(Y14)+1,FALSE)</f>
        <v>0</v>
      </c>
      <c r="AI16" s="15" cm="1">
        <f t="array" ref="AI16">+HLOOKUP($A$1,+[27]İcmal!$B$19:$AG$49,ROW(Z14)+1,FALSE)</f>
        <v>0</v>
      </c>
      <c r="AJ16" s="15" cm="1">
        <f t="array" ref="AJ16">+HLOOKUP($A$1,+[28]İcmal!$B$19:$AG$49,ROW(AA14)+1,FALSE)</f>
        <v>1.6739999999999986</v>
      </c>
      <c r="AK16" s="15" cm="1">
        <f t="array" ref="AK16">+HLOOKUP($A$1,+[29]İcmal!$B$19:$AG$49,ROW(AB14)+1,FALSE)</f>
        <v>0</v>
      </c>
      <c r="AL16" s="15"/>
      <c r="AM16" s="15"/>
      <c r="AN16" s="15"/>
      <c r="AO16" s="15"/>
      <c r="AP16" s="15"/>
      <c r="AQ16" s="15"/>
      <c r="AR16" s="15"/>
      <c r="AS16" s="15"/>
      <c r="AT16" s="13"/>
    </row>
    <row r="17" spans="1:46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666</v>
      </c>
      <c r="I17" s="9">
        <f t="shared" si="2"/>
        <v>2264400</v>
      </c>
      <c r="J17" s="15" cm="1">
        <f t="array" ref="J17">+HLOOKUP($A$1,+[2]İcmal!$B$19:$AG$49,ROW(A15)+1,FALSE)</f>
        <v>0</v>
      </c>
      <c r="K17" s="15" cm="1">
        <f t="array" ref="K17">+HLOOKUP($A$1,+[3]İcmal!$B$19:$AG$49,ROW(B15)+1,FALSE)</f>
        <v>0</v>
      </c>
      <c r="L17" s="15" cm="1">
        <f t="array" ref="L17">+HLOOKUP($A$1,+[4]İcmal!$B$19:$AG$49,ROW(C15)+1,FALSE)</f>
        <v>0</v>
      </c>
      <c r="M17" s="15" cm="1">
        <f t="array" ref="M17">+HLOOKUP($A$1,+[5]İcmal!$B$19:$AG$49,ROW(D15)+1,FALSE)</f>
        <v>0</v>
      </c>
      <c r="N17" s="15" cm="1">
        <f t="array" ref="N17">+HLOOKUP($A$1,+[6]İcmal!$B$19:$AG$49,ROW(E15)+1,FALSE)</f>
        <v>0</v>
      </c>
      <c r="O17" s="15" cm="1">
        <f t="array" ref="O17">+HLOOKUP($A$1,+[7]İcmal!$B$19:$AG$49,ROW(F15)+1,FALSE)</f>
        <v>0</v>
      </c>
      <c r="P17" s="15" cm="1">
        <f t="array" ref="P17">+HLOOKUP($A$1,+[8]İcmal!$B$19:$AG$49,ROW(G15)+1,FALSE)</f>
        <v>0</v>
      </c>
      <c r="Q17" s="15" cm="1">
        <f t="array" ref="Q17">+HLOOKUP($A$1,+[9]İcmal!$B$19:$AG$49,ROW(H15)+1,FALSE)</f>
        <v>0</v>
      </c>
      <c r="R17" s="15" cm="1">
        <f t="array" ref="R17">+HLOOKUP($A$1,+[10]İcmal!$B$19:$AG$49,ROW(I15)+1,FALSE)</f>
        <v>0</v>
      </c>
      <c r="S17" s="15" cm="1">
        <f t="array" ref="S17">+HLOOKUP($A$1,+[11]İcmal!$B$19:$AG$49,ROW(J15)+1,FALSE)</f>
        <v>0</v>
      </c>
      <c r="T17" s="15" cm="1">
        <f t="array" ref="T17">+HLOOKUP($A$1,+[12]İcmal!$B$19:$AG$49,ROW(K15)+1,FALSE)</f>
        <v>0</v>
      </c>
      <c r="U17" s="15" cm="1">
        <f t="array" ref="U17">+HLOOKUP($A$1,+[13]İcmal!$B$19:$AG$49,ROW(L15)+1,FALSE)</f>
        <v>0</v>
      </c>
      <c r="V17" s="15" cm="1">
        <f t="array" ref="V17">+HLOOKUP($A$1,+[14]İcmal!$B$19:$AG$49,ROW(M15)+1,FALSE)</f>
        <v>0</v>
      </c>
      <c r="W17" s="15" cm="1">
        <f t="array" ref="W17">+HLOOKUP($A$1,+[15]İcmal!$B$19:$AG$49,ROW(N15)+1,FALSE)</f>
        <v>0</v>
      </c>
      <c r="X17" s="15" cm="1">
        <f t="array" ref="X17">+HLOOKUP($A$1,+[16]İcmal!$B$19:$AG$49,ROW(O15)+1,FALSE)</f>
        <v>0</v>
      </c>
      <c r="Y17" s="15" cm="1">
        <f t="array" ref="Y17">+HLOOKUP($A$1,+[17]İcmal!$B$19:$AG$49,ROW(P15)+1,FALSE)</f>
        <v>0</v>
      </c>
      <c r="Z17" s="15" cm="1">
        <f t="array" ref="Z17">+HLOOKUP($A$1,+[18]İcmal!$B$19:$AG$49,ROW(Q15)+1,FALSE)</f>
        <v>666</v>
      </c>
      <c r="AA17" s="15" cm="1">
        <f t="array" ref="AA17">+HLOOKUP($A$1,+[19]İcmal!$B$19:$AG$49,ROW(R15)+1,FALSE)</f>
        <v>0</v>
      </c>
      <c r="AB17" s="15" cm="1">
        <f t="array" ref="AB17">+HLOOKUP($A$1,+[20]İcmal!$B$19:$AG$49,ROW(S15)+1,FALSE)</f>
        <v>0</v>
      </c>
      <c r="AC17" s="15" cm="1">
        <f t="array" ref="AC17">+HLOOKUP($A$1,+[21]İcmal!$B$19:$AG$49,ROW(T15)+1,FALSE)</f>
        <v>0</v>
      </c>
      <c r="AD17" s="15" cm="1">
        <f t="array" ref="AD17">+HLOOKUP($A$1,+[22]İcmal!$B$19:$AG$49,ROW(U15)+1,FALSE)</f>
        <v>0</v>
      </c>
      <c r="AE17" s="15" cm="1">
        <f t="array" ref="AE17">+HLOOKUP($A$1,+[23]İcmal!$B$19:$AG$49,ROW(V15)+1,FALSE)</f>
        <v>0</v>
      </c>
      <c r="AF17" s="15" cm="1">
        <f t="array" ref="AF17">+HLOOKUP($A$1,+[24]İcmal!$B$19:$AG$49,ROW(W15)+1,FALSE)</f>
        <v>0</v>
      </c>
      <c r="AG17" s="15" cm="1">
        <f t="array" ref="AG17">+HLOOKUP($A$1,+[25]İcmal!$B$19:$AG$49,ROW(X15)+1,FALSE)</f>
        <v>0</v>
      </c>
      <c r="AH17" s="15" cm="1">
        <f t="array" ref="AH17">+HLOOKUP($A$1,+[26]İcmal!$B$19:$AG$49,ROW(Y15)+1,FALSE)</f>
        <v>0</v>
      </c>
      <c r="AI17" s="15" cm="1">
        <f t="array" ref="AI17">+HLOOKUP($A$1,+[27]İcmal!$B$19:$AG$49,ROW(Z15)+1,FALSE)</f>
        <v>0</v>
      </c>
      <c r="AJ17" s="15" cm="1">
        <f t="array" ref="AJ17">+HLOOKUP($A$1,+[28]İcmal!$B$19:$AG$49,ROW(AA15)+1,FALSE)</f>
        <v>0</v>
      </c>
      <c r="AK17" s="15" cm="1">
        <f t="array" ref="AK17">+HLOOKUP($A$1,+[29]İcmal!$B$19:$AG$49,ROW(AB15)+1,FALSE)</f>
        <v>0</v>
      </c>
      <c r="AL17" s="15"/>
      <c r="AM17" s="15"/>
      <c r="AN17" s="15"/>
      <c r="AO17" s="15"/>
      <c r="AP17" s="15"/>
      <c r="AQ17" s="15"/>
      <c r="AR17" s="15"/>
      <c r="AS17" s="15"/>
      <c r="AT17" s="13"/>
    </row>
    <row r="18" spans="1:46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+HLOOKUP($A$1,+[2]İcmal!$B$19:$AG$49,ROW(A16)+1,FALSE)</f>
        <v>0</v>
      </c>
      <c r="K18" s="15" cm="1">
        <f t="array" ref="K18">+HLOOKUP($A$1,+[3]İcmal!$B$19:$AG$49,ROW(B16)+1,FALSE)</f>
        <v>0</v>
      </c>
      <c r="L18" s="15" cm="1">
        <f t="array" ref="L18">+HLOOKUP($A$1,+[4]İcmal!$B$19:$AG$49,ROW(C16)+1,FALSE)</f>
        <v>0</v>
      </c>
      <c r="M18" s="15" cm="1">
        <f t="array" ref="M18">+HLOOKUP($A$1,+[5]İcmal!$B$19:$AG$49,ROW(D16)+1,FALSE)</f>
        <v>0</v>
      </c>
      <c r="N18" s="15" cm="1">
        <f t="array" ref="N18">+HLOOKUP($A$1,+[6]İcmal!$B$19:$AG$49,ROW(E16)+1,FALSE)</f>
        <v>0</v>
      </c>
      <c r="O18" s="15" cm="1">
        <f t="array" ref="O18">+HLOOKUP($A$1,+[7]İcmal!$B$19:$AG$49,ROW(F16)+1,FALSE)</f>
        <v>0</v>
      </c>
      <c r="P18" s="15" cm="1">
        <f t="array" ref="P18">+HLOOKUP($A$1,+[8]İcmal!$B$19:$AG$49,ROW(G16)+1,FALSE)</f>
        <v>0</v>
      </c>
      <c r="Q18" s="15" cm="1">
        <f t="array" ref="Q18">+HLOOKUP($A$1,+[9]İcmal!$B$19:$AG$49,ROW(H16)+1,FALSE)</f>
        <v>0</v>
      </c>
      <c r="R18" s="15" cm="1">
        <f t="array" ref="R18">+HLOOKUP($A$1,+[10]İcmal!$B$19:$AG$49,ROW(I16)+1,FALSE)</f>
        <v>0</v>
      </c>
      <c r="S18" s="15" cm="1">
        <f t="array" ref="S18">+HLOOKUP($A$1,+[11]İcmal!$B$19:$AG$49,ROW(J16)+1,FALSE)</f>
        <v>0</v>
      </c>
      <c r="T18" s="15" cm="1">
        <f t="array" ref="T18">+HLOOKUP($A$1,+[12]İcmal!$B$19:$AG$49,ROW(K16)+1,FALSE)</f>
        <v>0</v>
      </c>
      <c r="U18" s="15" cm="1">
        <f t="array" ref="U18">+HLOOKUP($A$1,+[13]İcmal!$B$19:$AG$49,ROW(L16)+1,FALSE)</f>
        <v>0</v>
      </c>
      <c r="V18" s="15" cm="1">
        <f t="array" ref="V18">+HLOOKUP($A$1,+[14]İcmal!$B$19:$AG$49,ROW(M16)+1,FALSE)</f>
        <v>0</v>
      </c>
      <c r="W18" s="15" cm="1">
        <f t="array" ref="W18">+HLOOKUP($A$1,+[15]İcmal!$B$19:$AG$49,ROW(N16)+1,FALSE)</f>
        <v>0</v>
      </c>
      <c r="X18" s="15" cm="1">
        <f t="array" ref="X18">+HLOOKUP($A$1,+[16]İcmal!$B$19:$AG$49,ROW(O16)+1,FALSE)</f>
        <v>0</v>
      </c>
      <c r="Y18" s="15" cm="1">
        <f t="array" ref="Y18">+HLOOKUP($A$1,+[17]İcmal!$B$19:$AG$49,ROW(P16)+1,FALSE)</f>
        <v>0</v>
      </c>
      <c r="Z18" s="15" cm="1">
        <f t="array" ref="Z18">+HLOOKUP($A$1,+[18]İcmal!$B$19:$AG$49,ROW(Q16)+1,FALSE)</f>
        <v>0</v>
      </c>
      <c r="AA18" s="15" cm="1">
        <f t="array" ref="AA18">+HLOOKUP($A$1,+[19]İcmal!$B$19:$AG$49,ROW(R16)+1,FALSE)</f>
        <v>0</v>
      </c>
      <c r="AB18" s="15" cm="1">
        <f t="array" ref="AB18">+HLOOKUP($A$1,+[20]İcmal!$B$19:$AG$49,ROW(S16)+1,FALSE)</f>
        <v>0</v>
      </c>
      <c r="AC18" s="15" cm="1">
        <f t="array" ref="AC18">+HLOOKUP($A$1,+[21]İcmal!$B$19:$AG$49,ROW(T16)+1,FALSE)</f>
        <v>0</v>
      </c>
      <c r="AD18" s="15" cm="1">
        <f t="array" ref="AD18">+HLOOKUP($A$1,+[22]İcmal!$B$19:$AG$49,ROW(U16)+1,FALSE)</f>
        <v>0</v>
      </c>
      <c r="AE18" s="15" cm="1">
        <f t="array" ref="AE18">+HLOOKUP($A$1,+[23]İcmal!$B$19:$AG$49,ROW(V16)+1,FALSE)</f>
        <v>0</v>
      </c>
      <c r="AF18" s="15" cm="1">
        <f t="array" ref="AF18">+HLOOKUP($A$1,+[24]İcmal!$B$19:$AG$49,ROW(W16)+1,FALSE)</f>
        <v>0</v>
      </c>
      <c r="AG18" s="15" cm="1">
        <f t="array" ref="AG18">+HLOOKUP($A$1,+[25]İcmal!$B$19:$AG$49,ROW(X16)+1,FALSE)</f>
        <v>0</v>
      </c>
      <c r="AH18" s="15" cm="1">
        <f t="array" ref="AH18">+HLOOKUP($A$1,+[26]İcmal!$B$19:$AG$49,ROW(Y16)+1,FALSE)</f>
        <v>0</v>
      </c>
      <c r="AI18" s="15" cm="1">
        <f t="array" ref="AI18">+HLOOKUP($A$1,+[27]İcmal!$B$19:$AG$49,ROW(Z16)+1,FALSE)</f>
        <v>0</v>
      </c>
      <c r="AJ18" s="15" cm="1">
        <f t="array" ref="AJ18">+HLOOKUP($A$1,+[28]İcmal!$B$19:$AG$49,ROW(AA16)+1,FALSE)</f>
        <v>0</v>
      </c>
      <c r="AK18" s="15" cm="1">
        <f t="array" ref="AK18">+HLOOKUP($A$1,+[29]İcmal!$B$19:$AG$49,ROW(AB16)+1,FALSE)</f>
        <v>0</v>
      </c>
      <c r="AL18" s="15"/>
      <c r="AM18" s="15"/>
      <c r="AN18" s="15"/>
      <c r="AO18" s="15"/>
      <c r="AP18" s="15"/>
      <c r="AQ18" s="15"/>
      <c r="AR18" s="15"/>
      <c r="AS18" s="15"/>
      <c r="AT18" s="13"/>
    </row>
    <row r="19" spans="1:46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+HLOOKUP($A$1,+[2]İcmal!$B$19:$AG$49,ROW(A17)+1,FALSE)</f>
        <v>0</v>
      </c>
      <c r="K19" s="15" cm="1">
        <f t="array" ref="K19">+HLOOKUP($A$1,+[3]İcmal!$B$19:$AG$49,ROW(B17)+1,FALSE)</f>
        <v>0</v>
      </c>
      <c r="L19" s="15" cm="1">
        <f t="array" ref="L19">+HLOOKUP($A$1,+[4]İcmal!$B$19:$AG$49,ROW(C17)+1,FALSE)</f>
        <v>0</v>
      </c>
      <c r="M19" s="15" cm="1">
        <f t="array" ref="M19">+HLOOKUP($A$1,+[5]İcmal!$B$19:$AG$49,ROW(D17)+1,FALSE)</f>
        <v>0</v>
      </c>
      <c r="N19" s="15" cm="1">
        <f t="array" ref="N19">+HLOOKUP($A$1,+[6]İcmal!$B$19:$AG$49,ROW(E17)+1,FALSE)</f>
        <v>0</v>
      </c>
      <c r="O19" s="15" cm="1">
        <f t="array" ref="O19">+HLOOKUP($A$1,+[7]İcmal!$B$19:$AG$49,ROW(F17)+1,FALSE)</f>
        <v>0</v>
      </c>
      <c r="P19" s="15" cm="1">
        <f t="array" ref="P19">+HLOOKUP($A$1,+[8]İcmal!$B$19:$AG$49,ROW(G17)+1,FALSE)</f>
        <v>0</v>
      </c>
      <c r="Q19" s="15" cm="1">
        <f t="array" ref="Q19">+HLOOKUP($A$1,+[9]İcmal!$B$19:$AG$49,ROW(H17)+1,FALSE)</f>
        <v>0</v>
      </c>
      <c r="R19" s="15" cm="1">
        <f t="array" ref="R19">+HLOOKUP($A$1,+[10]İcmal!$B$19:$AG$49,ROW(I17)+1,FALSE)</f>
        <v>0</v>
      </c>
      <c r="S19" s="15" cm="1">
        <f t="array" ref="S19">+HLOOKUP($A$1,+[11]İcmal!$B$19:$AG$49,ROW(J17)+1,FALSE)</f>
        <v>0</v>
      </c>
      <c r="T19" s="15" cm="1">
        <f t="array" ref="T19">+HLOOKUP($A$1,+[12]İcmal!$B$19:$AG$49,ROW(K17)+1,FALSE)</f>
        <v>0</v>
      </c>
      <c r="U19" s="15" cm="1">
        <f t="array" ref="U19">+HLOOKUP($A$1,+[13]İcmal!$B$19:$AG$49,ROW(L17)+1,FALSE)</f>
        <v>0</v>
      </c>
      <c r="V19" s="15" cm="1">
        <f t="array" ref="V19">+HLOOKUP($A$1,+[14]İcmal!$B$19:$AG$49,ROW(M17)+1,FALSE)</f>
        <v>0</v>
      </c>
      <c r="W19" s="15" cm="1">
        <f t="array" ref="W19">+HLOOKUP($A$1,+[15]İcmal!$B$19:$AG$49,ROW(N17)+1,FALSE)</f>
        <v>0</v>
      </c>
      <c r="X19" s="15" cm="1">
        <f t="array" ref="X19">+HLOOKUP($A$1,+[16]İcmal!$B$19:$AG$49,ROW(O17)+1,FALSE)</f>
        <v>0</v>
      </c>
      <c r="Y19" s="15" cm="1">
        <f t="array" ref="Y19">+HLOOKUP($A$1,+[17]İcmal!$B$19:$AG$49,ROW(P17)+1,FALSE)</f>
        <v>0</v>
      </c>
      <c r="Z19" s="15" cm="1">
        <f t="array" ref="Z19">+HLOOKUP($A$1,+[18]İcmal!$B$19:$AG$49,ROW(Q17)+1,FALSE)</f>
        <v>0</v>
      </c>
      <c r="AA19" s="15" cm="1">
        <f t="array" ref="AA19">+HLOOKUP($A$1,+[19]İcmal!$B$19:$AG$49,ROW(R17)+1,FALSE)</f>
        <v>0</v>
      </c>
      <c r="AB19" s="15" cm="1">
        <f t="array" ref="AB19">+HLOOKUP($A$1,+[20]İcmal!$B$19:$AG$49,ROW(S17)+1,FALSE)</f>
        <v>0</v>
      </c>
      <c r="AC19" s="15" cm="1">
        <f t="array" ref="AC19">+HLOOKUP($A$1,+[21]İcmal!$B$19:$AG$49,ROW(T17)+1,FALSE)</f>
        <v>0</v>
      </c>
      <c r="AD19" s="15" cm="1">
        <f t="array" ref="AD19">+HLOOKUP($A$1,+[22]İcmal!$B$19:$AG$49,ROW(U17)+1,FALSE)</f>
        <v>0</v>
      </c>
      <c r="AE19" s="15" cm="1">
        <f t="array" ref="AE19">+HLOOKUP($A$1,+[23]İcmal!$B$19:$AG$49,ROW(V17)+1,FALSE)</f>
        <v>0</v>
      </c>
      <c r="AF19" s="15" cm="1">
        <f t="array" ref="AF19">+HLOOKUP($A$1,+[24]İcmal!$B$19:$AG$49,ROW(W17)+1,FALSE)</f>
        <v>0</v>
      </c>
      <c r="AG19" s="15" cm="1">
        <f t="array" ref="AG19">+HLOOKUP($A$1,+[25]İcmal!$B$19:$AG$49,ROW(X17)+1,FALSE)</f>
        <v>0</v>
      </c>
      <c r="AH19" s="15" cm="1">
        <f t="array" ref="AH19">+HLOOKUP($A$1,+[26]İcmal!$B$19:$AG$49,ROW(Y17)+1,FALSE)</f>
        <v>0</v>
      </c>
      <c r="AI19" s="15" cm="1">
        <f t="array" ref="AI19">+HLOOKUP($A$1,+[27]İcmal!$B$19:$AG$49,ROW(Z17)+1,FALSE)</f>
        <v>0</v>
      </c>
      <c r="AJ19" s="15" cm="1">
        <f t="array" ref="AJ19">+HLOOKUP($A$1,+[28]İcmal!$B$19:$AG$49,ROW(AA17)+1,FALSE)</f>
        <v>0</v>
      </c>
      <c r="AK19" s="15" cm="1">
        <f t="array" ref="AK19">+HLOOKUP($A$1,+[29]İcmal!$B$19:$AG$49,ROW(AB17)+1,FALSE)</f>
        <v>0</v>
      </c>
      <c r="AL19" s="15"/>
      <c r="AM19" s="15"/>
      <c r="AN19" s="15"/>
      <c r="AO19" s="15"/>
      <c r="AP19" s="15"/>
      <c r="AQ19" s="15"/>
      <c r="AR19" s="15"/>
      <c r="AS19" s="15"/>
      <c r="AT19" s="13"/>
    </row>
    <row r="20" spans="1:46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+HLOOKUP($A$1,+[2]İcmal!$B$19:$AG$49,ROW(A18)+1,FALSE)</f>
        <v>0</v>
      </c>
      <c r="K20" s="15" cm="1">
        <f t="array" ref="K20">+HLOOKUP($A$1,+[3]İcmal!$B$19:$AG$49,ROW(B18)+1,FALSE)</f>
        <v>0</v>
      </c>
      <c r="L20" s="15" cm="1">
        <f t="array" ref="L20">+HLOOKUP($A$1,+[4]İcmal!$B$19:$AG$49,ROW(C18)+1,FALSE)</f>
        <v>0</v>
      </c>
      <c r="M20" s="15" cm="1">
        <f t="array" ref="M20">+HLOOKUP($A$1,+[5]İcmal!$B$19:$AG$49,ROW(D18)+1,FALSE)</f>
        <v>0</v>
      </c>
      <c r="N20" s="15" cm="1">
        <f t="array" ref="N20">+HLOOKUP($A$1,+[6]İcmal!$B$19:$AG$49,ROW(E18)+1,FALSE)</f>
        <v>0</v>
      </c>
      <c r="O20" s="15" cm="1">
        <f t="array" ref="O20">+HLOOKUP($A$1,+[7]İcmal!$B$19:$AG$49,ROW(F18)+1,FALSE)</f>
        <v>0</v>
      </c>
      <c r="P20" s="15" cm="1">
        <f t="array" ref="P20">+HLOOKUP($A$1,+[8]İcmal!$B$19:$AG$49,ROW(G18)+1,FALSE)</f>
        <v>0</v>
      </c>
      <c r="Q20" s="15" cm="1">
        <f t="array" ref="Q20">+HLOOKUP($A$1,+[9]İcmal!$B$19:$AG$49,ROW(H18)+1,FALSE)</f>
        <v>0</v>
      </c>
      <c r="R20" s="15" cm="1">
        <f t="array" ref="R20">+HLOOKUP($A$1,+[10]İcmal!$B$19:$AG$49,ROW(I18)+1,FALSE)</f>
        <v>0</v>
      </c>
      <c r="S20" s="15" cm="1">
        <f t="array" ref="S20">+HLOOKUP($A$1,+[11]İcmal!$B$19:$AG$49,ROW(J18)+1,FALSE)</f>
        <v>0</v>
      </c>
      <c r="T20" s="15" cm="1">
        <f t="array" ref="T20">+HLOOKUP($A$1,+[12]İcmal!$B$19:$AG$49,ROW(K18)+1,FALSE)</f>
        <v>0</v>
      </c>
      <c r="U20" s="15" cm="1">
        <f t="array" ref="U20">+HLOOKUP($A$1,+[13]İcmal!$B$19:$AG$49,ROW(L18)+1,FALSE)</f>
        <v>0</v>
      </c>
      <c r="V20" s="15" cm="1">
        <f t="array" ref="V20">+HLOOKUP($A$1,+[14]İcmal!$B$19:$AG$49,ROW(M18)+1,FALSE)</f>
        <v>0</v>
      </c>
      <c r="W20" s="15" cm="1">
        <f t="array" ref="W20">+HLOOKUP($A$1,+[15]İcmal!$B$19:$AG$49,ROW(N18)+1,FALSE)</f>
        <v>0</v>
      </c>
      <c r="X20" s="15" cm="1">
        <f t="array" ref="X20">+HLOOKUP($A$1,+[16]İcmal!$B$19:$AG$49,ROW(O18)+1,FALSE)</f>
        <v>0</v>
      </c>
      <c r="Y20" s="15" cm="1">
        <f t="array" ref="Y20">+HLOOKUP($A$1,+[17]İcmal!$B$19:$AG$49,ROW(P18)+1,FALSE)</f>
        <v>0</v>
      </c>
      <c r="Z20" s="15" cm="1">
        <f t="array" ref="Z20">+HLOOKUP($A$1,+[18]İcmal!$B$19:$AG$49,ROW(Q18)+1,FALSE)</f>
        <v>0</v>
      </c>
      <c r="AA20" s="15" cm="1">
        <f t="array" ref="AA20">+HLOOKUP($A$1,+[19]İcmal!$B$19:$AG$49,ROW(R18)+1,FALSE)</f>
        <v>0</v>
      </c>
      <c r="AB20" s="15" cm="1">
        <f t="array" ref="AB20">+HLOOKUP($A$1,+[20]İcmal!$B$19:$AG$49,ROW(S18)+1,FALSE)</f>
        <v>0</v>
      </c>
      <c r="AC20" s="15" cm="1">
        <f t="array" ref="AC20">+HLOOKUP($A$1,+[21]İcmal!$B$19:$AG$49,ROW(T18)+1,FALSE)</f>
        <v>0</v>
      </c>
      <c r="AD20" s="15" cm="1">
        <f t="array" ref="AD20">+HLOOKUP($A$1,+[22]İcmal!$B$19:$AG$49,ROW(U18)+1,FALSE)</f>
        <v>0</v>
      </c>
      <c r="AE20" s="15" cm="1">
        <f t="array" ref="AE20">+HLOOKUP($A$1,+[23]İcmal!$B$19:$AG$49,ROW(V18)+1,FALSE)</f>
        <v>0</v>
      </c>
      <c r="AF20" s="15" cm="1">
        <f t="array" ref="AF20">+HLOOKUP($A$1,+[24]İcmal!$B$19:$AG$49,ROW(W18)+1,FALSE)</f>
        <v>0</v>
      </c>
      <c r="AG20" s="15" cm="1">
        <f t="array" ref="AG20">+HLOOKUP($A$1,+[25]İcmal!$B$19:$AG$49,ROW(X18)+1,FALSE)</f>
        <v>0</v>
      </c>
      <c r="AH20" s="15" cm="1">
        <f t="array" ref="AH20">+HLOOKUP($A$1,+[26]İcmal!$B$19:$AG$49,ROW(Y18)+1,FALSE)</f>
        <v>0</v>
      </c>
      <c r="AI20" s="15" cm="1">
        <f t="array" ref="AI20">+HLOOKUP($A$1,+[27]İcmal!$B$19:$AG$49,ROW(Z18)+1,FALSE)</f>
        <v>0</v>
      </c>
      <c r="AJ20" s="15" cm="1">
        <f t="array" ref="AJ20">+HLOOKUP($A$1,+[28]İcmal!$B$19:$AG$49,ROW(AA18)+1,FALSE)</f>
        <v>0</v>
      </c>
      <c r="AK20" s="15" cm="1">
        <f t="array" ref="AK20">+HLOOKUP($A$1,+[29]İcmal!$B$19:$AG$49,ROW(AB18)+1,FALSE)</f>
        <v>0</v>
      </c>
      <c r="AL20" s="15"/>
      <c r="AM20" s="15"/>
      <c r="AN20" s="15"/>
      <c r="AO20" s="15"/>
      <c r="AP20" s="15"/>
      <c r="AQ20" s="15"/>
      <c r="AR20" s="15"/>
      <c r="AS20" s="15"/>
      <c r="AT20" s="13"/>
    </row>
    <row r="21" spans="1:46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+HLOOKUP($A$1,+[2]İcmal!$B$19:$AG$49,ROW(A19)+1,FALSE)</f>
        <v>0</v>
      </c>
      <c r="K21" s="15" cm="1">
        <f t="array" ref="K21">+HLOOKUP($A$1,+[3]İcmal!$B$19:$AG$49,ROW(B19)+1,FALSE)</f>
        <v>0</v>
      </c>
      <c r="L21" s="15" cm="1">
        <f t="array" ref="L21">+HLOOKUP($A$1,+[4]İcmal!$B$19:$AG$49,ROW(C19)+1,FALSE)</f>
        <v>0</v>
      </c>
      <c r="M21" s="15" cm="1">
        <f t="array" ref="M21">+HLOOKUP($A$1,+[5]İcmal!$B$19:$AG$49,ROW(D19)+1,FALSE)</f>
        <v>0</v>
      </c>
      <c r="N21" s="15" cm="1">
        <f t="array" ref="N21">+HLOOKUP($A$1,+[6]İcmal!$B$19:$AG$49,ROW(E19)+1,FALSE)</f>
        <v>0</v>
      </c>
      <c r="O21" s="15" cm="1">
        <f t="array" ref="O21">+HLOOKUP($A$1,+[7]İcmal!$B$19:$AG$49,ROW(F19)+1,FALSE)</f>
        <v>0</v>
      </c>
      <c r="P21" s="15" cm="1">
        <f t="array" ref="P21">+HLOOKUP($A$1,+[8]İcmal!$B$19:$AG$49,ROW(G19)+1,FALSE)</f>
        <v>0</v>
      </c>
      <c r="Q21" s="15" cm="1">
        <f t="array" ref="Q21">+HLOOKUP($A$1,+[9]İcmal!$B$19:$AG$49,ROW(H19)+1,FALSE)</f>
        <v>0</v>
      </c>
      <c r="R21" s="15" cm="1">
        <f t="array" ref="R21">+HLOOKUP($A$1,+[10]İcmal!$B$19:$AG$49,ROW(I19)+1,FALSE)</f>
        <v>0</v>
      </c>
      <c r="S21" s="15" cm="1">
        <f t="array" ref="S21">+HLOOKUP($A$1,+[11]İcmal!$B$19:$AG$49,ROW(J19)+1,FALSE)</f>
        <v>0</v>
      </c>
      <c r="T21" s="15" cm="1">
        <f t="array" ref="T21">+HLOOKUP($A$1,+[12]İcmal!$B$19:$AG$49,ROW(K19)+1,FALSE)</f>
        <v>0</v>
      </c>
      <c r="U21" s="15" cm="1">
        <f t="array" ref="U21">+HLOOKUP($A$1,+[13]İcmal!$B$19:$AG$49,ROW(L19)+1,FALSE)</f>
        <v>0</v>
      </c>
      <c r="V21" s="15" cm="1">
        <f t="array" ref="V21">+HLOOKUP($A$1,+[14]İcmal!$B$19:$AG$49,ROW(M19)+1,FALSE)</f>
        <v>0</v>
      </c>
      <c r="W21" s="15" cm="1">
        <f t="array" ref="W21">+HLOOKUP($A$1,+[15]İcmal!$B$19:$AG$49,ROW(N19)+1,FALSE)</f>
        <v>0</v>
      </c>
      <c r="X21" s="15" cm="1">
        <f t="array" ref="X21">+HLOOKUP($A$1,+[16]İcmal!$B$19:$AG$49,ROW(O19)+1,FALSE)</f>
        <v>0</v>
      </c>
      <c r="Y21" s="15" cm="1">
        <f t="array" ref="Y21">+HLOOKUP($A$1,+[17]İcmal!$B$19:$AG$49,ROW(P19)+1,FALSE)</f>
        <v>0</v>
      </c>
      <c r="Z21" s="15" cm="1">
        <f t="array" ref="Z21">+HLOOKUP($A$1,+[18]İcmal!$B$19:$AG$49,ROW(Q19)+1,FALSE)</f>
        <v>0</v>
      </c>
      <c r="AA21" s="15" cm="1">
        <f t="array" ref="AA21">+HLOOKUP($A$1,+[19]İcmal!$B$19:$AG$49,ROW(R19)+1,FALSE)</f>
        <v>0</v>
      </c>
      <c r="AB21" s="15" cm="1">
        <f t="array" ref="AB21">+HLOOKUP($A$1,+[20]İcmal!$B$19:$AG$49,ROW(S19)+1,FALSE)</f>
        <v>0</v>
      </c>
      <c r="AC21" s="15" cm="1">
        <f t="array" ref="AC21">+HLOOKUP($A$1,+[21]İcmal!$B$19:$AG$49,ROW(T19)+1,FALSE)</f>
        <v>0</v>
      </c>
      <c r="AD21" s="15" cm="1">
        <f t="array" ref="AD21">+HLOOKUP($A$1,+[22]İcmal!$B$19:$AG$49,ROW(U19)+1,FALSE)</f>
        <v>0</v>
      </c>
      <c r="AE21" s="15" cm="1">
        <f t="array" ref="AE21">+HLOOKUP($A$1,+[23]İcmal!$B$19:$AG$49,ROW(V19)+1,FALSE)</f>
        <v>0</v>
      </c>
      <c r="AF21" s="15" cm="1">
        <f t="array" ref="AF21">+HLOOKUP($A$1,+[24]İcmal!$B$19:$AG$49,ROW(W19)+1,FALSE)</f>
        <v>0</v>
      </c>
      <c r="AG21" s="15" cm="1">
        <f t="array" ref="AG21">+HLOOKUP($A$1,+[25]İcmal!$B$19:$AG$49,ROW(X19)+1,FALSE)</f>
        <v>0</v>
      </c>
      <c r="AH21" s="15" cm="1">
        <f t="array" ref="AH21">+HLOOKUP($A$1,+[26]İcmal!$B$19:$AG$49,ROW(Y19)+1,FALSE)</f>
        <v>0</v>
      </c>
      <c r="AI21" s="15" cm="1">
        <f t="array" ref="AI21">+HLOOKUP($A$1,+[27]İcmal!$B$19:$AG$49,ROW(Z19)+1,FALSE)</f>
        <v>0</v>
      </c>
      <c r="AJ21" s="15" cm="1">
        <f t="array" ref="AJ21">+HLOOKUP($A$1,+[28]İcmal!$B$19:$AG$49,ROW(AA19)+1,FALSE)</f>
        <v>0</v>
      </c>
      <c r="AK21" s="15" cm="1">
        <f t="array" ref="AK21">+HLOOKUP($A$1,+[29]İcmal!$B$19:$AG$49,ROW(AB19)+1,FALSE)</f>
        <v>0</v>
      </c>
      <c r="AL21" s="15"/>
      <c r="AM21" s="15"/>
      <c r="AN21" s="15"/>
      <c r="AO21" s="15"/>
      <c r="AP21" s="15"/>
      <c r="AQ21" s="15"/>
      <c r="AR21" s="15"/>
      <c r="AS21" s="15"/>
      <c r="AT21" s="13"/>
    </row>
    <row r="22" spans="1:46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+HLOOKUP($A$1,+[2]İcmal!$B$19:$AG$49,ROW(A20)+1,FALSE)</f>
        <v>0</v>
      </c>
      <c r="K22" s="15" cm="1">
        <f t="array" ref="K22">+HLOOKUP($A$1,+[3]İcmal!$B$19:$AG$49,ROW(B20)+1,FALSE)</f>
        <v>0</v>
      </c>
      <c r="L22" s="15" cm="1">
        <f t="array" ref="L22">+HLOOKUP($A$1,+[4]İcmal!$B$19:$AG$49,ROW(C20)+1,FALSE)</f>
        <v>0</v>
      </c>
      <c r="M22" s="15" cm="1">
        <f t="array" ref="M22">+HLOOKUP($A$1,+[5]İcmal!$B$19:$AG$49,ROW(D20)+1,FALSE)</f>
        <v>0</v>
      </c>
      <c r="N22" s="15" cm="1">
        <f t="array" ref="N22">+HLOOKUP($A$1,+[6]İcmal!$B$19:$AG$49,ROW(E20)+1,FALSE)</f>
        <v>0</v>
      </c>
      <c r="O22" s="15" cm="1">
        <f t="array" ref="O22">+HLOOKUP($A$1,+[7]İcmal!$B$19:$AG$49,ROW(F20)+1,FALSE)</f>
        <v>0</v>
      </c>
      <c r="P22" s="15" cm="1">
        <f t="array" ref="P22">+HLOOKUP($A$1,+[8]İcmal!$B$19:$AG$49,ROW(G20)+1,FALSE)</f>
        <v>0</v>
      </c>
      <c r="Q22" s="15" cm="1">
        <f t="array" ref="Q22">+HLOOKUP($A$1,+[9]İcmal!$B$19:$AG$49,ROW(H20)+1,FALSE)</f>
        <v>0</v>
      </c>
      <c r="R22" s="15" cm="1">
        <f t="array" ref="R22">+HLOOKUP($A$1,+[10]İcmal!$B$19:$AG$49,ROW(I20)+1,FALSE)</f>
        <v>0</v>
      </c>
      <c r="S22" s="15" cm="1">
        <f t="array" ref="S22">+HLOOKUP($A$1,+[11]İcmal!$B$19:$AG$49,ROW(J20)+1,FALSE)</f>
        <v>0</v>
      </c>
      <c r="T22" s="15" cm="1">
        <f t="array" ref="T22">+HLOOKUP($A$1,+[12]İcmal!$B$19:$AG$49,ROW(K20)+1,FALSE)</f>
        <v>0</v>
      </c>
      <c r="U22" s="15" cm="1">
        <f t="array" ref="U22">+HLOOKUP($A$1,+[13]İcmal!$B$19:$AG$49,ROW(L20)+1,FALSE)</f>
        <v>0</v>
      </c>
      <c r="V22" s="15" cm="1">
        <f t="array" ref="V22">+HLOOKUP($A$1,+[14]İcmal!$B$19:$AG$49,ROW(M20)+1,FALSE)</f>
        <v>0</v>
      </c>
      <c r="W22" s="15" cm="1">
        <f t="array" ref="W22">+HLOOKUP($A$1,+[15]İcmal!$B$19:$AG$49,ROW(N20)+1,FALSE)</f>
        <v>0</v>
      </c>
      <c r="X22" s="15" cm="1">
        <f t="array" ref="X22">+HLOOKUP($A$1,+[16]İcmal!$B$19:$AG$49,ROW(O20)+1,FALSE)</f>
        <v>0</v>
      </c>
      <c r="Y22" s="15" cm="1">
        <f t="array" ref="Y22">+HLOOKUP($A$1,+[17]İcmal!$B$19:$AG$49,ROW(P20)+1,FALSE)</f>
        <v>0</v>
      </c>
      <c r="Z22" s="15" cm="1">
        <f t="array" ref="Z22">+HLOOKUP($A$1,+[18]İcmal!$B$19:$AG$49,ROW(Q20)+1,FALSE)</f>
        <v>0</v>
      </c>
      <c r="AA22" s="15" cm="1">
        <f t="array" ref="AA22">+HLOOKUP($A$1,+[19]İcmal!$B$19:$AG$49,ROW(R20)+1,FALSE)</f>
        <v>0</v>
      </c>
      <c r="AB22" s="15" cm="1">
        <f t="array" ref="AB22">+HLOOKUP($A$1,+[20]İcmal!$B$19:$AG$49,ROW(S20)+1,FALSE)</f>
        <v>0</v>
      </c>
      <c r="AC22" s="15" cm="1">
        <f t="array" ref="AC22">+HLOOKUP($A$1,+[21]İcmal!$B$19:$AG$49,ROW(T20)+1,FALSE)</f>
        <v>0</v>
      </c>
      <c r="AD22" s="15" cm="1">
        <f t="array" ref="AD22">+HLOOKUP($A$1,+[22]İcmal!$B$19:$AG$49,ROW(U20)+1,FALSE)</f>
        <v>0</v>
      </c>
      <c r="AE22" s="15" cm="1">
        <f t="array" ref="AE22">+HLOOKUP($A$1,+[23]İcmal!$B$19:$AG$49,ROW(V20)+1,FALSE)</f>
        <v>0</v>
      </c>
      <c r="AF22" s="15" cm="1">
        <f t="array" ref="AF22">+HLOOKUP($A$1,+[24]İcmal!$B$19:$AG$49,ROW(W20)+1,FALSE)</f>
        <v>0</v>
      </c>
      <c r="AG22" s="15" cm="1">
        <f t="array" ref="AG22">+HLOOKUP($A$1,+[25]İcmal!$B$19:$AG$49,ROW(X20)+1,FALSE)</f>
        <v>0</v>
      </c>
      <c r="AH22" s="15" cm="1">
        <f t="array" ref="AH22">+HLOOKUP($A$1,+[26]İcmal!$B$19:$AG$49,ROW(Y20)+1,FALSE)</f>
        <v>0</v>
      </c>
      <c r="AI22" s="15" cm="1">
        <f t="array" ref="AI22">+HLOOKUP($A$1,+[27]İcmal!$B$19:$AG$49,ROW(Z20)+1,FALSE)</f>
        <v>0</v>
      </c>
      <c r="AJ22" s="15" cm="1">
        <f t="array" ref="AJ22">+HLOOKUP($A$1,+[28]İcmal!$B$19:$AG$49,ROW(AA20)+1,FALSE)</f>
        <v>0</v>
      </c>
      <c r="AK22" s="15" cm="1">
        <f t="array" ref="AK22">+HLOOKUP($A$1,+[29]İcmal!$B$19:$AG$49,ROW(AB20)+1,FALSE)</f>
        <v>0</v>
      </c>
      <c r="AL22" s="15"/>
      <c r="AM22" s="15"/>
      <c r="AN22" s="15"/>
      <c r="AO22" s="15"/>
      <c r="AP22" s="15"/>
      <c r="AQ22" s="15"/>
      <c r="AR22" s="15"/>
      <c r="AS22" s="15"/>
      <c r="AT22" s="13"/>
    </row>
    <row r="23" spans="1:46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+HLOOKUP($A$1,+[2]İcmal!$B$19:$AG$49,ROW(A21)+1,FALSE)</f>
        <v>0</v>
      </c>
      <c r="K23" s="15" cm="1">
        <f t="array" ref="K23">+HLOOKUP($A$1,+[3]İcmal!$B$19:$AG$49,ROW(B21)+1,FALSE)</f>
        <v>0</v>
      </c>
      <c r="L23" s="15" cm="1">
        <f t="array" ref="L23">+HLOOKUP($A$1,+[4]İcmal!$B$19:$AG$49,ROW(C21)+1,FALSE)</f>
        <v>0</v>
      </c>
      <c r="M23" s="15" cm="1">
        <f t="array" ref="M23">+HLOOKUP($A$1,+[5]İcmal!$B$19:$AG$49,ROW(D21)+1,FALSE)</f>
        <v>0</v>
      </c>
      <c r="N23" s="15" cm="1">
        <f t="array" ref="N23">+HLOOKUP($A$1,+[6]İcmal!$B$19:$AG$49,ROW(E21)+1,FALSE)</f>
        <v>0</v>
      </c>
      <c r="O23" s="15" cm="1">
        <f t="array" ref="O23">+HLOOKUP($A$1,+[7]İcmal!$B$19:$AG$49,ROW(F21)+1,FALSE)</f>
        <v>0</v>
      </c>
      <c r="P23" s="15" cm="1">
        <f t="array" ref="P23">+HLOOKUP($A$1,+[8]İcmal!$B$19:$AG$49,ROW(G21)+1,FALSE)</f>
        <v>0</v>
      </c>
      <c r="Q23" s="15" cm="1">
        <f t="array" ref="Q23">+HLOOKUP($A$1,+[9]İcmal!$B$19:$AG$49,ROW(H21)+1,FALSE)</f>
        <v>0</v>
      </c>
      <c r="R23" s="15" cm="1">
        <f t="array" ref="R23">+HLOOKUP($A$1,+[10]İcmal!$B$19:$AG$49,ROW(I21)+1,FALSE)</f>
        <v>0</v>
      </c>
      <c r="S23" s="15" cm="1">
        <f t="array" ref="S23">+HLOOKUP($A$1,+[11]İcmal!$B$19:$AG$49,ROW(J21)+1,FALSE)</f>
        <v>0</v>
      </c>
      <c r="T23" s="15" cm="1">
        <f t="array" ref="T23">+HLOOKUP($A$1,+[12]İcmal!$B$19:$AG$49,ROW(K21)+1,FALSE)</f>
        <v>0</v>
      </c>
      <c r="U23" s="15" cm="1">
        <f t="array" ref="U23">+HLOOKUP($A$1,+[13]İcmal!$B$19:$AG$49,ROW(L21)+1,FALSE)</f>
        <v>0</v>
      </c>
      <c r="V23" s="15" cm="1">
        <f t="array" ref="V23">+HLOOKUP($A$1,+[14]İcmal!$B$19:$AG$49,ROW(M21)+1,FALSE)</f>
        <v>0</v>
      </c>
      <c r="W23" s="15" cm="1">
        <f t="array" ref="W23">+HLOOKUP($A$1,+[15]İcmal!$B$19:$AG$49,ROW(N21)+1,FALSE)</f>
        <v>0</v>
      </c>
      <c r="X23" s="15" cm="1">
        <f t="array" ref="X23">+HLOOKUP($A$1,+[16]İcmal!$B$19:$AG$49,ROW(O21)+1,FALSE)</f>
        <v>0</v>
      </c>
      <c r="Y23" s="15" cm="1">
        <f t="array" ref="Y23">+HLOOKUP($A$1,+[17]İcmal!$B$19:$AG$49,ROW(P21)+1,FALSE)</f>
        <v>0</v>
      </c>
      <c r="Z23" s="15" cm="1">
        <f t="array" ref="Z23">+HLOOKUP($A$1,+[18]İcmal!$B$19:$AG$49,ROW(Q21)+1,FALSE)</f>
        <v>0</v>
      </c>
      <c r="AA23" s="15" cm="1">
        <f t="array" ref="AA23">+HLOOKUP($A$1,+[19]İcmal!$B$19:$AG$49,ROW(R21)+1,FALSE)</f>
        <v>0</v>
      </c>
      <c r="AB23" s="15" cm="1">
        <f t="array" ref="AB23">+HLOOKUP($A$1,+[20]İcmal!$B$19:$AG$49,ROW(S21)+1,FALSE)</f>
        <v>0</v>
      </c>
      <c r="AC23" s="15" cm="1">
        <f t="array" ref="AC23">+HLOOKUP($A$1,+[21]İcmal!$B$19:$AG$49,ROW(T21)+1,FALSE)</f>
        <v>0</v>
      </c>
      <c r="AD23" s="15" cm="1">
        <f t="array" ref="AD23">+HLOOKUP($A$1,+[22]İcmal!$B$19:$AG$49,ROW(U21)+1,FALSE)</f>
        <v>0</v>
      </c>
      <c r="AE23" s="15" cm="1">
        <f t="array" ref="AE23">+HLOOKUP($A$1,+[23]İcmal!$B$19:$AG$49,ROW(V21)+1,FALSE)</f>
        <v>0</v>
      </c>
      <c r="AF23" s="15" cm="1">
        <f t="array" ref="AF23">+HLOOKUP($A$1,+[24]İcmal!$B$19:$AG$49,ROW(W21)+1,FALSE)</f>
        <v>0</v>
      </c>
      <c r="AG23" s="15" cm="1">
        <f t="array" ref="AG23">+HLOOKUP($A$1,+[25]İcmal!$B$19:$AG$49,ROW(X21)+1,FALSE)</f>
        <v>0</v>
      </c>
      <c r="AH23" s="15" cm="1">
        <f t="array" ref="AH23">+HLOOKUP($A$1,+[26]İcmal!$B$19:$AG$49,ROW(Y21)+1,FALSE)</f>
        <v>0</v>
      </c>
      <c r="AI23" s="15" cm="1">
        <f t="array" ref="AI23">+HLOOKUP($A$1,+[27]İcmal!$B$19:$AG$49,ROW(Z21)+1,FALSE)</f>
        <v>0</v>
      </c>
      <c r="AJ23" s="15" cm="1">
        <f t="array" ref="AJ23">+HLOOKUP($A$1,+[28]İcmal!$B$19:$AG$49,ROW(AA21)+1,FALSE)</f>
        <v>0</v>
      </c>
      <c r="AK23" s="15" cm="1">
        <f t="array" ref="AK23">+HLOOKUP($A$1,+[29]İcmal!$B$19:$AG$49,ROW(AB21)+1,FALSE)</f>
        <v>0</v>
      </c>
      <c r="AL23" s="15"/>
      <c r="AM23" s="15"/>
      <c r="AN23" s="15"/>
      <c r="AO23" s="15"/>
      <c r="AP23" s="15"/>
      <c r="AQ23" s="15"/>
      <c r="AR23" s="15"/>
      <c r="AS23" s="15"/>
      <c r="AT23" s="13"/>
    </row>
    <row r="24" spans="1:46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+HLOOKUP($A$1,+[2]İcmal!$B$19:$AG$49,ROW(A22)+1,FALSE)</f>
        <v>0</v>
      </c>
      <c r="K24" s="15" cm="1">
        <f t="array" ref="K24">+HLOOKUP($A$1,+[3]İcmal!$B$19:$AG$49,ROW(B22)+1,FALSE)</f>
        <v>0</v>
      </c>
      <c r="L24" s="15" cm="1">
        <f t="array" ref="L24">+HLOOKUP($A$1,+[4]İcmal!$B$19:$AG$49,ROW(C22)+1,FALSE)</f>
        <v>0</v>
      </c>
      <c r="M24" s="15" cm="1">
        <f t="array" ref="M24">+HLOOKUP($A$1,+[5]İcmal!$B$19:$AG$49,ROW(D22)+1,FALSE)</f>
        <v>0</v>
      </c>
      <c r="N24" s="15" cm="1">
        <f t="array" ref="N24">+HLOOKUP($A$1,+[6]İcmal!$B$19:$AG$49,ROW(E22)+1,FALSE)</f>
        <v>0</v>
      </c>
      <c r="O24" s="15" cm="1">
        <f t="array" ref="O24">+HLOOKUP($A$1,+[7]İcmal!$B$19:$AG$49,ROW(F22)+1,FALSE)</f>
        <v>0</v>
      </c>
      <c r="P24" s="15" cm="1">
        <f t="array" ref="P24">+HLOOKUP($A$1,+[8]İcmal!$B$19:$AG$49,ROW(G22)+1,FALSE)</f>
        <v>0</v>
      </c>
      <c r="Q24" s="15" cm="1">
        <f t="array" ref="Q24">+HLOOKUP($A$1,+[9]İcmal!$B$19:$AG$49,ROW(H22)+1,FALSE)</f>
        <v>0</v>
      </c>
      <c r="R24" s="15" cm="1">
        <f t="array" ref="R24">+HLOOKUP($A$1,+[10]İcmal!$B$19:$AG$49,ROW(I22)+1,FALSE)</f>
        <v>0</v>
      </c>
      <c r="S24" s="15" cm="1">
        <f t="array" ref="S24">+HLOOKUP($A$1,+[11]İcmal!$B$19:$AG$49,ROW(J22)+1,FALSE)</f>
        <v>0</v>
      </c>
      <c r="T24" s="15" cm="1">
        <f t="array" ref="T24">+HLOOKUP($A$1,+[12]İcmal!$B$19:$AG$49,ROW(K22)+1,FALSE)</f>
        <v>0</v>
      </c>
      <c r="U24" s="15" cm="1">
        <f t="array" ref="U24">+HLOOKUP($A$1,+[13]İcmal!$B$19:$AG$49,ROW(L22)+1,FALSE)</f>
        <v>0</v>
      </c>
      <c r="V24" s="15" cm="1">
        <f t="array" ref="V24">+HLOOKUP($A$1,+[14]İcmal!$B$19:$AG$49,ROW(M22)+1,FALSE)</f>
        <v>0</v>
      </c>
      <c r="W24" s="15" cm="1">
        <f t="array" ref="W24">+HLOOKUP($A$1,+[15]İcmal!$B$19:$AG$49,ROW(N22)+1,FALSE)</f>
        <v>0</v>
      </c>
      <c r="X24" s="15" cm="1">
        <f t="array" ref="X24">+HLOOKUP($A$1,+[16]İcmal!$B$19:$AG$49,ROW(O22)+1,FALSE)</f>
        <v>0</v>
      </c>
      <c r="Y24" s="15" cm="1">
        <f t="array" ref="Y24">+HLOOKUP($A$1,+[17]İcmal!$B$19:$AG$49,ROW(P22)+1,FALSE)</f>
        <v>0</v>
      </c>
      <c r="Z24" s="15" cm="1">
        <f t="array" ref="Z24">+HLOOKUP($A$1,+[18]İcmal!$B$19:$AG$49,ROW(Q22)+1,FALSE)</f>
        <v>0</v>
      </c>
      <c r="AA24" s="15" cm="1">
        <f t="array" ref="AA24">+HLOOKUP($A$1,+[19]İcmal!$B$19:$AG$49,ROW(R22)+1,FALSE)</f>
        <v>0</v>
      </c>
      <c r="AB24" s="15" cm="1">
        <f t="array" ref="AB24">+HLOOKUP($A$1,+[20]İcmal!$B$19:$AG$49,ROW(S22)+1,FALSE)</f>
        <v>0</v>
      </c>
      <c r="AC24" s="15" cm="1">
        <f t="array" ref="AC24">+HLOOKUP($A$1,+[21]İcmal!$B$19:$AG$49,ROW(T22)+1,FALSE)</f>
        <v>0</v>
      </c>
      <c r="AD24" s="15" cm="1">
        <f t="array" ref="AD24">+HLOOKUP($A$1,+[22]İcmal!$B$19:$AG$49,ROW(U22)+1,FALSE)</f>
        <v>0</v>
      </c>
      <c r="AE24" s="15" cm="1">
        <f t="array" ref="AE24">+HLOOKUP($A$1,+[23]İcmal!$B$19:$AG$49,ROW(V22)+1,FALSE)</f>
        <v>0</v>
      </c>
      <c r="AF24" s="15" cm="1">
        <f t="array" ref="AF24">+HLOOKUP($A$1,+[24]İcmal!$B$19:$AG$49,ROW(W22)+1,FALSE)</f>
        <v>0</v>
      </c>
      <c r="AG24" s="15" cm="1">
        <f t="array" ref="AG24">+HLOOKUP($A$1,+[25]İcmal!$B$19:$AG$49,ROW(X22)+1,FALSE)</f>
        <v>0</v>
      </c>
      <c r="AH24" s="15" cm="1">
        <f t="array" ref="AH24">+HLOOKUP($A$1,+[26]İcmal!$B$19:$AG$49,ROW(Y22)+1,FALSE)</f>
        <v>0</v>
      </c>
      <c r="AI24" s="15" cm="1">
        <f t="array" ref="AI24">+HLOOKUP($A$1,+[27]İcmal!$B$19:$AG$49,ROW(Z22)+1,FALSE)</f>
        <v>0</v>
      </c>
      <c r="AJ24" s="15" cm="1">
        <f t="array" ref="AJ24">+HLOOKUP($A$1,+[28]İcmal!$B$19:$AG$49,ROW(AA22)+1,FALSE)</f>
        <v>0</v>
      </c>
      <c r="AK24" s="15" cm="1">
        <f t="array" ref="AK24">+HLOOKUP($A$1,+[29]İcmal!$B$19:$AG$49,ROW(AB22)+1,FALSE)</f>
        <v>0</v>
      </c>
      <c r="AL24" s="15"/>
      <c r="AM24" s="15"/>
      <c r="AN24" s="15"/>
      <c r="AO24" s="15"/>
      <c r="AP24" s="15"/>
      <c r="AQ24" s="15"/>
      <c r="AR24" s="15"/>
      <c r="AS24" s="15"/>
      <c r="AT24" s="13"/>
    </row>
    <row r="25" spans="1:46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+HLOOKUP($A$1,+[2]İcmal!$B$19:$AG$49,ROW(A23)+1,FALSE)</f>
        <v>0</v>
      </c>
      <c r="K25" s="15" cm="1">
        <f t="array" ref="K25">+HLOOKUP($A$1,+[3]İcmal!$B$19:$AG$49,ROW(B23)+1,FALSE)</f>
        <v>0</v>
      </c>
      <c r="L25" s="15" cm="1">
        <f t="array" ref="L25">+HLOOKUP($A$1,+[4]İcmal!$B$19:$AG$49,ROW(C23)+1,FALSE)</f>
        <v>0</v>
      </c>
      <c r="M25" s="15" cm="1">
        <f t="array" ref="M25">+HLOOKUP($A$1,+[5]İcmal!$B$19:$AG$49,ROW(D23)+1,FALSE)</f>
        <v>0</v>
      </c>
      <c r="N25" s="15" cm="1">
        <f t="array" ref="N25">+HLOOKUP($A$1,+[6]İcmal!$B$19:$AG$49,ROW(E23)+1,FALSE)</f>
        <v>0</v>
      </c>
      <c r="O25" s="15" cm="1">
        <f t="array" ref="O25">+HLOOKUP($A$1,+[7]İcmal!$B$19:$AG$49,ROW(F23)+1,FALSE)</f>
        <v>0</v>
      </c>
      <c r="P25" s="15" cm="1">
        <f t="array" ref="P25">+HLOOKUP($A$1,+[8]İcmal!$B$19:$AG$49,ROW(G23)+1,FALSE)</f>
        <v>0</v>
      </c>
      <c r="Q25" s="15" cm="1">
        <f t="array" ref="Q25">+HLOOKUP($A$1,+[9]İcmal!$B$19:$AG$49,ROW(H23)+1,FALSE)</f>
        <v>0</v>
      </c>
      <c r="R25" s="15" cm="1">
        <f t="array" ref="R25">+HLOOKUP($A$1,+[10]İcmal!$B$19:$AG$49,ROW(I23)+1,FALSE)</f>
        <v>0</v>
      </c>
      <c r="S25" s="15" cm="1">
        <f t="array" ref="S25">+HLOOKUP($A$1,+[11]İcmal!$B$19:$AG$49,ROW(J23)+1,FALSE)</f>
        <v>0</v>
      </c>
      <c r="T25" s="15" cm="1">
        <f t="array" ref="T25">+HLOOKUP($A$1,+[12]İcmal!$B$19:$AG$49,ROW(K23)+1,FALSE)</f>
        <v>0</v>
      </c>
      <c r="U25" s="15" cm="1">
        <f t="array" ref="U25">+HLOOKUP($A$1,+[13]İcmal!$B$19:$AG$49,ROW(L23)+1,FALSE)</f>
        <v>0</v>
      </c>
      <c r="V25" s="15" cm="1">
        <f t="array" ref="V25">+HLOOKUP($A$1,+[14]İcmal!$B$19:$AG$49,ROW(M23)+1,FALSE)</f>
        <v>0</v>
      </c>
      <c r="W25" s="15" cm="1">
        <f t="array" ref="W25">+HLOOKUP($A$1,+[15]İcmal!$B$19:$AG$49,ROW(N23)+1,FALSE)</f>
        <v>0</v>
      </c>
      <c r="X25" s="15" cm="1">
        <f t="array" ref="X25">+HLOOKUP($A$1,+[16]İcmal!$B$19:$AG$49,ROW(O23)+1,FALSE)</f>
        <v>0</v>
      </c>
      <c r="Y25" s="15" cm="1">
        <f t="array" ref="Y25">+HLOOKUP($A$1,+[17]İcmal!$B$19:$AG$49,ROW(P23)+1,FALSE)</f>
        <v>0</v>
      </c>
      <c r="Z25" s="15" cm="1">
        <f t="array" ref="Z25">+HLOOKUP($A$1,+[18]İcmal!$B$19:$AG$49,ROW(Q23)+1,FALSE)</f>
        <v>0</v>
      </c>
      <c r="AA25" s="15" cm="1">
        <f t="array" ref="AA25">+HLOOKUP($A$1,+[19]İcmal!$B$19:$AG$49,ROW(R23)+1,FALSE)</f>
        <v>0</v>
      </c>
      <c r="AB25" s="15" cm="1">
        <f t="array" ref="AB25">+HLOOKUP($A$1,+[20]İcmal!$B$19:$AG$49,ROW(S23)+1,FALSE)</f>
        <v>0</v>
      </c>
      <c r="AC25" s="15" cm="1">
        <f t="array" ref="AC25">+HLOOKUP($A$1,+[21]İcmal!$B$19:$AG$49,ROW(T23)+1,FALSE)</f>
        <v>0</v>
      </c>
      <c r="AD25" s="15" cm="1">
        <f t="array" ref="AD25">+HLOOKUP($A$1,+[22]İcmal!$B$19:$AG$49,ROW(U23)+1,FALSE)</f>
        <v>0</v>
      </c>
      <c r="AE25" s="15" cm="1">
        <f t="array" ref="AE25">+HLOOKUP($A$1,+[23]İcmal!$B$19:$AG$49,ROW(V23)+1,FALSE)</f>
        <v>0</v>
      </c>
      <c r="AF25" s="15" cm="1">
        <f t="array" ref="AF25">+HLOOKUP($A$1,+[24]İcmal!$B$19:$AG$49,ROW(W23)+1,FALSE)</f>
        <v>0</v>
      </c>
      <c r="AG25" s="15" cm="1">
        <f t="array" ref="AG25">+HLOOKUP($A$1,+[25]İcmal!$B$19:$AG$49,ROW(X23)+1,FALSE)</f>
        <v>0</v>
      </c>
      <c r="AH25" s="15" cm="1">
        <f t="array" ref="AH25">+HLOOKUP($A$1,+[26]İcmal!$B$19:$AG$49,ROW(Y23)+1,FALSE)</f>
        <v>0</v>
      </c>
      <c r="AI25" s="15" cm="1">
        <f t="array" ref="AI25">+HLOOKUP($A$1,+[27]İcmal!$B$19:$AG$49,ROW(Z23)+1,FALSE)</f>
        <v>0</v>
      </c>
      <c r="AJ25" s="15" cm="1">
        <f t="array" ref="AJ25">+HLOOKUP($A$1,+[28]İcmal!$B$19:$AG$49,ROW(AA23)+1,FALSE)</f>
        <v>0</v>
      </c>
      <c r="AK25" s="15" cm="1">
        <f t="array" ref="AK25">+HLOOKUP($A$1,+[29]İcmal!$B$19:$AG$49,ROW(AB23)+1,FALSE)</f>
        <v>0</v>
      </c>
      <c r="AL25" s="15"/>
      <c r="AM25" s="15"/>
      <c r="AN25" s="15"/>
      <c r="AO25" s="15"/>
      <c r="AP25" s="15"/>
      <c r="AQ25" s="15"/>
      <c r="AR25" s="15"/>
      <c r="AS25" s="15"/>
      <c r="AT25" s="13"/>
    </row>
    <row r="26" spans="1:46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+HLOOKUP($A$1,+[2]İcmal!$B$19:$AG$49,ROW(A24)+1,FALSE)</f>
        <v>0</v>
      </c>
      <c r="K26" s="15" cm="1">
        <f t="array" ref="K26">+HLOOKUP($A$1,+[3]İcmal!$B$19:$AG$49,ROW(B24)+1,FALSE)</f>
        <v>0</v>
      </c>
      <c r="L26" s="15" cm="1">
        <f t="array" ref="L26">+HLOOKUP($A$1,+[4]İcmal!$B$19:$AG$49,ROW(C24)+1,FALSE)</f>
        <v>0</v>
      </c>
      <c r="M26" s="15" cm="1">
        <f t="array" ref="M26">+HLOOKUP($A$1,+[5]İcmal!$B$19:$AG$49,ROW(D24)+1,FALSE)</f>
        <v>0</v>
      </c>
      <c r="N26" s="15" cm="1">
        <f t="array" ref="N26">+HLOOKUP($A$1,+[6]İcmal!$B$19:$AG$49,ROW(E24)+1,FALSE)</f>
        <v>0</v>
      </c>
      <c r="O26" s="15" cm="1">
        <f t="array" ref="O26">+HLOOKUP($A$1,+[7]İcmal!$B$19:$AG$49,ROW(F24)+1,FALSE)</f>
        <v>0</v>
      </c>
      <c r="P26" s="15" cm="1">
        <f t="array" ref="P26">+HLOOKUP($A$1,+[8]İcmal!$B$19:$AG$49,ROW(G24)+1,FALSE)</f>
        <v>0</v>
      </c>
      <c r="Q26" s="15" cm="1">
        <f t="array" ref="Q26">+HLOOKUP($A$1,+[9]İcmal!$B$19:$AG$49,ROW(H24)+1,FALSE)</f>
        <v>0</v>
      </c>
      <c r="R26" s="15" cm="1">
        <f t="array" ref="R26">+HLOOKUP($A$1,+[10]İcmal!$B$19:$AG$49,ROW(I24)+1,FALSE)</f>
        <v>0</v>
      </c>
      <c r="S26" s="15" cm="1">
        <f t="array" ref="S26">+HLOOKUP($A$1,+[11]İcmal!$B$19:$AG$49,ROW(J24)+1,FALSE)</f>
        <v>0</v>
      </c>
      <c r="T26" s="15" cm="1">
        <f t="array" ref="T26">+HLOOKUP($A$1,+[12]İcmal!$B$19:$AG$49,ROW(K24)+1,FALSE)</f>
        <v>0</v>
      </c>
      <c r="U26" s="15" cm="1">
        <f t="array" ref="U26">+HLOOKUP($A$1,+[13]İcmal!$B$19:$AG$49,ROW(L24)+1,FALSE)</f>
        <v>0</v>
      </c>
      <c r="V26" s="15" cm="1">
        <f t="array" ref="V26">+HLOOKUP($A$1,+[14]İcmal!$B$19:$AG$49,ROW(M24)+1,FALSE)</f>
        <v>0</v>
      </c>
      <c r="W26" s="15" cm="1">
        <f t="array" ref="W26">+HLOOKUP($A$1,+[15]İcmal!$B$19:$AG$49,ROW(N24)+1,FALSE)</f>
        <v>0</v>
      </c>
      <c r="X26" s="15" cm="1">
        <f t="array" ref="X26">+HLOOKUP($A$1,+[16]İcmal!$B$19:$AG$49,ROW(O24)+1,FALSE)</f>
        <v>0</v>
      </c>
      <c r="Y26" s="15" cm="1">
        <f t="array" ref="Y26">+HLOOKUP($A$1,+[17]İcmal!$B$19:$AG$49,ROW(P24)+1,FALSE)</f>
        <v>0</v>
      </c>
      <c r="Z26" s="15" cm="1">
        <f t="array" ref="Z26">+HLOOKUP($A$1,+[18]İcmal!$B$19:$AG$49,ROW(Q24)+1,FALSE)</f>
        <v>0</v>
      </c>
      <c r="AA26" s="15" cm="1">
        <f t="array" ref="AA26">+HLOOKUP($A$1,+[19]İcmal!$B$19:$AG$49,ROW(R24)+1,FALSE)</f>
        <v>0</v>
      </c>
      <c r="AB26" s="15" cm="1">
        <f t="array" ref="AB26">+HLOOKUP($A$1,+[20]İcmal!$B$19:$AG$49,ROW(S24)+1,FALSE)</f>
        <v>0</v>
      </c>
      <c r="AC26" s="15" cm="1">
        <f t="array" ref="AC26">+HLOOKUP($A$1,+[21]İcmal!$B$19:$AG$49,ROW(T24)+1,FALSE)</f>
        <v>0</v>
      </c>
      <c r="AD26" s="15" cm="1">
        <f t="array" ref="AD26">+HLOOKUP($A$1,+[22]İcmal!$B$19:$AG$49,ROW(U24)+1,FALSE)</f>
        <v>0</v>
      </c>
      <c r="AE26" s="15" cm="1">
        <f t="array" ref="AE26">+HLOOKUP($A$1,+[23]İcmal!$B$19:$AG$49,ROW(V24)+1,FALSE)</f>
        <v>0</v>
      </c>
      <c r="AF26" s="15" cm="1">
        <f t="array" ref="AF26">+HLOOKUP($A$1,+[24]İcmal!$B$19:$AG$49,ROW(W24)+1,FALSE)</f>
        <v>0</v>
      </c>
      <c r="AG26" s="15" cm="1">
        <f t="array" ref="AG26">+HLOOKUP($A$1,+[25]İcmal!$B$19:$AG$49,ROW(X24)+1,FALSE)</f>
        <v>0</v>
      </c>
      <c r="AH26" s="15" cm="1">
        <f t="array" ref="AH26">+HLOOKUP($A$1,+[26]İcmal!$B$19:$AG$49,ROW(Y24)+1,FALSE)</f>
        <v>0</v>
      </c>
      <c r="AI26" s="15" cm="1">
        <f t="array" ref="AI26">+HLOOKUP($A$1,+[27]İcmal!$B$19:$AG$49,ROW(Z24)+1,FALSE)</f>
        <v>0</v>
      </c>
      <c r="AJ26" s="15" cm="1">
        <f t="array" ref="AJ26">+HLOOKUP($A$1,+[28]İcmal!$B$19:$AG$49,ROW(AA24)+1,FALSE)</f>
        <v>0</v>
      </c>
      <c r="AK26" s="15" cm="1">
        <f t="array" ref="AK26">+HLOOKUP($A$1,+[29]İcmal!$B$19:$AG$49,ROW(AB24)+1,FALSE)</f>
        <v>0</v>
      </c>
      <c r="AL26" s="15"/>
      <c r="AM26" s="15"/>
      <c r="AN26" s="15"/>
      <c r="AO26" s="15"/>
      <c r="AP26" s="15"/>
      <c r="AQ26" s="15"/>
      <c r="AR26" s="15"/>
      <c r="AS26" s="15"/>
      <c r="AT26" s="13"/>
    </row>
    <row r="27" spans="1:46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+HLOOKUP($A$1,+[2]İcmal!$B$19:$AG$49,ROW(A25)+1,FALSE)</f>
        <v>0</v>
      </c>
      <c r="K27" s="15" cm="1">
        <f t="array" ref="K27">+HLOOKUP($A$1,+[3]İcmal!$B$19:$AG$49,ROW(B25)+1,FALSE)</f>
        <v>0</v>
      </c>
      <c r="L27" s="15" cm="1">
        <f t="array" ref="L27">+HLOOKUP($A$1,+[4]İcmal!$B$19:$AG$49,ROW(C25)+1,FALSE)</f>
        <v>0</v>
      </c>
      <c r="M27" s="15" cm="1">
        <f t="array" ref="M27">+HLOOKUP($A$1,+[5]İcmal!$B$19:$AG$49,ROW(D25)+1,FALSE)</f>
        <v>0</v>
      </c>
      <c r="N27" s="15" cm="1">
        <f t="array" ref="N27">+HLOOKUP($A$1,+[6]İcmal!$B$19:$AG$49,ROW(E25)+1,FALSE)</f>
        <v>0</v>
      </c>
      <c r="O27" s="15" cm="1">
        <f t="array" ref="O27">+HLOOKUP($A$1,+[7]İcmal!$B$19:$AG$49,ROW(F25)+1,FALSE)</f>
        <v>0</v>
      </c>
      <c r="P27" s="15" cm="1">
        <f t="array" ref="P27">+HLOOKUP($A$1,+[8]İcmal!$B$19:$AG$49,ROW(G25)+1,FALSE)</f>
        <v>0</v>
      </c>
      <c r="Q27" s="15" cm="1">
        <f t="array" ref="Q27">+HLOOKUP($A$1,+[9]İcmal!$B$19:$AG$49,ROW(H25)+1,FALSE)</f>
        <v>0</v>
      </c>
      <c r="R27" s="15" cm="1">
        <f t="array" ref="R27">+HLOOKUP($A$1,+[10]İcmal!$B$19:$AG$49,ROW(I25)+1,FALSE)</f>
        <v>0</v>
      </c>
      <c r="S27" s="15" cm="1">
        <f t="array" ref="S27">+HLOOKUP($A$1,+[11]İcmal!$B$19:$AG$49,ROW(J25)+1,FALSE)</f>
        <v>0</v>
      </c>
      <c r="T27" s="15" cm="1">
        <f t="array" ref="T27">+HLOOKUP($A$1,+[12]İcmal!$B$19:$AG$49,ROW(K25)+1,FALSE)</f>
        <v>0</v>
      </c>
      <c r="U27" s="15" cm="1">
        <f t="array" ref="U27">+HLOOKUP($A$1,+[13]İcmal!$B$19:$AG$49,ROW(L25)+1,FALSE)</f>
        <v>0</v>
      </c>
      <c r="V27" s="15" cm="1">
        <f t="array" ref="V27">+HLOOKUP($A$1,+[14]İcmal!$B$19:$AG$49,ROW(M25)+1,FALSE)</f>
        <v>0</v>
      </c>
      <c r="W27" s="15" cm="1">
        <f t="array" ref="W27">+HLOOKUP($A$1,+[15]İcmal!$B$19:$AG$49,ROW(N25)+1,FALSE)</f>
        <v>0</v>
      </c>
      <c r="X27" s="15" cm="1">
        <f t="array" ref="X27">+HLOOKUP($A$1,+[16]İcmal!$B$19:$AG$49,ROW(O25)+1,FALSE)</f>
        <v>0</v>
      </c>
      <c r="Y27" s="15" cm="1">
        <f t="array" ref="Y27">+HLOOKUP($A$1,+[17]İcmal!$B$19:$AG$49,ROW(P25)+1,FALSE)</f>
        <v>0</v>
      </c>
      <c r="Z27" s="15" cm="1">
        <f t="array" ref="Z27">+HLOOKUP($A$1,+[18]İcmal!$B$19:$AG$49,ROW(Q25)+1,FALSE)</f>
        <v>0</v>
      </c>
      <c r="AA27" s="15" cm="1">
        <f t="array" ref="AA27">+HLOOKUP($A$1,+[19]İcmal!$B$19:$AG$49,ROW(R25)+1,FALSE)</f>
        <v>0</v>
      </c>
      <c r="AB27" s="15" cm="1">
        <f t="array" ref="AB27">+HLOOKUP($A$1,+[20]İcmal!$B$19:$AG$49,ROW(S25)+1,FALSE)</f>
        <v>0</v>
      </c>
      <c r="AC27" s="15" cm="1">
        <f t="array" ref="AC27">+HLOOKUP($A$1,+[21]İcmal!$B$19:$AG$49,ROW(T25)+1,FALSE)</f>
        <v>0</v>
      </c>
      <c r="AD27" s="15" cm="1">
        <f t="array" ref="AD27">+HLOOKUP($A$1,+[22]İcmal!$B$19:$AG$49,ROW(U25)+1,FALSE)</f>
        <v>0</v>
      </c>
      <c r="AE27" s="15" cm="1">
        <f t="array" ref="AE27">+HLOOKUP($A$1,+[23]İcmal!$B$19:$AG$49,ROW(V25)+1,FALSE)</f>
        <v>0</v>
      </c>
      <c r="AF27" s="15" cm="1">
        <f t="array" ref="AF27">+HLOOKUP($A$1,+[24]İcmal!$B$19:$AG$49,ROW(W25)+1,FALSE)</f>
        <v>0</v>
      </c>
      <c r="AG27" s="15" cm="1">
        <f t="array" ref="AG27">+HLOOKUP($A$1,+[25]İcmal!$B$19:$AG$49,ROW(X25)+1,FALSE)</f>
        <v>0</v>
      </c>
      <c r="AH27" s="15" cm="1">
        <f t="array" ref="AH27">+HLOOKUP($A$1,+[26]İcmal!$B$19:$AG$49,ROW(Y25)+1,FALSE)</f>
        <v>0</v>
      </c>
      <c r="AI27" s="15" cm="1">
        <f t="array" ref="AI27">+HLOOKUP($A$1,+[27]İcmal!$B$19:$AG$49,ROW(Z25)+1,FALSE)</f>
        <v>0</v>
      </c>
      <c r="AJ27" s="15" cm="1">
        <f t="array" ref="AJ27">+HLOOKUP($A$1,+[28]İcmal!$B$19:$AG$49,ROW(AA25)+1,FALSE)</f>
        <v>0</v>
      </c>
      <c r="AK27" s="15" cm="1">
        <f t="array" ref="AK27">+HLOOKUP($A$1,+[29]İcmal!$B$19:$AG$49,ROW(AB25)+1,FALSE)</f>
        <v>0</v>
      </c>
      <c r="AL27" s="15"/>
      <c r="AM27" s="15"/>
      <c r="AN27" s="15"/>
      <c r="AO27" s="15"/>
      <c r="AP27" s="15"/>
      <c r="AQ27" s="15"/>
      <c r="AR27" s="15"/>
      <c r="AS27" s="15"/>
      <c r="AT27" s="13"/>
    </row>
    <row r="28" spans="1:46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3.9470000000000001</v>
      </c>
      <c r="I28" s="9">
        <f t="shared" si="2"/>
        <v>182548.75</v>
      </c>
      <c r="J28" s="15" cm="1">
        <f t="array" ref="J28">+HLOOKUP($A$1,+[2]İcmal!$B$19:$AG$49,ROW(A26)+1,FALSE)</f>
        <v>0</v>
      </c>
      <c r="K28" s="15" cm="1">
        <f t="array" ref="K28">+HLOOKUP($A$1,+[3]İcmal!$B$19:$AG$49,ROW(B26)+1,FALSE)</f>
        <v>0</v>
      </c>
      <c r="L28" s="15" cm="1">
        <f t="array" ref="L28">+HLOOKUP($A$1,+[4]İcmal!$B$19:$AG$49,ROW(C26)+1,FALSE)</f>
        <v>0.90900000000000003</v>
      </c>
      <c r="M28" s="15" cm="1">
        <f t="array" ref="M28">+HLOOKUP($A$1,+[5]İcmal!$B$19:$AG$49,ROW(D26)+1,FALSE)</f>
        <v>0.33100000000000002</v>
      </c>
      <c r="N28" s="15" cm="1">
        <f t="array" ref="N28">+HLOOKUP($A$1,+[6]İcmal!$B$19:$AG$49,ROW(E26)+1,FALSE)</f>
        <v>0</v>
      </c>
      <c r="O28" s="15" cm="1">
        <f t="array" ref="O28">+HLOOKUP($A$1,+[7]İcmal!$B$19:$AG$49,ROW(F26)+1,FALSE)</f>
        <v>0</v>
      </c>
      <c r="P28" s="15" cm="1">
        <f t="array" ref="P28">+HLOOKUP($A$1,+[8]İcmal!$B$19:$AG$49,ROW(G26)+1,FALSE)</f>
        <v>0</v>
      </c>
      <c r="Q28" s="15" cm="1">
        <f t="array" ref="Q28">+HLOOKUP($A$1,+[9]İcmal!$B$19:$AG$49,ROW(H26)+1,FALSE)</f>
        <v>0</v>
      </c>
      <c r="R28" s="15" cm="1">
        <f t="array" ref="R28">+HLOOKUP($A$1,+[10]İcmal!$B$19:$AG$49,ROW(I26)+1,FALSE)</f>
        <v>0</v>
      </c>
      <c r="S28" s="15" cm="1">
        <f t="array" ref="S28">+HLOOKUP($A$1,+[11]İcmal!$B$19:$AG$49,ROW(J26)+1,FALSE)</f>
        <v>0</v>
      </c>
      <c r="T28" s="15" cm="1">
        <f t="array" ref="T28">+HLOOKUP($A$1,+[12]İcmal!$B$19:$AG$49,ROW(K26)+1,FALSE)</f>
        <v>0.38400000000000001</v>
      </c>
      <c r="U28" s="15" cm="1">
        <f t="array" ref="U28">+HLOOKUP($A$1,+[13]İcmal!$B$19:$AG$49,ROW(L26)+1,FALSE)</f>
        <v>0.11</v>
      </c>
      <c r="V28" s="15" cm="1">
        <f t="array" ref="V28">+HLOOKUP($A$1,+[14]İcmal!$B$19:$AG$49,ROW(M26)+1,FALSE)</f>
        <v>0</v>
      </c>
      <c r="W28" s="15" cm="1">
        <f t="array" ref="W28">+HLOOKUP($A$1,+[15]İcmal!$B$19:$AG$49,ROW(N26)+1,FALSE)</f>
        <v>0</v>
      </c>
      <c r="X28" s="15" cm="1">
        <f t="array" ref="X28">+HLOOKUP($A$1,+[16]İcmal!$B$19:$AG$49,ROW(O26)+1,FALSE)</f>
        <v>1.212</v>
      </c>
      <c r="Y28" s="15" cm="1">
        <f t="array" ref="Y28">+HLOOKUP($A$1,+[17]İcmal!$B$19:$AG$49,ROW(P26)+1,FALSE)</f>
        <v>0.41299999999999998</v>
      </c>
      <c r="Z28" s="15" cm="1">
        <f t="array" ref="Z28">+HLOOKUP($A$1,+[18]İcmal!$B$19:$AG$49,ROW(Q26)+1,FALSE)</f>
        <v>0.498</v>
      </c>
      <c r="AA28" s="15" cm="1">
        <f t="array" ref="AA28">+HLOOKUP($A$1,+[19]İcmal!$B$19:$AG$49,ROW(R26)+1,FALSE)</f>
        <v>0</v>
      </c>
      <c r="AB28" s="15" cm="1">
        <f t="array" ref="AB28">+HLOOKUP($A$1,+[20]İcmal!$B$19:$AG$49,ROW(S26)+1,FALSE)</f>
        <v>0</v>
      </c>
      <c r="AC28" s="15" cm="1">
        <f t="array" ref="AC28">+HLOOKUP($A$1,+[21]İcmal!$B$19:$AG$49,ROW(T26)+1,FALSE)</f>
        <v>0</v>
      </c>
      <c r="AD28" s="15" cm="1">
        <f t="array" ref="AD28">+HLOOKUP($A$1,+[22]İcmal!$B$19:$AG$49,ROW(U26)+1,FALSE)</f>
        <v>0</v>
      </c>
      <c r="AE28" s="15" cm="1">
        <f t="array" ref="AE28">+HLOOKUP($A$1,+[23]İcmal!$B$19:$AG$49,ROW(V26)+1,FALSE)</f>
        <v>0</v>
      </c>
      <c r="AF28" s="15" cm="1">
        <f t="array" ref="AF28">+HLOOKUP($A$1,+[24]İcmal!$B$19:$AG$49,ROW(W26)+1,FALSE)</f>
        <v>0</v>
      </c>
      <c r="AG28" s="15" cm="1">
        <f t="array" ref="AG28">+HLOOKUP($A$1,+[25]İcmal!$B$19:$AG$49,ROW(X26)+1,FALSE)</f>
        <v>0</v>
      </c>
      <c r="AH28" s="15" cm="1">
        <f t="array" ref="AH28">+HLOOKUP($A$1,+[26]İcmal!$B$19:$AG$49,ROW(Y26)+1,FALSE)</f>
        <v>0</v>
      </c>
      <c r="AI28" s="15" cm="1">
        <f t="array" ref="AI28">+HLOOKUP($A$1,+[27]İcmal!$B$19:$AG$49,ROW(Z26)+1,FALSE)</f>
        <v>0</v>
      </c>
      <c r="AJ28" s="15" cm="1">
        <f t="array" ref="AJ28">+HLOOKUP($A$1,+[28]İcmal!$B$19:$AG$49,ROW(AA26)+1,FALSE)</f>
        <v>0.09</v>
      </c>
      <c r="AK28" s="15" cm="1">
        <f t="array" ref="AK28">+HLOOKUP($A$1,+[29]İcmal!$B$19:$AG$49,ROW(AB26)+1,FALSE)</f>
        <v>0</v>
      </c>
      <c r="AL28" s="15"/>
      <c r="AM28" s="15"/>
      <c r="AN28" s="15"/>
      <c r="AO28" s="15"/>
      <c r="AP28" s="15"/>
      <c r="AQ28" s="15"/>
      <c r="AR28" s="15"/>
      <c r="AS28" s="15"/>
      <c r="AT28" s="13"/>
    </row>
    <row r="29" spans="1:46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+HLOOKUP($A$1,+[2]İcmal!$B$19:$AG$49,ROW(A27)+1,FALSE)</f>
        <v>0</v>
      </c>
      <c r="K29" s="15" cm="1">
        <f t="array" ref="K29">+HLOOKUP($A$1,+[3]İcmal!$B$19:$AG$49,ROW(B27)+1,FALSE)</f>
        <v>0</v>
      </c>
      <c r="L29" s="15" cm="1">
        <f t="array" ref="L29">+HLOOKUP($A$1,+[4]İcmal!$B$19:$AG$49,ROW(C27)+1,FALSE)</f>
        <v>0</v>
      </c>
      <c r="M29" s="15" cm="1">
        <f t="array" ref="M29">+HLOOKUP($A$1,+[5]İcmal!$B$19:$AG$49,ROW(D27)+1,FALSE)</f>
        <v>0</v>
      </c>
      <c r="N29" s="15" cm="1">
        <f t="array" ref="N29">+HLOOKUP($A$1,+[6]İcmal!$B$19:$AG$49,ROW(E27)+1,FALSE)</f>
        <v>0</v>
      </c>
      <c r="O29" s="15" cm="1">
        <f t="array" ref="O29">+HLOOKUP($A$1,+[7]İcmal!$B$19:$AG$49,ROW(F27)+1,FALSE)</f>
        <v>0</v>
      </c>
      <c r="P29" s="15" cm="1">
        <f t="array" ref="P29">+HLOOKUP($A$1,+[8]İcmal!$B$19:$AG$49,ROW(G27)+1,FALSE)</f>
        <v>0</v>
      </c>
      <c r="Q29" s="15" cm="1">
        <f t="array" ref="Q29">+HLOOKUP($A$1,+[9]İcmal!$B$19:$AG$49,ROW(H27)+1,FALSE)</f>
        <v>0</v>
      </c>
      <c r="R29" s="15" cm="1">
        <f t="array" ref="R29">+HLOOKUP($A$1,+[10]İcmal!$B$19:$AG$49,ROW(I27)+1,FALSE)</f>
        <v>0</v>
      </c>
      <c r="S29" s="15" cm="1">
        <f t="array" ref="S29">+HLOOKUP($A$1,+[11]İcmal!$B$19:$AG$49,ROW(J27)+1,FALSE)</f>
        <v>0</v>
      </c>
      <c r="T29" s="15" cm="1">
        <f t="array" ref="T29">+HLOOKUP($A$1,+[12]İcmal!$B$19:$AG$49,ROW(K27)+1,FALSE)</f>
        <v>0</v>
      </c>
      <c r="U29" s="15" cm="1">
        <f t="array" ref="U29">+HLOOKUP($A$1,+[13]İcmal!$B$19:$AG$49,ROW(L27)+1,FALSE)</f>
        <v>0</v>
      </c>
      <c r="V29" s="15" cm="1">
        <f t="array" ref="V29">+HLOOKUP($A$1,+[14]İcmal!$B$19:$AG$49,ROW(M27)+1,FALSE)</f>
        <v>0</v>
      </c>
      <c r="W29" s="15" cm="1">
        <f t="array" ref="W29">+HLOOKUP($A$1,+[15]İcmal!$B$19:$AG$49,ROW(N27)+1,FALSE)</f>
        <v>0</v>
      </c>
      <c r="X29" s="15" cm="1">
        <f t="array" ref="X29">+HLOOKUP($A$1,+[16]İcmal!$B$19:$AG$49,ROW(O27)+1,FALSE)</f>
        <v>0</v>
      </c>
      <c r="Y29" s="15" cm="1">
        <f t="array" ref="Y29">+HLOOKUP($A$1,+[17]İcmal!$B$19:$AG$49,ROW(P27)+1,FALSE)</f>
        <v>0</v>
      </c>
      <c r="Z29" s="15" cm="1">
        <f t="array" ref="Z29">+HLOOKUP($A$1,+[18]İcmal!$B$19:$AG$49,ROW(Q27)+1,FALSE)</f>
        <v>0</v>
      </c>
      <c r="AA29" s="15" cm="1">
        <f t="array" ref="AA29">+HLOOKUP($A$1,+[19]İcmal!$B$19:$AG$49,ROW(R27)+1,FALSE)</f>
        <v>0</v>
      </c>
      <c r="AB29" s="15" cm="1">
        <f t="array" ref="AB29">+HLOOKUP($A$1,+[20]İcmal!$B$19:$AG$49,ROW(S27)+1,FALSE)</f>
        <v>0</v>
      </c>
      <c r="AC29" s="15" cm="1">
        <f t="array" ref="AC29">+HLOOKUP($A$1,+[21]İcmal!$B$19:$AG$49,ROW(T27)+1,FALSE)</f>
        <v>0</v>
      </c>
      <c r="AD29" s="15" cm="1">
        <f t="array" ref="AD29">+HLOOKUP($A$1,+[22]İcmal!$B$19:$AG$49,ROW(U27)+1,FALSE)</f>
        <v>0</v>
      </c>
      <c r="AE29" s="15" cm="1">
        <f t="array" ref="AE29">+HLOOKUP($A$1,+[23]İcmal!$B$19:$AG$49,ROW(V27)+1,FALSE)</f>
        <v>0</v>
      </c>
      <c r="AF29" s="15" cm="1">
        <f t="array" ref="AF29">+HLOOKUP($A$1,+[24]İcmal!$B$19:$AG$49,ROW(W27)+1,FALSE)</f>
        <v>0</v>
      </c>
      <c r="AG29" s="15" cm="1">
        <f t="array" ref="AG29">+HLOOKUP($A$1,+[25]İcmal!$B$19:$AG$49,ROW(X27)+1,FALSE)</f>
        <v>0</v>
      </c>
      <c r="AH29" s="15" cm="1">
        <f t="array" ref="AH29">+HLOOKUP($A$1,+[26]İcmal!$B$19:$AG$49,ROW(Y27)+1,FALSE)</f>
        <v>0</v>
      </c>
      <c r="AI29" s="15" cm="1">
        <f t="array" ref="AI29">+HLOOKUP($A$1,+[27]İcmal!$B$19:$AG$49,ROW(Z27)+1,FALSE)</f>
        <v>0</v>
      </c>
      <c r="AJ29" s="15" cm="1">
        <f t="array" ref="AJ29">+HLOOKUP($A$1,+[28]İcmal!$B$19:$AG$49,ROW(AA27)+1,FALSE)</f>
        <v>0</v>
      </c>
      <c r="AK29" s="15" cm="1">
        <f t="array" ref="AK29">+HLOOKUP($A$1,+[29]İcmal!$B$19:$AG$49,ROW(AB27)+1,FALSE)</f>
        <v>0</v>
      </c>
      <c r="AL29" s="15"/>
      <c r="AM29" s="15"/>
      <c r="AN29" s="15"/>
      <c r="AO29" s="15"/>
      <c r="AP29" s="15"/>
      <c r="AQ29" s="15"/>
      <c r="AR29" s="15"/>
      <c r="AS29" s="15"/>
      <c r="AT29" s="13"/>
    </row>
    <row r="30" spans="1:46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34.708000000000006</v>
      </c>
      <c r="I30" s="9">
        <f t="shared" si="2"/>
        <v>3378233.7640000004</v>
      </c>
      <c r="J30" s="15" cm="1">
        <f t="array" ref="J30">+HLOOKUP($A$1,+[2]İcmal!$B$19:$AG$49,ROW(A28)+1,FALSE)</f>
        <v>0</v>
      </c>
      <c r="K30" s="15" cm="1">
        <f t="array" ref="K30">+HLOOKUP($A$1,+[3]İcmal!$B$19:$AG$49,ROW(B28)+1,FALSE)</f>
        <v>0</v>
      </c>
      <c r="L30" s="15" cm="1">
        <f t="array" ref="L30">+HLOOKUP($A$1,+[4]İcmal!$B$19:$AG$49,ROW(C28)+1,FALSE)</f>
        <v>5.1760000000000002</v>
      </c>
      <c r="M30" s="15" cm="1">
        <f t="array" ref="M30">+HLOOKUP($A$1,+[5]İcmal!$B$19:$AG$49,ROW(D28)+1,FALSE)</f>
        <v>5.5250000000000004</v>
      </c>
      <c r="N30" s="15" cm="1">
        <f t="array" ref="N30">+HLOOKUP($A$1,+[6]İcmal!$B$19:$AG$49,ROW(E28)+1,FALSE)</f>
        <v>0</v>
      </c>
      <c r="O30" s="15" cm="1">
        <f t="array" ref="O30">+HLOOKUP($A$1,+[7]İcmal!$B$19:$AG$49,ROW(F28)+1,FALSE)</f>
        <v>0</v>
      </c>
      <c r="P30" s="15" cm="1">
        <f t="array" ref="P30">+HLOOKUP($A$1,+[8]İcmal!$B$19:$AG$49,ROW(G28)+1,FALSE)</f>
        <v>0</v>
      </c>
      <c r="Q30" s="15" cm="1">
        <f t="array" ref="Q30">+HLOOKUP($A$1,+[9]İcmal!$B$19:$AG$49,ROW(H28)+1,FALSE)</f>
        <v>0</v>
      </c>
      <c r="R30" s="15" cm="1">
        <f t="array" ref="R30">+HLOOKUP($A$1,+[10]İcmal!$B$19:$AG$49,ROW(I28)+1,FALSE)</f>
        <v>0</v>
      </c>
      <c r="S30" s="15" cm="1">
        <f t="array" ref="S30">+HLOOKUP($A$1,+[11]İcmal!$B$19:$AG$49,ROW(J28)+1,FALSE)</f>
        <v>0</v>
      </c>
      <c r="T30" s="15" cm="1">
        <f t="array" ref="T30">+HLOOKUP($A$1,+[12]İcmal!$B$19:$AG$49,ROW(K28)+1,FALSE)</f>
        <v>2.4269999999999996</v>
      </c>
      <c r="U30" s="15" cm="1">
        <f t="array" ref="U30">+HLOOKUP($A$1,+[13]İcmal!$B$19:$AG$49,ROW(L28)+1,FALSE)</f>
        <v>2.0830000000000002</v>
      </c>
      <c r="V30" s="15" cm="1">
        <f t="array" ref="V30">+HLOOKUP($A$1,+[14]İcmal!$B$19:$AG$49,ROW(M28)+1,FALSE)</f>
        <v>0</v>
      </c>
      <c r="W30" s="15" cm="1">
        <f t="array" ref="W30">+HLOOKUP($A$1,+[15]İcmal!$B$19:$AG$49,ROW(N28)+1,FALSE)</f>
        <v>0</v>
      </c>
      <c r="X30" s="15" cm="1">
        <f t="array" ref="X30">+HLOOKUP($A$1,+[16]İcmal!$B$19:$AG$49,ROW(O28)+1,FALSE)</f>
        <v>6.9009999999999998</v>
      </c>
      <c r="Y30" s="15" cm="1">
        <f t="array" ref="Y30">+HLOOKUP($A$1,+[17]İcmal!$B$19:$AG$49,ROW(P28)+1,FALSE)</f>
        <v>6.9059999999999988</v>
      </c>
      <c r="Z30" s="15" cm="1">
        <f t="array" ref="Z30">+HLOOKUP($A$1,+[18]İcmal!$B$19:$AG$49,ROW(Q28)+1,FALSE)</f>
        <v>4.109</v>
      </c>
      <c r="AA30" s="15" cm="1">
        <f t="array" ref="AA30">+HLOOKUP($A$1,+[19]İcmal!$B$19:$AG$49,ROW(R28)+1,FALSE)</f>
        <v>0</v>
      </c>
      <c r="AB30" s="15" cm="1">
        <f t="array" ref="AB30">+HLOOKUP($A$1,+[20]İcmal!$B$19:$AG$49,ROW(S28)+1,FALSE)</f>
        <v>0</v>
      </c>
      <c r="AC30" s="15" cm="1">
        <f t="array" ref="AC30">+HLOOKUP($A$1,+[21]İcmal!$B$19:$AG$49,ROW(T28)+1,FALSE)</f>
        <v>0</v>
      </c>
      <c r="AD30" s="15" cm="1">
        <f t="array" ref="AD30">+HLOOKUP($A$1,+[22]İcmal!$B$19:$AG$49,ROW(U28)+1,FALSE)</f>
        <v>0</v>
      </c>
      <c r="AE30" s="15" cm="1">
        <f t="array" ref="AE30">+HLOOKUP($A$1,+[23]İcmal!$B$19:$AG$49,ROW(V28)+1,FALSE)</f>
        <v>0</v>
      </c>
      <c r="AF30" s="15" cm="1">
        <f t="array" ref="AF30">+HLOOKUP($A$1,+[24]İcmal!$B$19:$AG$49,ROW(W28)+1,FALSE)</f>
        <v>0</v>
      </c>
      <c r="AG30" s="15" cm="1">
        <f t="array" ref="AG30">+HLOOKUP($A$1,+[25]İcmal!$B$19:$AG$49,ROW(X28)+1,FALSE)</f>
        <v>0</v>
      </c>
      <c r="AH30" s="15" cm="1">
        <f t="array" ref="AH30">+HLOOKUP($A$1,+[26]İcmal!$B$19:$AG$49,ROW(Y28)+1,FALSE)</f>
        <v>0</v>
      </c>
      <c r="AI30" s="15" cm="1">
        <f t="array" ref="AI30">+HLOOKUP($A$1,+[27]İcmal!$B$19:$AG$49,ROW(Z28)+1,FALSE)</f>
        <v>0</v>
      </c>
      <c r="AJ30" s="15" cm="1">
        <f t="array" ref="AJ30">+HLOOKUP($A$1,+[28]İcmal!$B$19:$AG$49,ROW(AA28)+1,FALSE)</f>
        <v>1.581</v>
      </c>
      <c r="AK30" s="15" cm="1">
        <f t="array" ref="AK30">+HLOOKUP($A$1,+[29]İcmal!$B$19:$AG$49,ROW(AB28)+1,FALSE)</f>
        <v>0</v>
      </c>
      <c r="AL30" s="15"/>
      <c r="AM30" s="15"/>
      <c r="AN30" s="15"/>
      <c r="AO30" s="15"/>
      <c r="AP30" s="15"/>
      <c r="AQ30" s="15"/>
      <c r="AR30" s="15"/>
      <c r="AS30" s="15"/>
      <c r="AT30" s="13"/>
    </row>
    <row r="31" spans="1:46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+HLOOKUP($A$1,+[2]İcmal!$B$19:$AG$49,ROW(A29)+1,FALSE)</f>
        <v>0</v>
      </c>
      <c r="K31" s="15" cm="1">
        <f t="array" ref="K31">+HLOOKUP($A$1,+[3]İcmal!$B$19:$AG$49,ROW(B29)+1,FALSE)</f>
        <v>0</v>
      </c>
      <c r="L31" s="15" cm="1">
        <f t="array" ref="L31">+HLOOKUP($A$1,+[4]İcmal!$B$19:$AG$49,ROW(C29)+1,FALSE)</f>
        <v>0</v>
      </c>
      <c r="M31" s="15" cm="1">
        <f t="array" ref="M31">+HLOOKUP($A$1,+[5]İcmal!$B$19:$AG$49,ROW(D29)+1,FALSE)</f>
        <v>0</v>
      </c>
      <c r="N31" s="15" cm="1">
        <f t="array" ref="N31">+HLOOKUP($A$1,+[6]İcmal!$B$19:$AG$49,ROW(E29)+1,FALSE)</f>
        <v>0</v>
      </c>
      <c r="O31" s="15" cm="1">
        <f t="array" ref="O31">+HLOOKUP($A$1,+[7]İcmal!$B$19:$AG$49,ROW(F29)+1,FALSE)</f>
        <v>0</v>
      </c>
      <c r="P31" s="15" cm="1">
        <f t="array" ref="P31">+HLOOKUP($A$1,+[8]İcmal!$B$19:$AG$49,ROW(G29)+1,FALSE)</f>
        <v>0</v>
      </c>
      <c r="Q31" s="15" cm="1">
        <f t="array" ref="Q31">+HLOOKUP($A$1,+[9]İcmal!$B$19:$AG$49,ROW(H29)+1,FALSE)</f>
        <v>0</v>
      </c>
      <c r="R31" s="15" cm="1">
        <f t="array" ref="R31">+HLOOKUP($A$1,+[10]İcmal!$B$19:$AG$49,ROW(I29)+1,FALSE)</f>
        <v>0</v>
      </c>
      <c r="S31" s="15" cm="1">
        <f t="array" ref="S31">+HLOOKUP($A$1,+[11]İcmal!$B$19:$AG$49,ROW(J29)+1,FALSE)</f>
        <v>0</v>
      </c>
      <c r="T31" s="15" cm="1">
        <f t="array" ref="T31">+HLOOKUP($A$1,+[12]İcmal!$B$19:$AG$49,ROW(K29)+1,FALSE)</f>
        <v>0</v>
      </c>
      <c r="U31" s="15" cm="1">
        <f t="array" ref="U31">+HLOOKUP($A$1,+[13]İcmal!$B$19:$AG$49,ROW(L29)+1,FALSE)</f>
        <v>0</v>
      </c>
      <c r="V31" s="15" cm="1">
        <f t="array" ref="V31">+HLOOKUP($A$1,+[14]İcmal!$B$19:$AG$49,ROW(M29)+1,FALSE)</f>
        <v>0</v>
      </c>
      <c r="W31" s="15" cm="1">
        <f t="array" ref="W31">+HLOOKUP($A$1,+[15]İcmal!$B$19:$AG$49,ROW(N29)+1,FALSE)</f>
        <v>0</v>
      </c>
      <c r="X31" s="15" cm="1">
        <f t="array" ref="X31">+HLOOKUP($A$1,+[16]İcmal!$B$19:$AG$49,ROW(O29)+1,FALSE)</f>
        <v>0</v>
      </c>
      <c r="Y31" s="15" cm="1">
        <f t="array" ref="Y31">+HLOOKUP($A$1,+[17]İcmal!$B$19:$AG$49,ROW(P29)+1,FALSE)</f>
        <v>0</v>
      </c>
      <c r="Z31" s="15" cm="1">
        <f t="array" ref="Z31">+HLOOKUP($A$1,+[18]İcmal!$B$19:$AG$49,ROW(Q29)+1,FALSE)</f>
        <v>0</v>
      </c>
      <c r="AA31" s="15" cm="1">
        <f t="array" ref="AA31">+HLOOKUP($A$1,+[19]İcmal!$B$19:$AG$49,ROW(R29)+1,FALSE)</f>
        <v>0</v>
      </c>
      <c r="AB31" s="15" cm="1">
        <f t="array" ref="AB31">+HLOOKUP($A$1,+[20]İcmal!$B$19:$AG$49,ROW(S29)+1,FALSE)</f>
        <v>0</v>
      </c>
      <c r="AC31" s="15" cm="1">
        <f t="array" ref="AC31">+HLOOKUP($A$1,+[21]İcmal!$B$19:$AG$49,ROW(T29)+1,FALSE)</f>
        <v>0</v>
      </c>
      <c r="AD31" s="15" cm="1">
        <f t="array" ref="AD31">+HLOOKUP($A$1,+[22]İcmal!$B$19:$AG$49,ROW(U29)+1,FALSE)</f>
        <v>0</v>
      </c>
      <c r="AE31" s="15" cm="1">
        <f t="array" ref="AE31">+HLOOKUP($A$1,+[23]İcmal!$B$19:$AG$49,ROW(V29)+1,FALSE)</f>
        <v>0</v>
      </c>
      <c r="AF31" s="15" cm="1">
        <f t="array" ref="AF31">+HLOOKUP($A$1,+[24]İcmal!$B$19:$AG$49,ROW(W29)+1,FALSE)</f>
        <v>0</v>
      </c>
      <c r="AG31" s="15" cm="1">
        <f t="array" ref="AG31">+HLOOKUP($A$1,+[25]İcmal!$B$19:$AG$49,ROW(X29)+1,FALSE)</f>
        <v>0</v>
      </c>
      <c r="AH31" s="15" cm="1">
        <f t="array" ref="AH31">+HLOOKUP($A$1,+[26]İcmal!$B$19:$AG$49,ROW(Y29)+1,FALSE)</f>
        <v>0</v>
      </c>
      <c r="AI31" s="15" cm="1">
        <f t="array" ref="AI31">+HLOOKUP($A$1,+[27]İcmal!$B$19:$AG$49,ROW(Z29)+1,FALSE)</f>
        <v>0</v>
      </c>
      <c r="AJ31" s="15" cm="1">
        <f t="array" ref="AJ31">+HLOOKUP($A$1,+[28]İcmal!$B$19:$AG$49,ROW(AA29)+1,FALSE)</f>
        <v>0</v>
      </c>
      <c r="AK31" s="15" cm="1">
        <f t="array" ref="AK31">+HLOOKUP($A$1,+[29]İcmal!$B$19:$AG$49,ROW(AB29)+1,FALSE)</f>
        <v>0</v>
      </c>
      <c r="AL31" s="15"/>
      <c r="AM31" s="15"/>
      <c r="AN31" s="15"/>
      <c r="AO31" s="15"/>
      <c r="AP31" s="15"/>
      <c r="AQ31" s="15"/>
      <c r="AR31" s="15"/>
      <c r="AS31" s="15"/>
      <c r="AT31" s="13"/>
    </row>
    <row r="32" spans="1:46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+HLOOKUP($A$1,+[2]İcmal!$B$19:$AG$49,ROW(A30)+1,FALSE)</f>
        <v>0</v>
      </c>
      <c r="K32" s="15" cm="1">
        <f t="array" ref="K32">+HLOOKUP($A$1,+[3]İcmal!$B$19:$AG$49,ROW(B30)+1,FALSE)</f>
        <v>0</v>
      </c>
      <c r="L32" s="15" cm="1">
        <f t="array" ref="L32">+HLOOKUP($A$1,+[4]İcmal!$B$19:$AG$49,ROW(C30)+1,FALSE)</f>
        <v>0</v>
      </c>
      <c r="M32" s="15" cm="1">
        <f t="array" ref="M32">+HLOOKUP($A$1,+[5]İcmal!$B$19:$AG$49,ROW(D30)+1,FALSE)</f>
        <v>0</v>
      </c>
      <c r="N32" s="15" cm="1">
        <f t="array" ref="N32">+HLOOKUP($A$1,+[6]İcmal!$B$19:$AG$49,ROW(E30)+1,FALSE)</f>
        <v>0</v>
      </c>
      <c r="O32" s="15" cm="1">
        <f t="array" ref="O32">+HLOOKUP($A$1,+[7]İcmal!$B$19:$AG$49,ROW(F30)+1,FALSE)</f>
        <v>0</v>
      </c>
      <c r="P32" s="15" cm="1">
        <f t="array" ref="P32">+HLOOKUP($A$1,+[8]İcmal!$B$19:$AG$49,ROW(G30)+1,FALSE)</f>
        <v>0</v>
      </c>
      <c r="Q32" s="15" cm="1">
        <f t="array" ref="Q32">+HLOOKUP($A$1,+[9]İcmal!$B$19:$AG$49,ROW(H30)+1,FALSE)</f>
        <v>0</v>
      </c>
      <c r="R32" s="15" cm="1">
        <f t="array" ref="R32">+HLOOKUP($A$1,+[10]İcmal!$B$19:$AG$49,ROW(I30)+1,FALSE)</f>
        <v>0</v>
      </c>
      <c r="S32" s="15" cm="1">
        <f t="array" ref="S32">+HLOOKUP($A$1,+[11]İcmal!$B$19:$AG$49,ROW(J30)+1,FALSE)</f>
        <v>0</v>
      </c>
      <c r="T32" s="15" cm="1">
        <f t="array" ref="T32">+HLOOKUP($A$1,+[12]İcmal!$B$19:$AG$49,ROW(K30)+1,FALSE)</f>
        <v>0</v>
      </c>
      <c r="U32" s="15" cm="1">
        <f t="array" ref="U32">+HLOOKUP($A$1,+[13]İcmal!$B$19:$AG$49,ROW(L30)+1,FALSE)</f>
        <v>0</v>
      </c>
      <c r="V32" s="15" cm="1">
        <f t="array" ref="V32">+HLOOKUP($A$1,+[14]İcmal!$B$19:$AG$49,ROW(M30)+1,FALSE)</f>
        <v>0</v>
      </c>
      <c r="W32" s="15" cm="1">
        <f t="array" ref="W32">+HLOOKUP($A$1,+[15]İcmal!$B$19:$AG$49,ROW(N30)+1,FALSE)</f>
        <v>0</v>
      </c>
      <c r="X32" s="15" cm="1">
        <f t="array" ref="X32">+HLOOKUP($A$1,+[16]İcmal!$B$19:$AG$49,ROW(O30)+1,FALSE)</f>
        <v>0</v>
      </c>
      <c r="Y32" s="15" cm="1">
        <f t="array" ref="Y32">+HLOOKUP($A$1,+[17]İcmal!$B$19:$AG$49,ROW(P30)+1,FALSE)</f>
        <v>0</v>
      </c>
      <c r="Z32" s="15" cm="1">
        <f t="array" ref="Z32">+HLOOKUP($A$1,+[18]İcmal!$B$19:$AG$49,ROW(Q30)+1,FALSE)</f>
        <v>0</v>
      </c>
      <c r="AA32" s="15" cm="1">
        <f t="array" ref="AA32">+HLOOKUP($A$1,+[19]İcmal!$B$19:$AG$49,ROW(R30)+1,FALSE)</f>
        <v>0</v>
      </c>
      <c r="AB32" s="15" cm="1">
        <f t="array" ref="AB32">+HLOOKUP($A$1,+[20]İcmal!$B$19:$AG$49,ROW(S30)+1,FALSE)</f>
        <v>0</v>
      </c>
      <c r="AC32" s="15" cm="1">
        <f t="array" ref="AC32">+HLOOKUP($A$1,+[21]İcmal!$B$19:$AG$49,ROW(T30)+1,FALSE)</f>
        <v>0</v>
      </c>
      <c r="AD32" s="15" cm="1">
        <f t="array" ref="AD32">+HLOOKUP($A$1,+[22]İcmal!$B$19:$AG$49,ROW(U30)+1,FALSE)</f>
        <v>0</v>
      </c>
      <c r="AE32" s="15" cm="1">
        <f t="array" ref="AE32">+HLOOKUP($A$1,+[23]İcmal!$B$19:$AG$49,ROW(V30)+1,FALSE)</f>
        <v>0</v>
      </c>
      <c r="AF32" s="15" cm="1">
        <f t="array" ref="AF32">+HLOOKUP($A$1,+[24]İcmal!$B$19:$AG$49,ROW(W30)+1,FALSE)</f>
        <v>0</v>
      </c>
      <c r="AG32" s="15" cm="1">
        <f t="array" ref="AG32">+HLOOKUP($A$1,+[25]İcmal!$B$19:$AG$49,ROW(X30)+1,FALSE)</f>
        <v>0</v>
      </c>
      <c r="AH32" s="15" cm="1">
        <f t="array" ref="AH32">+HLOOKUP($A$1,+[26]İcmal!$B$19:$AG$49,ROW(Y30)+1,FALSE)</f>
        <v>0</v>
      </c>
      <c r="AI32" s="15" cm="1">
        <f t="array" ref="AI32">+HLOOKUP($A$1,+[27]İcmal!$B$19:$AG$49,ROW(Z30)+1,FALSE)</f>
        <v>0</v>
      </c>
      <c r="AJ32" s="15" cm="1">
        <f t="array" ref="AJ32">+HLOOKUP($A$1,+[28]İcmal!$B$19:$AG$49,ROW(AA30)+1,FALSE)</f>
        <v>0</v>
      </c>
      <c r="AK32" s="15" cm="1">
        <f t="array" ref="AK32">+HLOOKUP($A$1,+[29]İcmal!$B$19:$AG$49,ROW(AB30)+1,FALSE)</f>
        <v>0</v>
      </c>
      <c r="AL32" s="15"/>
      <c r="AM32" s="15"/>
      <c r="AN32" s="15"/>
      <c r="AO32" s="15"/>
      <c r="AP32" s="15"/>
      <c r="AQ32" s="15"/>
      <c r="AR32" s="15"/>
      <c r="AS32" s="15"/>
      <c r="AT32" s="14"/>
    </row>
    <row r="33" spans="7:45" x14ac:dyDescent="0.3">
      <c r="I33" s="16">
        <f>SUM(I3:I32)</f>
        <v>65686528.003999993</v>
      </c>
      <c r="J33" s="16">
        <f t="shared" ref="J33:AS33" si="3">+SUMPRODUCT(J3:J32,$F$3:$F$32)</f>
        <v>0</v>
      </c>
      <c r="K33" s="16">
        <f t="shared" si="3"/>
        <v>0</v>
      </c>
      <c r="L33" s="16">
        <f t="shared" si="3"/>
        <v>11550291.824000001</v>
      </c>
      <c r="M33" s="16">
        <f t="shared" si="3"/>
        <v>11986247.018999999</v>
      </c>
      <c r="N33" s="16">
        <f t="shared" si="3"/>
        <v>0</v>
      </c>
      <c r="O33" s="16">
        <f t="shared" si="3"/>
        <v>0</v>
      </c>
      <c r="P33" s="16">
        <f t="shared" si="3"/>
        <v>0</v>
      </c>
      <c r="Q33" s="16">
        <f t="shared" si="3"/>
        <v>0</v>
      </c>
      <c r="R33" s="16">
        <f t="shared" si="3"/>
        <v>2072000</v>
      </c>
      <c r="S33" s="16">
        <f t="shared" si="3"/>
        <v>3220000</v>
      </c>
      <c r="T33" s="16">
        <f t="shared" si="3"/>
        <v>2659323.6310000005</v>
      </c>
      <c r="U33" s="16">
        <f t="shared" si="3"/>
        <v>2058559.5059999998</v>
      </c>
      <c r="V33" s="16">
        <f t="shared" si="3"/>
        <v>327794.91799999925</v>
      </c>
      <c r="W33" s="16">
        <f t="shared" si="3"/>
        <v>335952.60599999985</v>
      </c>
      <c r="X33" s="16">
        <f t="shared" si="3"/>
        <v>11898637.642000001</v>
      </c>
      <c r="Y33" s="16">
        <f t="shared" si="3"/>
        <v>12225058.866999999</v>
      </c>
      <c r="Z33" s="16">
        <f t="shared" si="3"/>
        <v>6752303.6850000005</v>
      </c>
      <c r="AA33" s="16">
        <f t="shared" si="3"/>
        <v>0</v>
      </c>
      <c r="AB33" s="16">
        <f t="shared" si="3"/>
        <v>55769.758000000009</v>
      </c>
      <c r="AC33" s="16">
        <f t="shared" si="3"/>
        <v>28122.555999999993</v>
      </c>
      <c r="AD33" s="16">
        <f t="shared" si="3"/>
        <v>0</v>
      </c>
      <c r="AE33" s="16">
        <f t="shared" si="3"/>
        <v>-2100000</v>
      </c>
      <c r="AF33" s="16">
        <f t="shared" si="3"/>
        <v>55769.758000000009</v>
      </c>
      <c r="AG33" s="16">
        <f t="shared" si="3"/>
        <v>644122.55599999998</v>
      </c>
      <c r="AH33" s="16">
        <f t="shared" si="3"/>
        <v>55769.758000000009</v>
      </c>
      <c r="AI33" s="16">
        <f t="shared" si="3"/>
        <v>644122.55599999998</v>
      </c>
      <c r="AJ33" s="16">
        <f t="shared" si="3"/>
        <v>1216681.3639999998</v>
      </c>
      <c r="AK33" s="16">
        <f t="shared" si="3"/>
        <v>0</v>
      </c>
      <c r="AL33" s="16"/>
      <c r="AM33" s="16"/>
      <c r="AN33" s="16"/>
      <c r="AO33" s="16"/>
      <c r="AP33" s="16"/>
      <c r="AQ33" s="16"/>
      <c r="AR33" s="16"/>
      <c r="AS33" s="16">
        <f t="shared" si="3"/>
        <v>0</v>
      </c>
    </row>
    <row r="34" spans="7:45" x14ac:dyDescent="0.3">
      <c r="H34" s="52"/>
    </row>
    <row r="35" spans="7:45" x14ac:dyDescent="0.3">
      <c r="G35" s="16"/>
      <c r="H35" s="16"/>
      <c r="I35" s="16"/>
    </row>
    <row r="36" spans="7:45" x14ac:dyDescent="0.3">
      <c r="I36" s="16"/>
      <c r="K36" s="49"/>
      <c r="N36" s="49"/>
      <c r="O36" s="49"/>
      <c r="P36" s="49"/>
      <c r="Q36" s="49"/>
    </row>
    <row r="37" spans="7:45" x14ac:dyDescent="0.3"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7:45" x14ac:dyDescent="0.3">
      <c r="I38" s="16"/>
    </row>
    <row r="39" spans="7:45" x14ac:dyDescent="0.3">
      <c r="I39" s="16"/>
    </row>
    <row r="40" spans="7:45" x14ac:dyDescent="0.3">
      <c r="I40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74DD-ECC5-495A-88C5-EE795C7C7832}">
  <sheetPr>
    <tabColor rgb="FFFF0000"/>
  </sheetPr>
  <dimension ref="A1:AR37"/>
  <sheetViews>
    <sheetView topLeftCell="AJ1" zoomScale="85" zoomScaleNormal="85" workbookViewId="0">
      <selection activeCell="AK12" sqref="AK1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1" width="19.33203125" customWidth="1"/>
    <col min="12" max="13" width="21.109375" customWidth="1"/>
    <col min="14" max="15" width="19.21875" customWidth="1"/>
    <col min="16" max="16" width="19.33203125" customWidth="1"/>
    <col min="17" max="19" width="19.21875" customWidth="1"/>
    <col min="20" max="20" width="19.33203125" customWidth="1"/>
    <col min="21" max="21" width="19.21875" customWidth="1"/>
    <col min="22" max="24" width="46.77734375" customWidth="1"/>
    <col min="25" max="25" width="46.33203125" customWidth="1"/>
    <col min="26" max="32" width="46.77734375" customWidth="1"/>
    <col min="33" max="33" width="46.33203125" customWidth="1"/>
    <col min="34" max="37" width="46.77734375" customWidth="1"/>
    <col min="38" max="42" width="59.109375" customWidth="1"/>
    <col min="43" max="43" width="12.33203125" bestFit="1" customWidth="1"/>
    <col min="44" max="44" width="2.21875" customWidth="1"/>
  </cols>
  <sheetData>
    <row r="1" spans="1:44" ht="15" thickBot="1" x14ac:dyDescent="0.35">
      <c r="A1" s="17" t="s">
        <v>136</v>
      </c>
    </row>
    <row r="2" spans="1:44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3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11" t="s">
        <v>126</v>
      </c>
      <c r="AG2" s="3" t="s">
        <v>143</v>
      </c>
      <c r="AH2" s="11" t="s">
        <v>144</v>
      </c>
      <c r="AI2" s="3" t="s">
        <v>138</v>
      </c>
      <c r="AJ2" s="11" t="s">
        <v>125</v>
      </c>
      <c r="AK2" s="3" t="s">
        <v>133</v>
      </c>
      <c r="AL2" s="11" t="s">
        <v>145</v>
      </c>
      <c r="AM2" s="11" t="s">
        <v>146</v>
      </c>
      <c r="AN2" s="11" t="s">
        <v>147</v>
      </c>
      <c r="AO2" s="11" t="s">
        <v>148</v>
      </c>
      <c r="AP2" s="11" t="s">
        <v>149</v>
      </c>
      <c r="AQ2" s="11"/>
      <c r="AR2" s="12"/>
    </row>
    <row r="3" spans="1:44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SUM(J3:AR3)</f>
        <v>1397.9109999999998</v>
      </c>
      <c r="I3" s="9">
        <f>+F3*H3</f>
        <v>7094398.3249999993</v>
      </c>
      <c r="J3" s="15" cm="1">
        <f t="array" ref="J3">+HLOOKUP($A$1,+[31]İcmal!$B$19:$AG$49,ROW(A1)+1,FALSE)</f>
        <v>0</v>
      </c>
      <c r="K3" s="15" cm="1">
        <f t="array" ref="K3">+HLOOKUP($A$1,+[32]İcmal!$B$19:$AG$49,ROW(B1)+1,FALSE)</f>
        <v>0</v>
      </c>
      <c r="L3" s="15" cm="1">
        <f t="array" ref="L3">+HLOOKUP($A$1,+[33]İcmal!$B$19:$AG$49,ROW(C1)+1,FALSE)</f>
        <v>121.30800000000001</v>
      </c>
      <c r="M3" s="15" cm="1">
        <f t="array" ref="M3">+HLOOKUP($A$1,+[34]İcmal!$B$19:$AG$49,ROW(D1)+1,FALSE)</f>
        <v>99.99899999999991</v>
      </c>
      <c r="N3" s="15" cm="1">
        <f t="array" ref="N3">+HLOOKUP($A$1,+[35]İcmal!$B$19:$AG$49,ROW(A1)+1,FALSE)</f>
        <v>0</v>
      </c>
      <c r="O3" s="15" cm="1">
        <f t="array" ref="O3">+HLOOKUP($A$1,+[36]İcmal!$B$19:$AG$49,ROW(B1)+1,FALSE)</f>
        <v>0</v>
      </c>
      <c r="P3" s="15" cm="1">
        <f t="array" ref="P3">+HLOOKUP($A$1,+[37]İcmal!$B$19:$AG$49,ROW(C1)+1,FALSE)</f>
        <v>575.35699999999997</v>
      </c>
      <c r="Q3" s="15" cm="1">
        <f t="array" ref="Q3">+HLOOKUP($A$1,+[38]İcmal!$B$19:$AG$49,ROW(D1)+1,FALSE)</f>
        <v>474.12600000000009</v>
      </c>
      <c r="R3" s="15" cm="1">
        <f t="array" ref="R3">+HLOOKUP($A$1,+[39]İcmal!$B$19:$AG$49,ROW(A1)+1,FALSE)</f>
        <v>0</v>
      </c>
      <c r="S3" s="15" cm="1">
        <f t="array" ref="S3">+HLOOKUP($A$1,+[40]İcmal!$B$19:$AG$49,ROW(B1)+1,FALSE)</f>
        <v>0</v>
      </c>
      <c r="T3" s="15" cm="1">
        <f t="array" ref="T3">+HLOOKUP($A$1,+[41]İcmal!$B$19:$AG$49,ROW(C1)+1,FALSE)</f>
        <v>0</v>
      </c>
      <c r="U3" s="15" cm="1">
        <f t="array" ref="U3">+HLOOKUP($A$1,+[42]İcmal!$B$19:$AG$49,ROW(D1)+1,FALSE)</f>
        <v>0</v>
      </c>
      <c r="V3" s="15" cm="1">
        <f t="array" ref="V3">+HLOOKUP($A$1,+[43]İcmal!$B$19:$AG$49,ROW(A1)+1,FALSE)</f>
        <v>0</v>
      </c>
      <c r="W3" s="15" cm="1">
        <f t="array" ref="W3">+HLOOKUP($A$1,+[44]İcmal!$B$19:$AG$49,ROW(B1)+1,FALSE)</f>
        <v>0</v>
      </c>
      <c r="X3" s="15" cm="1">
        <f t="array" ref="X3">+HLOOKUP($A$1,+[45]İcmal!$B$19:$AG$49,ROW(C1)+1,FALSE)</f>
        <v>69.761999999999944</v>
      </c>
      <c r="Y3" s="15" cm="1">
        <f t="array" ref="Y3">+HLOOKUP($A$1,+[46]İcmal!$B$19:$AG$49,ROW(D1)+1,FALSE)</f>
        <v>57.358999999999924</v>
      </c>
      <c r="Z3" s="15" cm="1">
        <f t="array" ref="Z3">+HLOOKUP($A$1,+[47]İcmal!$B$19:$AG$49,ROW(A1)+1,FALSE)</f>
        <v>0</v>
      </c>
      <c r="AA3" s="15" cm="1">
        <f t="array" ref="AA3">+HLOOKUP($A$1,+[48]İcmal!$B$19:$AG$49,ROW(B1)+1,FALSE)</f>
        <v>0</v>
      </c>
      <c r="AB3" s="15" cm="1">
        <f t="array" ref="AB3">+HLOOKUP($A$1,+[49]İcmal!$B$19:$AG$49,ROW(A1)+1,FALSE)</f>
        <v>0</v>
      </c>
      <c r="AC3" s="15" cm="1">
        <f t="array" ref="AC3">+HLOOKUP($A$1,+[50]İcmal!$B$19:$AG$49,ROW(A1)+1,FALSE)</f>
        <v>0</v>
      </c>
      <c r="AD3" s="15" cm="1">
        <f t="array" ref="AD3">+HLOOKUP($A$1,+[51]İcmal!$B$19:$AG$49,ROW(A1)+1,FALSE)</f>
        <v>0</v>
      </c>
      <c r="AE3" s="15" cm="1">
        <f t="array" ref="AE3">+HLOOKUP($A$1,+[52]İcmal!$B$19:$AG$49,ROW(A1)+1,FALSE)</f>
        <v>0</v>
      </c>
      <c r="AF3" s="50" cm="1">
        <f t="array" ref="AF3">+HLOOKUP($A$1,+[53]İcmal!$B$19:$AG$49,ROW(A1)+1,FALSE)</f>
        <v>0</v>
      </c>
      <c r="AG3" s="15" cm="1">
        <f t="array" ref="AG3">+HLOOKUP($A$1,+[54]İcmal!$B$19:$AG$49,ROW(A1)+1,FALSE)</f>
        <v>0</v>
      </c>
      <c r="AH3" s="15" cm="1">
        <f t="array" ref="AH3">+HLOOKUP($A$1,+[55]İcmal!$B$19:$AG$49,ROW(A1)+1,FALSE)</f>
        <v>0</v>
      </c>
      <c r="AI3" s="15" cm="1">
        <f t="array" ref="AI3">+HLOOKUP($A$1,+[56]İcmal!$B$19:$AG$49,ROW(A1)+1,FALSE)</f>
        <v>0</v>
      </c>
      <c r="AJ3" s="15" cm="1">
        <f t="array" ref="AJ3">+HLOOKUP($A$1,+[57]İcmal!$B$19:$AG$49,ROW(A1)+1,FALSE)</f>
        <v>0</v>
      </c>
      <c r="AK3" s="15" cm="1">
        <f t="array" ref="AK3">+HLOOKUP($A$1,+[58]İcmal!$B$19:$AG$49,ROW(B1)+1,FALSE)</f>
        <v>0</v>
      </c>
      <c r="AL3" s="15">
        <f>+'[59]İcmal B1 101'!AH21</f>
        <v>0</v>
      </c>
      <c r="AM3" s="15">
        <f>+'[60]İcmal B1 102'!AH21</f>
        <v>0</v>
      </c>
      <c r="AN3" s="15">
        <f>+'[61]İcmal B1 103'!AG21</f>
        <v>0</v>
      </c>
      <c r="AO3" s="15">
        <f>+'[62]İcmal  P1 101'!AH21</f>
        <v>0</v>
      </c>
      <c r="AP3" s="15">
        <f>+'[63]İcmal P1 102'!AH21</f>
        <v>0</v>
      </c>
      <c r="AQ3" s="15"/>
      <c r="AR3" s="13"/>
    </row>
    <row r="4" spans="1:44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+HLOOKUP($A$1,+[31]İcmal!$B$19:$AG$49,ROW(A2)+1,FALSE)</f>
        <v>0</v>
      </c>
      <c r="K4" s="15" cm="1">
        <f t="array" ref="K4">+HLOOKUP($A$1,+[32]İcmal!$B$19:$AG$49,ROW(B2)+1,FALSE)</f>
        <v>0</v>
      </c>
      <c r="L4" s="15" cm="1">
        <f t="array" ref="L4">+HLOOKUP($A$1,+[33]İcmal!$B$19:$AG$49,ROW(C2)+1,FALSE)</f>
        <v>0</v>
      </c>
      <c r="M4" s="15" cm="1">
        <f t="array" ref="M4">+HLOOKUP($A$1,+[34]İcmal!$B$19:$AG$49,ROW(D2)+1,FALSE)</f>
        <v>0</v>
      </c>
      <c r="N4" s="15" cm="1">
        <f t="array" ref="N4">+HLOOKUP($A$1,+[35]İcmal!$B$19:$AG$49,ROW(A2)+1,FALSE)</f>
        <v>0</v>
      </c>
      <c r="O4" s="15" cm="1">
        <f t="array" ref="O4">+HLOOKUP($A$1,+[36]İcmal!$B$19:$AG$49,ROW(B2)+1,FALSE)</f>
        <v>0</v>
      </c>
      <c r="P4" s="15" cm="1">
        <f t="array" ref="P4">+HLOOKUP($A$1,+[37]İcmal!$B$19:$AG$49,ROW(C2)+1,FALSE)</f>
        <v>0</v>
      </c>
      <c r="Q4" s="15" cm="1">
        <f t="array" ref="Q4">+HLOOKUP($A$1,+[38]İcmal!$B$19:$AG$49,ROW(D2)+1,FALSE)</f>
        <v>0</v>
      </c>
      <c r="R4" s="15" cm="1">
        <f t="array" ref="R4">+HLOOKUP($A$1,+[39]İcmal!$B$19:$AG$49,ROW(A2)+1,FALSE)</f>
        <v>0</v>
      </c>
      <c r="S4" s="15" cm="1">
        <f t="array" ref="S4">+HLOOKUP($A$1,+[40]İcmal!$B$19:$AG$49,ROW(B2)+1,FALSE)</f>
        <v>0</v>
      </c>
      <c r="T4" s="15" cm="1">
        <f t="array" ref="T4">+HLOOKUP($A$1,+[41]İcmal!$B$19:$AG$49,ROW(C2)+1,FALSE)</f>
        <v>0</v>
      </c>
      <c r="U4" s="15" cm="1">
        <f t="array" ref="U4">+HLOOKUP($A$1,+[42]İcmal!$B$19:$AG$49,ROW(D2)+1,FALSE)</f>
        <v>0</v>
      </c>
      <c r="V4" s="15" cm="1">
        <f t="array" ref="V4">+HLOOKUP($A$1,+[43]İcmal!$B$19:$AG$49,ROW(A2)+1,FALSE)</f>
        <v>0</v>
      </c>
      <c r="W4" s="15" cm="1">
        <f t="array" ref="W4">+HLOOKUP($A$1,+[44]İcmal!$B$19:$AG$49,ROW(B2)+1,FALSE)</f>
        <v>0</v>
      </c>
      <c r="X4" s="15" cm="1">
        <f t="array" ref="X4">+HLOOKUP($A$1,+[45]İcmal!$B$19:$AG$49,ROW(C2)+1,FALSE)</f>
        <v>0</v>
      </c>
      <c r="Y4" s="15" cm="1">
        <f t="array" ref="Y4">+HLOOKUP($A$1,+[46]İcmal!$B$19:$AG$49,ROW(D2)+1,FALSE)</f>
        <v>0</v>
      </c>
      <c r="Z4" s="15" cm="1">
        <f t="array" ref="Z4">+HLOOKUP($A$1,+[47]İcmal!$B$19:$AG$49,ROW(A2)+1,FALSE)</f>
        <v>0</v>
      </c>
      <c r="AA4" s="15" cm="1">
        <f t="array" ref="AA4">+HLOOKUP($A$1,+[48]İcmal!$B$19:$AG$49,ROW(B2)+1,FALSE)</f>
        <v>0</v>
      </c>
      <c r="AB4" s="15" cm="1">
        <f t="array" ref="AB4">+HLOOKUP($A$1,+[49]İcmal!$B$19:$AG$49,ROW(A2)+1,FALSE)</f>
        <v>0</v>
      </c>
      <c r="AC4" s="15" cm="1">
        <f t="array" ref="AC4">+HLOOKUP($A$1,+[50]İcmal!$B$19:$AG$49,ROW(A2)+1,FALSE)</f>
        <v>0</v>
      </c>
      <c r="AD4" s="15" cm="1">
        <f t="array" ref="AD4">+HLOOKUP($A$1,+[51]İcmal!$B$19:$AG$49,ROW(A2)+1,FALSE)</f>
        <v>0</v>
      </c>
      <c r="AE4" s="15" cm="1">
        <f t="array" ref="AE4">+HLOOKUP($A$1,+[52]İcmal!$B$19:$AG$49,ROW(A2)+1,FALSE)</f>
        <v>0</v>
      </c>
      <c r="AF4" s="50" cm="1">
        <f t="array" ref="AF4">+HLOOKUP($A$1,+[53]İcmal!$B$19:$AG$49,ROW(A2)+1,FALSE)</f>
        <v>0</v>
      </c>
      <c r="AG4" s="15" cm="1">
        <f t="array" ref="AG4">+HLOOKUP($A$1,+[54]İcmal!$B$19:$AG$49,ROW(A2)+1,FALSE)</f>
        <v>0</v>
      </c>
      <c r="AH4" s="15" cm="1">
        <f t="array" ref="AH4">+HLOOKUP($A$1,+[55]İcmal!$B$19:$AG$49,ROW(A2)+1,FALSE)</f>
        <v>0</v>
      </c>
      <c r="AI4" s="15" cm="1">
        <f t="array" ref="AI4">+HLOOKUP($A$1,+[56]İcmal!$B$19:$AG$49,ROW(A2)+1,FALSE)</f>
        <v>0</v>
      </c>
      <c r="AJ4" s="15" cm="1">
        <f t="array" ref="AJ4">+HLOOKUP($A$1,+[57]İcmal!$B$19:$AG$49,ROW(A2)+1,FALSE)</f>
        <v>0</v>
      </c>
      <c r="AK4" s="15" cm="1">
        <f t="array" ref="AK4">+HLOOKUP($A$1,+[58]İcmal!$B$19:$AG$49,ROW(B2)+1,FALSE)</f>
        <v>0</v>
      </c>
      <c r="AL4" s="15">
        <f>+'[59]İcmal B1 101'!AH22</f>
        <v>0</v>
      </c>
      <c r="AM4" s="15">
        <f>+'[60]İcmal B1 102'!AH22</f>
        <v>0</v>
      </c>
      <c r="AN4" s="15">
        <f>+'[61]İcmal B1 103'!AG22</f>
        <v>0</v>
      </c>
      <c r="AO4" s="15">
        <f>+'[62]İcmal  P1 101'!AH22</f>
        <v>0</v>
      </c>
      <c r="AP4" s="15">
        <f>+'[63]İcmal P1 102'!AH22</f>
        <v>0</v>
      </c>
      <c r="AQ4" s="15"/>
      <c r="AR4" s="13"/>
    </row>
    <row r="5" spans="1:44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+HLOOKUP($A$1,+[31]İcmal!$B$19:$AG$49,ROW(A3)+1,FALSE)</f>
        <v>0</v>
      </c>
      <c r="K5" s="15" cm="1">
        <f t="array" ref="K5">+HLOOKUP($A$1,+[32]İcmal!$B$19:$AG$49,ROW(B3)+1,FALSE)</f>
        <v>0</v>
      </c>
      <c r="L5" s="15" cm="1">
        <f t="array" ref="L5">+HLOOKUP($A$1,+[33]İcmal!$B$19:$AG$49,ROW(C3)+1,FALSE)</f>
        <v>0</v>
      </c>
      <c r="M5" s="15" cm="1">
        <f t="array" ref="M5">+HLOOKUP($A$1,+[34]İcmal!$B$19:$AG$49,ROW(D3)+1,FALSE)</f>
        <v>0</v>
      </c>
      <c r="N5" s="15" cm="1">
        <f t="array" ref="N5">+HLOOKUP($A$1,+[35]İcmal!$B$19:$AG$49,ROW(A3)+1,FALSE)</f>
        <v>0</v>
      </c>
      <c r="O5" s="15" cm="1">
        <f t="array" ref="O5">+HLOOKUP($A$1,+[36]İcmal!$B$19:$AG$49,ROW(B3)+1,FALSE)</f>
        <v>0</v>
      </c>
      <c r="P5" s="15" cm="1">
        <f t="array" ref="P5">+HLOOKUP($A$1,+[37]İcmal!$B$19:$AG$49,ROW(C3)+1,FALSE)</f>
        <v>0</v>
      </c>
      <c r="Q5" s="15" cm="1">
        <f t="array" ref="Q5">+HLOOKUP($A$1,+[38]İcmal!$B$19:$AG$49,ROW(D3)+1,FALSE)</f>
        <v>0</v>
      </c>
      <c r="R5" s="15" cm="1">
        <f t="array" ref="R5">+HLOOKUP($A$1,+[39]İcmal!$B$19:$AG$49,ROW(A3)+1,FALSE)</f>
        <v>0</v>
      </c>
      <c r="S5" s="15" cm="1">
        <f t="array" ref="S5">+HLOOKUP($A$1,+[40]İcmal!$B$19:$AG$49,ROW(B3)+1,FALSE)</f>
        <v>0</v>
      </c>
      <c r="T5" s="15" cm="1">
        <f t="array" ref="T5">+HLOOKUP($A$1,+[41]İcmal!$B$19:$AG$49,ROW(C3)+1,FALSE)</f>
        <v>0</v>
      </c>
      <c r="U5" s="15" cm="1">
        <f t="array" ref="U5">+HLOOKUP($A$1,+[42]İcmal!$B$19:$AG$49,ROW(D3)+1,FALSE)</f>
        <v>0</v>
      </c>
      <c r="V5" s="15" cm="1">
        <f t="array" ref="V5">+HLOOKUP($A$1,+[43]İcmal!$B$19:$AG$49,ROW(A3)+1,FALSE)</f>
        <v>0</v>
      </c>
      <c r="W5" s="15" cm="1">
        <f t="array" ref="W5">+HLOOKUP($A$1,+[44]İcmal!$B$19:$AG$49,ROW(B3)+1,FALSE)</f>
        <v>0</v>
      </c>
      <c r="X5" s="15" cm="1">
        <f t="array" ref="X5">+HLOOKUP($A$1,+[45]İcmal!$B$19:$AG$49,ROW(C3)+1,FALSE)</f>
        <v>0</v>
      </c>
      <c r="Y5" s="15" cm="1">
        <f t="array" ref="Y5">+HLOOKUP($A$1,+[46]İcmal!$B$19:$AG$49,ROW(D3)+1,FALSE)</f>
        <v>0</v>
      </c>
      <c r="Z5" s="15" cm="1">
        <f t="array" ref="Z5">+HLOOKUP($A$1,+[47]İcmal!$B$19:$AG$49,ROW(A3)+1,FALSE)</f>
        <v>0</v>
      </c>
      <c r="AA5" s="15" cm="1">
        <f t="array" ref="AA5">+HLOOKUP($A$1,+[48]İcmal!$B$19:$AG$49,ROW(B3)+1,FALSE)</f>
        <v>0</v>
      </c>
      <c r="AB5" s="15" cm="1">
        <f t="array" ref="AB5">+HLOOKUP($A$1,+[49]İcmal!$B$19:$AG$49,ROW(A3)+1,FALSE)</f>
        <v>0</v>
      </c>
      <c r="AC5" s="15" cm="1">
        <f t="array" ref="AC5">+HLOOKUP($A$1,+[50]İcmal!$B$19:$AG$49,ROW(A3)+1,FALSE)</f>
        <v>0</v>
      </c>
      <c r="AD5" s="15" cm="1">
        <f t="array" ref="AD5">+HLOOKUP($A$1,+[51]İcmal!$B$19:$AG$49,ROW(A3)+1,FALSE)</f>
        <v>0</v>
      </c>
      <c r="AE5" s="15" cm="1">
        <f t="array" ref="AE5">+HLOOKUP($A$1,+[52]İcmal!$B$19:$AG$49,ROW(A3)+1,FALSE)</f>
        <v>0</v>
      </c>
      <c r="AF5" s="50" cm="1">
        <f t="array" ref="AF5">+HLOOKUP($A$1,+[53]İcmal!$B$19:$AG$49,ROW(A3)+1,FALSE)</f>
        <v>0</v>
      </c>
      <c r="AG5" s="15" cm="1">
        <f t="array" ref="AG5">+HLOOKUP($A$1,+[54]İcmal!$B$19:$AG$49,ROW(A3)+1,FALSE)</f>
        <v>0</v>
      </c>
      <c r="AH5" s="15" cm="1">
        <f t="array" ref="AH5">+HLOOKUP($A$1,+[55]İcmal!$B$19:$AG$49,ROW(A3)+1,FALSE)</f>
        <v>0</v>
      </c>
      <c r="AI5" s="15" cm="1">
        <f t="array" ref="AI5">+HLOOKUP($A$1,+[56]İcmal!$B$19:$AG$49,ROW(A3)+1,FALSE)</f>
        <v>0</v>
      </c>
      <c r="AJ5" s="15" cm="1">
        <f t="array" ref="AJ5">+HLOOKUP($A$1,+[57]İcmal!$B$19:$AG$49,ROW(A3)+1,FALSE)</f>
        <v>0</v>
      </c>
      <c r="AK5" s="15" cm="1">
        <f t="array" ref="AK5">+HLOOKUP($A$1,+[58]İcmal!$B$19:$AG$49,ROW(B3)+1,FALSE)</f>
        <v>0</v>
      </c>
      <c r="AL5" s="15">
        <f>+'[59]İcmal B1 101'!AH23</f>
        <v>0</v>
      </c>
      <c r="AM5" s="15">
        <f>+'[60]İcmal B1 102'!AH23</f>
        <v>0</v>
      </c>
      <c r="AN5" s="15">
        <f>+'[61]İcmal B1 103'!AG23</f>
        <v>0</v>
      </c>
      <c r="AO5" s="15">
        <f>+'[62]İcmal  P1 101'!AH23</f>
        <v>0</v>
      </c>
      <c r="AP5" s="15">
        <f>+'[63]İcmal P1 102'!AH23</f>
        <v>0</v>
      </c>
      <c r="AQ5" s="15"/>
      <c r="AR5" s="13"/>
    </row>
    <row r="6" spans="1:44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304.38599999999997</v>
      </c>
      <c r="I6" s="9">
        <f t="shared" si="2"/>
        <v>4667454.9239999996</v>
      </c>
      <c r="J6" s="15" cm="1">
        <f t="array" ref="J6">+HLOOKUP($A$1,+[31]İcmal!$B$19:$AG$49,ROW(A4)+1,FALSE)</f>
        <v>0</v>
      </c>
      <c r="K6" s="15" cm="1">
        <f t="array" ref="K6">+HLOOKUP($A$1,+[32]İcmal!$B$19:$AG$49,ROW(B4)+1,FALSE)</f>
        <v>0</v>
      </c>
      <c r="L6" s="15" cm="1">
        <f t="array" ref="L6">+HLOOKUP($A$1,+[33]İcmal!$B$19:$AG$49,ROW(C4)+1,FALSE)</f>
        <v>33.730999999999995</v>
      </c>
      <c r="M6" s="15" cm="1">
        <f t="array" ref="M6">+HLOOKUP($A$1,+[34]İcmal!$B$19:$AG$49,ROW(D4)+1,FALSE)</f>
        <v>34.246000000000009</v>
      </c>
      <c r="N6" s="15" cm="1">
        <f t="array" ref="N6">+HLOOKUP($A$1,+[35]İcmal!$B$19:$AG$49,ROW(A4)+1,FALSE)</f>
        <v>0</v>
      </c>
      <c r="O6" s="15" cm="1">
        <f t="array" ref="O6">+HLOOKUP($A$1,+[36]İcmal!$B$19:$AG$49,ROW(B4)+1,FALSE)</f>
        <v>0</v>
      </c>
      <c r="P6" s="15" cm="1">
        <f t="array" ref="P6">+HLOOKUP($A$1,+[37]İcmal!$B$19:$AG$49,ROW(C4)+1,FALSE)</f>
        <v>91.847999999999999</v>
      </c>
      <c r="Q6" s="15" cm="1">
        <f t="array" ref="Q6">+HLOOKUP($A$1,+[38]İcmal!$B$19:$AG$49,ROW(D4)+1,FALSE)</f>
        <v>91.89200000000001</v>
      </c>
      <c r="R6" s="15" cm="1">
        <f t="array" ref="R6">+HLOOKUP($A$1,+[39]İcmal!$B$19:$AG$49,ROW(A4)+1,FALSE)</f>
        <v>0</v>
      </c>
      <c r="S6" s="15" cm="1">
        <f t="array" ref="S6">+HLOOKUP($A$1,+[40]İcmal!$B$19:$AG$49,ROW(B4)+1,FALSE)</f>
        <v>0</v>
      </c>
      <c r="T6" s="15" cm="1">
        <f t="array" ref="T6">+HLOOKUP($A$1,+[41]İcmal!$B$19:$AG$49,ROW(C4)+1,FALSE)</f>
        <v>0</v>
      </c>
      <c r="U6" s="15" cm="1">
        <f t="array" ref="U6">+HLOOKUP($A$1,+[42]İcmal!$B$19:$AG$49,ROW(D4)+1,FALSE)</f>
        <v>0</v>
      </c>
      <c r="V6" s="15" cm="1">
        <f t="array" ref="V6">+HLOOKUP($A$1,+[43]İcmal!$B$19:$AG$49,ROW(A4)+1,FALSE)</f>
        <v>0</v>
      </c>
      <c r="W6" s="15" cm="1">
        <f t="array" ref="W6">+HLOOKUP($A$1,+[44]İcmal!$B$19:$AG$49,ROW(B4)+1,FALSE)</f>
        <v>0</v>
      </c>
      <c r="X6" s="15" cm="1">
        <f t="array" ref="X6">+HLOOKUP($A$1,+[45]İcmal!$B$19:$AG$49,ROW(C4)+1,FALSE)</f>
        <v>23.593999999999994</v>
      </c>
      <c r="Y6" s="15" cm="1">
        <f t="array" ref="Y6">+HLOOKUP($A$1,+[46]İcmal!$B$19:$AG$49,ROW(D4)+1,FALSE)</f>
        <v>23.603999999999985</v>
      </c>
      <c r="Z6" s="15" cm="1">
        <f t="array" ref="Z6">+HLOOKUP($A$1,+[47]İcmal!$B$19:$AG$49,ROW(A4)+1,FALSE)</f>
        <v>0</v>
      </c>
      <c r="AA6" s="15" cm="1">
        <f t="array" ref="AA6">+HLOOKUP($A$1,+[48]İcmal!$B$19:$AG$49,ROW(B4)+1,FALSE)</f>
        <v>0</v>
      </c>
      <c r="AB6" s="15" cm="1">
        <f t="array" ref="AB6">+HLOOKUP($A$1,+[49]İcmal!$B$19:$AG$49,ROW(A4)+1,FALSE)</f>
        <v>0</v>
      </c>
      <c r="AC6" s="15" cm="1">
        <f t="array" ref="AC6">+HLOOKUP($A$1,+[50]İcmal!$B$19:$AG$49,ROW(A4)+1,FALSE)</f>
        <v>0</v>
      </c>
      <c r="AD6" s="15" cm="1">
        <f t="array" ref="AD6">+HLOOKUP($A$1,+[51]İcmal!$B$19:$AG$49,ROW(A4)+1,FALSE)</f>
        <v>0</v>
      </c>
      <c r="AE6" s="15" cm="1">
        <f t="array" ref="AE6">+HLOOKUP($A$1,+[52]İcmal!$B$19:$AG$49,ROW(A4)+1,FALSE)</f>
        <v>0</v>
      </c>
      <c r="AF6" s="50" cm="1">
        <f t="array" ref="AF6">+HLOOKUP($A$1,+[53]İcmal!$B$19:$AG$49,ROW(A4)+1,FALSE)</f>
        <v>0</v>
      </c>
      <c r="AG6" s="15" cm="1">
        <f t="array" ref="AG6">+HLOOKUP($A$1,+[54]İcmal!$B$19:$AG$49,ROW(A4)+1,FALSE)</f>
        <v>0</v>
      </c>
      <c r="AH6" s="15" cm="1">
        <f t="array" ref="AH6">+HLOOKUP($A$1,+[55]İcmal!$B$19:$AG$49,ROW(A4)+1,FALSE)</f>
        <v>0</v>
      </c>
      <c r="AI6" s="15" cm="1">
        <f t="array" ref="AI6">+HLOOKUP($A$1,+[56]İcmal!$B$19:$AG$49,ROW(A4)+1,FALSE)</f>
        <v>0</v>
      </c>
      <c r="AJ6" s="15" cm="1">
        <f t="array" ref="AJ6">+HLOOKUP($A$1,+[57]İcmal!$B$19:$AG$49,ROW(A4)+1,FALSE)</f>
        <v>3.6369999999999862</v>
      </c>
      <c r="AK6" s="15" cm="1">
        <f t="array" ref="AK6">+HLOOKUP($A$1,+[58]İcmal!$B$19:$AG$49,ROW(B4)+1,FALSE)</f>
        <v>1.8339999999999996</v>
      </c>
      <c r="AL6" s="15">
        <f>+'[59]İcmal B1 101'!AH24</f>
        <v>0</v>
      </c>
      <c r="AM6" s="15">
        <f>+'[60]İcmal B1 102'!AH24</f>
        <v>0</v>
      </c>
      <c r="AN6" s="15">
        <f>+'[61]İcmal B1 103'!AG24</f>
        <v>0</v>
      </c>
      <c r="AO6" s="15">
        <f>+'[62]İcmal  P1 101'!AH24</f>
        <v>0</v>
      </c>
      <c r="AP6" s="15">
        <f>+'[63]İcmal P1 102'!AH24</f>
        <v>0</v>
      </c>
      <c r="AQ6" s="15"/>
      <c r="AR6" s="13"/>
    </row>
    <row r="7" spans="1:44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+HLOOKUP($A$1,+[31]İcmal!$B$19:$AG$49,ROW(A5)+1,FALSE)</f>
        <v>0</v>
      </c>
      <c r="K7" s="15" cm="1">
        <f t="array" ref="K7">+HLOOKUP($A$1,+[32]İcmal!$B$19:$AG$49,ROW(B5)+1,FALSE)</f>
        <v>0</v>
      </c>
      <c r="L7" s="15" cm="1">
        <f t="array" ref="L7">+HLOOKUP($A$1,+[33]İcmal!$B$19:$AG$49,ROW(C5)+1,FALSE)</f>
        <v>0</v>
      </c>
      <c r="M7" s="15" cm="1">
        <f t="array" ref="M7">+HLOOKUP($A$1,+[34]İcmal!$B$19:$AG$49,ROW(D5)+1,FALSE)</f>
        <v>0</v>
      </c>
      <c r="N7" s="15" cm="1">
        <f t="array" ref="N7">+HLOOKUP($A$1,+[35]İcmal!$B$19:$AG$49,ROW(A5)+1,FALSE)</f>
        <v>0</v>
      </c>
      <c r="O7" s="15" cm="1">
        <f t="array" ref="O7">+HLOOKUP($A$1,+[36]İcmal!$B$19:$AG$49,ROW(B5)+1,FALSE)</f>
        <v>0</v>
      </c>
      <c r="P7" s="15" cm="1">
        <f t="array" ref="P7">+HLOOKUP($A$1,+[37]İcmal!$B$19:$AG$49,ROW(C5)+1,FALSE)</f>
        <v>0</v>
      </c>
      <c r="Q7" s="15" cm="1">
        <f t="array" ref="Q7">+HLOOKUP($A$1,+[38]İcmal!$B$19:$AG$49,ROW(D5)+1,FALSE)</f>
        <v>0</v>
      </c>
      <c r="R7" s="15" cm="1">
        <f t="array" ref="R7">+HLOOKUP($A$1,+[39]İcmal!$B$19:$AG$49,ROW(A5)+1,FALSE)</f>
        <v>0</v>
      </c>
      <c r="S7" s="15" cm="1">
        <f t="array" ref="S7">+HLOOKUP($A$1,+[40]İcmal!$B$19:$AG$49,ROW(B5)+1,FALSE)</f>
        <v>0</v>
      </c>
      <c r="T7" s="15" cm="1">
        <f t="array" ref="T7">+HLOOKUP($A$1,+[41]İcmal!$B$19:$AG$49,ROW(C5)+1,FALSE)</f>
        <v>0</v>
      </c>
      <c r="U7" s="15" cm="1">
        <f t="array" ref="U7">+HLOOKUP($A$1,+[42]İcmal!$B$19:$AG$49,ROW(D5)+1,FALSE)</f>
        <v>0</v>
      </c>
      <c r="V7" s="15" cm="1">
        <f t="array" ref="V7">+HLOOKUP($A$1,+[43]İcmal!$B$19:$AG$49,ROW(A5)+1,FALSE)</f>
        <v>0</v>
      </c>
      <c r="W7" s="15" cm="1">
        <f t="array" ref="W7">+HLOOKUP($A$1,+[44]İcmal!$B$19:$AG$49,ROW(B5)+1,FALSE)</f>
        <v>0</v>
      </c>
      <c r="X7" s="15" cm="1">
        <f t="array" ref="X7">+HLOOKUP($A$1,+[45]İcmal!$B$19:$AG$49,ROW(C5)+1,FALSE)</f>
        <v>0</v>
      </c>
      <c r="Y7" s="15" cm="1">
        <f t="array" ref="Y7">+HLOOKUP($A$1,+[46]İcmal!$B$19:$AG$49,ROW(D5)+1,FALSE)</f>
        <v>0</v>
      </c>
      <c r="Z7" s="15" cm="1">
        <f t="array" ref="Z7">+HLOOKUP($A$1,+[47]İcmal!$B$19:$AG$49,ROW(A5)+1,FALSE)</f>
        <v>0</v>
      </c>
      <c r="AA7" s="15" cm="1">
        <f t="array" ref="AA7">+HLOOKUP($A$1,+[48]İcmal!$B$19:$AG$49,ROW(B5)+1,FALSE)</f>
        <v>0</v>
      </c>
      <c r="AB7" s="15" cm="1">
        <f t="array" ref="AB7">+HLOOKUP($A$1,+[49]İcmal!$B$19:$AG$49,ROW(A5)+1,FALSE)</f>
        <v>0</v>
      </c>
      <c r="AC7" s="15" cm="1">
        <f t="array" ref="AC7">+HLOOKUP($A$1,+[50]İcmal!$B$19:$AG$49,ROW(A5)+1,FALSE)</f>
        <v>0</v>
      </c>
      <c r="AD7" s="15" cm="1">
        <f t="array" ref="AD7">+HLOOKUP($A$1,+[51]İcmal!$B$19:$AG$49,ROW(A5)+1,FALSE)</f>
        <v>0</v>
      </c>
      <c r="AE7" s="15" cm="1">
        <f t="array" ref="AE7">+HLOOKUP($A$1,+[52]İcmal!$B$19:$AG$49,ROW(A5)+1,FALSE)</f>
        <v>0</v>
      </c>
      <c r="AF7" s="50" cm="1">
        <f t="array" ref="AF7">+HLOOKUP($A$1,+[53]İcmal!$B$19:$AG$49,ROW(A5)+1,FALSE)</f>
        <v>0</v>
      </c>
      <c r="AG7" s="15" cm="1">
        <f t="array" ref="AG7">+HLOOKUP($A$1,+[54]İcmal!$B$19:$AG$49,ROW(A5)+1,FALSE)</f>
        <v>0</v>
      </c>
      <c r="AH7" s="15" cm="1">
        <f t="array" ref="AH7">+HLOOKUP($A$1,+[55]İcmal!$B$19:$AG$49,ROW(A5)+1,FALSE)</f>
        <v>0</v>
      </c>
      <c r="AI7" s="15" cm="1">
        <f t="array" ref="AI7">+HLOOKUP($A$1,+[56]İcmal!$B$19:$AG$49,ROW(A5)+1,FALSE)</f>
        <v>0</v>
      </c>
      <c r="AJ7" s="15" cm="1">
        <f t="array" ref="AJ7">+HLOOKUP($A$1,+[57]İcmal!$B$19:$AG$49,ROW(A5)+1,FALSE)</f>
        <v>0</v>
      </c>
      <c r="AK7" s="15" cm="1">
        <f t="array" ref="AK7">+HLOOKUP($A$1,+[58]İcmal!$B$19:$AG$49,ROW(B5)+1,FALSE)</f>
        <v>0</v>
      </c>
      <c r="AL7" s="15">
        <f>+'[59]İcmal B1 101'!AH25</f>
        <v>0</v>
      </c>
      <c r="AM7" s="15">
        <f>+'[60]İcmal B1 102'!AH25</f>
        <v>0</v>
      </c>
      <c r="AN7" s="15">
        <f>+'[61]İcmal B1 103'!AG25</f>
        <v>0</v>
      </c>
      <c r="AO7" s="15">
        <f>+'[62]İcmal  P1 101'!AH25</f>
        <v>0</v>
      </c>
      <c r="AP7" s="15">
        <f>+'[63]İcmal P1 102'!AH25</f>
        <v>0</v>
      </c>
      <c r="AQ7" s="15"/>
      <c r="AR7" s="13"/>
    </row>
    <row r="8" spans="1:44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+HLOOKUP($A$1,+[31]İcmal!$B$19:$AG$49,ROW(A6)+1,FALSE)</f>
        <v>0</v>
      </c>
      <c r="K8" s="15" cm="1">
        <f t="array" ref="K8">+HLOOKUP($A$1,+[32]İcmal!$B$19:$AG$49,ROW(B6)+1,FALSE)</f>
        <v>0</v>
      </c>
      <c r="L8" s="15" cm="1">
        <f t="array" ref="L8">+HLOOKUP($A$1,+[33]İcmal!$B$19:$AG$49,ROW(C6)+1,FALSE)</f>
        <v>0</v>
      </c>
      <c r="M8" s="15" cm="1">
        <f t="array" ref="M8">+HLOOKUP($A$1,+[34]İcmal!$B$19:$AG$49,ROW(D6)+1,FALSE)</f>
        <v>0</v>
      </c>
      <c r="N8" s="15" cm="1">
        <f t="array" ref="N8">+HLOOKUP($A$1,+[35]İcmal!$B$19:$AG$49,ROW(A6)+1,FALSE)</f>
        <v>0</v>
      </c>
      <c r="O8" s="15" cm="1">
        <f t="array" ref="O8">+HLOOKUP($A$1,+[36]İcmal!$B$19:$AG$49,ROW(B6)+1,FALSE)</f>
        <v>0</v>
      </c>
      <c r="P8" s="15" cm="1">
        <f t="array" ref="P8">+HLOOKUP($A$1,+[37]İcmal!$B$19:$AG$49,ROW(C6)+1,FALSE)</f>
        <v>0</v>
      </c>
      <c r="Q8" s="15" cm="1">
        <f t="array" ref="Q8">+HLOOKUP($A$1,+[38]İcmal!$B$19:$AG$49,ROW(D6)+1,FALSE)</f>
        <v>0</v>
      </c>
      <c r="R8" s="15" cm="1">
        <f t="array" ref="R8">+HLOOKUP($A$1,+[39]İcmal!$B$19:$AG$49,ROW(A6)+1,FALSE)</f>
        <v>0</v>
      </c>
      <c r="S8" s="15" cm="1">
        <f t="array" ref="S8">+HLOOKUP($A$1,+[40]İcmal!$B$19:$AG$49,ROW(B6)+1,FALSE)</f>
        <v>0</v>
      </c>
      <c r="T8" s="15" cm="1">
        <f t="array" ref="T8">+HLOOKUP($A$1,+[41]İcmal!$B$19:$AG$49,ROW(C6)+1,FALSE)</f>
        <v>0</v>
      </c>
      <c r="U8" s="15" cm="1">
        <f t="array" ref="U8">+HLOOKUP($A$1,+[42]İcmal!$B$19:$AG$49,ROW(D6)+1,FALSE)</f>
        <v>0</v>
      </c>
      <c r="V8" s="15" cm="1">
        <f t="array" ref="V8">+HLOOKUP($A$1,+[43]İcmal!$B$19:$AG$49,ROW(A6)+1,FALSE)</f>
        <v>0</v>
      </c>
      <c r="W8" s="15" cm="1">
        <f t="array" ref="W8">+HLOOKUP($A$1,+[44]İcmal!$B$19:$AG$49,ROW(B6)+1,FALSE)</f>
        <v>0</v>
      </c>
      <c r="X8" s="15" cm="1">
        <f t="array" ref="X8">+HLOOKUP($A$1,+[45]İcmal!$B$19:$AG$49,ROW(C6)+1,FALSE)</f>
        <v>0</v>
      </c>
      <c r="Y8" s="15" cm="1">
        <f t="array" ref="Y8">+HLOOKUP($A$1,+[46]İcmal!$B$19:$AG$49,ROW(D6)+1,FALSE)</f>
        <v>0</v>
      </c>
      <c r="Z8" s="15" cm="1">
        <f t="array" ref="Z8">+HLOOKUP($A$1,+[47]İcmal!$B$19:$AG$49,ROW(A6)+1,FALSE)</f>
        <v>0</v>
      </c>
      <c r="AA8" s="15" cm="1">
        <f t="array" ref="AA8">+HLOOKUP($A$1,+[48]İcmal!$B$19:$AG$49,ROW(B6)+1,FALSE)</f>
        <v>0</v>
      </c>
      <c r="AB8" s="15" cm="1">
        <f t="array" ref="AB8">+HLOOKUP($A$1,+[49]İcmal!$B$19:$AG$49,ROW(A6)+1,FALSE)</f>
        <v>0</v>
      </c>
      <c r="AC8" s="15" cm="1">
        <f t="array" ref="AC8">+HLOOKUP($A$1,+[50]İcmal!$B$19:$AG$49,ROW(A6)+1,FALSE)</f>
        <v>0</v>
      </c>
      <c r="AD8" s="15" cm="1">
        <f t="array" ref="AD8">+HLOOKUP($A$1,+[51]İcmal!$B$19:$AG$49,ROW(A6)+1,FALSE)</f>
        <v>0</v>
      </c>
      <c r="AE8" s="15" cm="1">
        <f t="array" ref="AE8">+HLOOKUP($A$1,+[52]İcmal!$B$19:$AG$49,ROW(A6)+1,FALSE)</f>
        <v>0</v>
      </c>
      <c r="AF8" s="50" cm="1">
        <f t="array" ref="AF8">+HLOOKUP($A$1,+[53]İcmal!$B$19:$AG$49,ROW(A6)+1,FALSE)</f>
        <v>0</v>
      </c>
      <c r="AG8" s="15" cm="1">
        <f t="array" ref="AG8">+HLOOKUP($A$1,+[54]İcmal!$B$19:$AG$49,ROW(A6)+1,FALSE)</f>
        <v>0</v>
      </c>
      <c r="AH8" s="15" cm="1">
        <f t="array" ref="AH8">+HLOOKUP($A$1,+[55]İcmal!$B$19:$AG$49,ROW(A6)+1,FALSE)</f>
        <v>0</v>
      </c>
      <c r="AI8" s="15" cm="1">
        <f t="array" ref="AI8">+HLOOKUP($A$1,+[56]İcmal!$B$19:$AG$49,ROW(A6)+1,FALSE)</f>
        <v>0</v>
      </c>
      <c r="AJ8" s="15" cm="1">
        <f t="array" ref="AJ8">+HLOOKUP($A$1,+[57]İcmal!$B$19:$AG$49,ROW(A6)+1,FALSE)</f>
        <v>0</v>
      </c>
      <c r="AK8" s="15" cm="1">
        <f t="array" ref="AK8">+HLOOKUP($A$1,+[58]İcmal!$B$19:$AG$49,ROW(B6)+1,FALSE)</f>
        <v>0</v>
      </c>
      <c r="AL8" s="15">
        <f>+'[59]İcmal B1 101'!AH26</f>
        <v>0</v>
      </c>
      <c r="AM8" s="15">
        <f>+'[60]İcmal B1 102'!AH26</f>
        <v>0</v>
      </c>
      <c r="AN8" s="15">
        <f>+'[61]İcmal B1 103'!AG26</f>
        <v>0</v>
      </c>
      <c r="AO8" s="15">
        <f>+'[62]İcmal  P1 101'!AH26</f>
        <v>0</v>
      </c>
      <c r="AP8" s="15">
        <f>+'[63]İcmal P1 102'!AH26</f>
        <v>0</v>
      </c>
      <c r="AQ8" s="15"/>
      <c r="AR8" s="13"/>
    </row>
    <row r="9" spans="1:44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+HLOOKUP($A$1,+[31]İcmal!$B$19:$AG$49,ROW(A7)+1,FALSE)</f>
        <v>0</v>
      </c>
      <c r="K9" s="15" cm="1">
        <f t="array" ref="K9">+HLOOKUP($A$1,+[32]İcmal!$B$19:$AG$49,ROW(B7)+1,FALSE)</f>
        <v>0</v>
      </c>
      <c r="L9" s="15" cm="1">
        <f t="array" ref="L9">+HLOOKUP($A$1,+[33]İcmal!$B$19:$AG$49,ROW(C7)+1,FALSE)</f>
        <v>0</v>
      </c>
      <c r="M9" s="15" cm="1">
        <f t="array" ref="M9">+HLOOKUP($A$1,+[34]İcmal!$B$19:$AG$49,ROW(D7)+1,FALSE)</f>
        <v>0</v>
      </c>
      <c r="N9" s="15" cm="1">
        <f t="array" ref="N9">+HLOOKUP($A$1,+[35]İcmal!$B$19:$AG$49,ROW(A7)+1,FALSE)</f>
        <v>0</v>
      </c>
      <c r="O9" s="15" cm="1">
        <f t="array" ref="O9">+HLOOKUP($A$1,+[36]İcmal!$B$19:$AG$49,ROW(B7)+1,FALSE)</f>
        <v>0</v>
      </c>
      <c r="P9" s="15" cm="1">
        <f t="array" ref="P9">+HLOOKUP($A$1,+[37]İcmal!$B$19:$AG$49,ROW(C7)+1,FALSE)</f>
        <v>0</v>
      </c>
      <c r="Q9" s="15" cm="1">
        <f t="array" ref="Q9">+HLOOKUP($A$1,+[38]İcmal!$B$19:$AG$49,ROW(D7)+1,FALSE)</f>
        <v>0</v>
      </c>
      <c r="R9" s="15" cm="1">
        <f t="array" ref="R9">+HLOOKUP($A$1,+[39]İcmal!$B$19:$AG$49,ROW(A7)+1,FALSE)</f>
        <v>0</v>
      </c>
      <c r="S9" s="15" cm="1">
        <f t="array" ref="S9">+HLOOKUP($A$1,+[40]İcmal!$B$19:$AG$49,ROW(B7)+1,FALSE)</f>
        <v>0</v>
      </c>
      <c r="T9" s="15" cm="1">
        <f t="array" ref="T9">+HLOOKUP($A$1,+[41]İcmal!$B$19:$AG$49,ROW(C7)+1,FALSE)</f>
        <v>0</v>
      </c>
      <c r="U9" s="15" cm="1">
        <f t="array" ref="U9">+HLOOKUP($A$1,+[42]İcmal!$B$19:$AG$49,ROW(D7)+1,FALSE)</f>
        <v>0</v>
      </c>
      <c r="V9" s="15" cm="1">
        <f t="array" ref="V9">+HLOOKUP($A$1,+[43]İcmal!$B$19:$AG$49,ROW(A7)+1,FALSE)</f>
        <v>0</v>
      </c>
      <c r="W9" s="15" cm="1">
        <f t="array" ref="W9">+HLOOKUP($A$1,+[44]İcmal!$B$19:$AG$49,ROW(B7)+1,FALSE)</f>
        <v>0</v>
      </c>
      <c r="X9" s="15" cm="1">
        <f t="array" ref="X9">+HLOOKUP($A$1,+[45]İcmal!$B$19:$AG$49,ROW(C7)+1,FALSE)</f>
        <v>0</v>
      </c>
      <c r="Y9" s="15" cm="1">
        <f t="array" ref="Y9">+HLOOKUP($A$1,+[46]İcmal!$B$19:$AG$49,ROW(D7)+1,FALSE)</f>
        <v>0</v>
      </c>
      <c r="Z9" s="15" cm="1">
        <f t="array" ref="Z9">+HLOOKUP($A$1,+[47]İcmal!$B$19:$AG$49,ROW(A7)+1,FALSE)</f>
        <v>0</v>
      </c>
      <c r="AA9" s="15" cm="1">
        <f t="array" ref="AA9">+HLOOKUP($A$1,+[48]İcmal!$B$19:$AG$49,ROW(B7)+1,FALSE)</f>
        <v>0</v>
      </c>
      <c r="AB9" s="15" cm="1">
        <f t="array" ref="AB9">+HLOOKUP($A$1,+[49]İcmal!$B$19:$AG$49,ROW(A7)+1,FALSE)</f>
        <v>0</v>
      </c>
      <c r="AC9" s="15" cm="1">
        <f t="array" ref="AC9">+HLOOKUP($A$1,+[50]İcmal!$B$19:$AG$49,ROW(A7)+1,FALSE)</f>
        <v>0</v>
      </c>
      <c r="AD9" s="15" cm="1">
        <f t="array" ref="AD9">+HLOOKUP($A$1,+[51]İcmal!$B$19:$AG$49,ROW(A7)+1,FALSE)</f>
        <v>0</v>
      </c>
      <c r="AE9" s="15" cm="1">
        <f t="array" ref="AE9">+HLOOKUP($A$1,+[52]İcmal!$B$19:$AG$49,ROW(A7)+1,FALSE)</f>
        <v>0</v>
      </c>
      <c r="AF9" s="50" cm="1">
        <f t="array" ref="AF9">+HLOOKUP($A$1,+[53]İcmal!$B$19:$AG$49,ROW(A7)+1,FALSE)</f>
        <v>0</v>
      </c>
      <c r="AG9" s="15" cm="1">
        <f t="array" ref="AG9">+HLOOKUP($A$1,+[54]İcmal!$B$19:$AG$49,ROW(A7)+1,FALSE)</f>
        <v>0</v>
      </c>
      <c r="AH9" s="15" cm="1">
        <f t="array" ref="AH9">+HLOOKUP($A$1,+[55]İcmal!$B$19:$AG$49,ROW(A7)+1,FALSE)</f>
        <v>0</v>
      </c>
      <c r="AI9" s="15" cm="1">
        <f t="array" ref="AI9">+HLOOKUP($A$1,+[56]İcmal!$B$19:$AG$49,ROW(A7)+1,FALSE)</f>
        <v>0</v>
      </c>
      <c r="AJ9" s="15" cm="1">
        <f t="array" ref="AJ9">+HLOOKUP($A$1,+[57]İcmal!$B$19:$AG$49,ROW(A7)+1,FALSE)</f>
        <v>0</v>
      </c>
      <c r="AK9" s="15" cm="1">
        <f t="array" ref="AK9">+HLOOKUP($A$1,+[58]İcmal!$B$19:$AG$49,ROW(B7)+1,FALSE)</f>
        <v>0</v>
      </c>
      <c r="AL9" s="15">
        <f>+'[59]İcmal B1 101'!AH27</f>
        <v>0</v>
      </c>
      <c r="AM9" s="15">
        <f>+'[60]İcmal B1 102'!AH27</f>
        <v>0</v>
      </c>
      <c r="AN9" s="15">
        <f>+'[61]İcmal B1 103'!AG27</f>
        <v>0</v>
      </c>
      <c r="AO9" s="15">
        <f>+'[62]İcmal  P1 101'!AH27</f>
        <v>0</v>
      </c>
      <c r="AP9" s="15">
        <f>+'[63]İcmal P1 102'!AH27</f>
        <v>0</v>
      </c>
      <c r="AQ9" s="15"/>
      <c r="AR9" s="13"/>
    </row>
    <row r="10" spans="1:44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111</v>
      </c>
      <c r="I10" s="9">
        <f t="shared" si="2"/>
        <v>888000</v>
      </c>
      <c r="J10" s="15" cm="1">
        <f t="array" ref="J10">+HLOOKUP($A$1,+[31]İcmal!$B$19:$AG$49,ROW(A8)+1,FALSE)</f>
        <v>0</v>
      </c>
      <c r="K10" s="15" cm="1">
        <f t="array" ref="K10">+HLOOKUP($A$1,+[32]İcmal!$B$19:$AG$49,ROW(B8)+1,FALSE)</f>
        <v>0</v>
      </c>
      <c r="L10" s="15" cm="1">
        <f t="array" ref="L10">+HLOOKUP($A$1,+[33]İcmal!$B$19:$AG$49,ROW(C8)+1,FALSE)</f>
        <v>18</v>
      </c>
      <c r="M10" s="15" cm="1">
        <f t="array" ref="M10">+HLOOKUP($A$1,+[34]İcmal!$B$19:$AG$49,ROW(D8)+1,FALSE)</f>
        <v>0</v>
      </c>
      <c r="N10" s="15" cm="1">
        <f t="array" ref="N10">+HLOOKUP($A$1,+[35]İcmal!$B$19:$AG$49,ROW(A8)+1,FALSE)</f>
        <v>0</v>
      </c>
      <c r="O10" s="15" cm="1">
        <f t="array" ref="O10">+HLOOKUP($A$1,+[36]İcmal!$B$19:$AG$49,ROW(B8)+1,FALSE)</f>
        <v>0</v>
      </c>
      <c r="P10" s="15" cm="1">
        <f t="array" ref="P10">+HLOOKUP($A$1,+[37]İcmal!$B$19:$AG$49,ROW(C8)+1,FALSE)</f>
        <v>0</v>
      </c>
      <c r="Q10" s="15" cm="1">
        <f t="array" ref="Q10">+HLOOKUP($A$1,+[38]İcmal!$B$19:$AG$49,ROW(D8)+1,FALSE)</f>
        <v>24</v>
      </c>
      <c r="R10" s="15" cm="1">
        <f t="array" ref="R10">+HLOOKUP($A$1,+[39]İcmal!$B$19:$AG$49,ROW(A8)+1,FALSE)</f>
        <v>0</v>
      </c>
      <c r="S10" s="15" cm="1">
        <f t="array" ref="S10">+HLOOKUP($A$1,+[40]İcmal!$B$19:$AG$49,ROW(B8)+1,FALSE)</f>
        <v>0</v>
      </c>
      <c r="T10" s="15" cm="1">
        <f t="array" ref="T10">+HLOOKUP($A$1,+[41]İcmal!$B$19:$AG$49,ROW(C8)+1,FALSE)</f>
        <v>0</v>
      </c>
      <c r="U10" s="15" cm="1">
        <f t="array" ref="U10">+HLOOKUP($A$1,+[42]İcmal!$B$19:$AG$49,ROW(D8)+1,FALSE)</f>
        <v>27</v>
      </c>
      <c r="V10" s="15" cm="1">
        <f t="array" ref="V10">+HLOOKUP($A$1,+[43]İcmal!$B$19:$AG$49,ROW(A8)+1,FALSE)</f>
        <v>0</v>
      </c>
      <c r="W10" s="15" cm="1">
        <f t="array" ref="W10">+HLOOKUP($A$1,+[44]İcmal!$B$19:$AG$49,ROW(B8)+1,FALSE)</f>
        <v>0</v>
      </c>
      <c r="X10" s="15" cm="1">
        <f t="array" ref="X10">+HLOOKUP($A$1,+[45]İcmal!$B$19:$AG$49,ROW(C8)+1,FALSE)</f>
        <v>24</v>
      </c>
      <c r="Y10" s="15" cm="1">
        <f t="array" ref="Y10">+HLOOKUP($A$1,+[46]İcmal!$B$19:$AG$49,ROW(D8)+1,FALSE)</f>
        <v>18</v>
      </c>
      <c r="Z10" s="15" cm="1">
        <f t="array" ref="Z10">+HLOOKUP($A$1,+[47]İcmal!$B$19:$AG$49,ROW(A8)+1,FALSE)</f>
        <v>0</v>
      </c>
      <c r="AA10" s="15" cm="1">
        <f t="array" ref="AA10">+HLOOKUP($A$1,+[48]İcmal!$B$19:$AG$49,ROW(B8)+1,FALSE)</f>
        <v>0</v>
      </c>
      <c r="AB10" s="15" cm="1">
        <f t="array" ref="AB10">+HLOOKUP($A$1,+[49]İcmal!$B$19:$AG$49,ROW(A8)+1,FALSE)</f>
        <v>0</v>
      </c>
      <c r="AC10" s="15" cm="1">
        <f t="array" ref="AC10">+HLOOKUP($A$1,+[50]İcmal!$B$19:$AG$49,ROW(A8)+1,FALSE)</f>
        <v>0</v>
      </c>
      <c r="AD10" s="15" cm="1">
        <f t="array" ref="AD10">+HLOOKUP($A$1,+[51]İcmal!$B$19:$AG$49,ROW(A8)+1,FALSE)</f>
        <v>0</v>
      </c>
      <c r="AE10" s="15" cm="1">
        <f t="array" ref="AE10">+HLOOKUP($A$1,+[52]İcmal!$B$19:$AG$49,ROW(A8)+1,FALSE)</f>
        <v>0</v>
      </c>
      <c r="AF10" s="50" cm="1">
        <f t="array" ref="AF10">+HLOOKUP($A$1,+[53]İcmal!$B$19:$AG$49,ROW(A8)+1,FALSE)</f>
        <v>0</v>
      </c>
      <c r="AG10" s="15" cm="1">
        <f t="array" ref="AG10">+HLOOKUP($A$1,+[54]İcmal!$B$19:$AG$49,ROW(A8)+1,FALSE)</f>
        <v>0</v>
      </c>
      <c r="AH10" s="15" cm="1">
        <f t="array" ref="AH10">+HLOOKUP($A$1,+[55]İcmal!$B$19:$AG$49,ROW(A8)+1,FALSE)</f>
        <v>0</v>
      </c>
      <c r="AI10" s="15" cm="1">
        <f t="array" ref="AI10">+HLOOKUP($A$1,+[56]İcmal!$B$19:$AG$49,ROW(A8)+1,FALSE)</f>
        <v>0</v>
      </c>
      <c r="AJ10" s="15" cm="1">
        <f t="array" ref="AJ10">+HLOOKUP($A$1,+[57]İcmal!$B$19:$AG$49,ROW(A8)+1,FALSE)</f>
        <v>0</v>
      </c>
      <c r="AK10" s="15" cm="1">
        <f t="array" ref="AK10">+HLOOKUP($A$1,+[58]İcmal!$B$19:$AG$49,ROW(B8)+1,FALSE)</f>
        <v>0</v>
      </c>
      <c r="AL10" s="15">
        <f>+'[59]İcmal B1 101'!AH28</f>
        <v>0</v>
      </c>
      <c r="AM10" s="15">
        <f>+'[60]İcmal B1 102'!AH28</f>
        <v>0</v>
      </c>
      <c r="AN10" s="15">
        <f>+'[61]İcmal B1 103'!AG28</f>
        <v>0</v>
      </c>
      <c r="AO10" s="15">
        <f>+'[62]İcmal  P1 101'!AH28</f>
        <v>0</v>
      </c>
      <c r="AP10" s="15">
        <f>+'[63]İcmal P1 102'!AH28</f>
        <v>0</v>
      </c>
      <c r="AQ10" s="15"/>
      <c r="AR10" s="13"/>
    </row>
    <row r="11" spans="1:44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+HLOOKUP($A$1,+[31]İcmal!$B$19:$AG$49,ROW(A9)+1,FALSE)</f>
        <v>0</v>
      </c>
      <c r="K11" s="15" cm="1">
        <f t="array" ref="K11">+HLOOKUP($A$1,+[32]İcmal!$B$19:$AG$49,ROW(B9)+1,FALSE)</f>
        <v>0</v>
      </c>
      <c r="L11" s="15" cm="1">
        <f t="array" ref="L11">+HLOOKUP($A$1,+[33]İcmal!$B$19:$AG$49,ROW(C9)+1,FALSE)</f>
        <v>0</v>
      </c>
      <c r="M11" s="15" cm="1">
        <f t="array" ref="M11">+HLOOKUP($A$1,+[34]İcmal!$B$19:$AG$49,ROW(D9)+1,FALSE)</f>
        <v>0</v>
      </c>
      <c r="N11" s="15" cm="1">
        <f t="array" ref="N11">+HLOOKUP($A$1,+[35]İcmal!$B$19:$AG$49,ROW(A9)+1,FALSE)</f>
        <v>0</v>
      </c>
      <c r="O11" s="15" cm="1">
        <f t="array" ref="O11">+HLOOKUP($A$1,+[36]İcmal!$B$19:$AG$49,ROW(B9)+1,FALSE)</f>
        <v>0</v>
      </c>
      <c r="P11" s="15" cm="1">
        <f t="array" ref="P11">+HLOOKUP($A$1,+[37]İcmal!$B$19:$AG$49,ROW(C9)+1,FALSE)</f>
        <v>0</v>
      </c>
      <c r="Q11" s="15" cm="1">
        <f t="array" ref="Q11">+HLOOKUP($A$1,+[38]İcmal!$B$19:$AG$49,ROW(D9)+1,FALSE)</f>
        <v>0</v>
      </c>
      <c r="R11" s="15" cm="1">
        <f t="array" ref="R11">+HLOOKUP($A$1,+[39]İcmal!$B$19:$AG$49,ROW(A9)+1,FALSE)</f>
        <v>0</v>
      </c>
      <c r="S11" s="15" cm="1">
        <f t="array" ref="S11">+HLOOKUP($A$1,+[40]İcmal!$B$19:$AG$49,ROW(B9)+1,FALSE)</f>
        <v>0</v>
      </c>
      <c r="T11" s="15" cm="1">
        <f t="array" ref="T11">+HLOOKUP($A$1,+[41]İcmal!$B$19:$AG$49,ROW(C9)+1,FALSE)</f>
        <v>0</v>
      </c>
      <c r="U11" s="15" cm="1">
        <f t="array" ref="U11">+HLOOKUP($A$1,+[42]İcmal!$B$19:$AG$49,ROW(D9)+1,FALSE)</f>
        <v>0</v>
      </c>
      <c r="V11" s="15" cm="1">
        <f t="array" ref="V11">+HLOOKUP($A$1,+[43]İcmal!$B$19:$AG$49,ROW(A9)+1,FALSE)</f>
        <v>0</v>
      </c>
      <c r="W11" s="15" cm="1">
        <f t="array" ref="W11">+HLOOKUP($A$1,+[44]İcmal!$B$19:$AG$49,ROW(B9)+1,FALSE)</f>
        <v>0</v>
      </c>
      <c r="X11" s="15" cm="1">
        <f t="array" ref="X11">+HLOOKUP($A$1,+[45]İcmal!$B$19:$AG$49,ROW(C9)+1,FALSE)</f>
        <v>0</v>
      </c>
      <c r="Y11" s="15" cm="1">
        <f t="array" ref="Y11">+HLOOKUP($A$1,+[46]İcmal!$B$19:$AG$49,ROW(D9)+1,FALSE)</f>
        <v>0</v>
      </c>
      <c r="Z11" s="15" cm="1">
        <f t="array" ref="Z11">+HLOOKUP($A$1,+[47]İcmal!$B$19:$AG$49,ROW(A9)+1,FALSE)</f>
        <v>0</v>
      </c>
      <c r="AA11" s="15" cm="1">
        <f t="array" ref="AA11">+HLOOKUP($A$1,+[48]İcmal!$B$19:$AG$49,ROW(B9)+1,FALSE)</f>
        <v>0</v>
      </c>
      <c r="AB11" s="15" cm="1">
        <f t="array" ref="AB11">+HLOOKUP($A$1,+[49]İcmal!$B$19:$AG$49,ROW(A9)+1,FALSE)</f>
        <v>0</v>
      </c>
      <c r="AC11" s="15" cm="1">
        <f t="array" ref="AC11">+HLOOKUP($A$1,+[50]İcmal!$B$19:$AG$49,ROW(A9)+1,FALSE)</f>
        <v>0</v>
      </c>
      <c r="AD11" s="15" cm="1">
        <f t="array" ref="AD11">+HLOOKUP($A$1,+[51]İcmal!$B$19:$AG$49,ROW(A9)+1,FALSE)</f>
        <v>0</v>
      </c>
      <c r="AE11" s="15" cm="1">
        <f t="array" ref="AE11">+HLOOKUP($A$1,+[52]İcmal!$B$19:$AG$49,ROW(A9)+1,FALSE)</f>
        <v>0</v>
      </c>
      <c r="AF11" s="50" cm="1">
        <f t="array" ref="AF11">+HLOOKUP($A$1,+[53]İcmal!$B$19:$AG$49,ROW(A9)+1,FALSE)</f>
        <v>0</v>
      </c>
      <c r="AG11" s="15" cm="1">
        <f t="array" ref="AG11">+HLOOKUP($A$1,+[54]İcmal!$B$19:$AG$49,ROW(A9)+1,FALSE)</f>
        <v>0</v>
      </c>
      <c r="AH11" s="15" cm="1">
        <f t="array" ref="AH11">+HLOOKUP($A$1,+[55]İcmal!$B$19:$AG$49,ROW(A9)+1,FALSE)</f>
        <v>0</v>
      </c>
      <c r="AI11" s="15" cm="1">
        <f t="array" ref="AI11">+HLOOKUP($A$1,+[56]İcmal!$B$19:$AG$49,ROW(A9)+1,FALSE)</f>
        <v>0</v>
      </c>
      <c r="AJ11" s="15" cm="1">
        <f t="array" ref="AJ11">+HLOOKUP($A$1,+[57]İcmal!$B$19:$AG$49,ROW(A9)+1,FALSE)</f>
        <v>0</v>
      </c>
      <c r="AK11" s="15" cm="1">
        <f t="array" ref="AK11">+HLOOKUP($A$1,+[58]İcmal!$B$19:$AG$49,ROW(B9)+1,FALSE)</f>
        <v>0</v>
      </c>
      <c r="AL11" s="15">
        <f>+'[59]İcmal B1 101'!AH29</f>
        <v>0</v>
      </c>
      <c r="AM11" s="15">
        <f>+'[60]İcmal B1 102'!AH29</f>
        <v>0</v>
      </c>
      <c r="AN11" s="15">
        <f>+'[61]İcmal B1 103'!AG29</f>
        <v>0</v>
      </c>
      <c r="AO11" s="15">
        <f>+'[62]İcmal  P1 101'!AH29</f>
        <v>0</v>
      </c>
      <c r="AP11" s="15">
        <f>+'[63]İcmal P1 102'!AH29</f>
        <v>0</v>
      </c>
      <c r="AQ11" s="15"/>
      <c r="AR11" s="13"/>
    </row>
    <row r="12" spans="1:44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+HLOOKUP($A$1,+[31]İcmal!$B$19:$AG$49,ROW(A10)+1,FALSE)</f>
        <v>0</v>
      </c>
      <c r="K12" s="15" cm="1">
        <f t="array" ref="K12">+HLOOKUP($A$1,+[32]İcmal!$B$19:$AG$49,ROW(B10)+1,FALSE)</f>
        <v>0</v>
      </c>
      <c r="L12" s="15" cm="1">
        <f t="array" ref="L12">+HLOOKUP($A$1,+[33]İcmal!$B$19:$AG$49,ROW(C10)+1,FALSE)</f>
        <v>0</v>
      </c>
      <c r="M12" s="15" cm="1">
        <f t="array" ref="M12">+HLOOKUP($A$1,+[34]İcmal!$B$19:$AG$49,ROW(D10)+1,FALSE)</f>
        <v>0</v>
      </c>
      <c r="N12" s="15" cm="1">
        <f t="array" ref="N12">+HLOOKUP($A$1,+[35]İcmal!$B$19:$AG$49,ROW(A10)+1,FALSE)</f>
        <v>0</v>
      </c>
      <c r="O12" s="15" cm="1">
        <f t="array" ref="O12">+HLOOKUP($A$1,+[36]İcmal!$B$19:$AG$49,ROW(B10)+1,FALSE)</f>
        <v>0</v>
      </c>
      <c r="P12" s="15" cm="1">
        <f t="array" ref="P12">+HLOOKUP($A$1,+[37]İcmal!$B$19:$AG$49,ROW(C10)+1,FALSE)</f>
        <v>0</v>
      </c>
      <c r="Q12" s="15" cm="1">
        <f t="array" ref="Q12">+HLOOKUP($A$1,+[38]İcmal!$B$19:$AG$49,ROW(D10)+1,FALSE)</f>
        <v>0</v>
      </c>
      <c r="R12" s="15" cm="1">
        <f t="array" ref="R12">+HLOOKUP($A$1,+[39]İcmal!$B$19:$AG$49,ROW(A10)+1,FALSE)</f>
        <v>0</v>
      </c>
      <c r="S12" s="15" cm="1">
        <f t="array" ref="S12">+HLOOKUP($A$1,+[40]İcmal!$B$19:$AG$49,ROW(B10)+1,FALSE)</f>
        <v>0</v>
      </c>
      <c r="T12" s="15" cm="1">
        <f t="array" ref="T12">+HLOOKUP($A$1,+[41]İcmal!$B$19:$AG$49,ROW(C10)+1,FALSE)</f>
        <v>0</v>
      </c>
      <c r="U12" s="15" cm="1">
        <f t="array" ref="U12">+HLOOKUP($A$1,+[42]İcmal!$B$19:$AG$49,ROW(D10)+1,FALSE)</f>
        <v>0</v>
      </c>
      <c r="V12" s="15" cm="1">
        <f t="array" ref="V12">+HLOOKUP($A$1,+[43]İcmal!$B$19:$AG$49,ROW(A10)+1,FALSE)</f>
        <v>0</v>
      </c>
      <c r="W12" s="15" cm="1">
        <f t="array" ref="W12">+HLOOKUP($A$1,+[44]İcmal!$B$19:$AG$49,ROW(B10)+1,FALSE)</f>
        <v>0</v>
      </c>
      <c r="X12" s="15" cm="1">
        <f t="array" ref="X12">+HLOOKUP($A$1,+[45]İcmal!$B$19:$AG$49,ROW(C10)+1,FALSE)</f>
        <v>0</v>
      </c>
      <c r="Y12" s="15" cm="1">
        <f t="array" ref="Y12">+HLOOKUP($A$1,+[46]İcmal!$B$19:$AG$49,ROW(D10)+1,FALSE)</f>
        <v>0</v>
      </c>
      <c r="Z12" s="15" cm="1">
        <f t="array" ref="Z12">+HLOOKUP($A$1,+[47]İcmal!$B$19:$AG$49,ROW(A10)+1,FALSE)</f>
        <v>0</v>
      </c>
      <c r="AA12" s="15" cm="1">
        <f t="array" ref="AA12">+HLOOKUP($A$1,+[48]İcmal!$B$19:$AG$49,ROW(B10)+1,FALSE)</f>
        <v>0</v>
      </c>
      <c r="AB12" s="15" cm="1">
        <f t="array" ref="AB12">+HLOOKUP($A$1,+[49]İcmal!$B$19:$AG$49,ROW(A10)+1,FALSE)</f>
        <v>0</v>
      </c>
      <c r="AC12" s="15" cm="1">
        <f t="array" ref="AC12">+HLOOKUP($A$1,+[50]İcmal!$B$19:$AG$49,ROW(A10)+1,FALSE)</f>
        <v>0</v>
      </c>
      <c r="AD12" s="15" cm="1">
        <f t="array" ref="AD12">+HLOOKUP($A$1,+[51]İcmal!$B$19:$AG$49,ROW(A10)+1,FALSE)</f>
        <v>0</v>
      </c>
      <c r="AE12" s="15" cm="1">
        <f t="array" ref="AE12">+HLOOKUP($A$1,+[52]İcmal!$B$19:$AG$49,ROW(A10)+1,FALSE)</f>
        <v>0</v>
      </c>
      <c r="AF12" s="50" cm="1">
        <f t="array" ref="AF12">+HLOOKUP($A$1,+[53]İcmal!$B$19:$AG$49,ROW(A10)+1,FALSE)</f>
        <v>0</v>
      </c>
      <c r="AG12" s="15" cm="1">
        <f t="array" ref="AG12">+HLOOKUP($A$1,+[54]İcmal!$B$19:$AG$49,ROW(A10)+1,FALSE)</f>
        <v>0</v>
      </c>
      <c r="AH12" s="15" cm="1">
        <f t="array" ref="AH12">+HLOOKUP($A$1,+[55]İcmal!$B$19:$AG$49,ROW(A10)+1,FALSE)</f>
        <v>0</v>
      </c>
      <c r="AI12" s="15" cm="1">
        <f t="array" ref="AI12">+HLOOKUP($A$1,+[56]İcmal!$B$19:$AG$49,ROW(A10)+1,FALSE)</f>
        <v>0</v>
      </c>
      <c r="AJ12" s="15" cm="1">
        <f t="array" ref="AJ12">+HLOOKUP($A$1,+[57]İcmal!$B$19:$AG$49,ROW(A10)+1,FALSE)</f>
        <v>0</v>
      </c>
      <c r="AK12" s="15" cm="1">
        <f t="array" ref="AK12">+HLOOKUP($A$1,+[58]İcmal!$B$19:$AG$49,ROW(B10)+1,FALSE)</f>
        <v>0</v>
      </c>
      <c r="AL12" s="15">
        <f>+'[59]İcmal B1 101'!AH30</f>
        <v>0</v>
      </c>
      <c r="AM12" s="15">
        <f>+'[60]İcmal B1 102'!AH30</f>
        <v>0</v>
      </c>
      <c r="AN12" s="15">
        <f>+'[61]İcmal B1 103'!AG30</f>
        <v>0</v>
      </c>
      <c r="AO12" s="15">
        <f>+'[62]İcmal  P1 101'!AH30</f>
        <v>0</v>
      </c>
      <c r="AP12" s="15">
        <f>+'[63]İcmal P1 102'!AH30</f>
        <v>0</v>
      </c>
      <c r="AQ12" s="15"/>
      <c r="AR12" s="13"/>
    </row>
    <row r="13" spans="1:44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515</v>
      </c>
      <c r="I13" s="9">
        <f t="shared" si="2"/>
        <v>14420000</v>
      </c>
      <c r="J13" s="15" cm="1">
        <f t="array" ref="J13">+HLOOKUP($A$1,+[31]İcmal!$B$19:$AG$49,ROW(A11)+1,FALSE)</f>
        <v>0</v>
      </c>
      <c r="K13" s="15" cm="1">
        <f t="array" ref="K13">+HLOOKUP($A$1,+[32]İcmal!$B$19:$AG$49,ROW(B11)+1,FALSE)</f>
        <v>0</v>
      </c>
      <c r="L13" s="15" cm="1">
        <f t="array" ref="L13">+HLOOKUP($A$1,+[33]İcmal!$B$19:$AG$49,ROW(C11)+1,FALSE)</f>
        <v>0</v>
      </c>
      <c r="M13" s="15" cm="1">
        <f t="array" ref="M13">+HLOOKUP($A$1,+[34]İcmal!$B$19:$AG$49,ROW(D11)+1,FALSE)</f>
        <v>18</v>
      </c>
      <c r="N13" s="15" cm="1">
        <f t="array" ref="N13">+HLOOKUP($A$1,+[35]İcmal!$B$19:$AG$49,ROW(A11)+1,FALSE)</f>
        <v>0</v>
      </c>
      <c r="O13" s="15" cm="1">
        <f t="array" ref="O13">+HLOOKUP($A$1,+[36]İcmal!$B$19:$AG$49,ROW(B11)+1,FALSE)</f>
        <v>0</v>
      </c>
      <c r="P13" s="15" cm="1">
        <f t="array" ref="P13">+HLOOKUP($A$1,+[37]İcmal!$B$19:$AG$49,ROW(C11)+1,FALSE)</f>
        <v>207</v>
      </c>
      <c r="Q13" s="15" cm="1">
        <f t="array" ref="Q13">+HLOOKUP($A$1,+[38]İcmal!$B$19:$AG$49,ROW(D11)+1,FALSE)</f>
        <v>150</v>
      </c>
      <c r="R13" s="15" cm="1">
        <f t="array" ref="R13">+HLOOKUP($A$1,+[39]İcmal!$B$19:$AG$49,ROW(A11)+1,FALSE)</f>
        <v>0</v>
      </c>
      <c r="S13" s="15" cm="1">
        <f t="array" ref="S13">+HLOOKUP($A$1,+[40]İcmal!$B$19:$AG$49,ROW(B11)+1,FALSE)</f>
        <v>0</v>
      </c>
      <c r="T13" s="15" cm="1">
        <f t="array" ref="T13">+HLOOKUP($A$1,+[41]İcmal!$B$19:$AG$49,ROW(C11)+1,FALSE)</f>
        <v>63</v>
      </c>
      <c r="U13" s="15" cm="1">
        <f t="array" ref="U13">+HLOOKUP($A$1,+[42]İcmal!$B$19:$AG$49,ROW(D11)+1,FALSE)</f>
        <v>36</v>
      </c>
      <c r="V13" s="15" cm="1">
        <f t="array" ref="V13">+HLOOKUP($A$1,+[43]İcmal!$B$19:$AG$49,ROW(A11)+1,FALSE)</f>
        <v>0</v>
      </c>
      <c r="W13" s="15" cm="1">
        <f t="array" ref="W13">+HLOOKUP($A$1,+[44]İcmal!$B$19:$AG$49,ROW(B11)+1,FALSE)</f>
        <v>0</v>
      </c>
      <c r="X13" s="15" cm="1">
        <f t="array" ref="X13">+HLOOKUP($A$1,+[45]İcmal!$B$19:$AG$49,ROW(C11)+1,FALSE)</f>
        <v>0</v>
      </c>
      <c r="Y13" s="15" cm="1">
        <f t="array" ref="Y13">+HLOOKUP($A$1,+[46]İcmal!$B$19:$AG$49,ROW(D11)+1,FALSE)</f>
        <v>0</v>
      </c>
      <c r="Z13" s="15" cm="1">
        <f t="array" ref="Z13">+HLOOKUP($A$1,+[47]İcmal!$B$19:$AG$49,ROW(A11)+1,FALSE)</f>
        <v>0</v>
      </c>
      <c r="AA13" s="15" cm="1">
        <f t="array" ref="AA13">+HLOOKUP($A$1,+[48]İcmal!$B$19:$AG$49,ROW(B11)+1,FALSE)</f>
        <v>0</v>
      </c>
      <c r="AB13" s="15" cm="1">
        <f t="array" ref="AB13">+HLOOKUP($A$1,+[49]İcmal!$B$19:$AG$49,ROW(A11)+1,FALSE)</f>
        <v>0</v>
      </c>
      <c r="AC13" s="15" cm="1">
        <f t="array" ref="AC13">+HLOOKUP($A$1,+[50]İcmal!$B$19:$AG$49,ROW(A11)+1,FALSE)</f>
        <v>0</v>
      </c>
      <c r="AD13" s="15" cm="1">
        <f t="array" ref="AD13">+HLOOKUP($A$1,+[51]İcmal!$B$19:$AG$49,ROW(A11)+1,FALSE)</f>
        <v>0</v>
      </c>
      <c r="AE13" s="15" cm="1">
        <f t="array" ref="AE13">+HLOOKUP($A$1,+[52]İcmal!$B$19:$AG$49,ROW(A11)+1,FALSE)</f>
        <v>0</v>
      </c>
      <c r="AF13" s="50" cm="1">
        <f t="array" ref="AF13">+HLOOKUP($A$1,+[53]İcmal!$B$19:$AG$49,ROW(A11)+1,FALSE)</f>
        <v>0</v>
      </c>
      <c r="AG13" s="15" cm="1">
        <f t="array" ref="AG13">+HLOOKUP($A$1,+[54]İcmal!$B$19:$AG$49,ROW(A11)+1,FALSE)</f>
        <v>0</v>
      </c>
      <c r="AH13" s="15" cm="1">
        <f t="array" ref="AH13">+HLOOKUP($A$1,+[55]İcmal!$B$19:$AG$49,ROW(A11)+1,FALSE)</f>
        <v>0</v>
      </c>
      <c r="AI13" s="15" cm="1">
        <f t="array" ref="AI13">+HLOOKUP($A$1,+[56]İcmal!$B$19:$AG$49,ROW(A11)+1,FALSE)</f>
        <v>21</v>
      </c>
      <c r="AJ13" s="15" cm="1">
        <f t="array" ref="AJ13">+HLOOKUP($A$1,+[57]İcmal!$B$19:$AG$49,ROW(A11)+1,FALSE)</f>
        <v>0</v>
      </c>
      <c r="AK13" s="15" cm="1">
        <f t="array" ref="AK13">+HLOOKUP($A$1,+[58]İcmal!$B$19:$AG$49,ROW(B11)+1,FALSE)</f>
        <v>20</v>
      </c>
      <c r="AL13" s="15">
        <f>+'[59]İcmal B1 101'!AH31</f>
        <v>0</v>
      </c>
      <c r="AM13" s="15">
        <f>+'[60]İcmal B1 102'!AH31</f>
        <v>0</v>
      </c>
      <c r="AN13" s="15">
        <f>+'[61]İcmal B1 103'!AG31</f>
        <v>0</v>
      </c>
      <c r="AO13" s="15">
        <f>+'[62]İcmal  P1 101'!AH31</f>
        <v>0</v>
      </c>
      <c r="AP13" s="15">
        <f>+'[63]İcmal P1 102'!AH31</f>
        <v>0</v>
      </c>
      <c r="AQ13" s="15"/>
      <c r="AR13" s="13"/>
    </row>
    <row r="14" spans="1:44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0</v>
      </c>
      <c r="I14" s="9">
        <f t="shared" si="2"/>
        <v>0</v>
      </c>
      <c r="J14" s="15" cm="1">
        <f t="array" ref="J14">+HLOOKUP($A$1,+[31]İcmal!$B$19:$AG$49,ROW(A12)+1,FALSE)</f>
        <v>0</v>
      </c>
      <c r="K14" s="15" cm="1">
        <f t="array" ref="K14">+HLOOKUP($A$1,+[32]İcmal!$B$19:$AG$49,ROW(B12)+1,FALSE)</f>
        <v>0</v>
      </c>
      <c r="L14" s="15" cm="1">
        <f t="array" ref="L14">+HLOOKUP($A$1,+[33]İcmal!$B$19:$AG$49,ROW(C12)+1,FALSE)</f>
        <v>0</v>
      </c>
      <c r="M14" s="15" cm="1">
        <f t="array" ref="M14">+HLOOKUP($A$1,+[34]İcmal!$B$19:$AG$49,ROW(D12)+1,FALSE)</f>
        <v>0</v>
      </c>
      <c r="N14" s="15" cm="1">
        <f t="array" ref="N14">+HLOOKUP($A$1,+[35]İcmal!$B$19:$AG$49,ROW(A12)+1,FALSE)</f>
        <v>0</v>
      </c>
      <c r="O14" s="15" cm="1">
        <f t="array" ref="O14">+HLOOKUP($A$1,+[36]İcmal!$B$19:$AG$49,ROW(B12)+1,FALSE)</f>
        <v>0</v>
      </c>
      <c r="P14" s="15" cm="1">
        <f t="array" ref="P14">+HLOOKUP($A$1,+[37]İcmal!$B$19:$AG$49,ROW(C12)+1,FALSE)</f>
        <v>0</v>
      </c>
      <c r="Q14" s="15" cm="1">
        <f t="array" ref="Q14">+HLOOKUP($A$1,+[38]İcmal!$B$19:$AG$49,ROW(D12)+1,FALSE)</f>
        <v>0</v>
      </c>
      <c r="R14" s="15" cm="1">
        <f t="array" ref="R14">+HLOOKUP($A$1,+[39]İcmal!$B$19:$AG$49,ROW(A12)+1,FALSE)</f>
        <v>0</v>
      </c>
      <c r="S14" s="15" cm="1">
        <f t="array" ref="S14">+HLOOKUP($A$1,+[40]İcmal!$B$19:$AG$49,ROW(B12)+1,FALSE)</f>
        <v>0</v>
      </c>
      <c r="T14" s="15" cm="1">
        <f t="array" ref="T14">+HLOOKUP($A$1,+[41]İcmal!$B$19:$AG$49,ROW(C12)+1,FALSE)</f>
        <v>0</v>
      </c>
      <c r="U14" s="15" cm="1">
        <f t="array" ref="U14">+HLOOKUP($A$1,+[42]İcmal!$B$19:$AG$49,ROW(D12)+1,FALSE)</f>
        <v>0</v>
      </c>
      <c r="V14" s="15" cm="1">
        <f t="array" ref="V14">+HLOOKUP($A$1,+[43]İcmal!$B$19:$AG$49,ROW(A12)+1,FALSE)</f>
        <v>0</v>
      </c>
      <c r="W14" s="15" cm="1">
        <f t="array" ref="W14">+HLOOKUP($A$1,+[44]İcmal!$B$19:$AG$49,ROW(B12)+1,FALSE)</f>
        <v>0</v>
      </c>
      <c r="X14" s="15" cm="1">
        <f t="array" ref="X14">+HLOOKUP($A$1,+[45]İcmal!$B$19:$AG$49,ROW(C12)+1,FALSE)</f>
        <v>0</v>
      </c>
      <c r="Y14" s="15" cm="1">
        <f t="array" ref="Y14">+HLOOKUP($A$1,+[46]İcmal!$B$19:$AG$49,ROW(D12)+1,FALSE)</f>
        <v>0</v>
      </c>
      <c r="Z14" s="15" cm="1">
        <f t="array" ref="Z14">+HLOOKUP($A$1,+[47]İcmal!$B$19:$AG$49,ROW(A12)+1,FALSE)</f>
        <v>0</v>
      </c>
      <c r="AA14" s="15" cm="1">
        <f t="array" ref="AA14">+HLOOKUP($A$1,+[48]İcmal!$B$19:$AG$49,ROW(B12)+1,FALSE)</f>
        <v>0</v>
      </c>
      <c r="AB14" s="15" cm="1">
        <f t="array" ref="AB14">+HLOOKUP($A$1,+[49]İcmal!$B$19:$AG$49,ROW(A12)+1,FALSE)</f>
        <v>0</v>
      </c>
      <c r="AC14" s="15" cm="1">
        <f t="array" ref="AC14">+HLOOKUP($A$1,+[50]İcmal!$B$19:$AG$49,ROW(A12)+1,FALSE)</f>
        <v>0</v>
      </c>
      <c r="AD14" s="15" cm="1">
        <f t="array" ref="AD14">+HLOOKUP($A$1,+[51]İcmal!$B$19:$AG$49,ROW(A12)+1,FALSE)</f>
        <v>0</v>
      </c>
      <c r="AE14" s="15" cm="1">
        <f t="array" ref="AE14">+HLOOKUP($A$1,+[52]İcmal!$B$19:$AG$49,ROW(A12)+1,FALSE)</f>
        <v>0</v>
      </c>
      <c r="AF14" s="50" cm="1">
        <f t="array" ref="AF14">+HLOOKUP($A$1,+[53]İcmal!$B$19:$AG$49,ROW(A12)+1,FALSE)</f>
        <v>0</v>
      </c>
      <c r="AG14" s="15" cm="1">
        <f t="array" ref="AG14">+HLOOKUP($A$1,+[54]İcmal!$B$19:$AG$49,ROW(A12)+1,FALSE)</f>
        <v>0</v>
      </c>
      <c r="AH14" s="15" cm="1">
        <f t="array" ref="AH14">+HLOOKUP($A$1,+[55]İcmal!$B$19:$AG$49,ROW(A12)+1,FALSE)</f>
        <v>0</v>
      </c>
      <c r="AI14" s="15" cm="1">
        <f t="array" ref="AI14">+HLOOKUP($A$1,+[56]İcmal!$B$19:$AG$49,ROW(A12)+1,FALSE)</f>
        <v>0</v>
      </c>
      <c r="AJ14" s="15" cm="1">
        <f t="array" ref="AJ14">+HLOOKUP($A$1,+[57]İcmal!$B$19:$AG$49,ROW(A12)+1,FALSE)</f>
        <v>0</v>
      </c>
      <c r="AK14" s="15" cm="1">
        <f t="array" ref="AK14">+HLOOKUP($A$1,+[58]İcmal!$B$19:$AG$49,ROW(B12)+1,FALSE)</f>
        <v>0</v>
      </c>
      <c r="AL14" s="15">
        <f>+'[59]İcmal B1 101'!AH32</f>
        <v>0</v>
      </c>
      <c r="AM14" s="15">
        <f>+'[60]İcmal B1 102'!AH32</f>
        <v>0</v>
      </c>
      <c r="AN14" s="15">
        <f>+'[61]İcmal B1 103'!AG32</f>
        <v>0</v>
      </c>
      <c r="AO14" s="15">
        <f>+'[62]İcmal  P1 101'!AH32</f>
        <v>0</v>
      </c>
      <c r="AP14" s="15">
        <f>+'[63]İcmal P1 102'!AH32</f>
        <v>0</v>
      </c>
      <c r="AQ14" s="15"/>
      <c r="AR14" s="13"/>
    </row>
    <row r="15" spans="1:44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+HLOOKUP($A$1,+[31]İcmal!$B$19:$AG$49,ROW(A13)+1,FALSE)</f>
        <v>0</v>
      </c>
      <c r="K15" s="15" cm="1">
        <f t="array" ref="K15">+HLOOKUP($A$1,+[32]İcmal!$B$19:$AG$49,ROW(B13)+1,FALSE)</f>
        <v>0</v>
      </c>
      <c r="L15" s="15" cm="1">
        <f t="array" ref="L15">+HLOOKUP($A$1,+[33]İcmal!$B$19:$AG$49,ROW(C13)+1,FALSE)</f>
        <v>0</v>
      </c>
      <c r="M15" s="15" cm="1">
        <f t="array" ref="M15">+HLOOKUP($A$1,+[34]İcmal!$B$19:$AG$49,ROW(D13)+1,FALSE)</f>
        <v>0</v>
      </c>
      <c r="N15" s="15" cm="1">
        <f t="array" ref="N15">+HLOOKUP($A$1,+[35]İcmal!$B$19:$AG$49,ROW(A13)+1,FALSE)</f>
        <v>0</v>
      </c>
      <c r="O15" s="15" cm="1">
        <f t="array" ref="O15">+HLOOKUP($A$1,+[36]İcmal!$B$19:$AG$49,ROW(B13)+1,FALSE)</f>
        <v>0</v>
      </c>
      <c r="P15" s="15" cm="1">
        <f t="array" ref="P15">+HLOOKUP($A$1,+[37]İcmal!$B$19:$AG$49,ROW(C13)+1,FALSE)</f>
        <v>0</v>
      </c>
      <c r="Q15" s="15" cm="1">
        <f t="array" ref="Q15">+HLOOKUP($A$1,+[38]İcmal!$B$19:$AG$49,ROW(D13)+1,FALSE)</f>
        <v>0</v>
      </c>
      <c r="R15" s="15" cm="1">
        <f t="array" ref="R15">+HLOOKUP($A$1,+[39]İcmal!$B$19:$AG$49,ROW(A13)+1,FALSE)</f>
        <v>0</v>
      </c>
      <c r="S15" s="15" cm="1">
        <f t="array" ref="S15">+HLOOKUP($A$1,+[40]İcmal!$B$19:$AG$49,ROW(B13)+1,FALSE)</f>
        <v>0</v>
      </c>
      <c r="T15" s="15" cm="1">
        <f t="array" ref="T15">+HLOOKUP($A$1,+[41]İcmal!$B$19:$AG$49,ROW(C13)+1,FALSE)</f>
        <v>0</v>
      </c>
      <c r="U15" s="15" cm="1">
        <f t="array" ref="U15">+HLOOKUP($A$1,+[42]İcmal!$B$19:$AG$49,ROW(D13)+1,FALSE)</f>
        <v>0</v>
      </c>
      <c r="V15" s="15" cm="1">
        <f t="array" ref="V15">+HLOOKUP($A$1,+[43]İcmal!$B$19:$AG$49,ROW(A13)+1,FALSE)</f>
        <v>0</v>
      </c>
      <c r="W15" s="15" cm="1">
        <f t="array" ref="W15">+HLOOKUP($A$1,+[44]İcmal!$B$19:$AG$49,ROW(B13)+1,FALSE)</f>
        <v>0</v>
      </c>
      <c r="X15" s="15" cm="1">
        <f t="array" ref="X15">+HLOOKUP($A$1,+[45]İcmal!$B$19:$AG$49,ROW(C13)+1,FALSE)</f>
        <v>0</v>
      </c>
      <c r="Y15" s="15" cm="1">
        <f t="array" ref="Y15">+HLOOKUP($A$1,+[46]İcmal!$B$19:$AG$49,ROW(D13)+1,FALSE)</f>
        <v>0</v>
      </c>
      <c r="Z15" s="15" cm="1">
        <f t="array" ref="Z15">+HLOOKUP($A$1,+[47]İcmal!$B$19:$AG$49,ROW(A13)+1,FALSE)</f>
        <v>0</v>
      </c>
      <c r="AA15" s="15" cm="1">
        <f t="array" ref="AA15">+HLOOKUP($A$1,+[48]İcmal!$B$19:$AG$49,ROW(B13)+1,FALSE)</f>
        <v>0</v>
      </c>
      <c r="AB15" s="15" cm="1">
        <f t="array" ref="AB15">+HLOOKUP($A$1,+[49]İcmal!$B$19:$AG$49,ROW(A13)+1,FALSE)</f>
        <v>0</v>
      </c>
      <c r="AC15" s="15" cm="1">
        <f t="array" ref="AC15">+HLOOKUP($A$1,+[50]İcmal!$B$19:$AG$49,ROW(A13)+1,FALSE)</f>
        <v>0</v>
      </c>
      <c r="AD15" s="15" cm="1">
        <f t="array" ref="AD15">+HLOOKUP($A$1,+[51]İcmal!$B$19:$AG$49,ROW(A13)+1,FALSE)</f>
        <v>0</v>
      </c>
      <c r="AE15" s="15" cm="1">
        <f t="array" ref="AE15">+HLOOKUP($A$1,+[52]İcmal!$B$19:$AG$49,ROW(A13)+1,FALSE)</f>
        <v>0</v>
      </c>
      <c r="AF15" s="50" cm="1">
        <f t="array" ref="AF15">+HLOOKUP($A$1,+[53]İcmal!$B$19:$AG$49,ROW(A13)+1,FALSE)</f>
        <v>0</v>
      </c>
      <c r="AG15" s="15" cm="1">
        <f t="array" ref="AG15">+HLOOKUP($A$1,+[54]İcmal!$B$19:$AG$49,ROW(A13)+1,FALSE)</f>
        <v>0</v>
      </c>
      <c r="AH15" s="15" cm="1">
        <f t="array" ref="AH15">+HLOOKUP($A$1,+[55]İcmal!$B$19:$AG$49,ROW(A13)+1,FALSE)</f>
        <v>0</v>
      </c>
      <c r="AI15" s="15" cm="1">
        <f t="array" ref="AI15">+HLOOKUP($A$1,+[56]İcmal!$B$19:$AG$49,ROW(A13)+1,FALSE)</f>
        <v>0</v>
      </c>
      <c r="AJ15" s="15" cm="1">
        <f t="array" ref="AJ15">+HLOOKUP($A$1,+[57]İcmal!$B$19:$AG$49,ROW(A13)+1,FALSE)</f>
        <v>0</v>
      </c>
      <c r="AK15" s="15" cm="1">
        <f t="array" ref="AK15">+HLOOKUP($A$1,+[58]İcmal!$B$19:$AG$49,ROW(B13)+1,FALSE)</f>
        <v>0</v>
      </c>
      <c r="AL15" s="15">
        <f>+'[59]İcmal B1 101'!AH33</f>
        <v>0</v>
      </c>
      <c r="AM15" s="15">
        <f>+'[60]İcmal B1 102'!AH33</f>
        <v>0</v>
      </c>
      <c r="AN15" s="15">
        <f>+'[61]İcmal B1 103'!AG33</f>
        <v>0</v>
      </c>
      <c r="AO15" s="15">
        <f>+'[62]İcmal  P1 101'!AH33</f>
        <v>0</v>
      </c>
      <c r="AP15" s="15">
        <f>+'[63]İcmal P1 102'!AH33</f>
        <v>0</v>
      </c>
      <c r="AQ15" s="15"/>
      <c r="AR15" s="13"/>
    </row>
    <row r="16" spans="1:44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43.958000000000006</v>
      </c>
      <c r="I16" s="9">
        <f t="shared" si="2"/>
        <v>4483716.0000000009</v>
      </c>
      <c r="J16" s="15" cm="1">
        <f t="array" ref="J16">+HLOOKUP($A$1,+[31]İcmal!$B$19:$AG$49,ROW(A14)+1,FALSE)</f>
        <v>0</v>
      </c>
      <c r="K16" s="15" cm="1">
        <f t="array" ref="K16">+HLOOKUP($A$1,+[32]İcmal!$B$19:$AG$49,ROW(B14)+1,FALSE)</f>
        <v>0</v>
      </c>
      <c r="L16" s="15" cm="1">
        <f t="array" ref="L16">+HLOOKUP($A$1,+[33]İcmal!$B$19:$AG$49,ROW(C14)+1,FALSE)</f>
        <v>0</v>
      </c>
      <c r="M16" s="15" cm="1">
        <f t="array" ref="M16">+HLOOKUP($A$1,+[34]İcmal!$B$19:$AG$49,ROW(D14)+1,FALSE)</f>
        <v>0</v>
      </c>
      <c r="N16" s="15" cm="1">
        <f t="array" ref="N16">+HLOOKUP($A$1,+[35]İcmal!$B$19:$AG$49,ROW(A14)+1,FALSE)</f>
        <v>0</v>
      </c>
      <c r="O16" s="15" cm="1">
        <f t="array" ref="O16">+HLOOKUP($A$1,+[36]İcmal!$B$19:$AG$49,ROW(B14)+1,FALSE)</f>
        <v>0</v>
      </c>
      <c r="P16" s="15" cm="1">
        <f t="array" ref="P16">+HLOOKUP($A$1,+[37]İcmal!$B$19:$AG$49,ROW(C14)+1,FALSE)</f>
        <v>19.199000000000002</v>
      </c>
      <c r="Q16" s="15" cm="1">
        <f t="array" ref="Q16">+HLOOKUP($A$1,+[38]İcmal!$B$19:$AG$49,ROW(D14)+1,FALSE)</f>
        <v>19.264000000000003</v>
      </c>
      <c r="R16" s="15" cm="1">
        <f t="array" ref="R16">+HLOOKUP($A$1,+[39]İcmal!$B$19:$AG$49,ROW(A14)+1,FALSE)</f>
        <v>0</v>
      </c>
      <c r="S16" s="15" cm="1">
        <f t="array" ref="S16">+HLOOKUP($A$1,+[40]İcmal!$B$19:$AG$49,ROW(B14)+1,FALSE)</f>
        <v>0</v>
      </c>
      <c r="T16" s="15" cm="1">
        <f t="array" ref="T16">+HLOOKUP($A$1,+[41]İcmal!$B$19:$AG$49,ROW(C14)+1,FALSE)</f>
        <v>0</v>
      </c>
      <c r="U16" s="15" cm="1">
        <f t="array" ref="U16">+HLOOKUP($A$1,+[42]İcmal!$B$19:$AG$49,ROW(D14)+1,FALSE)</f>
        <v>0</v>
      </c>
      <c r="V16" s="15" cm="1">
        <f t="array" ref="V16">+HLOOKUP($A$1,+[43]İcmal!$B$19:$AG$49,ROW(A14)+1,FALSE)</f>
        <v>0</v>
      </c>
      <c r="W16" s="15" cm="1">
        <f t="array" ref="W16">+HLOOKUP($A$1,+[44]İcmal!$B$19:$AG$49,ROW(B14)+1,FALSE)</f>
        <v>0</v>
      </c>
      <c r="X16" s="15" cm="1">
        <f t="array" ref="X16">+HLOOKUP($A$1,+[45]İcmal!$B$19:$AG$49,ROW(C14)+1,FALSE)</f>
        <v>2.742999999999995</v>
      </c>
      <c r="Y16" s="15" cm="1">
        <f t="array" ref="Y16">+HLOOKUP($A$1,+[46]İcmal!$B$19:$AG$49,ROW(D14)+1,FALSE)</f>
        <v>2.7520000000000024</v>
      </c>
      <c r="Z16" s="15" cm="1">
        <f t="array" ref="Z16">+HLOOKUP($A$1,+[47]İcmal!$B$19:$AG$49,ROW(A14)+1,FALSE)</f>
        <v>0</v>
      </c>
      <c r="AA16" s="15" cm="1">
        <f t="array" ref="AA16">+HLOOKUP($A$1,+[48]İcmal!$B$19:$AG$49,ROW(B14)+1,FALSE)</f>
        <v>0</v>
      </c>
      <c r="AB16" s="15" cm="1">
        <f t="array" ref="AB16">+HLOOKUP($A$1,+[49]İcmal!$B$19:$AG$49,ROW(A14)+1,FALSE)</f>
        <v>0</v>
      </c>
      <c r="AC16" s="15" cm="1">
        <f t="array" ref="AC16">+HLOOKUP($A$1,+[50]İcmal!$B$19:$AG$49,ROW(A14)+1,FALSE)</f>
        <v>0</v>
      </c>
      <c r="AD16" s="15" cm="1">
        <f t="array" ref="AD16">+HLOOKUP($A$1,+[51]İcmal!$B$19:$AG$49,ROW(A14)+1,FALSE)</f>
        <v>0</v>
      </c>
      <c r="AE16" s="15" cm="1">
        <f t="array" ref="AE16">+HLOOKUP($A$1,+[52]İcmal!$B$19:$AG$49,ROW(A14)+1,FALSE)</f>
        <v>0</v>
      </c>
      <c r="AF16" s="50" cm="1">
        <f t="array" ref="AF16">+HLOOKUP($A$1,+[53]İcmal!$B$19:$AG$49,ROW(A14)+1,FALSE)</f>
        <v>0</v>
      </c>
      <c r="AG16" s="15" cm="1">
        <f t="array" ref="AG16">+HLOOKUP($A$1,+[54]İcmal!$B$19:$AG$49,ROW(A14)+1,FALSE)</f>
        <v>0</v>
      </c>
      <c r="AH16" s="15" cm="1">
        <f t="array" ref="AH16">+HLOOKUP($A$1,+[55]İcmal!$B$19:$AG$49,ROW(A14)+1,FALSE)</f>
        <v>0</v>
      </c>
      <c r="AI16" s="15" cm="1">
        <f t="array" ref="AI16">+HLOOKUP($A$1,+[56]İcmal!$B$19:$AG$49,ROW(A14)+1,FALSE)</f>
        <v>0</v>
      </c>
      <c r="AJ16" s="15" cm="1">
        <f t="array" ref="AJ16">+HLOOKUP($A$1,+[57]İcmal!$B$19:$AG$49,ROW(A14)+1,FALSE)</f>
        <v>0</v>
      </c>
      <c r="AK16" s="15" cm="1">
        <f t="array" ref="AK16">+HLOOKUP($A$1,+[58]İcmal!$B$19:$AG$49,ROW(B14)+1,FALSE)</f>
        <v>0</v>
      </c>
      <c r="AL16" s="15">
        <f>+'[59]İcmal B1 101'!AH34</f>
        <v>0</v>
      </c>
      <c r="AM16" s="15">
        <f>+'[60]İcmal B1 102'!AH34</f>
        <v>0</v>
      </c>
      <c r="AN16" s="15">
        <f>+'[61]İcmal B1 103'!AG34</f>
        <v>0</v>
      </c>
      <c r="AO16" s="15">
        <f>+'[62]İcmal  P1 101'!AH34</f>
        <v>0</v>
      </c>
      <c r="AP16" s="15">
        <f>+'[63]İcmal P1 102'!AH34</f>
        <v>0</v>
      </c>
      <c r="AQ16" s="15"/>
      <c r="AR16" s="13"/>
    </row>
    <row r="17" spans="1:44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0</v>
      </c>
      <c r="I17" s="9">
        <f t="shared" si="2"/>
        <v>0</v>
      </c>
      <c r="J17" s="15" cm="1">
        <f t="array" ref="J17">+HLOOKUP($A$1,+[31]İcmal!$B$19:$AG$49,ROW(A15)+1,FALSE)</f>
        <v>0</v>
      </c>
      <c r="K17" s="15" cm="1">
        <f t="array" ref="K17">+HLOOKUP($A$1,+[32]İcmal!$B$19:$AG$49,ROW(B15)+1,FALSE)</f>
        <v>0</v>
      </c>
      <c r="L17" s="15" cm="1">
        <f t="array" ref="L17">+HLOOKUP($A$1,+[33]İcmal!$B$19:$AG$49,ROW(C15)+1,FALSE)</f>
        <v>0</v>
      </c>
      <c r="M17" s="15" cm="1">
        <f t="array" ref="M17">+HLOOKUP($A$1,+[34]İcmal!$B$19:$AG$49,ROW(D15)+1,FALSE)</f>
        <v>0</v>
      </c>
      <c r="N17" s="15" cm="1">
        <f t="array" ref="N17">+HLOOKUP($A$1,+[35]İcmal!$B$19:$AG$49,ROW(A15)+1,FALSE)</f>
        <v>0</v>
      </c>
      <c r="O17" s="15" cm="1">
        <f t="array" ref="O17">+HLOOKUP($A$1,+[36]İcmal!$B$19:$AG$49,ROW(B15)+1,FALSE)</f>
        <v>0</v>
      </c>
      <c r="P17" s="15" cm="1">
        <f t="array" ref="P17">+HLOOKUP($A$1,+[37]İcmal!$B$19:$AG$49,ROW(C15)+1,FALSE)</f>
        <v>0</v>
      </c>
      <c r="Q17" s="15" cm="1">
        <f t="array" ref="Q17">+HLOOKUP($A$1,+[38]İcmal!$B$19:$AG$49,ROW(D15)+1,FALSE)</f>
        <v>0</v>
      </c>
      <c r="R17" s="15" cm="1">
        <f t="array" ref="R17">+HLOOKUP($A$1,+[39]İcmal!$B$19:$AG$49,ROW(A15)+1,FALSE)</f>
        <v>0</v>
      </c>
      <c r="S17" s="15" cm="1">
        <f t="array" ref="S17">+HLOOKUP($A$1,+[40]İcmal!$B$19:$AG$49,ROW(B15)+1,FALSE)</f>
        <v>0</v>
      </c>
      <c r="T17" s="15" cm="1">
        <f t="array" ref="T17">+HLOOKUP($A$1,+[41]İcmal!$B$19:$AG$49,ROW(C15)+1,FALSE)</f>
        <v>0</v>
      </c>
      <c r="U17" s="15" cm="1">
        <f t="array" ref="U17">+HLOOKUP($A$1,+[42]İcmal!$B$19:$AG$49,ROW(D15)+1,FALSE)</f>
        <v>0</v>
      </c>
      <c r="V17" s="15" cm="1">
        <f t="array" ref="V17">+HLOOKUP($A$1,+[43]İcmal!$B$19:$AG$49,ROW(A15)+1,FALSE)</f>
        <v>0</v>
      </c>
      <c r="W17" s="15" cm="1">
        <f t="array" ref="W17">+HLOOKUP($A$1,+[44]İcmal!$B$19:$AG$49,ROW(B15)+1,FALSE)</f>
        <v>0</v>
      </c>
      <c r="X17" s="15" cm="1">
        <f t="array" ref="X17">+HLOOKUP($A$1,+[45]İcmal!$B$19:$AG$49,ROW(C15)+1,FALSE)</f>
        <v>0</v>
      </c>
      <c r="Y17" s="15" cm="1">
        <f t="array" ref="Y17">+HLOOKUP($A$1,+[46]İcmal!$B$19:$AG$49,ROW(D15)+1,FALSE)</f>
        <v>0</v>
      </c>
      <c r="Z17" s="15" cm="1">
        <f t="array" ref="Z17">+HLOOKUP($A$1,+[47]İcmal!$B$19:$AG$49,ROW(A15)+1,FALSE)</f>
        <v>0</v>
      </c>
      <c r="AA17" s="15" cm="1">
        <f t="array" ref="AA17">+HLOOKUP($A$1,+[48]İcmal!$B$19:$AG$49,ROW(B15)+1,FALSE)</f>
        <v>0</v>
      </c>
      <c r="AB17" s="15" cm="1">
        <f t="array" ref="AB17">+HLOOKUP($A$1,+[49]İcmal!$B$19:$AG$49,ROW(A15)+1,FALSE)</f>
        <v>0</v>
      </c>
      <c r="AC17" s="15" cm="1">
        <f t="array" ref="AC17">+HLOOKUP($A$1,+[50]İcmal!$B$19:$AG$49,ROW(A15)+1,FALSE)</f>
        <v>0</v>
      </c>
      <c r="AD17" s="15" cm="1">
        <f t="array" ref="AD17">+HLOOKUP($A$1,+[51]İcmal!$B$19:$AG$49,ROW(A15)+1,FALSE)</f>
        <v>0</v>
      </c>
      <c r="AE17" s="15" cm="1">
        <f t="array" ref="AE17">+HLOOKUP($A$1,+[52]İcmal!$B$19:$AG$49,ROW(A15)+1,FALSE)</f>
        <v>0</v>
      </c>
      <c r="AF17" s="50" cm="1">
        <f t="array" ref="AF17">+HLOOKUP($A$1,+[53]İcmal!$B$19:$AG$49,ROW(A15)+1,FALSE)</f>
        <v>0</v>
      </c>
      <c r="AG17" s="15" cm="1">
        <f t="array" ref="AG17">+HLOOKUP($A$1,+[54]İcmal!$B$19:$AG$49,ROW(A15)+1,FALSE)</f>
        <v>0</v>
      </c>
      <c r="AH17" s="15" cm="1">
        <f t="array" ref="AH17">+HLOOKUP($A$1,+[55]İcmal!$B$19:$AG$49,ROW(A15)+1,FALSE)</f>
        <v>0</v>
      </c>
      <c r="AI17" s="15" cm="1">
        <f t="array" ref="AI17">+HLOOKUP($A$1,+[56]İcmal!$B$19:$AG$49,ROW(A15)+1,FALSE)</f>
        <v>0</v>
      </c>
      <c r="AJ17" s="15" cm="1">
        <f t="array" ref="AJ17">+HLOOKUP($A$1,+[57]İcmal!$B$19:$AG$49,ROW(A15)+1,FALSE)</f>
        <v>0</v>
      </c>
      <c r="AK17" s="15" cm="1">
        <f t="array" ref="AK17">+HLOOKUP($A$1,+[58]İcmal!$B$19:$AG$49,ROW(B15)+1,FALSE)</f>
        <v>0</v>
      </c>
      <c r="AL17" s="15">
        <f>+'[59]İcmal B1 101'!AH35</f>
        <v>0</v>
      </c>
      <c r="AM17" s="15">
        <f>+'[60]İcmal B1 102'!AH35</f>
        <v>0</v>
      </c>
      <c r="AN17" s="15">
        <f>+'[61]İcmal B1 103'!AG35</f>
        <v>0</v>
      </c>
      <c r="AO17" s="15">
        <f>+'[62]İcmal  P1 101'!AH35</f>
        <v>0</v>
      </c>
      <c r="AP17" s="15">
        <f>+'[63]İcmal P1 102'!AH35</f>
        <v>0</v>
      </c>
      <c r="AQ17" s="15"/>
      <c r="AR17" s="13"/>
    </row>
    <row r="18" spans="1:44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2161.2068400000135</v>
      </c>
      <c r="I18" s="9">
        <f t="shared" si="2"/>
        <v>1102215.4884000069</v>
      </c>
      <c r="J18" s="15" cm="1">
        <f t="array" ref="J18">+HLOOKUP($A$1,+[31]İcmal!$B$19:$AG$49,ROW(A16)+1,FALSE)</f>
        <v>0</v>
      </c>
      <c r="K18" s="15" cm="1">
        <f t="array" ref="K18">+HLOOKUP($A$1,+[32]İcmal!$B$19:$AG$49,ROW(B16)+1,FALSE)</f>
        <v>0</v>
      </c>
      <c r="L18" s="15" cm="1">
        <f t="array" ref="L18">+HLOOKUP($A$1,+[33]İcmal!$B$19:$AG$49,ROW(C16)+1,FALSE)</f>
        <v>0</v>
      </c>
      <c r="M18" s="15" cm="1">
        <f t="array" ref="M18">+HLOOKUP($A$1,+[34]İcmal!$B$19:$AG$49,ROW(D16)+1,FALSE)</f>
        <v>0</v>
      </c>
      <c r="N18" s="15" cm="1">
        <f t="array" ref="N18">+HLOOKUP($A$1,+[35]İcmal!$B$19:$AG$49,ROW(A16)+1,FALSE)</f>
        <v>0</v>
      </c>
      <c r="O18" s="15" cm="1">
        <f t="array" ref="O18">+HLOOKUP($A$1,+[36]İcmal!$B$19:$AG$49,ROW(B16)+1,FALSE)</f>
        <v>0</v>
      </c>
      <c r="P18" s="15" cm="1">
        <f t="array" ref="P18">+HLOOKUP($A$1,+[37]İcmal!$B$19:$AG$49,ROW(C16)+1,FALSE)</f>
        <v>0</v>
      </c>
      <c r="Q18" s="15" cm="1">
        <f t="array" ref="Q18">+HLOOKUP($A$1,+[38]İcmal!$B$19:$AG$49,ROW(D16)+1,FALSE)</f>
        <v>0</v>
      </c>
      <c r="R18" s="15" cm="1">
        <f t="array" ref="R18">+HLOOKUP($A$1,+[39]İcmal!$B$19:$AG$49,ROW(A16)+1,FALSE)</f>
        <v>0</v>
      </c>
      <c r="S18" s="15" cm="1">
        <f t="array" ref="S18">+HLOOKUP($A$1,+[40]İcmal!$B$19:$AG$49,ROW(B16)+1,FALSE)</f>
        <v>0</v>
      </c>
      <c r="T18" s="15" cm="1">
        <f t="array" ref="T18">+HLOOKUP($A$1,+[41]İcmal!$B$19:$AG$49,ROW(C16)+1,FALSE)</f>
        <v>0</v>
      </c>
      <c r="U18" s="15" cm="1">
        <f t="array" ref="U18">+HLOOKUP($A$1,+[42]İcmal!$B$19:$AG$49,ROW(D16)+1,FALSE)</f>
        <v>0</v>
      </c>
      <c r="V18" s="15" cm="1">
        <f t="array" ref="V18">+HLOOKUP($A$1,+[43]İcmal!$B$19:$AG$49,ROW(A16)+1,FALSE)</f>
        <v>0</v>
      </c>
      <c r="W18" s="15" cm="1">
        <f t="array" ref="W18">+HLOOKUP($A$1,+[44]İcmal!$B$19:$AG$49,ROW(B16)+1,FALSE)</f>
        <v>0</v>
      </c>
      <c r="X18" s="15" cm="1">
        <f t="array" ref="X18">+HLOOKUP($A$1,+[45]İcmal!$B$19:$AG$49,ROW(C16)+1,FALSE)</f>
        <v>0</v>
      </c>
      <c r="Y18" s="15" cm="1">
        <f t="array" ref="Y18">+HLOOKUP($A$1,+[46]İcmal!$B$19:$AG$49,ROW(D16)+1,FALSE)</f>
        <v>0</v>
      </c>
      <c r="Z18" s="15" cm="1">
        <f t="array" ref="Z18">+HLOOKUP($A$1,+[47]İcmal!$B$19:$AG$49,ROW(A16)+1,FALSE)</f>
        <v>0</v>
      </c>
      <c r="AA18" s="15" cm="1">
        <f t="array" ref="AA18">+HLOOKUP($A$1,+[48]İcmal!$B$19:$AG$49,ROW(B16)+1,FALSE)</f>
        <v>0</v>
      </c>
      <c r="AB18" s="15" cm="1">
        <f t="array" ref="AB18">+HLOOKUP($A$1,+[49]İcmal!$B$19:$AG$49,ROW(A16)+1,FALSE)</f>
        <v>0</v>
      </c>
      <c r="AC18" s="15" cm="1">
        <f t="array" ref="AC18">+HLOOKUP($A$1,+[50]İcmal!$B$19:$AG$49,ROW(A16)+1,FALSE)</f>
        <v>0</v>
      </c>
      <c r="AD18" s="15" cm="1">
        <f t="array" ref="AD18">+HLOOKUP($A$1,+[51]İcmal!$B$19:$AG$49,ROW(A16)+1,FALSE)</f>
        <v>0</v>
      </c>
      <c r="AE18" s="15" cm="1">
        <f t="array" ref="AE18">+HLOOKUP($A$1,+[52]İcmal!$B$19:$AG$49,ROW(A16)+1,FALSE)</f>
        <v>0</v>
      </c>
      <c r="AF18" s="50" cm="1">
        <f t="array" ref="AF18">+HLOOKUP($A$1,+[53]İcmal!$B$19:$AG$49,ROW(A16)+1,FALSE)</f>
        <v>0</v>
      </c>
      <c r="AG18" s="15" cm="1">
        <f t="array" ref="AG18">+HLOOKUP($A$1,+[54]İcmal!$B$19:$AG$49,ROW(A16)+1,FALSE)</f>
        <v>0</v>
      </c>
      <c r="AH18" s="15" cm="1">
        <f t="array" ref="AH18">+HLOOKUP($A$1,+[55]İcmal!$B$19:$AG$49,ROW(A16)+1,FALSE)</f>
        <v>0</v>
      </c>
      <c r="AI18" s="15" cm="1">
        <f t="array" ref="AI18">+HLOOKUP($A$1,+[56]İcmal!$B$19:$AG$49,ROW(A16)+1,FALSE)</f>
        <v>0</v>
      </c>
      <c r="AJ18" s="15" cm="1">
        <f t="array" ref="AJ18">+HLOOKUP($A$1,+[57]İcmal!$B$19:$AG$49,ROW(A16)+1,FALSE)</f>
        <v>0</v>
      </c>
      <c r="AK18" s="15" cm="1">
        <f t="array" ref="AK18">+HLOOKUP($A$1,+[58]İcmal!$B$19:$AG$49,ROW(B16)+1,FALSE)</f>
        <v>0</v>
      </c>
      <c r="AL18" s="15">
        <f>+'[59]İcmal B1 101'!AH36</f>
        <v>20.247500000000002</v>
      </c>
      <c r="AM18" s="15">
        <f>+'[60]İcmal B1 102'!AH36</f>
        <v>20.247500000000002</v>
      </c>
      <c r="AN18" s="15">
        <f>+'[61]İcmal B1 103'!AG36</f>
        <v>0</v>
      </c>
      <c r="AO18" s="15">
        <f>+'[62]İcmal  P1 101'!AH36</f>
        <v>1636.9266600000096</v>
      </c>
      <c r="AP18" s="15">
        <f>+'[63]İcmal P1 102'!AH36</f>
        <v>483.78518000000383</v>
      </c>
      <c r="AQ18" s="15"/>
      <c r="AR18" s="13"/>
    </row>
    <row r="19" spans="1:44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1253.9498500000079</v>
      </c>
      <c r="I19" s="9">
        <f t="shared" si="2"/>
        <v>1504739.8200000096</v>
      </c>
      <c r="J19" s="15" cm="1">
        <f t="array" ref="J19">+HLOOKUP($A$1,+[31]İcmal!$B$19:$AG$49,ROW(A17)+1,FALSE)</f>
        <v>0</v>
      </c>
      <c r="K19" s="15" cm="1">
        <f t="array" ref="K19">+HLOOKUP($A$1,+[32]İcmal!$B$19:$AG$49,ROW(B17)+1,FALSE)</f>
        <v>0</v>
      </c>
      <c r="L19" s="15" cm="1">
        <f t="array" ref="L19">+HLOOKUP($A$1,+[33]İcmal!$B$19:$AG$49,ROW(C17)+1,FALSE)</f>
        <v>0</v>
      </c>
      <c r="M19" s="15" cm="1">
        <f t="array" ref="M19">+HLOOKUP($A$1,+[34]İcmal!$B$19:$AG$49,ROW(D17)+1,FALSE)</f>
        <v>0</v>
      </c>
      <c r="N19" s="15" cm="1">
        <f t="array" ref="N19">+HLOOKUP($A$1,+[35]İcmal!$B$19:$AG$49,ROW(A17)+1,FALSE)</f>
        <v>0</v>
      </c>
      <c r="O19" s="15" cm="1">
        <f t="array" ref="O19">+HLOOKUP($A$1,+[36]İcmal!$B$19:$AG$49,ROW(B17)+1,FALSE)</f>
        <v>0</v>
      </c>
      <c r="P19" s="15" cm="1">
        <f t="array" ref="P19">+HLOOKUP($A$1,+[37]İcmal!$B$19:$AG$49,ROW(C17)+1,FALSE)</f>
        <v>0</v>
      </c>
      <c r="Q19" s="15" cm="1">
        <f t="array" ref="Q19">+HLOOKUP($A$1,+[38]İcmal!$B$19:$AG$49,ROW(D17)+1,FALSE)</f>
        <v>0</v>
      </c>
      <c r="R19" s="15" cm="1">
        <f t="array" ref="R19">+HLOOKUP($A$1,+[39]İcmal!$B$19:$AG$49,ROW(A17)+1,FALSE)</f>
        <v>0</v>
      </c>
      <c r="S19" s="15" cm="1">
        <f t="array" ref="S19">+HLOOKUP($A$1,+[40]İcmal!$B$19:$AG$49,ROW(B17)+1,FALSE)</f>
        <v>0</v>
      </c>
      <c r="T19" s="15" cm="1">
        <f t="array" ref="T19">+HLOOKUP($A$1,+[41]İcmal!$B$19:$AG$49,ROW(C17)+1,FALSE)</f>
        <v>0</v>
      </c>
      <c r="U19" s="15" cm="1">
        <f t="array" ref="U19">+HLOOKUP($A$1,+[42]İcmal!$B$19:$AG$49,ROW(D17)+1,FALSE)</f>
        <v>0</v>
      </c>
      <c r="V19" s="15" cm="1">
        <f t="array" ref="V19">+HLOOKUP($A$1,+[43]İcmal!$B$19:$AG$49,ROW(A17)+1,FALSE)</f>
        <v>0</v>
      </c>
      <c r="W19" s="15" cm="1">
        <f t="array" ref="W19">+HLOOKUP($A$1,+[44]İcmal!$B$19:$AG$49,ROW(B17)+1,FALSE)</f>
        <v>0</v>
      </c>
      <c r="X19" s="15" cm="1">
        <f t="array" ref="X19">+HLOOKUP($A$1,+[45]İcmal!$B$19:$AG$49,ROW(C17)+1,FALSE)</f>
        <v>0</v>
      </c>
      <c r="Y19" s="15" cm="1">
        <f t="array" ref="Y19">+HLOOKUP($A$1,+[46]İcmal!$B$19:$AG$49,ROW(D17)+1,FALSE)</f>
        <v>0</v>
      </c>
      <c r="Z19" s="15" cm="1">
        <f t="array" ref="Z19">+HLOOKUP($A$1,+[47]İcmal!$B$19:$AG$49,ROW(A17)+1,FALSE)</f>
        <v>0</v>
      </c>
      <c r="AA19" s="15" cm="1">
        <f t="array" ref="AA19">+HLOOKUP($A$1,+[48]İcmal!$B$19:$AG$49,ROW(B17)+1,FALSE)</f>
        <v>0</v>
      </c>
      <c r="AB19" s="15" cm="1">
        <f t="array" ref="AB19">+HLOOKUP($A$1,+[49]İcmal!$B$19:$AG$49,ROW(A17)+1,FALSE)</f>
        <v>0</v>
      </c>
      <c r="AC19" s="15" cm="1">
        <f t="array" ref="AC19">+HLOOKUP($A$1,+[50]İcmal!$B$19:$AG$49,ROW(A17)+1,FALSE)</f>
        <v>0</v>
      </c>
      <c r="AD19" s="15" cm="1">
        <f t="array" ref="AD19">+HLOOKUP($A$1,+[51]İcmal!$B$19:$AG$49,ROW(A17)+1,FALSE)</f>
        <v>0</v>
      </c>
      <c r="AE19" s="15" cm="1">
        <f t="array" ref="AE19">+HLOOKUP($A$1,+[52]İcmal!$B$19:$AG$49,ROW(A17)+1,FALSE)</f>
        <v>0</v>
      </c>
      <c r="AF19" s="50" cm="1">
        <f t="array" ref="AF19">+HLOOKUP($A$1,+[53]İcmal!$B$19:$AG$49,ROW(A17)+1,FALSE)</f>
        <v>0</v>
      </c>
      <c r="AG19" s="15" cm="1">
        <f t="array" ref="AG19">+HLOOKUP($A$1,+[54]İcmal!$B$19:$AG$49,ROW(A17)+1,FALSE)</f>
        <v>0</v>
      </c>
      <c r="AH19" s="15" cm="1">
        <f t="array" ref="AH19">+HLOOKUP($A$1,+[55]İcmal!$B$19:$AG$49,ROW(A17)+1,FALSE)</f>
        <v>0</v>
      </c>
      <c r="AI19" s="15" cm="1">
        <f t="array" ref="AI19">+HLOOKUP($A$1,+[56]İcmal!$B$19:$AG$49,ROW(A17)+1,FALSE)</f>
        <v>0</v>
      </c>
      <c r="AJ19" s="15" cm="1">
        <f t="array" ref="AJ19">+HLOOKUP($A$1,+[57]İcmal!$B$19:$AG$49,ROW(A17)+1,FALSE)</f>
        <v>0</v>
      </c>
      <c r="AK19" s="15" cm="1">
        <f t="array" ref="AK19">+HLOOKUP($A$1,+[58]İcmal!$B$19:$AG$49,ROW(B17)+1,FALSE)</f>
        <v>0</v>
      </c>
      <c r="AL19" s="15">
        <f>+'[59]İcmal B1 101'!AH37</f>
        <v>14.372499999999999</v>
      </c>
      <c r="AM19" s="15">
        <f>+'[60]İcmal B1 102'!AH37</f>
        <v>14.372499999999999</v>
      </c>
      <c r="AN19" s="15">
        <f>+'[61]İcmal B1 103'!AG37</f>
        <v>0</v>
      </c>
      <c r="AO19" s="15">
        <f>+'[62]İcmal  P1 101'!AH37</f>
        <v>955.9923000000058</v>
      </c>
      <c r="AP19" s="15">
        <f>+'[63]İcmal P1 102'!AH37</f>
        <v>269.21255000000212</v>
      </c>
      <c r="AQ19" s="15"/>
      <c r="AR19" s="13"/>
    </row>
    <row r="20" spans="1:44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403.3350000000014</v>
      </c>
      <c r="I20" s="9">
        <f t="shared" si="2"/>
        <v>871203.600000003</v>
      </c>
      <c r="J20" s="15" cm="1">
        <f t="array" ref="J20">+HLOOKUP($A$1,+[31]İcmal!$B$19:$AG$49,ROW(A18)+1,FALSE)</f>
        <v>0</v>
      </c>
      <c r="K20" s="15" cm="1">
        <f t="array" ref="K20">+HLOOKUP($A$1,+[32]İcmal!$B$19:$AG$49,ROW(B18)+1,FALSE)</f>
        <v>0</v>
      </c>
      <c r="L20" s="15" cm="1">
        <f t="array" ref="L20">+HLOOKUP($A$1,+[33]İcmal!$B$19:$AG$49,ROW(C18)+1,FALSE)</f>
        <v>0</v>
      </c>
      <c r="M20" s="15" cm="1">
        <f t="array" ref="M20">+HLOOKUP($A$1,+[34]İcmal!$B$19:$AG$49,ROW(D18)+1,FALSE)</f>
        <v>0</v>
      </c>
      <c r="N20" s="15" cm="1">
        <f t="array" ref="N20">+HLOOKUP($A$1,+[35]İcmal!$B$19:$AG$49,ROW(A18)+1,FALSE)</f>
        <v>0</v>
      </c>
      <c r="O20" s="15" cm="1">
        <f t="array" ref="O20">+HLOOKUP($A$1,+[36]İcmal!$B$19:$AG$49,ROW(B18)+1,FALSE)</f>
        <v>0</v>
      </c>
      <c r="P20" s="15" cm="1">
        <f t="array" ref="P20">+HLOOKUP($A$1,+[37]İcmal!$B$19:$AG$49,ROW(C18)+1,FALSE)</f>
        <v>0</v>
      </c>
      <c r="Q20" s="15" cm="1">
        <f t="array" ref="Q20">+HLOOKUP($A$1,+[38]İcmal!$B$19:$AG$49,ROW(D18)+1,FALSE)</f>
        <v>0</v>
      </c>
      <c r="R20" s="15" cm="1">
        <f t="array" ref="R20">+HLOOKUP($A$1,+[39]İcmal!$B$19:$AG$49,ROW(A18)+1,FALSE)</f>
        <v>0</v>
      </c>
      <c r="S20" s="15" cm="1">
        <f t="array" ref="S20">+HLOOKUP($A$1,+[40]İcmal!$B$19:$AG$49,ROW(B18)+1,FALSE)</f>
        <v>0</v>
      </c>
      <c r="T20" s="15" cm="1">
        <f t="array" ref="T20">+HLOOKUP($A$1,+[41]İcmal!$B$19:$AG$49,ROW(C18)+1,FALSE)</f>
        <v>0</v>
      </c>
      <c r="U20" s="15" cm="1">
        <f t="array" ref="U20">+HLOOKUP($A$1,+[42]İcmal!$B$19:$AG$49,ROW(D18)+1,FALSE)</f>
        <v>0</v>
      </c>
      <c r="V20" s="15" cm="1">
        <f t="array" ref="V20">+HLOOKUP($A$1,+[43]İcmal!$B$19:$AG$49,ROW(A18)+1,FALSE)</f>
        <v>0</v>
      </c>
      <c r="W20" s="15" cm="1">
        <f t="array" ref="W20">+HLOOKUP($A$1,+[44]İcmal!$B$19:$AG$49,ROW(B18)+1,FALSE)</f>
        <v>0</v>
      </c>
      <c r="X20" s="15" cm="1">
        <f t="array" ref="X20">+HLOOKUP($A$1,+[45]İcmal!$B$19:$AG$49,ROW(C18)+1,FALSE)</f>
        <v>0</v>
      </c>
      <c r="Y20" s="15" cm="1">
        <f t="array" ref="Y20">+HLOOKUP($A$1,+[46]İcmal!$B$19:$AG$49,ROW(D18)+1,FALSE)</f>
        <v>0</v>
      </c>
      <c r="Z20" s="15" cm="1">
        <f t="array" ref="Z20">+HLOOKUP($A$1,+[47]İcmal!$B$19:$AG$49,ROW(A18)+1,FALSE)</f>
        <v>0</v>
      </c>
      <c r="AA20" s="15" cm="1">
        <f t="array" ref="AA20">+HLOOKUP($A$1,+[48]İcmal!$B$19:$AG$49,ROW(B18)+1,FALSE)</f>
        <v>0</v>
      </c>
      <c r="AB20" s="15" cm="1">
        <f t="array" ref="AB20">+HLOOKUP($A$1,+[49]İcmal!$B$19:$AG$49,ROW(A18)+1,FALSE)</f>
        <v>0</v>
      </c>
      <c r="AC20" s="15" cm="1">
        <f t="array" ref="AC20">+HLOOKUP($A$1,+[50]İcmal!$B$19:$AG$49,ROW(A18)+1,FALSE)</f>
        <v>0</v>
      </c>
      <c r="AD20" s="15" cm="1">
        <f t="array" ref="AD20">+HLOOKUP($A$1,+[51]İcmal!$B$19:$AG$49,ROW(A18)+1,FALSE)</f>
        <v>0</v>
      </c>
      <c r="AE20" s="15" cm="1">
        <f t="array" ref="AE20">+HLOOKUP($A$1,+[52]İcmal!$B$19:$AG$49,ROW(A18)+1,FALSE)</f>
        <v>0</v>
      </c>
      <c r="AF20" s="50" cm="1">
        <f t="array" ref="AF20">+HLOOKUP($A$1,+[53]İcmal!$B$19:$AG$49,ROW(A18)+1,FALSE)</f>
        <v>0</v>
      </c>
      <c r="AG20" s="15" cm="1">
        <f t="array" ref="AG20">+HLOOKUP($A$1,+[54]İcmal!$B$19:$AG$49,ROW(A18)+1,FALSE)</f>
        <v>0</v>
      </c>
      <c r="AH20" s="15" cm="1">
        <f t="array" ref="AH20">+HLOOKUP($A$1,+[55]İcmal!$B$19:$AG$49,ROW(A18)+1,FALSE)</f>
        <v>0</v>
      </c>
      <c r="AI20" s="15" cm="1">
        <f t="array" ref="AI20">+HLOOKUP($A$1,+[56]İcmal!$B$19:$AG$49,ROW(A18)+1,FALSE)</f>
        <v>0</v>
      </c>
      <c r="AJ20" s="15" cm="1">
        <f t="array" ref="AJ20">+HLOOKUP($A$1,+[57]İcmal!$B$19:$AG$49,ROW(A18)+1,FALSE)</f>
        <v>0</v>
      </c>
      <c r="AK20" s="15" cm="1">
        <f t="array" ref="AK20">+HLOOKUP($A$1,+[58]İcmal!$B$19:$AG$49,ROW(B18)+1,FALSE)</f>
        <v>0</v>
      </c>
      <c r="AL20" s="15">
        <f>+'[59]İcmal B1 101'!AH38</f>
        <v>10.303000000000001</v>
      </c>
      <c r="AM20" s="15">
        <f>+'[60]İcmal B1 102'!AH38</f>
        <v>10.303000000000001</v>
      </c>
      <c r="AN20" s="15">
        <f>+'[61]İcmal B1 103'!AG38</f>
        <v>0</v>
      </c>
      <c r="AO20" s="15">
        <f>+'[62]İcmal  P1 101'!AH38</f>
        <v>283.38900000000086</v>
      </c>
      <c r="AP20" s="15">
        <f>+'[63]İcmal P1 102'!AH38</f>
        <v>99.340000000000543</v>
      </c>
      <c r="AQ20" s="15"/>
      <c r="AR20" s="13"/>
    </row>
    <row r="21" spans="1:44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+HLOOKUP($A$1,+[31]İcmal!$B$19:$AG$49,ROW(A19)+1,FALSE)</f>
        <v>0</v>
      </c>
      <c r="K21" s="15" cm="1">
        <f t="array" ref="K21">+HLOOKUP($A$1,+[32]İcmal!$B$19:$AG$49,ROW(B19)+1,FALSE)</f>
        <v>0</v>
      </c>
      <c r="L21" s="15" cm="1">
        <f t="array" ref="L21">+HLOOKUP($A$1,+[33]İcmal!$B$19:$AG$49,ROW(C19)+1,FALSE)</f>
        <v>0</v>
      </c>
      <c r="M21" s="15" cm="1">
        <f t="array" ref="M21">+HLOOKUP($A$1,+[34]İcmal!$B$19:$AG$49,ROW(D19)+1,FALSE)</f>
        <v>0</v>
      </c>
      <c r="N21" s="15" cm="1">
        <f t="array" ref="N21">+HLOOKUP($A$1,+[35]İcmal!$B$19:$AG$49,ROW(A19)+1,FALSE)</f>
        <v>0</v>
      </c>
      <c r="O21" s="15" cm="1">
        <f t="array" ref="O21">+HLOOKUP($A$1,+[36]İcmal!$B$19:$AG$49,ROW(B19)+1,FALSE)</f>
        <v>0</v>
      </c>
      <c r="P21" s="15" cm="1">
        <f t="array" ref="P21">+HLOOKUP($A$1,+[37]İcmal!$B$19:$AG$49,ROW(C19)+1,FALSE)</f>
        <v>0</v>
      </c>
      <c r="Q21" s="15" cm="1">
        <f t="array" ref="Q21">+HLOOKUP($A$1,+[38]İcmal!$B$19:$AG$49,ROW(D19)+1,FALSE)</f>
        <v>0</v>
      </c>
      <c r="R21" s="15" cm="1">
        <f t="array" ref="R21">+HLOOKUP($A$1,+[39]İcmal!$B$19:$AG$49,ROW(A19)+1,FALSE)</f>
        <v>0</v>
      </c>
      <c r="S21" s="15" cm="1">
        <f t="array" ref="S21">+HLOOKUP($A$1,+[40]İcmal!$B$19:$AG$49,ROW(B19)+1,FALSE)</f>
        <v>0</v>
      </c>
      <c r="T21" s="15" cm="1">
        <f t="array" ref="T21">+HLOOKUP($A$1,+[41]İcmal!$B$19:$AG$49,ROW(C19)+1,FALSE)</f>
        <v>0</v>
      </c>
      <c r="U21" s="15" cm="1">
        <f t="array" ref="U21">+HLOOKUP($A$1,+[42]İcmal!$B$19:$AG$49,ROW(D19)+1,FALSE)</f>
        <v>0</v>
      </c>
      <c r="V21" s="15" cm="1">
        <f t="array" ref="V21">+HLOOKUP($A$1,+[43]İcmal!$B$19:$AG$49,ROW(A19)+1,FALSE)</f>
        <v>0</v>
      </c>
      <c r="W21" s="15" cm="1">
        <f t="array" ref="W21">+HLOOKUP($A$1,+[44]İcmal!$B$19:$AG$49,ROW(B19)+1,FALSE)</f>
        <v>0</v>
      </c>
      <c r="X21" s="15" cm="1">
        <f t="array" ref="X21">+HLOOKUP($A$1,+[45]İcmal!$B$19:$AG$49,ROW(C19)+1,FALSE)</f>
        <v>0</v>
      </c>
      <c r="Y21" s="15" cm="1">
        <f t="array" ref="Y21">+HLOOKUP($A$1,+[46]İcmal!$B$19:$AG$49,ROW(D19)+1,FALSE)</f>
        <v>0</v>
      </c>
      <c r="Z21" s="15" cm="1">
        <f t="array" ref="Z21">+HLOOKUP($A$1,+[47]İcmal!$B$19:$AG$49,ROW(A19)+1,FALSE)</f>
        <v>0</v>
      </c>
      <c r="AA21" s="15" cm="1">
        <f t="array" ref="AA21">+HLOOKUP($A$1,+[48]İcmal!$B$19:$AG$49,ROW(B19)+1,FALSE)</f>
        <v>0</v>
      </c>
      <c r="AB21" s="15" cm="1">
        <f t="array" ref="AB21">+HLOOKUP($A$1,+[49]İcmal!$B$19:$AG$49,ROW(A19)+1,FALSE)</f>
        <v>0</v>
      </c>
      <c r="AC21" s="15" cm="1">
        <f t="array" ref="AC21">+HLOOKUP($A$1,+[50]İcmal!$B$19:$AG$49,ROW(A19)+1,FALSE)</f>
        <v>0</v>
      </c>
      <c r="AD21" s="15" cm="1">
        <f t="array" ref="AD21">+HLOOKUP($A$1,+[51]İcmal!$B$19:$AG$49,ROW(A19)+1,FALSE)</f>
        <v>0</v>
      </c>
      <c r="AE21" s="15" cm="1">
        <f t="array" ref="AE21">+HLOOKUP($A$1,+[52]İcmal!$B$19:$AG$49,ROW(A19)+1,FALSE)</f>
        <v>0</v>
      </c>
      <c r="AF21" s="50" cm="1">
        <f t="array" ref="AF21">+HLOOKUP($A$1,+[53]İcmal!$B$19:$AG$49,ROW(A19)+1,FALSE)</f>
        <v>0</v>
      </c>
      <c r="AG21" s="15" cm="1">
        <f t="array" ref="AG21">+HLOOKUP($A$1,+[54]İcmal!$B$19:$AG$49,ROW(A19)+1,FALSE)</f>
        <v>0</v>
      </c>
      <c r="AH21" s="15" cm="1">
        <f t="array" ref="AH21">+HLOOKUP($A$1,+[55]İcmal!$B$19:$AG$49,ROW(A19)+1,FALSE)</f>
        <v>0</v>
      </c>
      <c r="AI21" s="15" cm="1">
        <f t="array" ref="AI21">+HLOOKUP($A$1,+[56]İcmal!$B$19:$AG$49,ROW(A19)+1,FALSE)</f>
        <v>0</v>
      </c>
      <c r="AJ21" s="15" cm="1">
        <f t="array" ref="AJ21">+HLOOKUP($A$1,+[57]İcmal!$B$19:$AG$49,ROW(A19)+1,FALSE)</f>
        <v>0</v>
      </c>
      <c r="AK21" s="15" cm="1">
        <f t="array" ref="AK21">+HLOOKUP($A$1,+[58]İcmal!$B$19:$AG$49,ROW(B19)+1,FALSE)</f>
        <v>0</v>
      </c>
      <c r="AL21" s="15">
        <f>+'[59]İcmal B1 101'!AH39</f>
        <v>0</v>
      </c>
      <c r="AM21" s="15">
        <f>+'[60]İcmal B1 102'!AH39</f>
        <v>0</v>
      </c>
      <c r="AN21" s="15">
        <f>+'[61]İcmal B1 103'!AG39</f>
        <v>0</v>
      </c>
      <c r="AO21" s="15">
        <f>+'[62]İcmal  P1 101'!AH39</f>
        <v>0</v>
      </c>
      <c r="AP21" s="15">
        <f>+'[63]İcmal P1 102'!AH39</f>
        <v>0</v>
      </c>
      <c r="AQ21" s="15"/>
      <c r="AR21" s="13"/>
    </row>
    <row r="22" spans="1:44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+HLOOKUP($A$1,+[31]İcmal!$B$19:$AG$49,ROW(A20)+1,FALSE)</f>
        <v>0</v>
      </c>
      <c r="K22" s="15" cm="1">
        <f t="array" ref="K22">+HLOOKUP($A$1,+[32]İcmal!$B$19:$AG$49,ROW(B20)+1,FALSE)</f>
        <v>0</v>
      </c>
      <c r="L22" s="15" cm="1">
        <f t="array" ref="L22">+HLOOKUP($A$1,+[33]İcmal!$B$19:$AG$49,ROW(C20)+1,FALSE)</f>
        <v>0</v>
      </c>
      <c r="M22" s="15" cm="1">
        <f t="array" ref="M22">+HLOOKUP($A$1,+[34]İcmal!$B$19:$AG$49,ROW(D20)+1,FALSE)</f>
        <v>0</v>
      </c>
      <c r="N22" s="15" cm="1">
        <f t="array" ref="N22">+HLOOKUP($A$1,+[35]İcmal!$B$19:$AG$49,ROW(A20)+1,FALSE)</f>
        <v>0</v>
      </c>
      <c r="O22" s="15" cm="1">
        <f t="array" ref="O22">+HLOOKUP($A$1,+[36]İcmal!$B$19:$AG$49,ROW(B20)+1,FALSE)</f>
        <v>0</v>
      </c>
      <c r="P22" s="15" cm="1">
        <f t="array" ref="P22">+HLOOKUP($A$1,+[37]İcmal!$B$19:$AG$49,ROW(C20)+1,FALSE)</f>
        <v>0</v>
      </c>
      <c r="Q22" s="15" cm="1">
        <f t="array" ref="Q22">+HLOOKUP($A$1,+[38]İcmal!$B$19:$AG$49,ROW(D20)+1,FALSE)</f>
        <v>0</v>
      </c>
      <c r="R22" s="15" cm="1">
        <f t="array" ref="R22">+HLOOKUP($A$1,+[39]İcmal!$B$19:$AG$49,ROW(A20)+1,FALSE)</f>
        <v>0</v>
      </c>
      <c r="S22" s="15" cm="1">
        <f t="array" ref="S22">+HLOOKUP($A$1,+[40]İcmal!$B$19:$AG$49,ROW(B20)+1,FALSE)</f>
        <v>0</v>
      </c>
      <c r="T22" s="15" cm="1">
        <f t="array" ref="T22">+HLOOKUP($A$1,+[41]İcmal!$B$19:$AG$49,ROW(C20)+1,FALSE)</f>
        <v>0</v>
      </c>
      <c r="U22" s="15" cm="1">
        <f t="array" ref="U22">+HLOOKUP($A$1,+[42]İcmal!$B$19:$AG$49,ROW(D20)+1,FALSE)</f>
        <v>0</v>
      </c>
      <c r="V22" s="15" cm="1">
        <f t="array" ref="V22">+HLOOKUP($A$1,+[43]İcmal!$B$19:$AG$49,ROW(A20)+1,FALSE)</f>
        <v>0</v>
      </c>
      <c r="W22" s="15" cm="1">
        <f t="array" ref="W22">+HLOOKUP($A$1,+[44]İcmal!$B$19:$AG$49,ROW(B20)+1,FALSE)</f>
        <v>0</v>
      </c>
      <c r="X22" s="15" cm="1">
        <f t="array" ref="X22">+HLOOKUP($A$1,+[45]İcmal!$B$19:$AG$49,ROW(C20)+1,FALSE)</f>
        <v>0</v>
      </c>
      <c r="Y22" s="15" cm="1">
        <f t="array" ref="Y22">+HLOOKUP($A$1,+[46]İcmal!$B$19:$AG$49,ROW(D20)+1,FALSE)</f>
        <v>0</v>
      </c>
      <c r="Z22" s="15" cm="1">
        <f t="array" ref="Z22">+HLOOKUP($A$1,+[47]İcmal!$B$19:$AG$49,ROW(A20)+1,FALSE)</f>
        <v>0</v>
      </c>
      <c r="AA22" s="15" cm="1">
        <f t="array" ref="AA22">+HLOOKUP($A$1,+[48]İcmal!$B$19:$AG$49,ROW(B20)+1,FALSE)</f>
        <v>0</v>
      </c>
      <c r="AB22" s="15" cm="1">
        <f t="array" ref="AB22">+HLOOKUP($A$1,+[49]İcmal!$B$19:$AG$49,ROW(A20)+1,FALSE)</f>
        <v>0</v>
      </c>
      <c r="AC22" s="15" cm="1">
        <f t="array" ref="AC22">+HLOOKUP($A$1,+[50]İcmal!$B$19:$AG$49,ROW(A20)+1,FALSE)</f>
        <v>0</v>
      </c>
      <c r="AD22" s="15" cm="1">
        <f t="array" ref="AD22">+HLOOKUP($A$1,+[51]İcmal!$B$19:$AG$49,ROW(A20)+1,FALSE)</f>
        <v>0</v>
      </c>
      <c r="AE22" s="15" cm="1">
        <f t="array" ref="AE22">+HLOOKUP($A$1,+[52]İcmal!$B$19:$AG$49,ROW(A20)+1,FALSE)</f>
        <v>0</v>
      </c>
      <c r="AF22" s="50" cm="1">
        <f t="array" ref="AF22">+HLOOKUP($A$1,+[53]İcmal!$B$19:$AG$49,ROW(A20)+1,FALSE)</f>
        <v>0</v>
      </c>
      <c r="AG22" s="15" cm="1">
        <f t="array" ref="AG22">+HLOOKUP($A$1,+[54]İcmal!$B$19:$AG$49,ROW(A20)+1,FALSE)</f>
        <v>0</v>
      </c>
      <c r="AH22" s="15" cm="1">
        <f t="array" ref="AH22">+HLOOKUP($A$1,+[55]İcmal!$B$19:$AG$49,ROW(A20)+1,FALSE)</f>
        <v>0</v>
      </c>
      <c r="AI22" s="15" cm="1">
        <f t="array" ref="AI22">+HLOOKUP($A$1,+[56]İcmal!$B$19:$AG$49,ROW(A20)+1,FALSE)</f>
        <v>0</v>
      </c>
      <c r="AJ22" s="15" cm="1">
        <f t="array" ref="AJ22">+HLOOKUP($A$1,+[57]İcmal!$B$19:$AG$49,ROW(A20)+1,FALSE)</f>
        <v>0</v>
      </c>
      <c r="AK22" s="15" cm="1">
        <f t="array" ref="AK22">+HLOOKUP($A$1,+[58]İcmal!$B$19:$AG$49,ROW(B20)+1,FALSE)</f>
        <v>0</v>
      </c>
      <c r="AL22" s="15">
        <f>+'[59]İcmal B1 101'!AH40</f>
        <v>0</v>
      </c>
      <c r="AM22" s="15">
        <f>+'[60]İcmal B1 102'!AH40</f>
        <v>0</v>
      </c>
      <c r="AN22" s="15">
        <f>+'[61]İcmal B1 103'!AG40</f>
        <v>0</v>
      </c>
      <c r="AO22" s="15">
        <f>+'[62]İcmal  P1 101'!AH40</f>
        <v>0</v>
      </c>
      <c r="AP22" s="15">
        <f>+'[63]İcmal P1 102'!AH40</f>
        <v>0</v>
      </c>
      <c r="AQ22" s="15"/>
      <c r="AR22" s="13"/>
    </row>
    <row r="23" spans="1:44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78.675999999999988</v>
      </c>
      <c r="I23" s="9">
        <f t="shared" si="2"/>
        <v>39337.999999999993</v>
      </c>
      <c r="J23" s="15" cm="1">
        <f t="array" ref="J23">+HLOOKUP($A$1,+[31]İcmal!$B$19:$AG$49,ROW(A21)+1,FALSE)</f>
        <v>0</v>
      </c>
      <c r="K23" s="15" cm="1">
        <f t="array" ref="K23">+HLOOKUP($A$1,+[32]İcmal!$B$19:$AG$49,ROW(B21)+1,FALSE)</f>
        <v>0</v>
      </c>
      <c r="L23" s="15" cm="1">
        <f t="array" ref="L23">+HLOOKUP($A$1,+[33]İcmal!$B$19:$AG$49,ROW(C21)+1,FALSE)</f>
        <v>0</v>
      </c>
      <c r="M23" s="15" cm="1">
        <f t="array" ref="M23">+HLOOKUP($A$1,+[34]İcmal!$B$19:$AG$49,ROW(D21)+1,FALSE)</f>
        <v>0</v>
      </c>
      <c r="N23" s="15" cm="1">
        <f t="array" ref="N23">+HLOOKUP($A$1,+[35]İcmal!$B$19:$AG$49,ROW(A21)+1,FALSE)</f>
        <v>0</v>
      </c>
      <c r="O23" s="15" cm="1">
        <f t="array" ref="O23">+HLOOKUP($A$1,+[36]İcmal!$B$19:$AG$49,ROW(B21)+1,FALSE)</f>
        <v>0</v>
      </c>
      <c r="P23" s="15" cm="1">
        <f t="array" ref="P23">+HLOOKUP($A$1,+[37]İcmal!$B$19:$AG$49,ROW(C21)+1,FALSE)</f>
        <v>0</v>
      </c>
      <c r="Q23" s="15" cm="1">
        <f t="array" ref="Q23">+HLOOKUP($A$1,+[38]İcmal!$B$19:$AG$49,ROW(D21)+1,FALSE)</f>
        <v>0</v>
      </c>
      <c r="R23" s="15" cm="1">
        <f t="array" ref="R23">+HLOOKUP($A$1,+[39]İcmal!$B$19:$AG$49,ROW(A21)+1,FALSE)</f>
        <v>0</v>
      </c>
      <c r="S23" s="15" cm="1">
        <f t="array" ref="S23">+HLOOKUP($A$1,+[40]İcmal!$B$19:$AG$49,ROW(B21)+1,FALSE)</f>
        <v>0</v>
      </c>
      <c r="T23" s="15" cm="1">
        <f t="array" ref="T23">+HLOOKUP($A$1,+[41]İcmal!$B$19:$AG$49,ROW(C21)+1,FALSE)</f>
        <v>0</v>
      </c>
      <c r="U23" s="15" cm="1">
        <f t="array" ref="U23">+HLOOKUP($A$1,+[42]İcmal!$B$19:$AG$49,ROW(D21)+1,FALSE)</f>
        <v>0</v>
      </c>
      <c r="V23" s="15" cm="1">
        <f t="array" ref="V23">+HLOOKUP($A$1,+[43]İcmal!$B$19:$AG$49,ROW(A21)+1,FALSE)</f>
        <v>0</v>
      </c>
      <c r="W23" s="15" cm="1">
        <f t="array" ref="W23">+HLOOKUP($A$1,+[44]İcmal!$B$19:$AG$49,ROW(B21)+1,FALSE)</f>
        <v>0</v>
      </c>
      <c r="X23" s="15" cm="1">
        <f t="array" ref="X23">+HLOOKUP($A$1,+[45]İcmal!$B$19:$AG$49,ROW(C21)+1,FALSE)</f>
        <v>0</v>
      </c>
      <c r="Y23" s="15" cm="1">
        <f t="array" ref="Y23">+HLOOKUP($A$1,+[46]İcmal!$B$19:$AG$49,ROW(D21)+1,FALSE)</f>
        <v>0</v>
      </c>
      <c r="Z23" s="15" cm="1">
        <f t="array" ref="Z23">+HLOOKUP($A$1,+[47]İcmal!$B$19:$AG$49,ROW(A21)+1,FALSE)</f>
        <v>0</v>
      </c>
      <c r="AA23" s="15" cm="1">
        <f t="array" ref="AA23">+HLOOKUP($A$1,+[48]İcmal!$B$19:$AG$49,ROW(B21)+1,FALSE)</f>
        <v>0</v>
      </c>
      <c r="AB23" s="15" cm="1">
        <f t="array" ref="AB23">+HLOOKUP($A$1,+[49]İcmal!$B$19:$AG$49,ROW(A21)+1,FALSE)</f>
        <v>0</v>
      </c>
      <c r="AC23" s="15" cm="1">
        <f t="array" ref="AC23">+HLOOKUP($A$1,+[50]İcmal!$B$19:$AG$49,ROW(A21)+1,FALSE)</f>
        <v>0</v>
      </c>
      <c r="AD23" s="15" cm="1">
        <f t="array" ref="AD23">+HLOOKUP($A$1,+[51]İcmal!$B$19:$AG$49,ROW(A21)+1,FALSE)</f>
        <v>0</v>
      </c>
      <c r="AE23" s="15" cm="1">
        <f t="array" ref="AE23">+HLOOKUP($A$1,+[52]İcmal!$B$19:$AG$49,ROW(A21)+1,FALSE)</f>
        <v>0</v>
      </c>
      <c r="AF23" s="50" cm="1">
        <f t="array" ref="AF23">+HLOOKUP($A$1,+[53]İcmal!$B$19:$AG$49,ROW(A21)+1,FALSE)</f>
        <v>0</v>
      </c>
      <c r="AG23" s="15" cm="1">
        <f t="array" ref="AG23">+HLOOKUP($A$1,+[54]İcmal!$B$19:$AG$49,ROW(A21)+1,FALSE)</f>
        <v>0</v>
      </c>
      <c r="AH23" s="15" cm="1">
        <f t="array" ref="AH23">+HLOOKUP($A$1,+[55]İcmal!$B$19:$AG$49,ROW(A21)+1,FALSE)</f>
        <v>0</v>
      </c>
      <c r="AI23" s="15" cm="1">
        <f t="array" ref="AI23">+HLOOKUP($A$1,+[56]İcmal!$B$19:$AG$49,ROW(A21)+1,FALSE)</f>
        <v>0</v>
      </c>
      <c r="AJ23" s="15" cm="1">
        <f t="array" ref="AJ23">+HLOOKUP($A$1,+[57]İcmal!$B$19:$AG$49,ROW(A21)+1,FALSE)</f>
        <v>0</v>
      </c>
      <c r="AK23" s="15" cm="1">
        <f t="array" ref="AK23">+HLOOKUP($A$1,+[58]İcmal!$B$19:$AG$49,ROW(B21)+1,FALSE)</f>
        <v>0</v>
      </c>
      <c r="AL23" s="15">
        <f>+'[59]İcmal B1 101'!AH41</f>
        <v>2.0299999999999998</v>
      </c>
      <c r="AM23" s="15">
        <f>+'[60]İcmal B1 102'!AH41</f>
        <v>2.0299999999999998</v>
      </c>
      <c r="AN23" s="15">
        <f>+'[61]İcmal B1 103'!AG41</f>
        <v>0</v>
      </c>
      <c r="AO23" s="15">
        <f>+'[62]İcmal  P1 101'!AH41</f>
        <v>51.773999999999994</v>
      </c>
      <c r="AP23" s="15">
        <f>+'[63]İcmal P1 102'!AH41</f>
        <v>22.841999999999999</v>
      </c>
      <c r="AQ23" s="15"/>
      <c r="AR23" s="13"/>
    </row>
    <row r="24" spans="1:44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+HLOOKUP($A$1,+[31]İcmal!$B$19:$AG$49,ROW(A22)+1,FALSE)</f>
        <v>0</v>
      </c>
      <c r="K24" s="15" cm="1">
        <f t="array" ref="K24">+HLOOKUP($A$1,+[32]İcmal!$B$19:$AG$49,ROW(B22)+1,FALSE)</f>
        <v>0</v>
      </c>
      <c r="L24" s="15" cm="1">
        <f t="array" ref="L24">+HLOOKUP($A$1,+[33]İcmal!$B$19:$AG$49,ROW(C22)+1,FALSE)</f>
        <v>0</v>
      </c>
      <c r="M24" s="15" cm="1">
        <f t="array" ref="M24">+HLOOKUP($A$1,+[34]İcmal!$B$19:$AG$49,ROW(D22)+1,FALSE)</f>
        <v>0</v>
      </c>
      <c r="N24" s="15" cm="1">
        <f t="array" ref="N24">+HLOOKUP($A$1,+[35]İcmal!$B$19:$AG$49,ROW(A22)+1,FALSE)</f>
        <v>0</v>
      </c>
      <c r="O24" s="15" cm="1">
        <f t="array" ref="O24">+HLOOKUP($A$1,+[36]İcmal!$B$19:$AG$49,ROW(B22)+1,FALSE)</f>
        <v>0</v>
      </c>
      <c r="P24" s="15" cm="1">
        <f t="array" ref="P24">+HLOOKUP($A$1,+[37]İcmal!$B$19:$AG$49,ROW(C22)+1,FALSE)</f>
        <v>0</v>
      </c>
      <c r="Q24" s="15" cm="1">
        <f t="array" ref="Q24">+HLOOKUP($A$1,+[38]İcmal!$B$19:$AG$49,ROW(D22)+1,FALSE)</f>
        <v>0</v>
      </c>
      <c r="R24" s="15" cm="1">
        <f t="array" ref="R24">+HLOOKUP($A$1,+[39]İcmal!$B$19:$AG$49,ROW(A22)+1,FALSE)</f>
        <v>0</v>
      </c>
      <c r="S24" s="15" cm="1">
        <f t="array" ref="S24">+HLOOKUP($A$1,+[40]İcmal!$B$19:$AG$49,ROW(B22)+1,FALSE)</f>
        <v>0</v>
      </c>
      <c r="T24" s="15" cm="1">
        <f t="array" ref="T24">+HLOOKUP($A$1,+[41]İcmal!$B$19:$AG$49,ROW(C22)+1,FALSE)</f>
        <v>0</v>
      </c>
      <c r="U24" s="15" cm="1">
        <f t="array" ref="U24">+HLOOKUP($A$1,+[42]İcmal!$B$19:$AG$49,ROW(D22)+1,FALSE)</f>
        <v>0</v>
      </c>
      <c r="V24" s="15" cm="1">
        <f t="array" ref="V24">+HLOOKUP($A$1,+[43]İcmal!$B$19:$AG$49,ROW(A22)+1,FALSE)</f>
        <v>0</v>
      </c>
      <c r="W24" s="15" cm="1">
        <f t="array" ref="W24">+HLOOKUP($A$1,+[44]İcmal!$B$19:$AG$49,ROW(B22)+1,FALSE)</f>
        <v>0</v>
      </c>
      <c r="X24" s="15" cm="1">
        <f t="array" ref="X24">+HLOOKUP($A$1,+[45]İcmal!$B$19:$AG$49,ROW(C22)+1,FALSE)</f>
        <v>0</v>
      </c>
      <c r="Y24" s="15" cm="1">
        <f t="array" ref="Y24">+HLOOKUP($A$1,+[46]İcmal!$B$19:$AG$49,ROW(D22)+1,FALSE)</f>
        <v>0</v>
      </c>
      <c r="Z24" s="15" cm="1">
        <f t="array" ref="Z24">+HLOOKUP($A$1,+[47]İcmal!$B$19:$AG$49,ROW(A22)+1,FALSE)</f>
        <v>0</v>
      </c>
      <c r="AA24" s="15" cm="1">
        <f t="array" ref="AA24">+HLOOKUP($A$1,+[48]İcmal!$B$19:$AG$49,ROW(B22)+1,FALSE)</f>
        <v>0</v>
      </c>
      <c r="AB24" s="15" cm="1">
        <f t="array" ref="AB24">+HLOOKUP($A$1,+[49]İcmal!$B$19:$AG$49,ROW(A22)+1,FALSE)</f>
        <v>0</v>
      </c>
      <c r="AC24" s="15" cm="1">
        <f t="array" ref="AC24">+HLOOKUP($A$1,+[50]İcmal!$B$19:$AG$49,ROW(A22)+1,FALSE)</f>
        <v>0</v>
      </c>
      <c r="AD24" s="15" cm="1">
        <f t="array" ref="AD24">+HLOOKUP($A$1,+[51]İcmal!$B$19:$AG$49,ROW(A22)+1,FALSE)</f>
        <v>0</v>
      </c>
      <c r="AE24" s="15" cm="1">
        <f t="array" ref="AE24">+HLOOKUP($A$1,+[52]İcmal!$B$19:$AG$49,ROW(A22)+1,FALSE)</f>
        <v>0</v>
      </c>
      <c r="AF24" s="50" cm="1">
        <f t="array" ref="AF24">+HLOOKUP($A$1,+[53]İcmal!$B$19:$AG$49,ROW(A22)+1,FALSE)</f>
        <v>0</v>
      </c>
      <c r="AG24" s="15" cm="1">
        <f t="array" ref="AG24">+HLOOKUP($A$1,+[54]İcmal!$B$19:$AG$49,ROW(A22)+1,FALSE)</f>
        <v>0</v>
      </c>
      <c r="AH24" s="15" cm="1">
        <f t="array" ref="AH24">+HLOOKUP($A$1,+[55]İcmal!$B$19:$AG$49,ROW(A22)+1,FALSE)</f>
        <v>0</v>
      </c>
      <c r="AI24" s="15" cm="1">
        <f t="array" ref="AI24">+HLOOKUP($A$1,+[56]İcmal!$B$19:$AG$49,ROW(A22)+1,FALSE)</f>
        <v>0</v>
      </c>
      <c r="AJ24" s="15" cm="1">
        <f t="array" ref="AJ24">+HLOOKUP($A$1,+[57]İcmal!$B$19:$AG$49,ROW(A22)+1,FALSE)</f>
        <v>0</v>
      </c>
      <c r="AK24" s="15" cm="1">
        <f t="array" ref="AK24">+HLOOKUP($A$1,+[58]İcmal!$B$19:$AG$49,ROW(B22)+1,FALSE)</f>
        <v>0</v>
      </c>
      <c r="AL24" s="15">
        <f>+'[59]İcmal B1 101'!AH42</f>
        <v>0</v>
      </c>
      <c r="AM24" s="15">
        <f>+'[60]İcmal B1 102'!AH42</f>
        <v>0</v>
      </c>
      <c r="AN24" s="15">
        <f>+'[61]İcmal B1 103'!AG42</f>
        <v>0</v>
      </c>
      <c r="AO24" s="15">
        <f>+'[62]İcmal  P1 101'!AH42</f>
        <v>0</v>
      </c>
      <c r="AP24" s="15">
        <f>+'[63]İcmal P1 102'!AH42</f>
        <v>0</v>
      </c>
      <c r="AQ24" s="15"/>
      <c r="AR24" s="13"/>
    </row>
    <row r="25" spans="1:44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534.83317000000102</v>
      </c>
      <c r="I25" s="9">
        <f t="shared" si="2"/>
        <v>5538197.4753500102</v>
      </c>
      <c r="J25" s="15" cm="1">
        <f t="array" ref="J25">+HLOOKUP($A$1,+[31]İcmal!$B$19:$AG$49,ROW(A23)+1,FALSE)</f>
        <v>0</v>
      </c>
      <c r="K25" s="15" cm="1">
        <f t="array" ref="K25">+HLOOKUP($A$1,+[32]İcmal!$B$19:$AG$49,ROW(B23)+1,FALSE)</f>
        <v>0</v>
      </c>
      <c r="L25" s="15" cm="1">
        <f t="array" ref="L25">+HLOOKUP($A$1,+[33]İcmal!$B$19:$AG$49,ROW(C23)+1,FALSE)</f>
        <v>0</v>
      </c>
      <c r="M25" s="15" cm="1">
        <f t="array" ref="M25">+HLOOKUP($A$1,+[34]İcmal!$B$19:$AG$49,ROW(D23)+1,FALSE)</f>
        <v>0</v>
      </c>
      <c r="N25" s="15" cm="1">
        <f t="array" ref="N25">+HLOOKUP($A$1,+[35]İcmal!$B$19:$AG$49,ROW(A23)+1,FALSE)</f>
        <v>0</v>
      </c>
      <c r="O25" s="15" cm="1">
        <f t="array" ref="O25">+HLOOKUP($A$1,+[36]İcmal!$B$19:$AG$49,ROW(B23)+1,FALSE)</f>
        <v>0</v>
      </c>
      <c r="P25" s="15" cm="1">
        <f t="array" ref="P25">+HLOOKUP($A$1,+[37]İcmal!$B$19:$AG$49,ROW(C23)+1,FALSE)</f>
        <v>0</v>
      </c>
      <c r="Q25" s="15" cm="1">
        <f t="array" ref="Q25">+HLOOKUP($A$1,+[38]İcmal!$B$19:$AG$49,ROW(D23)+1,FALSE)</f>
        <v>0</v>
      </c>
      <c r="R25" s="15" cm="1">
        <f t="array" ref="R25">+HLOOKUP($A$1,+[39]İcmal!$B$19:$AG$49,ROW(A23)+1,FALSE)</f>
        <v>0</v>
      </c>
      <c r="S25" s="15" cm="1">
        <f t="array" ref="S25">+HLOOKUP($A$1,+[40]İcmal!$B$19:$AG$49,ROW(B23)+1,FALSE)</f>
        <v>0</v>
      </c>
      <c r="T25" s="15" cm="1">
        <f t="array" ref="T25">+HLOOKUP($A$1,+[41]İcmal!$B$19:$AG$49,ROW(C23)+1,FALSE)</f>
        <v>0</v>
      </c>
      <c r="U25" s="15" cm="1">
        <f t="array" ref="U25">+HLOOKUP($A$1,+[42]İcmal!$B$19:$AG$49,ROW(D23)+1,FALSE)</f>
        <v>0</v>
      </c>
      <c r="V25" s="15" cm="1">
        <f t="array" ref="V25">+HLOOKUP($A$1,+[43]İcmal!$B$19:$AG$49,ROW(A23)+1,FALSE)</f>
        <v>0</v>
      </c>
      <c r="W25" s="15" cm="1">
        <f t="array" ref="W25">+HLOOKUP($A$1,+[44]İcmal!$B$19:$AG$49,ROW(B23)+1,FALSE)</f>
        <v>0</v>
      </c>
      <c r="X25" s="15" cm="1">
        <f t="array" ref="X25">+HLOOKUP($A$1,+[45]İcmal!$B$19:$AG$49,ROW(C23)+1,FALSE)</f>
        <v>0</v>
      </c>
      <c r="Y25" s="15" cm="1">
        <f t="array" ref="Y25">+HLOOKUP($A$1,+[46]İcmal!$B$19:$AG$49,ROW(D23)+1,FALSE)</f>
        <v>0</v>
      </c>
      <c r="Z25" s="15" cm="1">
        <f t="array" ref="Z25">+HLOOKUP($A$1,+[47]İcmal!$B$19:$AG$49,ROW(A23)+1,FALSE)</f>
        <v>0</v>
      </c>
      <c r="AA25" s="15" cm="1">
        <f t="array" ref="AA25">+HLOOKUP($A$1,+[48]İcmal!$B$19:$AG$49,ROW(B23)+1,FALSE)</f>
        <v>0</v>
      </c>
      <c r="AB25" s="15" cm="1">
        <f t="array" ref="AB25">+HLOOKUP($A$1,+[49]İcmal!$B$19:$AG$49,ROW(A23)+1,FALSE)</f>
        <v>0</v>
      </c>
      <c r="AC25" s="15" cm="1">
        <f t="array" ref="AC25">+HLOOKUP($A$1,+[50]İcmal!$B$19:$AG$49,ROW(A23)+1,FALSE)</f>
        <v>0</v>
      </c>
      <c r="AD25" s="15" cm="1">
        <f t="array" ref="AD25">+HLOOKUP($A$1,+[51]İcmal!$B$19:$AG$49,ROW(A23)+1,FALSE)</f>
        <v>0</v>
      </c>
      <c r="AE25" s="15" cm="1">
        <f t="array" ref="AE25">+HLOOKUP($A$1,+[52]İcmal!$B$19:$AG$49,ROW(A23)+1,FALSE)</f>
        <v>0</v>
      </c>
      <c r="AF25" s="50" cm="1">
        <f t="array" ref="AF25">+HLOOKUP($A$1,+[53]İcmal!$B$19:$AG$49,ROW(A23)+1,FALSE)</f>
        <v>0</v>
      </c>
      <c r="AG25" s="15" cm="1">
        <f t="array" ref="AG25">+HLOOKUP($A$1,+[54]İcmal!$B$19:$AG$49,ROW(A23)+1,FALSE)</f>
        <v>0</v>
      </c>
      <c r="AH25" s="15" cm="1">
        <f t="array" ref="AH25">+HLOOKUP($A$1,+[55]İcmal!$B$19:$AG$49,ROW(A23)+1,FALSE)</f>
        <v>0</v>
      </c>
      <c r="AI25" s="15" cm="1">
        <f t="array" ref="AI25">+HLOOKUP($A$1,+[56]İcmal!$B$19:$AG$49,ROW(A23)+1,FALSE)</f>
        <v>0</v>
      </c>
      <c r="AJ25" s="15" cm="1">
        <f t="array" ref="AJ25">+HLOOKUP($A$1,+[57]İcmal!$B$19:$AG$49,ROW(A23)+1,FALSE)</f>
        <v>0</v>
      </c>
      <c r="AK25" s="15" cm="1">
        <f t="array" ref="AK25">+HLOOKUP($A$1,+[58]İcmal!$B$19:$AG$49,ROW(B23)+1,FALSE)</f>
        <v>0</v>
      </c>
      <c r="AL25" s="15">
        <f>+'[59]İcmal B1 101'!AH43</f>
        <v>5.0749999999999993</v>
      </c>
      <c r="AM25" s="15">
        <f>+'[60]İcmal B1 102'!AH43</f>
        <v>5.0749999999999993</v>
      </c>
      <c r="AN25" s="15">
        <f>+'[61]İcmal B1 103'!AG43</f>
        <v>0</v>
      </c>
      <c r="AO25" s="15">
        <f>+'[62]İcmal  P1 101'!AH43</f>
        <v>392.69448000000006</v>
      </c>
      <c r="AP25" s="15">
        <f>+'[63]İcmal P1 102'!AH43</f>
        <v>131.98869000000104</v>
      </c>
      <c r="AQ25" s="15"/>
      <c r="AR25" s="13"/>
    </row>
    <row r="26" spans="1:44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+HLOOKUP($A$1,+[31]İcmal!$B$19:$AG$49,ROW(A24)+1,FALSE)</f>
        <v>0</v>
      </c>
      <c r="K26" s="15" cm="1">
        <f t="array" ref="K26">+HLOOKUP($A$1,+[32]İcmal!$B$19:$AG$49,ROW(B24)+1,FALSE)</f>
        <v>0</v>
      </c>
      <c r="L26" s="15" cm="1">
        <f t="array" ref="L26">+HLOOKUP($A$1,+[33]İcmal!$B$19:$AG$49,ROW(C24)+1,FALSE)</f>
        <v>0</v>
      </c>
      <c r="M26" s="15" cm="1">
        <f t="array" ref="M26">+HLOOKUP($A$1,+[34]İcmal!$B$19:$AG$49,ROW(D24)+1,FALSE)</f>
        <v>0</v>
      </c>
      <c r="N26" s="15" cm="1">
        <f t="array" ref="N26">+HLOOKUP($A$1,+[35]İcmal!$B$19:$AG$49,ROW(A24)+1,FALSE)</f>
        <v>0</v>
      </c>
      <c r="O26" s="15" cm="1">
        <f t="array" ref="O26">+HLOOKUP($A$1,+[36]İcmal!$B$19:$AG$49,ROW(B24)+1,FALSE)</f>
        <v>0</v>
      </c>
      <c r="P26" s="15" cm="1">
        <f t="array" ref="P26">+HLOOKUP($A$1,+[37]İcmal!$B$19:$AG$49,ROW(C24)+1,FALSE)</f>
        <v>0</v>
      </c>
      <c r="Q26" s="15" cm="1">
        <f t="array" ref="Q26">+HLOOKUP($A$1,+[38]İcmal!$B$19:$AG$49,ROW(D24)+1,FALSE)</f>
        <v>0</v>
      </c>
      <c r="R26" s="15" cm="1">
        <f t="array" ref="R26">+HLOOKUP($A$1,+[39]İcmal!$B$19:$AG$49,ROW(A24)+1,FALSE)</f>
        <v>0</v>
      </c>
      <c r="S26" s="15" cm="1">
        <f t="array" ref="S26">+HLOOKUP($A$1,+[40]İcmal!$B$19:$AG$49,ROW(B24)+1,FALSE)</f>
        <v>0</v>
      </c>
      <c r="T26" s="15" cm="1">
        <f t="array" ref="T26">+HLOOKUP($A$1,+[41]İcmal!$B$19:$AG$49,ROW(C24)+1,FALSE)</f>
        <v>0</v>
      </c>
      <c r="U26" s="15" cm="1">
        <f t="array" ref="U26">+HLOOKUP($A$1,+[42]İcmal!$B$19:$AG$49,ROW(D24)+1,FALSE)</f>
        <v>0</v>
      </c>
      <c r="V26" s="15" cm="1">
        <f t="array" ref="V26">+HLOOKUP($A$1,+[43]İcmal!$B$19:$AG$49,ROW(A24)+1,FALSE)</f>
        <v>0</v>
      </c>
      <c r="W26" s="15" cm="1">
        <f t="array" ref="W26">+HLOOKUP($A$1,+[44]İcmal!$B$19:$AG$49,ROW(B24)+1,FALSE)</f>
        <v>0</v>
      </c>
      <c r="X26" s="15" cm="1">
        <f t="array" ref="X26">+HLOOKUP($A$1,+[45]İcmal!$B$19:$AG$49,ROW(C24)+1,FALSE)</f>
        <v>0</v>
      </c>
      <c r="Y26" s="15" cm="1">
        <f t="array" ref="Y26">+HLOOKUP($A$1,+[46]İcmal!$B$19:$AG$49,ROW(D24)+1,FALSE)</f>
        <v>0</v>
      </c>
      <c r="Z26" s="15" cm="1">
        <f t="array" ref="Z26">+HLOOKUP($A$1,+[47]İcmal!$B$19:$AG$49,ROW(A24)+1,FALSE)</f>
        <v>0</v>
      </c>
      <c r="AA26" s="15" cm="1">
        <f t="array" ref="AA26">+HLOOKUP($A$1,+[48]İcmal!$B$19:$AG$49,ROW(B24)+1,FALSE)</f>
        <v>0</v>
      </c>
      <c r="AB26" s="15" cm="1">
        <f t="array" ref="AB26">+HLOOKUP($A$1,+[49]İcmal!$B$19:$AG$49,ROW(A24)+1,FALSE)</f>
        <v>0</v>
      </c>
      <c r="AC26" s="15" cm="1">
        <f t="array" ref="AC26">+HLOOKUP($A$1,+[50]İcmal!$B$19:$AG$49,ROW(A24)+1,FALSE)</f>
        <v>0</v>
      </c>
      <c r="AD26" s="15" cm="1">
        <f t="array" ref="AD26">+HLOOKUP($A$1,+[51]İcmal!$B$19:$AG$49,ROW(A24)+1,FALSE)</f>
        <v>0</v>
      </c>
      <c r="AE26" s="15" cm="1">
        <f t="array" ref="AE26">+HLOOKUP($A$1,+[52]İcmal!$B$19:$AG$49,ROW(A24)+1,FALSE)</f>
        <v>0</v>
      </c>
      <c r="AF26" s="50" cm="1">
        <f t="array" ref="AF26">+HLOOKUP($A$1,+[53]İcmal!$B$19:$AG$49,ROW(A24)+1,FALSE)</f>
        <v>0</v>
      </c>
      <c r="AG26" s="15" cm="1">
        <f t="array" ref="AG26">+HLOOKUP($A$1,+[54]İcmal!$B$19:$AG$49,ROW(A24)+1,FALSE)</f>
        <v>0</v>
      </c>
      <c r="AH26" s="15" cm="1">
        <f t="array" ref="AH26">+HLOOKUP($A$1,+[55]İcmal!$B$19:$AG$49,ROW(A24)+1,FALSE)</f>
        <v>0</v>
      </c>
      <c r="AI26" s="15" cm="1">
        <f t="array" ref="AI26">+HLOOKUP($A$1,+[56]İcmal!$B$19:$AG$49,ROW(A24)+1,FALSE)</f>
        <v>0</v>
      </c>
      <c r="AJ26" s="15" cm="1">
        <f t="array" ref="AJ26">+HLOOKUP($A$1,+[57]İcmal!$B$19:$AG$49,ROW(A24)+1,FALSE)</f>
        <v>0</v>
      </c>
      <c r="AK26" s="15" cm="1">
        <f t="array" ref="AK26">+HLOOKUP($A$1,+[58]İcmal!$B$19:$AG$49,ROW(B24)+1,FALSE)</f>
        <v>0</v>
      </c>
      <c r="AL26" s="15">
        <f>+'[59]İcmal B1 101'!AH44</f>
        <v>0</v>
      </c>
      <c r="AM26" s="15">
        <f>+'[60]İcmal B1 102'!AH44</f>
        <v>0</v>
      </c>
      <c r="AN26" s="15">
        <f>+'[61]İcmal B1 103'!AG44</f>
        <v>0</v>
      </c>
      <c r="AO26" s="15">
        <f>+'[62]İcmal  P1 101'!AH44</f>
        <v>0</v>
      </c>
      <c r="AP26" s="15">
        <f>+'[63]İcmal P1 102'!AH44</f>
        <v>0</v>
      </c>
      <c r="AQ26" s="15"/>
      <c r="AR26" s="13"/>
    </row>
    <row r="27" spans="1:44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+HLOOKUP($A$1,+[31]İcmal!$B$19:$AG$49,ROW(A25)+1,FALSE)</f>
        <v>0</v>
      </c>
      <c r="K27" s="15" cm="1">
        <f t="array" ref="K27">+HLOOKUP($A$1,+[32]İcmal!$B$19:$AG$49,ROW(B25)+1,FALSE)</f>
        <v>0</v>
      </c>
      <c r="L27" s="15" cm="1">
        <f t="array" ref="L27">+HLOOKUP($A$1,+[33]İcmal!$B$19:$AG$49,ROW(C25)+1,FALSE)</f>
        <v>0</v>
      </c>
      <c r="M27" s="15" cm="1">
        <f t="array" ref="M27">+HLOOKUP($A$1,+[34]İcmal!$B$19:$AG$49,ROW(D25)+1,FALSE)</f>
        <v>0</v>
      </c>
      <c r="N27" s="15" cm="1">
        <f t="array" ref="N27">+HLOOKUP($A$1,+[35]İcmal!$B$19:$AG$49,ROW(A25)+1,FALSE)</f>
        <v>0</v>
      </c>
      <c r="O27" s="15" cm="1">
        <f t="array" ref="O27">+HLOOKUP($A$1,+[36]İcmal!$B$19:$AG$49,ROW(B25)+1,FALSE)</f>
        <v>0</v>
      </c>
      <c r="P27" s="15" cm="1">
        <f t="array" ref="P27">+HLOOKUP($A$1,+[37]İcmal!$B$19:$AG$49,ROW(C25)+1,FALSE)</f>
        <v>0</v>
      </c>
      <c r="Q27" s="15" cm="1">
        <f t="array" ref="Q27">+HLOOKUP($A$1,+[38]İcmal!$B$19:$AG$49,ROW(D25)+1,FALSE)</f>
        <v>0</v>
      </c>
      <c r="R27" s="15" cm="1">
        <f t="array" ref="R27">+HLOOKUP($A$1,+[39]İcmal!$B$19:$AG$49,ROW(A25)+1,FALSE)</f>
        <v>0</v>
      </c>
      <c r="S27" s="15" cm="1">
        <f t="array" ref="S27">+HLOOKUP($A$1,+[40]İcmal!$B$19:$AG$49,ROW(B25)+1,FALSE)</f>
        <v>0</v>
      </c>
      <c r="T27" s="15" cm="1">
        <f t="array" ref="T27">+HLOOKUP($A$1,+[41]İcmal!$B$19:$AG$49,ROW(C25)+1,FALSE)</f>
        <v>0</v>
      </c>
      <c r="U27" s="15" cm="1">
        <f t="array" ref="U27">+HLOOKUP($A$1,+[42]İcmal!$B$19:$AG$49,ROW(D25)+1,FALSE)</f>
        <v>0</v>
      </c>
      <c r="V27" s="15" cm="1">
        <f t="array" ref="V27">+HLOOKUP($A$1,+[43]İcmal!$B$19:$AG$49,ROW(A25)+1,FALSE)</f>
        <v>0</v>
      </c>
      <c r="W27" s="15" cm="1">
        <f t="array" ref="W27">+HLOOKUP($A$1,+[44]İcmal!$B$19:$AG$49,ROW(B25)+1,FALSE)</f>
        <v>0</v>
      </c>
      <c r="X27" s="15" cm="1">
        <f t="array" ref="X27">+HLOOKUP($A$1,+[45]İcmal!$B$19:$AG$49,ROW(C25)+1,FALSE)</f>
        <v>0</v>
      </c>
      <c r="Y27" s="15" cm="1">
        <f t="array" ref="Y27">+HLOOKUP($A$1,+[46]İcmal!$B$19:$AG$49,ROW(D25)+1,FALSE)</f>
        <v>0</v>
      </c>
      <c r="Z27" s="15" cm="1">
        <f t="array" ref="Z27">+HLOOKUP($A$1,+[47]İcmal!$B$19:$AG$49,ROW(A25)+1,FALSE)</f>
        <v>0</v>
      </c>
      <c r="AA27" s="15" cm="1">
        <f t="array" ref="AA27">+HLOOKUP($A$1,+[48]İcmal!$B$19:$AG$49,ROW(B25)+1,FALSE)</f>
        <v>0</v>
      </c>
      <c r="AB27" s="15" cm="1">
        <f t="array" ref="AB27">+HLOOKUP($A$1,+[49]İcmal!$B$19:$AG$49,ROW(A25)+1,FALSE)</f>
        <v>0</v>
      </c>
      <c r="AC27" s="15" cm="1">
        <f t="array" ref="AC27">+HLOOKUP($A$1,+[50]İcmal!$B$19:$AG$49,ROW(A25)+1,FALSE)</f>
        <v>0</v>
      </c>
      <c r="AD27" s="15" cm="1">
        <f t="array" ref="AD27">+HLOOKUP($A$1,+[51]İcmal!$B$19:$AG$49,ROW(A25)+1,FALSE)</f>
        <v>0</v>
      </c>
      <c r="AE27" s="15" cm="1">
        <f t="array" ref="AE27">+HLOOKUP($A$1,+[52]İcmal!$B$19:$AG$49,ROW(A25)+1,FALSE)</f>
        <v>0</v>
      </c>
      <c r="AF27" s="50" cm="1">
        <f t="array" ref="AF27">+HLOOKUP($A$1,+[53]İcmal!$B$19:$AG$49,ROW(A25)+1,FALSE)</f>
        <v>0</v>
      </c>
      <c r="AG27" s="15" cm="1">
        <f t="array" ref="AG27">+HLOOKUP($A$1,+[54]İcmal!$B$19:$AG$49,ROW(A25)+1,FALSE)</f>
        <v>0</v>
      </c>
      <c r="AH27" s="15" cm="1">
        <f t="array" ref="AH27">+HLOOKUP($A$1,+[55]İcmal!$B$19:$AG$49,ROW(A25)+1,FALSE)</f>
        <v>0</v>
      </c>
      <c r="AI27" s="15" cm="1">
        <f t="array" ref="AI27">+HLOOKUP($A$1,+[56]İcmal!$B$19:$AG$49,ROW(A25)+1,FALSE)</f>
        <v>0</v>
      </c>
      <c r="AJ27" s="15" cm="1">
        <f t="array" ref="AJ27">+HLOOKUP($A$1,+[57]İcmal!$B$19:$AG$49,ROW(A25)+1,FALSE)</f>
        <v>0</v>
      </c>
      <c r="AK27" s="15" cm="1">
        <f t="array" ref="AK27">+HLOOKUP($A$1,+[58]İcmal!$B$19:$AG$49,ROW(B25)+1,FALSE)</f>
        <v>0</v>
      </c>
      <c r="AL27" s="15">
        <f>+'[59]İcmal B1 101'!AH45</f>
        <v>0</v>
      </c>
      <c r="AM27" s="15">
        <f>+'[60]İcmal B1 102'!AH45</f>
        <v>0</v>
      </c>
      <c r="AN27" s="15">
        <f>+'[61]İcmal B1 103'!AG45</f>
        <v>0</v>
      </c>
      <c r="AO27" s="15">
        <f>+'[62]İcmal  P1 101'!AH45</f>
        <v>0</v>
      </c>
      <c r="AP27" s="15">
        <f>+'[63]İcmal P1 102'!AH45</f>
        <v>0</v>
      </c>
      <c r="AQ27" s="15"/>
      <c r="AR27" s="13"/>
    </row>
    <row r="28" spans="1:44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1.2989999999999999</v>
      </c>
      <c r="I28" s="9">
        <f t="shared" si="2"/>
        <v>60078.75</v>
      </c>
      <c r="J28" s="15" cm="1">
        <f t="array" ref="J28">+HLOOKUP($A$1,+[31]İcmal!$B$19:$AG$49,ROW(A26)+1,FALSE)</f>
        <v>0</v>
      </c>
      <c r="K28" s="15" cm="1">
        <f t="array" ref="K28">+HLOOKUP($A$1,+[32]İcmal!$B$19:$AG$49,ROW(B26)+1,FALSE)</f>
        <v>0</v>
      </c>
      <c r="L28" s="15" cm="1">
        <f t="array" ref="L28">+HLOOKUP($A$1,+[33]İcmal!$B$19:$AG$49,ROW(C26)+1,FALSE)</f>
        <v>0</v>
      </c>
      <c r="M28" s="15" cm="1">
        <f t="array" ref="M28">+HLOOKUP($A$1,+[34]İcmal!$B$19:$AG$49,ROW(D26)+1,FALSE)</f>
        <v>0</v>
      </c>
      <c r="N28" s="15" cm="1">
        <f t="array" ref="N28">+HLOOKUP($A$1,+[35]İcmal!$B$19:$AG$49,ROW(A26)+1,FALSE)</f>
        <v>0</v>
      </c>
      <c r="O28" s="15" cm="1">
        <f t="array" ref="O28">+HLOOKUP($A$1,+[36]İcmal!$B$19:$AG$49,ROW(B26)+1,FALSE)</f>
        <v>0</v>
      </c>
      <c r="P28" s="15" cm="1">
        <f t="array" ref="P28">+HLOOKUP($A$1,+[37]İcmal!$B$19:$AG$49,ROW(C26)+1,FALSE)</f>
        <v>0.84800000000000009</v>
      </c>
      <c r="Q28" s="15" cm="1">
        <f t="array" ref="Q28">+HLOOKUP($A$1,+[38]İcmal!$B$19:$AG$49,ROW(D26)+1,FALSE)</f>
        <v>0.28899999999999998</v>
      </c>
      <c r="R28" s="15" cm="1">
        <f t="array" ref="R28">+HLOOKUP($A$1,+[39]İcmal!$B$19:$AG$49,ROW(A26)+1,FALSE)</f>
        <v>0</v>
      </c>
      <c r="S28" s="15" cm="1">
        <f t="array" ref="S28">+HLOOKUP($A$1,+[40]İcmal!$B$19:$AG$49,ROW(B26)+1,FALSE)</f>
        <v>0</v>
      </c>
      <c r="T28" s="15" cm="1">
        <f t="array" ref="T28">+HLOOKUP($A$1,+[41]İcmal!$B$19:$AG$49,ROW(C26)+1,FALSE)</f>
        <v>0</v>
      </c>
      <c r="U28" s="15" cm="1">
        <f t="array" ref="U28">+HLOOKUP($A$1,+[42]İcmal!$B$19:$AG$49,ROW(D26)+1,FALSE)</f>
        <v>0</v>
      </c>
      <c r="V28" s="15" cm="1">
        <f t="array" ref="V28">+HLOOKUP($A$1,+[43]İcmal!$B$19:$AG$49,ROW(A26)+1,FALSE)</f>
        <v>0</v>
      </c>
      <c r="W28" s="15" cm="1">
        <f t="array" ref="W28">+HLOOKUP($A$1,+[44]İcmal!$B$19:$AG$49,ROW(B26)+1,FALSE)</f>
        <v>0</v>
      </c>
      <c r="X28" s="15" cm="1">
        <f t="array" ref="X28">+HLOOKUP($A$1,+[45]İcmal!$B$19:$AG$49,ROW(C26)+1,FALSE)</f>
        <v>0.121</v>
      </c>
      <c r="Y28" s="15" cm="1">
        <f t="array" ref="Y28">+HLOOKUP($A$1,+[46]İcmal!$B$19:$AG$49,ROW(D26)+1,FALSE)</f>
        <v>4.1000000000000002E-2</v>
      </c>
      <c r="Z28" s="15" cm="1">
        <f t="array" ref="Z28">+HLOOKUP($A$1,+[47]İcmal!$B$19:$AG$49,ROW(A26)+1,FALSE)</f>
        <v>0</v>
      </c>
      <c r="AA28" s="15" cm="1">
        <f t="array" ref="AA28">+HLOOKUP($A$1,+[48]İcmal!$B$19:$AG$49,ROW(B26)+1,FALSE)</f>
        <v>0</v>
      </c>
      <c r="AB28" s="15" cm="1">
        <f t="array" ref="AB28">+HLOOKUP($A$1,+[49]İcmal!$B$19:$AG$49,ROW(A26)+1,FALSE)</f>
        <v>0</v>
      </c>
      <c r="AC28" s="15" cm="1">
        <f t="array" ref="AC28">+HLOOKUP($A$1,+[50]İcmal!$B$19:$AG$49,ROW(A26)+1,FALSE)</f>
        <v>0</v>
      </c>
      <c r="AD28" s="15" cm="1">
        <f t="array" ref="AD28">+HLOOKUP($A$1,+[51]İcmal!$B$19:$AG$49,ROW(A26)+1,FALSE)</f>
        <v>0</v>
      </c>
      <c r="AE28" s="15" cm="1">
        <f t="array" ref="AE28">+HLOOKUP($A$1,+[52]İcmal!$B$19:$AG$49,ROW(A26)+1,FALSE)</f>
        <v>0</v>
      </c>
      <c r="AF28" s="50" cm="1">
        <f t="array" ref="AF28">+HLOOKUP($A$1,+[53]İcmal!$B$19:$AG$49,ROW(A26)+1,FALSE)</f>
        <v>0</v>
      </c>
      <c r="AG28" s="15" cm="1">
        <f t="array" ref="AG28">+HLOOKUP($A$1,+[54]İcmal!$B$19:$AG$49,ROW(A26)+1,FALSE)</f>
        <v>0</v>
      </c>
      <c r="AH28" s="15" cm="1">
        <f t="array" ref="AH28">+HLOOKUP($A$1,+[55]İcmal!$B$19:$AG$49,ROW(A26)+1,FALSE)</f>
        <v>0</v>
      </c>
      <c r="AI28" s="15" cm="1">
        <f t="array" ref="AI28">+HLOOKUP($A$1,+[56]İcmal!$B$19:$AG$49,ROW(A26)+1,FALSE)</f>
        <v>0</v>
      </c>
      <c r="AJ28" s="15" cm="1">
        <f t="array" ref="AJ28">+HLOOKUP($A$1,+[57]İcmal!$B$19:$AG$49,ROW(A26)+1,FALSE)</f>
        <v>0</v>
      </c>
      <c r="AK28" s="15" cm="1">
        <f t="array" ref="AK28">+HLOOKUP($A$1,+[58]İcmal!$B$19:$AG$49,ROW(B26)+1,FALSE)</f>
        <v>0</v>
      </c>
      <c r="AL28" s="15">
        <f>+'[59]İcmal B1 101'!AH46</f>
        <v>0</v>
      </c>
      <c r="AM28" s="15">
        <f>+'[60]İcmal B1 102'!AH46</f>
        <v>0</v>
      </c>
      <c r="AN28" s="15">
        <f>+'[61]İcmal B1 103'!AG46</f>
        <v>0</v>
      </c>
      <c r="AO28" s="15">
        <f>+'[62]İcmal  P1 101'!AH46</f>
        <v>0</v>
      </c>
      <c r="AP28" s="15">
        <f>+'[63]İcmal P1 102'!AH46</f>
        <v>0</v>
      </c>
      <c r="AQ28" s="15"/>
      <c r="AR28" s="13"/>
    </row>
    <row r="29" spans="1:44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118.73699999999998</v>
      </c>
      <c r="I29" s="9">
        <f t="shared" si="2"/>
        <v>10983172.499999998</v>
      </c>
      <c r="J29" s="15" cm="1">
        <f t="array" ref="J29">+HLOOKUP($A$1,+[31]İcmal!$B$19:$AG$49,ROW(A27)+1,FALSE)</f>
        <v>0</v>
      </c>
      <c r="K29" s="15" cm="1">
        <f t="array" ref="K29">+HLOOKUP($A$1,+[32]İcmal!$B$19:$AG$49,ROW(B27)+1,FALSE)</f>
        <v>0</v>
      </c>
      <c r="L29" s="15" cm="1">
        <f t="array" ref="L29">+HLOOKUP($A$1,+[33]İcmal!$B$19:$AG$49,ROW(C27)+1,FALSE)</f>
        <v>0</v>
      </c>
      <c r="M29" s="15" cm="1">
        <f t="array" ref="M29">+HLOOKUP($A$1,+[34]İcmal!$B$19:$AG$49,ROW(D27)+1,FALSE)</f>
        <v>0</v>
      </c>
      <c r="N29" s="15" cm="1">
        <f t="array" ref="N29">+HLOOKUP($A$1,+[35]İcmal!$B$19:$AG$49,ROW(A27)+1,FALSE)</f>
        <v>0</v>
      </c>
      <c r="O29" s="15" cm="1">
        <f t="array" ref="O29">+HLOOKUP($A$1,+[36]İcmal!$B$19:$AG$49,ROW(B27)+1,FALSE)</f>
        <v>0</v>
      </c>
      <c r="P29" s="15" cm="1">
        <f t="array" ref="P29">+HLOOKUP($A$1,+[37]İcmal!$B$19:$AG$49,ROW(C27)+1,FALSE)</f>
        <v>0</v>
      </c>
      <c r="Q29" s="15" cm="1">
        <f t="array" ref="Q29">+HLOOKUP($A$1,+[38]İcmal!$B$19:$AG$49,ROW(D27)+1,FALSE)</f>
        <v>0</v>
      </c>
      <c r="R29" s="15" cm="1">
        <f t="array" ref="R29">+HLOOKUP($A$1,+[39]İcmal!$B$19:$AG$49,ROW(A27)+1,FALSE)</f>
        <v>0</v>
      </c>
      <c r="S29" s="15" cm="1">
        <f t="array" ref="S29">+HLOOKUP($A$1,+[40]İcmal!$B$19:$AG$49,ROW(B27)+1,FALSE)</f>
        <v>0</v>
      </c>
      <c r="T29" s="15" cm="1">
        <f t="array" ref="T29">+HLOOKUP($A$1,+[41]İcmal!$B$19:$AG$49,ROW(C27)+1,FALSE)</f>
        <v>0</v>
      </c>
      <c r="U29" s="15" cm="1">
        <f t="array" ref="U29">+HLOOKUP($A$1,+[42]İcmal!$B$19:$AG$49,ROW(D27)+1,FALSE)</f>
        <v>0</v>
      </c>
      <c r="V29" s="15" cm="1">
        <f t="array" ref="V29">+HLOOKUP($A$1,+[43]İcmal!$B$19:$AG$49,ROW(A27)+1,FALSE)</f>
        <v>0</v>
      </c>
      <c r="W29" s="15" cm="1">
        <f t="array" ref="W29">+HLOOKUP($A$1,+[44]İcmal!$B$19:$AG$49,ROW(B27)+1,FALSE)</f>
        <v>0</v>
      </c>
      <c r="X29" s="15" cm="1">
        <f t="array" ref="X29">+HLOOKUP($A$1,+[45]İcmal!$B$19:$AG$49,ROW(C27)+1,FALSE)</f>
        <v>0</v>
      </c>
      <c r="Y29" s="15" cm="1">
        <f t="array" ref="Y29">+HLOOKUP($A$1,+[46]İcmal!$B$19:$AG$49,ROW(D27)+1,FALSE)</f>
        <v>0</v>
      </c>
      <c r="Z29" s="15" cm="1">
        <f t="array" ref="Z29">+HLOOKUP($A$1,+[47]İcmal!$B$19:$AG$49,ROW(A27)+1,FALSE)</f>
        <v>0</v>
      </c>
      <c r="AA29" s="15" cm="1">
        <f t="array" ref="AA29">+HLOOKUP($A$1,+[48]İcmal!$B$19:$AG$49,ROW(B27)+1,FALSE)</f>
        <v>0</v>
      </c>
      <c r="AB29" s="15" cm="1">
        <f t="array" ref="AB29">+HLOOKUP($A$1,+[49]İcmal!$B$19:$AG$49,ROW(A27)+1,FALSE)</f>
        <v>0</v>
      </c>
      <c r="AC29" s="15" cm="1">
        <f t="array" ref="AC29">+HLOOKUP($A$1,+[50]İcmal!$B$19:$AG$49,ROW(A27)+1,FALSE)</f>
        <v>0</v>
      </c>
      <c r="AD29" s="15" cm="1">
        <f t="array" ref="AD29">+HLOOKUP($A$1,+[51]İcmal!$B$19:$AG$49,ROW(A27)+1,FALSE)</f>
        <v>0</v>
      </c>
      <c r="AE29" s="15" cm="1">
        <f t="array" ref="AE29">+HLOOKUP($A$1,+[52]İcmal!$B$19:$AG$49,ROW(A27)+1,FALSE)</f>
        <v>0</v>
      </c>
      <c r="AF29" s="50" cm="1">
        <f t="array" ref="AF29">+HLOOKUP($A$1,+[53]İcmal!$B$19:$AG$49,ROW(A27)+1,FALSE)</f>
        <v>0</v>
      </c>
      <c r="AG29" s="15" cm="1">
        <f t="array" ref="AG29">+HLOOKUP($A$1,+[54]İcmal!$B$19:$AG$49,ROW(A27)+1,FALSE)</f>
        <v>0</v>
      </c>
      <c r="AH29" s="15" cm="1">
        <f t="array" ref="AH29">+HLOOKUP($A$1,+[55]İcmal!$B$19:$AG$49,ROW(A27)+1,FALSE)</f>
        <v>0</v>
      </c>
      <c r="AI29" s="15" cm="1">
        <f t="array" ref="AI29">+HLOOKUP($A$1,+[56]İcmal!$B$19:$AG$49,ROW(A27)+1,FALSE)</f>
        <v>0</v>
      </c>
      <c r="AJ29" s="15" cm="1">
        <f t="array" ref="AJ29">+HLOOKUP($A$1,+[57]İcmal!$B$19:$AG$49,ROW(A27)+1,FALSE)</f>
        <v>0</v>
      </c>
      <c r="AK29" s="15" cm="1">
        <f t="array" ref="AK29">+HLOOKUP($A$1,+[58]İcmal!$B$19:$AG$49,ROW(B27)+1,FALSE)</f>
        <v>0</v>
      </c>
      <c r="AL29" s="15">
        <f>+'[59]İcmal B1 101'!AH47</f>
        <v>0.81799999999999995</v>
      </c>
      <c r="AM29" s="15">
        <f>+'[60]İcmal B1 102'!AH47</f>
        <v>0.81799999999999995</v>
      </c>
      <c r="AN29" s="15">
        <f>+'[61]İcmal B1 103'!AG47</f>
        <v>0</v>
      </c>
      <c r="AO29" s="15">
        <f>+'[62]İcmal  P1 101'!AH47</f>
        <v>89.521999999999991</v>
      </c>
      <c r="AP29" s="15">
        <f>+'[63]İcmal P1 102'!AH47</f>
        <v>27.578999999999997</v>
      </c>
      <c r="AQ29" s="15"/>
      <c r="AR29" s="13"/>
    </row>
    <row r="30" spans="1:44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15.986000000000001</v>
      </c>
      <c r="I30" s="9">
        <f t="shared" si="2"/>
        <v>1555965.338</v>
      </c>
      <c r="J30" s="15" cm="1">
        <f t="array" ref="J30">+HLOOKUP($A$1,+[31]İcmal!$B$19:$AG$49,ROW(A28)+1,FALSE)</f>
        <v>0</v>
      </c>
      <c r="K30" s="15" cm="1">
        <f t="array" ref="K30">+HLOOKUP($A$1,+[32]İcmal!$B$19:$AG$49,ROW(B28)+1,FALSE)</f>
        <v>0</v>
      </c>
      <c r="L30" s="15" cm="1">
        <f t="array" ref="L30">+HLOOKUP($A$1,+[33]İcmal!$B$19:$AG$49,ROW(C28)+1,FALSE)</f>
        <v>1.3069999999999986</v>
      </c>
      <c r="M30" s="15" cm="1">
        <f t="array" ref="M30">+HLOOKUP($A$1,+[34]İcmal!$B$19:$AG$49,ROW(D28)+1,FALSE)</f>
        <v>1.3079999999999998</v>
      </c>
      <c r="N30" s="15" cm="1">
        <f t="array" ref="N30">+HLOOKUP($A$1,+[35]İcmal!$B$19:$AG$49,ROW(A28)+1,FALSE)</f>
        <v>0</v>
      </c>
      <c r="O30" s="15" cm="1">
        <f t="array" ref="O30">+HLOOKUP($A$1,+[36]İcmal!$B$19:$AG$49,ROW(B28)+1,FALSE)</f>
        <v>0</v>
      </c>
      <c r="P30" s="15" cm="1">
        <f t="array" ref="P30">+HLOOKUP($A$1,+[37]İcmal!$B$19:$AG$49,ROW(C28)+1,FALSE)</f>
        <v>6.0790000000000006</v>
      </c>
      <c r="Q30" s="15" cm="1">
        <f t="array" ref="Q30">+HLOOKUP($A$1,+[38]İcmal!$B$19:$AG$49,ROW(D28)+1,FALSE)</f>
        <v>6.0250000000000004</v>
      </c>
      <c r="R30" s="15" cm="1">
        <f t="array" ref="R30">+HLOOKUP($A$1,+[39]İcmal!$B$19:$AG$49,ROW(A28)+1,FALSE)</f>
        <v>0</v>
      </c>
      <c r="S30" s="15" cm="1">
        <f t="array" ref="S30">+HLOOKUP($A$1,+[40]İcmal!$B$19:$AG$49,ROW(B28)+1,FALSE)</f>
        <v>0</v>
      </c>
      <c r="T30" s="15" cm="1">
        <f t="array" ref="T30">+HLOOKUP($A$1,+[41]İcmal!$B$19:$AG$49,ROW(C28)+1,FALSE)</f>
        <v>0</v>
      </c>
      <c r="U30" s="15" cm="1">
        <f t="array" ref="U30">+HLOOKUP($A$1,+[42]İcmal!$B$19:$AG$49,ROW(D28)+1,FALSE)</f>
        <v>0</v>
      </c>
      <c r="V30" s="15" cm="1">
        <f t="array" ref="V30">+HLOOKUP($A$1,+[43]İcmal!$B$19:$AG$49,ROW(A28)+1,FALSE)</f>
        <v>0</v>
      </c>
      <c r="W30" s="15" cm="1">
        <f t="array" ref="W30">+HLOOKUP($A$1,+[44]İcmal!$B$19:$AG$49,ROW(B28)+1,FALSE)</f>
        <v>0</v>
      </c>
      <c r="X30" s="15" cm="1">
        <f t="array" ref="X30">+HLOOKUP($A$1,+[45]İcmal!$B$19:$AG$49,ROW(C28)+1,FALSE)</f>
        <v>0.6330000000000009</v>
      </c>
      <c r="Y30" s="15" cm="1">
        <f t="array" ref="Y30">+HLOOKUP($A$1,+[46]İcmal!$B$19:$AG$49,ROW(D28)+1,FALSE)</f>
        <v>0.63400000000000034</v>
      </c>
      <c r="Z30" s="15" cm="1">
        <f t="array" ref="Z30">+HLOOKUP($A$1,+[47]İcmal!$B$19:$AG$49,ROW(A28)+1,FALSE)</f>
        <v>0</v>
      </c>
      <c r="AA30" s="15" cm="1">
        <f t="array" ref="AA30">+HLOOKUP($A$1,+[48]İcmal!$B$19:$AG$49,ROW(B28)+1,FALSE)</f>
        <v>0</v>
      </c>
      <c r="AB30" s="15" cm="1">
        <f t="array" ref="AB30">+HLOOKUP($A$1,+[49]İcmal!$B$19:$AG$49,ROW(A28)+1,FALSE)</f>
        <v>0</v>
      </c>
      <c r="AC30" s="15" cm="1">
        <f t="array" ref="AC30">+HLOOKUP($A$1,+[50]İcmal!$B$19:$AG$49,ROW(A28)+1,FALSE)</f>
        <v>0</v>
      </c>
      <c r="AD30" s="15" cm="1">
        <f t="array" ref="AD30">+HLOOKUP($A$1,+[51]İcmal!$B$19:$AG$49,ROW(A28)+1,FALSE)</f>
        <v>0</v>
      </c>
      <c r="AE30" s="15" cm="1">
        <f t="array" ref="AE30">+HLOOKUP($A$1,+[52]İcmal!$B$19:$AG$49,ROW(A28)+1,FALSE)</f>
        <v>0</v>
      </c>
      <c r="AF30" s="50" cm="1">
        <f t="array" ref="AF30">+HLOOKUP($A$1,+[53]İcmal!$B$19:$AG$49,ROW(A28)+1,FALSE)</f>
        <v>0</v>
      </c>
      <c r="AG30" s="15" cm="1">
        <f t="array" ref="AG30">+HLOOKUP($A$1,+[54]İcmal!$B$19:$AG$49,ROW(A28)+1,FALSE)</f>
        <v>0</v>
      </c>
      <c r="AH30" s="15" cm="1">
        <f t="array" ref="AH30">+HLOOKUP($A$1,+[55]İcmal!$B$19:$AG$49,ROW(A28)+1,FALSE)</f>
        <v>0</v>
      </c>
      <c r="AI30" s="15" cm="1">
        <f t="array" ref="AI30">+HLOOKUP($A$1,+[56]İcmal!$B$19:$AG$49,ROW(A28)+1,FALSE)</f>
        <v>0</v>
      </c>
      <c r="AJ30" s="15" cm="1">
        <f t="array" ref="AJ30">+HLOOKUP($A$1,+[57]İcmal!$B$19:$AG$49,ROW(A28)+1,FALSE)</f>
        <v>0</v>
      </c>
      <c r="AK30" s="15" cm="1">
        <f t="array" ref="AK30">+HLOOKUP($A$1,+[58]İcmal!$B$19:$AG$49,ROW(B28)+1,FALSE)</f>
        <v>0</v>
      </c>
      <c r="AL30" s="15">
        <f>+'[59]İcmal B1 101'!AH48</f>
        <v>0</v>
      </c>
      <c r="AM30" s="15">
        <f>+'[60]İcmal B1 102'!AH48</f>
        <v>0</v>
      </c>
      <c r="AN30" s="15">
        <f>+'[61]İcmal B1 103'!AG48</f>
        <v>0</v>
      </c>
      <c r="AO30" s="15">
        <f>+'[62]İcmal  P1 101'!AH48</f>
        <v>0</v>
      </c>
      <c r="AP30" s="15">
        <f>+'[63]İcmal P1 102'!AH48</f>
        <v>0</v>
      </c>
      <c r="AQ30" s="15"/>
      <c r="AR30" s="13"/>
    </row>
    <row r="31" spans="1:44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+HLOOKUP($A$1,+[31]İcmal!$B$19:$AG$49,ROW(A29)+1,FALSE)</f>
        <v>0</v>
      </c>
      <c r="K31" s="15" cm="1">
        <f t="array" ref="K31">+HLOOKUP($A$1,+[32]İcmal!$B$19:$AG$49,ROW(B29)+1,FALSE)</f>
        <v>0</v>
      </c>
      <c r="L31" s="15" cm="1">
        <f t="array" ref="L31">+HLOOKUP($A$1,+[33]İcmal!$B$19:$AG$49,ROW(C29)+1,FALSE)</f>
        <v>0</v>
      </c>
      <c r="M31" s="15" cm="1">
        <f t="array" ref="M31">+HLOOKUP($A$1,+[34]İcmal!$B$19:$AG$49,ROW(D29)+1,FALSE)</f>
        <v>0</v>
      </c>
      <c r="N31" s="15" cm="1">
        <f t="array" ref="N31">+HLOOKUP($A$1,+[35]İcmal!$B$19:$AG$49,ROW(A29)+1,FALSE)</f>
        <v>0</v>
      </c>
      <c r="O31" s="15" cm="1">
        <f t="array" ref="O31">+HLOOKUP($A$1,+[36]İcmal!$B$19:$AG$49,ROW(B29)+1,FALSE)</f>
        <v>0</v>
      </c>
      <c r="P31" s="15" cm="1">
        <f t="array" ref="P31">+HLOOKUP($A$1,+[37]İcmal!$B$19:$AG$49,ROW(C29)+1,FALSE)</f>
        <v>0</v>
      </c>
      <c r="Q31" s="15" cm="1">
        <f t="array" ref="Q31">+HLOOKUP($A$1,+[38]İcmal!$B$19:$AG$49,ROW(D29)+1,FALSE)</f>
        <v>0</v>
      </c>
      <c r="R31" s="15" cm="1">
        <f t="array" ref="R31">+HLOOKUP($A$1,+[39]İcmal!$B$19:$AG$49,ROW(A29)+1,FALSE)</f>
        <v>0</v>
      </c>
      <c r="S31" s="15" cm="1">
        <f t="array" ref="S31">+HLOOKUP($A$1,+[40]İcmal!$B$19:$AG$49,ROW(B29)+1,FALSE)</f>
        <v>0</v>
      </c>
      <c r="T31" s="15" cm="1">
        <f t="array" ref="T31">+HLOOKUP($A$1,+[41]İcmal!$B$19:$AG$49,ROW(C29)+1,FALSE)</f>
        <v>0</v>
      </c>
      <c r="U31" s="15" cm="1">
        <f t="array" ref="U31">+HLOOKUP($A$1,+[42]İcmal!$B$19:$AG$49,ROW(D29)+1,FALSE)</f>
        <v>0</v>
      </c>
      <c r="V31" s="15" cm="1">
        <f t="array" ref="V31">+HLOOKUP($A$1,+[43]İcmal!$B$19:$AG$49,ROW(A29)+1,FALSE)</f>
        <v>0</v>
      </c>
      <c r="W31" s="15" cm="1">
        <f t="array" ref="W31">+HLOOKUP($A$1,+[44]İcmal!$B$19:$AG$49,ROW(B29)+1,FALSE)</f>
        <v>0</v>
      </c>
      <c r="X31" s="15" cm="1">
        <f t="array" ref="X31">+HLOOKUP($A$1,+[45]İcmal!$B$19:$AG$49,ROW(C29)+1,FALSE)</f>
        <v>0</v>
      </c>
      <c r="Y31" s="15" cm="1">
        <f t="array" ref="Y31">+HLOOKUP($A$1,+[46]İcmal!$B$19:$AG$49,ROW(D29)+1,FALSE)</f>
        <v>0</v>
      </c>
      <c r="Z31" s="15" cm="1">
        <f t="array" ref="Z31">+HLOOKUP($A$1,+[47]İcmal!$B$19:$AG$49,ROW(A29)+1,FALSE)</f>
        <v>0</v>
      </c>
      <c r="AA31" s="15" cm="1">
        <f t="array" ref="AA31">+HLOOKUP($A$1,+[48]İcmal!$B$19:$AG$49,ROW(B29)+1,FALSE)</f>
        <v>0</v>
      </c>
      <c r="AB31" s="15" cm="1">
        <f t="array" ref="AB31">+HLOOKUP($A$1,+[49]İcmal!$B$19:$AG$49,ROW(A29)+1,FALSE)</f>
        <v>0</v>
      </c>
      <c r="AC31" s="15" cm="1">
        <f t="array" ref="AC31">+HLOOKUP($A$1,+[50]İcmal!$B$19:$AG$49,ROW(A29)+1,FALSE)</f>
        <v>0</v>
      </c>
      <c r="AD31" s="15" cm="1">
        <f t="array" ref="AD31">+HLOOKUP($A$1,+[51]İcmal!$B$19:$AG$49,ROW(A29)+1,FALSE)</f>
        <v>0</v>
      </c>
      <c r="AE31" s="15" cm="1">
        <f t="array" ref="AE31">+HLOOKUP($A$1,+[52]İcmal!$B$19:$AG$49,ROW(A29)+1,FALSE)</f>
        <v>0</v>
      </c>
      <c r="AF31" s="50" cm="1">
        <f t="array" ref="AF31">+HLOOKUP($A$1,+[53]İcmal!$B$19:$AG$49,ROW(A29)+1,FALSE)</f>
        <v>0</v>
      </c>
      <c r="AG31" s="15" cm="1">
        <f t="array" ref="AG31">+HLOOKUP($A$1,+[54]İcmal!$B$19:$AG$49,ROW(A29)+1,FALSE)</f>
        <v>0</v>
      </c>
      <c r="AH31" s="15" cm="1">
        <f t="array" ref="AH31">+HLOOKUP($A$1,+[55]İcmal!$B$19:$AG$49,ROW(A29)+1,FALSE)</f>
        <v>0</v>
      </c>
      <c r="AI31" s="15" cm="1">
        <f t="array" ref="AI31">+HLOOKUP($A$1,+[56]İcmal!$B$19:$AG$49,ROW(A29)+1,FALSE)</f>
        <v>0</v>
      </c>
      <c r="AJ31" s="15" cm="1">
        <f t="array" ref="AJ31">+HLOOKUP($A$1,+[57]İcmal!$B$19:$AG$49,ROW(A29)+1,FALSE)</f>
        <v>0</v>
      </c>
      <c r="AK31" s="15" cm="1">
        <f t="array" ref="AK31">+HLOOKUP($A$1,+[58]İcmal!$B$19:$AG$49,ROW(B29)+1,FALSE)</f>
        <v>0</v>
      </c>
      <c r="AL31" s="15">
        <f>+'[59]İcmal B1 101'!AH49</f>
        <v>0</v>
      </c>
      <c r="AM31" s="15">
        <f>+'[60]İcmal B1 102'!AH49</f>
        <v>0</v>
      </c>
      <c r="AN31" s="15">
        <f>+'[61]İcmal B1 103'!AG49</f>
        <v>0</v>
      </c>
      <c r="AO31" s="15">
        <f>+'[62]İcmal  P1 101'!AH49</f>
        <v>0</v>
      </c>
      <c r="AP31" s="15">
        <f>+'[63]İcmal P1 102'!AH49</f>
        <v>0</v>
      </c>
      <c r="AQ31" s="15"/>
      <c r="AR31" s="13"/>
    </row>
    <row r="32" spans="1:44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+HLOOKUP($A$1,+[31]İcmal!$B$19:$AG$49,ROW(A30)+1,FALSE)</f>
        <v>0</v>
      </c>
      <c r="K32" s="15" cm="1">
        <f t="array" ref="K32">+HLOOKUP($A$1,+[32]İcmal!$B$19:$AG$49,ROW(B30)+1,FALSE)</f>
        <v>0</v>
      </c>
      <c r="L32" s="15" cm="1">
        <f t="array" ref="L32">+HLOOKUP($A$1,+[33]İcmal!$B$19:$AG$49,ROW(C30)+1,FALSE)</f>
        <v>0</v>
      </c>
      <c r="M32" s="15" cm="1">
        <f t="array" ref="M32">+HLOOKUP($A$1,+[34]İcmal!$B$19:$AG$49,ROW(D30)+1,FALSE)</f>
        <v>0</v>
      </c>
      <c r="N32" s="15" cm="1">
        <f t="array" ref="N32">+HLOOKUP($A$1,+[35]İcmal!$B$19:$AG$49,ROW(A30)+1,FALSE)</f>
        <v>0</v>
      </c>
      <c r="O32" s="15" cm="1">
        <f t="array" ref="O32">+HLOOKUP($A$1,+[36]İcmal!$B$19:$AG$49,ROW(B30)+1,FALSE)</f>
        <v>0</v>
      </c>
      <c r="P32" s="15" cm="1">
        <f t="array" ref="P32">+HLOOKUP($A$1,+[37]İcmal!$B$19:$AG$49,ROW(C30)+1,FALSE)</f>
        <v>0</v>
      </c>
      <c r="Q32" s="15" cm="1">
        <f t="array" ref="Q32">+HLOOKUP($A$1,+[38]İcmal!$B$19:$AG$49,ROW(D30)+1,FALSE)</f>
        <v>0</v>
      </c>
      <c r="R32" s="15" cm="1">
        <f t="array" ref="R32">+HLOOKUP($A$1,+[39]İcmal!$B$19:$AG$49,ROW(A30)+1,FALSE)</f>
        <v>0</v>
      </c>
      <c r="S32" s="15" cm="1">
        <f t="array" ref="S32">+HLOOKUP($A$1,+[40]İcmal!$B$19:$AG$49,ROW(B30)+1,FALSE)</f>
        <v>0</v>
      </c>
      <c r="T32" s="15" cm="1">
        <f t="array" ref="T32">+HLOOKUP($A$1,+[41]İcmal!$B$19:$AG$49,ROW(C30)+1,FALSE)</f>
        <v>0</v>
      </c>
      <c r="U32" s="15" cm="1">
        <f t="array" ref="U32">+HLOOKUP($A$1,+[42]İcmal!$B$19:$AG$49,ROW(D30)+1,FALSE)</f>
        <v>0</v>
      </c>
      <c r="V32" s="15" cm="1">
        <f t="array" ref="V32">+HLOOKUP($A$1,+[43]İcmal!$B$19:$AG$49,ROW(A30)+1,FALSE)</f>
        <v>0</v>
      </c>
      <c r="W32" s="15" cm="1">
        <f t="array" ref="W32">+HLOOKUP($A$1,+[44]İcmal!$B$19:$AG$49,ROW(B30)+1,FALSE)</f>
        <v>0</v>
      </c>
      <c r="X32" s="15" cm="1">
        <f t="array" ref="X32">+HLOOKUP($A$1,+[45]İcmal!$B$19:$AG$49,ROW(C30)+1,FALSE)</f>
        <v>0</v>
      </c>
      <c r="Y32" s="15" cm="1">
        <f t="array" ref="Y32">+HLOOKUP($A$1,+[46]İcmal!$B$19:$AG$49,ROW(D30)+1,FALSE)</f>
        <v>0</v>
      </c>
      <c r="Z32" s="15" cm="1">
        <f t="array" ref="Z32">+HLOOKUP($A$1,+[47]İcmal!$B$19:$AG$49,ROW(A30)+1,FALSE)</f>
        <v>0</v>
      </c>
      <c r="AA32" s="15" cm="1">
        <f t="array" ref="AA32">+HLOOKUP($A$1,+[48]İcmal!$B$19:$AG$49,ROW(B30)+1,FALSE)</f>
        <v>0</v>
      </c>
      <c r="AB32" s="15" cm="1">
        <f t="array" ref="AB32">+HLOOKUP($A$1,+[49]İcmal!$B$19:$AG$49,ROW(A30)+1,FALSE)</f>
        <v>0</v>
      </c>
      <c r="AC32" s="15" cm="1">
        <f t="array" ref="AC32">+HLOOKUP($A$1,+[50]İcmal!$B$19:$AG$49,ROW(A30)+1,FALSE)</f>
        <v>0</v>
      </c>
      <c r="AD32" s="15" cm="1">
        <f t="array" ref="AD32">+HLOOKUP($A$1,+[51]İcmal!$B$19:$AG$49,ROW(A30)+1,FALSE)</f>
        <v>0</v>
      </c>
      <c r="AE32" s="15" cm="1">
        <f t="array" ref="AE32">+HLOOKUP($A$1,+[52]İcmal!$B$19:$AG$49,ROW(A30)+1,FALSE)</f>
        <v>0</v>
      </c>
      <c r="AF32" s="50" cm="1">
        <f t="array" ref="AF32">+HLOOKUP($A$1,+[53]İcmal!$B$19:$AG$49,ROW(A30)+1,FALSE)</f>
        <v>0</v>
      </c>
      <c r="AG32" s="15" cm="1">
        <f t="array" ref="AG32">+HLOOKUP($A$1,+[54]İcmal!$B$19:$AG$49,ROW(A30)+1,FALSE)</f>
        <v>0</v>
      </c>
      <c r="AH32" s="15" cm="1">
        <f t="array" ref="AH32">+HLOOKUP($A$1,+[55]İcmal!$B$19:$AG$49,ROW(A30)+1,FALSE)</f>
        <v>0</v>
      </c>
      <c r="AI32" s="15" cm="1">
        <f t="array" ref="AI32">+HLOOKUP($A$1,+[56]İcmal!$B$19:$AG$49,ROW(A30)+1,FALSE)</f>
        <v>0</v>
      </c>
      <c r="AJ32" s="15" cm="1">
        <f t="array" ref="AJ32">+HLOOKUP($A$1,+[57]İcmal!$B$19:$AG$49,ROW(A30)+1,FALSE)</f>
        <v>0</v>
      </c>
      <c r="AK32" s="15" cm="1">
        <f t="array" ref="AK32">+HLOOKUP($A$1,+[58]İcmal!$B$19:$AG$49,ROW(B30)+1,FALSE)</f>
        <v>0</v>
      </c>
      <c r="AL32" s="15">
        <f>+'[59]İcmal B1 101'!AH50</f>
        <v>0</v>
      </c>
      <c r="AM32" s="15">
        <f>+'[60]İcmal B1 102'!AH50</f>
        <v>0</v>
      </c>
      <c r="AN32" s="15">
        <f>+'[61]İcmal B1 103'!AG50</f>
        <v>0</v>
      </c>
      <c r="AO32" s="15">
        <f>+'[62]İcmal  P1 101'!AH50</f>
        <v>0</v>
      </c>
      <c r="AP32" s="15">
        <f>+'[63]İcmal P1 102'!AH50</f>
        <v>0</v>
      </c>
      <c r="AQ32" s="15"/>
      <c r="AR32" s="14"/>
    </row>
    <row r="33" spans="8:43" x14ac:dyDescent="0.3">
      <c r="I33" s="16">
        <f>SUM(I3:I32)</f>
        <v>53208480.220750026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>
        <f t="shared" ref="AQ33" si="3">+SUMPRODUCT(AQ3:AQ32,$F$3:$F$32)</f>
        <v>0</v>
      </c>
    </row>
    <row r="34" spans="8:43" x14ac:dyDescent="0.3">
      <c r="H34" s="52"/>
    </row>
    <row r="35" spans="8:43" x14ac:dyDescent="0.3">
      <c r="I35" s="16"/>
    </row>
    <row r="36" spans="8:43" x14ac:dyDescent="0.3">
      <c r="I36" s="16"/>
      <c r="K36" s="52"/>
    </row>
    <row r="37" spans="8:43" x14ac:dyDescent="0.3">
      <c r="J37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47CB-675D-4124-A5CB-F137D62F709D}">
  <sheetPr>
    <tabColor rgb="FFFF0000"/>
  </sheetPr>
  <dimension ref="A1:AT40"/>
  <sheetViews>
    <sheetView zoomScale="70" zoomScaleNormal="70" workbookViewId="0">
      <selection activeCell="AK12" sqref="AK1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7" width="19.33203125" bestFit="1" customWidth="1"/>
    <col min="18" max="25" width="19.21875" bestFit="1" customWidth="1"/>
    <col min="26" max="26" width="46.77734375" bestFit="1" customWidth="1"/>
    <col min="27" max="27" width="48.88671875" bestFit="1" customWidth="1"/>
    <col min="28" max="28" width="57.109375" bestFit="1" customWidth="1"/>
    <col min="29" max="29" width="56.77734375" bestFit="1" customWidth="1"/>
    <col min="30" max="30" width="57.44140625" bestFit="1" customWidth="1"/>
    <col min="31" max="31" width="57" customWidth="1"/>
    <col min="32" max="32" width="57.109375" bestFit="1" customWidth="1"/>
    <col min="33" max="33" width="46.33203125" bestFit="1" customWidth="1"/>
    <col min="34" max="37" width="46.77734375" bestFit="1" customWidth="1"/>
    <col min="38" max="44" width="19.88671875" customWidth="1"/>
    <col min="45" max="45" width="19.5546875" bestFit="1" customWidth="1"/>
    <col min="46" max="46" width="2.21875" customWidth="1"/>
  </cols>
  <sheetData>
    <row r="1" spans="1:46" ht="15" thickBot="1" x14ac:dyDescent="0.35">
      <c r="A1" s="17" t="s">
        <v>137</v>
      </c>
    </row>
    <row r="2" spans="1:46" ht="27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54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3" t="s">
        <v>126</v>
      </c>
      <c r="AG2" s="3" t="s">
        <v>143</v>
      </c>
      <c r="AH2" s="3" t="s">
        <v>144</v>
      </c>
      <c r="AI2" s="3" t="s">
        <v>138</v>
      </c>
      <c r="AJ2" s="3" t="s">
        <v>125</v>
      </c>
      <c r="AK2" s="3" t="s">
        <v>133</v>
      </c>
      <c r="AL2" s="3"/>
      <c r="AM2" s="3"/>
      <c r="AN2" s="3"/>
      <c r="AO2" s="3"/>
      <c r="AP2" s="3"/>
      <c r="AQ2" s="3"/>
      <c r="AR2" s="3"/>
      <c r="AS2" s="3"/>
      <c r="AT2" s="12"/>
    </row>
    <row r="3" spans="1:46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SUM(J3:AT3)</f>
        <v>2797.1059999999998</v>
      </c>
      <c r="I3" s="9">
        <f>+F3*H3</f>
        <v>14195312.949999999</v>
      </c>
      <c r="J3" s="15" cm="1">
        <f t="array" ref="J3">+HLOOKUP($A$1,+[2]İcmal!$B$19:$AG$49,ROW(A1)+1,FALSE)</f>
        <v>0</v>
      </c>
      <c r="K3" s="15" cm="1">
        <f t="array" ref="K3">+HLOOKUP($A$1,+[3]İcmal!$B$19:$AG$49,ROW(B1)+1,FALSE)</f>
        <v>0</v>
      </c>
      <c r="L3" s="15" cm="1">
        <f t="array" ref="L3">+HLOOKUP($A$1,+[4]İcmal!$B$19:$AG$49,ROW(C1)+1,FALSE)</f>
        <v>0</v>
      </c>
      <c r="M3" s="15" cm="1">
        <f t="array" ref="M3">+HLOOKUP($A$1,+[5]İcmal!$B$19:$AG$49,ROW(D1)+1,FALSE)</f>
        <v>0</v>
      </c>
      <c r="N3" s="15" cm="1">
        <f t="array" ref="N3">+HLOOKUP($A$1,+[6]İcmal!$B$19:$AG$49,ROW(E1)+1,FALSE)</f>
        <v>0</v>
      </c>
      <c r="O3" s="15" cm="1">
        <f t="array" ref="O3">+HLOOKUP($A$1,+[7]İcmal!$B$19:$AG$49,ROW(F1)+1,FALSE)</f>
        <v>0</v>
      </c>
      <c r="P3" s="15" cm="1">
        <f t="array" ref="P3">+HLOOKUP($A$1,+[8]İcmal!$B$19:$AG$49,ROW(G1)+1,FALSE)</f>
        <v>623.85</v>
      </c>
      <c r="Q3" s="15" cm="1">
        <f t="array" ref="Q3">+HLOOKUP($A$1,+[9]İcmal!$B$19:$AG$49,ROW(H1)+1,FALSE)</f>
        <v>486.69</v>
      </c>
      <c r="R3" s="15" cm="1">
        <f t="array" ref="R3">+HLOOKUP($A$1,+[10]İcmal!$B$19:$AG$49,ROW(I1)+1,FALSE)</f>
        <v>0</v>
      </c>
      <c r="S3" s="15" cm="1">
        <f t="array" ref="S3">+HLOOKUP($A$1,+[11]İcmal!$B$19:$AG$49,ROW(J1)+1,FALSE)</f>
        <v>0</v>
      </c>
      <c r="T3" s="15" cm="1">
        <f t="array" ref="T3">+HLOOKUP($A$1,+[12]İcmal!$B$19:$AG$49,ROW(K1)+1,FALSE)</f>
        <v>737.77</v>
      </c>
      <c r="U3" s="15" cm="1">
        <f t="array" ref="U3">+HLOOKUP($A$1,+[13]İcmal!$B$19:$AG$49,ROW(L1)+1,FALSE)</f>
        <v>607.12300000000005</v>
      </c>
      <c r="V3" s="15" cm="1">
        <f t="array" ref="V3">+HLOOKUP($A$1,+[14]İcmal!$B$19:$AG$49,ROW(M1)+1,FALSE)</f>
        <v>0</v>
      </c>
      <c r="W3" s="15" cm="1">
        <f t="array" ref="W3">+HLOOKUP($A$1,+[15]İcmal!$B$19:$AG$49,ROW(N1)+1,FALSE)</f>
        <v>0</v>
      </c>
      <c r="X3" s="15" cm="1">
        <f t="array" ref="X3">+HLOOKUP($A$1,+[16]İcmal!$B$19:$AG$49,ROW(O1)+1,FALSE)</f>
        <v>95.163999999999874</v>
      </c>
      <c r="Y3" s="15" cm="1">
        <f t="array" ref="Y3">+HLOOKUP($A$1,+[17]İcmal!$B$19:$AG$49,ROW(P1)+1,FALSE)</f>
        <v>78.980999999999995</v>
      </c>
      <c r="Z3" s="15" cm="1">
        <f t="array" ref="Z3">+HLOOKUP($A$1,+[18]İcmal!$B$19:$AG$49,ROW(Q1)+1,FALSE)</f>
        <v>0</v>
      </c>
      <c r="AA3" s="15" cm="1">
        <f t="array" ref="AA3">+HLOOKUP($A$1,+[19]İcmal!$B$19:$AG$49,ROW(R1)+1,FALSE)</f>
        <v>83.763999999999996</v>
      </c>
      <c r="AB3" s="15" cm="1">
        <f t="array" ref="AB3">+HLOOKUP($A$1,+[20]İcmal!$B$19:$AG$49,ROW(S1)+1,FALSE)</f>
        <v>0</v>
      </c>
      <c r="AC3" s="15" cm="1">
        <f t="array" ref="AC3">+HLOOKUP($A$1,+[21]İcmal!$B$19:$AG$49,ROW(T1)+1,FALSE)</f>
        <v>0</v>
      </c>
      <c r="AD3" s="15" cm="1">
        <f t="array" ref="AD3">+HLOOKUP($A$1,+[22]İcmal!$B$19:$AG$49,ROW(U1)+1,FALSE)</f>
        <v>0</v>
      </c>
      <c r="AE3" s="15" cm="1">
        <f t="array" ref="AE3">+HLOOKUP($A$1,+[23]İcmal!$B$19:$AG$49,ROW(V1)+1,FALSE)</f>
        <v>0</v>
      </c>
      <c r="AF3" s="15" cm="1">
        <f t="array" ref="AF3">+HLOOKUP($A$1,+[24]İcmal!$B$19:$AG$49,ROW(W1)+1,FALSE)</f>
        <v>0</v>
      </c>
      <c r="AG3" s="15" cm="1">
        <f t="array" ref="AG3">+HLOOKUP($A$1,+[25]İcmal!$B$19:$AG$49,ROW(X1)+1,FALSE)</f>
        <v>0</v>
      </c>
      <c r="AH3" s="15" cm="1">
        <f t="array" ref="AH3">+HLOOKUP($A$1,+[26]İcmal!$B$19:$AG$49,ROW(Y1)+1,FALSE)</f>
        <v>0</v>
      </c>
      <c r="AI3" s="15" cm="1">
        <f t="array" ref="AI3">+HLOOKUP($A$1,+[27]İcmal!$B$19:$AG$49,ROW(Z1)+1,FALSE)</f>
        <v>0</v>
      </c>
      <c r="AJ3" s="15" cm="1">
        <f t="array" ref="AJ3">+HLOOKUP($A$1,+[28]İcmal!$B$19:$AG$49,ROW(AA1)+1,FALSE)</f>
        <v>0</v>
      </c>
      <c r="AK3" s="15" cm="1">
        <f t="array" ref="AK3">+HLOOKUP($A$1,+[29]İcmal!$B$19:$AG$49,ROW(AB1)+1,FALSE)</f>
        <v>83.763999999999996</v>
      </c>
      <c r="AL3" s="15"/>
      <c r="AM3" s="15"/>
      <c r="AN3" s="15"/>
      <c r="AO3" s="15"/>
      <c r="AP3" s="15"/>
      <c r="AQ3" s="15"/>
      <c r="AR3" s="15"/>
      <c r="AS3" s="15"/>
      <c r="AT3" s="13"/>
    </row>
    <row r="4" spans="1:46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+HLOOKUP($A$1,+[2]İcmal!$B$19:$AG$49,ROW(A2)+1,FALSE)</f>
        <v>0</v>
      </c>
      <c r="K4" s="15" cm="1">
        <f t="array" ref="K4">+HLOOKUP($A$1,+[3]İcmal!$B$19:$AG$49,ROW(B2)+1,FALSE)</f>
        <v>0</v>
      </c>
      <c r="L4" s="15" cm="1">
        <f t="array" ref="L4">+HLOOKUP($A$1,+[4]İcmal!$B$19:$AG$49,ROW(C2)+1,FALSE)</f>
        <v>0</v>
      </c>
      <c r="M4" s="15" cm="1">
        <f t="array" ref="M4">+HLOOKUP($A$1,+[5]İcmal!$B$19:$AG$49,ROW(D2)+1,FALSE)</f>
        <v>0</v>
      </c>
      <c r="N4" s="15" cm="1">
        <f t="array" ref="N4">+HLOOKUP($A$1,+[6]İcmal!$B$19:$AG$49,ROW(E2)+1,FALSE)</f>
        <v>0</v>
      </c>
      <c r="O4" s="15" cm="1">
        <f t="array" ref="O4">+HLOOKUP($A$1,+[7]İcmal!$B$19:$AG$49,ROW(F2)+1,FALSE)</f>
        <v>0</v>
      </c>
      <c r="P4" s="15" cm="1">
        <f t="array" ref="P4">+HLOOKUP($A$1,+[8]İcmal!$B$19:$AG$49,ROW(G2)+1,FALSE)</f>
        <v>0</v>
      </c>
      <c r="Q4" s="15" cm="1">
        <f t="array" ref="Q4">+HLOOKUP($A$1,+[9]İcmal!$B$19:$AG$49,ROW(H2)+1,FALSE)</f>
        <v>0</v>
      </c>
      <c r="R4" s="15" cm="1">
        <f t="array" ref="R4">+HLOOKUP($A$1,+[10]İcmal!$B$19:$AG$49,ROW(I2)+1,FALSE)</f>
        <v>0</v>
      </c>
      <c r="S4" s="15" cm="1">
        <f t="array" ref="S4">+HLOOKUP($A$1,+[11]İcmal!$B$19:$AG$49,ROW(J2)+1,FALSE)</f>
        <v>0</v>
      </c>
      <c r="T4" s="15" cm="1">
        <f t="array" ref="T4">+HLOOKUP($A$1,+[12]İcmal!$B$19:$AG$49,ROW(K2)+1,FALSE)</f>
        <v>0</v>
      </c>
      <c r="U4" s="15" cm="1">
        <f t="array" ref="U4">+HLOOKUP($A$1,+[13]İcmal!$B$19:$AG$49,ROW(L2)+1,FALSE)</f>
        <v>0</v>
      </c>
      <c r="V4" s="15" cm="1">
        <f t="array" ref="V4">+HLOOKUP($A$1,+[14]İcmal!$B$19:$AG$49,ROW(M2)+1,FALSE)</f>
        <v>0</v>
      </c>
      <c r="W4" s="15" cm="1">
        <f t="array" ref="W4">+HLOOKUP($A$1,+[15]İcmal!$B$19:$AG$49,ROW(N2)+1,FALSE)</f>
        <v>0</v>
      </c>
      <c r="X4" s="15" cm="1">
        <f t="array" ref="X4">+HLOOKUP($A$1,+[16]İcmal!$B$19:$AG$49,ROW(O2)+1,FALSE)</f>
        <v>0</v>
      </c>
      <c r="Y4" s="15" cm="1">
        <f t="array" ref="Y4">+HLOOKUP($A$1,+[17]İcmal!$B$19:$AG$49,ROW(P2)+1,FALSE)</f>
        <v>0</v>
      </c>
      <c r="Z4" s="15" cm="1">
        <f t="array" ref="Z4">+HLOOKUP($A$1,+[18]İcmal!$B$19:$AG$49,ROW(Q2)+1,FALSE)</f>
        <v>0</v>
      </c>
      <c r="AA4" s="15" cm="1">
        <f t="array" ref="AA4">+HLOOKUP($A$1,+[19]İcmal!$B$19:$AG$49,ROW(R2)+1,FALSE)</f>
        <v>0</v>
      </c>
      <c r="AB4" s="15" cm="1">
        <f t="array" ref="AB4">+HLOOKUP($A$1,+[20]İcmal!$B$19:$AG$49,ROW(S2)+1,FALSE)</f>
        <v>0</v>
      </c>
      <c r="AC4" s="15" cm="1">
        <f t="array" ref="AC4">+HLOOKUP($A$1,+[21]İcmal!$B$19:$AG$49,ROW(T2)+1,FALSE)</f>
        <v>0</v>
      </c>
      <c r="AD4" s="15" cm="1">
        <f t="array" ref="AD4">+HLOOKUP($A$1,+[22]İcmal!$B$19:$AG$49,ROW(U2)+1,FALSE)</f>
        <v>0</v>
      </c>
      <c r="AE4" s="15" cm="1">
        <f t="array" ref="AE4">+HLOOKUP($A$1,+[23]İcmal!$B$19:$AG$49,ROW(V2)+1,FALSE)</f>
        <v>0</v>
      </c>
      <c r="AF4" s="15" cm="1">
        <f t="array" ref="AF4">+HLOOKUP($A$1,+[24]İcmal!$B$19:$AG$49,ROW(W2)+1,FALSE)</f>
        <v>0</v>
      </c>
      <c r="AG4" s="15" cm="1">
        <f t="array" ref="AG4">+HLOOKUP($A$1,+[25]İcmal!$B$19:$AG$49,ROW(X2)+1,FALSE)</f>
        <v>0</v>
      </c>
      <c r="AH4" s="15" cm="1">
        <f t="array" ref="AH4">+HLOOKUP($A$1,+[26]İcmal!$B$19:$AG$49,ROW(Y2)+1,FALSE)</f>
        <v>0</v>
      </c>
      <c r="AI4" s="15" cm="1">
        <f t="array" ref="AI4">+HLOOKUP($A$1,+[27]İcmal!$B$19:$AG$49,ROW(Z2)+1,FALSE)</f>
        <v>0</v>
      </c>
      <c r="AJ4" s="15" cm="1">
        <f t="array" ref="AJ4">+HLOOKUP($A$1,+[28]İcmal!$B$19:$AG$49,ROW(AA2)+1,FALSE)</f>
        <v>0</v>
      </c>
      <c r="AK4" s="15" cm="1">
        <f t="array" ref="AK4">+HLOOKUP($A$1,+[29]İcmal!$B$19:$AG$49,ROW(AB2)+1,FALSE)</f>
        <v>0</v>
      </c>
      <c r="AL4" s="15"/>
      <c r="AM4" s="15"/>
      <c r="AN4" s="15"/>
      <c r="AO4" s="15"/>
      <c r="AP4" s="15"/>
      <c r="AQ4" s="15"/>
      <c r="AR4" s="15"/>
      <c r="AS4" s="15"/>
      <c r="AT4" s="13"/>
    </row>
    <row r="5" spans="1:46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+HLOOKUP($A$1,+[2]İcmal!$B$19:$AG$49,ROW(A3)+1,FALSE)</f>
        <v>0</v>
      </c>
      <c r="K5" s="15" cm="1">
        <f t="array" ref="K5">+HLOOKUP($A$1,+[3]İcmal!$B$19:$AG$49,ROW(B3)+1,FALSE)</f>
        <v>0</v>
      </c>
      <c r="L5" s="15" cm="1">
        <f t="array" ref="L5">+HLOOKUP($A$1,+[4]İcmal!$B$19:$AG$49,ROW(C3)+1,FALSE)</f>
        <v>0</v>
      </c>
      <c r="M5" s="15" cm="1">
        <f t="array" ref="M5">+HLOOKUP($A$1,+[5]İcmal!$B$19:$AG$49,ROW(D3)+1,FALSE)</f>
        <v>0</v>
      </c>
      <c r="N5" s="15" cm="1">
        <f t="array" ref="N5">+HLOOKUP($A$1,+[6]İcmal!$B$19:$AG$49,ROW(E3)+1,FALSE)</f>
        <v>0</v>
      </c>
      <c r="O5" s="15" cm="1">
        <f t="array" ref="O5">+HLOOKUP($A$1,+[7]İcmal!$B$19:$AG$49,ROW(F3)+1,FALSE)</f>
        <v>0</v>
      </c>
      <c r="P5" s="15" cm="1">
        <f t="array" ref="P5">+HLOOKUP($A$1,+[8]İcmal!$B$19:$AG$49,ROW(G3)+1,FALSE)</f>
        <v>0</v>
      </c>
      <c r="Q5" s="15" cm="1">
        <f t="array" ref="Q5">+HLOOKUP($A$1,+[9]İcmal!$B$19:$AG$49,ROW(H3)+1,FALSE)</f>
        <v>0</v>
      </c>
      <c r="R5" s="15" cm="1">
        <f t="array" ref="R5">+HLOOKUP($A$1,+[10]İcmal!$B$19:$AG$49,ROW(I3)+1,FALSE)</f>
        <v>0</v>
      </c>
      <c r="S5" s="15" cm="1">
        <f t="array" ref="S5">+HLOOKUP($A$1,+[11]İcmal!$B$19:$AG$49,ROW(J3)+1,FALSE)</f>
        <v>0</v>
      </c>
      <c r="T5" s="15" cm="1">
        <f t="array" ref="T5">+HLOOKUP($A$1,+[12]İcmal!$B$19:$AG$49,ROW(K3)+1,FALSE)</f>
        <v>0</v>
      </c>
      <c r="U5" s="15" cm="1">
        <f t="array" ref="U5">+HLOOKUP($A$1,+[13]İcmal!$B$19:$AG$49,ROW(L3)+1,FALSE)</f>
        <v>0</v>
      </c>
      <c r="V5" s="15" cm="1">
        <f t="array" ref="V5">+HLOOKUP($A$1,+[14]İcmal!$B$19:$AG$49,ROW(M3)+1,FALSE)</f>
        <v>0</v>
      </c>
      <c r="W5" s="15" cm="1">
        <f t="array" ref="W5">+HLOOKUP($A$1,+[15]İcmal!$B$19:$AG$49,ROW(N3)+1,FALSE)</f>
        <v>0</v>
      </c>
      <c r="X5" s="15" cm="1">
        <f t="array" ref="X5">+HLOOKUP($A$1,+[16]İcmal!$B$19:$AG$49,ROW(O3)+1,FALSE)</f>
        <v>0</v>
      </c>
      <c r="Y5" s="15" cm="1">
        <f t="array" ref="Y5">+HLOOKUP($A$1,+[17]İcmal!$B$19:$AG$49,ROW(P3)+1,FALSE)</f>
        <v>0</v>
      </c>
      <c r="Z5" s="15" cm="1">
        <f t="array" ref="Z5">+HLOOKUP($A$1,+[18]İcmal!$B$19:$AG$49,ROW(Q3)+1,FALSE)</f>
        <v>0</v>
      </c>
      <c r="AA5" s="15" cm="1">
        <f t="array" ref="AA5">+HLOOKUP($A$1,+[19]İcmal!$B$19:$AG$49,ROW(R3)+1,FALSE)</f>
        <v>0</v>
      </c>
      <c r="AB5" s="15" cm="1">
        <f t="array" ref="AB5">+HLOOKUP($A$1,+[20]İcmal!$B$19:$AG$49,ROW(S3)+1,FALSE)</f>
        <v>0</v>
      </c>
      <c r="AC5" s="15" cm="1">
        <f t="array" ref="AC5">+HLOOKUP($A$1,+[21]İcmal!$B$19:$AG$49,ROW(T3)+1,FALSE)</f>
        <v>0</v>
      </c>
      <c r="AD5" s="15" cm="1">
        <f t="array" ref="AD5">+HLOOKUP($A$1,+[22]İcmal!$B$19:$AG$49,ROW(U3)+1,FALSE)</f>
        <v>0</v>
      </c>
      <c r="AE5" s="15" cm="1">
        <f t="array" ref="AE5">+HLOOKUP($A$1,+[23]İcmal!$B$19:$AG$49,ROW(V3)+1,FALSE)</f>
        <v>0</v>
      </c>
      <c r="AF5" s="15" cm="1">
        <f t="array" ref="AF5">+HLOOKUP($A$1,+[24]İcmal!$B$19:$AG$49,ROW(W3)+1,FALSE)</f>
        <v>0</v>
      </c>
      <c r="AG5" s="15" cm="1">
        <f t="array" ref="AG5">+HLOOKUP($A$1,+[25]İcmal!$B$19:$AG$49,ROW(X3)+1,FALSE)</f>
        <v>0</v>
      </c>
      <c r="AH5" s="15" cm="1">
        <f t="array" ref="AH5">+HLOOKUP($A$1,+[26]İcmal!$B$19:$AG$49,ROW(Y3)+1,FALSE)</f>
        <v>0</v>
      </c>
      <c r="AI5" s="15" cm="1">
        <f t="array" ref="AI5">+HLOOKUP($A$1,+[27]İcmal!$B$19:$AG$49,ROW(Z3)+1,FALSE)</f>
        <v>0</v>
      </c>
      <c r="AJ5" s="15" cm="1">
        <f t="array" ref="AJ5">+HLOOKUP($A$1,+[28]İcmal!$B$19:$AG$49,ROW(AA3)+1,FALSE)</f>
        <v>0</v>
      </c>
      <c r="AK5" s="15" cm="1">
        <f t="array" ref="AK5">+HLOOKUP($A$1,+[29]İcmal!$B$19:$AG$49,ROW(AB3)+1,FALSE)</f>
        <v>0</v>
      </c>
      <c r="AL5" s="15"/>
      <c r="AM5" s="15"/>
      <c r="AN5" s="15"/>
      <c r="AO5" s="15"/>
      <c r="AP5" s="15"/>
      <c r="AQ5" s="15"/>
      <c r="AR5" s="15"/>
      <c r="AS5" s="15"/>
      <c r="AT5" s="13"/>
    </row>
    <row r="6" spans="1:46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629.33999999999992</v>
      </c>
      <c r="I6" s="9">
        <f t="shared" si="2"/>
        <v>9650299.5599999987</v>
      </c>
      <c r="J6" s="15" cm="1">
        <f t="array" ref="J6">+HLOOKUP($A$1,+[2]İcmal!$B$19:$AG$49,ROW(A4)+1,FALSE)</f>
        <v>0</v>
      </c>
      <c r="K6" s="15" cm="1">
        <f t="array" ref="K6">+HLOOKUP($A$1,+[3]İcmal!$B$19:$AG$49,ROW(B4)+1,FALSE)</f>
        <v>0</v>
      </c>
      <c r="L6" s="15" cm="1">
        <f t="array" ref="L6">+HLOOKUP($A$1,+[4]İcmal!$B$19:$AG$49,ROW(C4)+1,FALSE)</f>
        <v>0</v>
      </c>
      <c r="M6" s="15" cm="1">
        <f t="array" ref="M6">+HLOOKUP($A$1,+[5]İcmal!$B$19:$AG$49,ROW(D4)+1,FALSE)</f>
        <v>0</v>
      </c>
      <c r="N6" s="15" cm="1">
        <f t="array" ref="N6">+HLOOKUP($A$1,+[6]İcmal!$B$19:$AG$49,ROW(E4)+1,FALSE)</f>
        <v>42.461999999999989</v>
      </c>
      <c r="O6" s="15" cm="1">
        <f t="array" ref="O6">+HLOOKUP($A$1,+[7]İcmal!$B$19:$AG$49,ROW(F4)+1,FALSE)</f>
        <v>24.629000000000019</v>
      </c>
      <c r="P6" s="15" cm="1">
        <f t="array" ref="P6">+HLOOKUP($A$1,+[8]İcmal!$B$19:$AG$49,ROW(G4)+1,FALSE)</f>
        <v>93.128</v>
      </c>
      <c r="Q6" s="15" cm="1">
        <f t="array" ref="Q6">+HLOOKUP($A$1,+[9]İcmal!$B$19:$AG$49,ROW(H4)+1,FALSE)</f>
        <v>87.634</v>
      </c>
      <c r="R6" s="15" cm="1">
        <f t="array" ref="R6">+HLOOKUP($A$1,+[10]İcmal!$B$19:$AG$49,ROW(I4)+1,FALSE)</f>
        <v>37.803999999999974</v>
      </c>
      <c r="S6" s="15" cm="1">
        <f t="array" ref="S6">+HLOOKUP($A$1,+[11]İcmal!$B$19:$AG$49,ROW(J4)+1,FALSE)</f>
        <v>21.927000000000021</v>
      </c>
      <c r="T6" s="15" cm="1">
        <f t="array" ref="T6">+HLOOKUP($A$1,+[12]İcmal!$B$19:$AG$49,ROW(K4)+1,FALSE)</f>
        <v>107.746</v>
      </c>
      <c r="U6" s="15" cm="1">
        <f t="array" ref="U6">+HLOOKUP($A$1,+[13]İcmal!$B$19:$AG$49,ROW(L4)+1,FALSE)</f>
        <v>107.19499999999999</v>
      </c>
      <c r="V6" s="15" cm="1">
        <f t="array" ref="V6">+HLOOKUP($A$1,+[14]İcmal!$B$19:$AG$49,ROW(M4)+1,FALSE)</f>
        <v>0</v>
      </c>
      <c r="W6" s="15" cm="1">
        <f t="array" ref="W6">+HLOOKUP($A$1,+[15]İcmal!$B$19:$AG$49,ROW(N4)+1,FALSE)</f>
        <v>0</v>
      </c>
      <c r="X6" s="15" cm="1">
        <f t="array" ref="X6">+HLOOKUP($A$1,+[16]İcmal!$B$19:$AG$49,ROW(O4)+1,FALSE)</f>
        <v>26.01400000000001</v>
      </c>
      <c r="Y6" s="15" cm="1">
        <f t="array" ref="Y6">+HLOOKUP($A$1,+[17]İcmal!$B$19:$AG$49,ROW(P4)+1,FALSE)</f>
        <v>26.025999999999982</v>
      </c>
      <c r="Z6" s="15" cm="1">
        <f t="array" ref="Z6">+HLOOKUP($A$1,+[18]İcmal!$B$19:$AG$49,ROW(Q4)+1,FALSE)</f>
        <v>3.6370000000000005</v>
      </c>
      <c r="AA6" s="15" cm="1">
        <f t="array" ref="AA6">+HLOOKUP($A$1,+[19]İcmal!$B$19:$AG$49,ROW(R4)+1,FALSE)</f>
        <v>21.931999999999999</v>
      </c>
      <c r="AB6" s="15" cm="1">
        <f t="array" ref="AB6">+HLOOKUP($A$1,+[20]İcmal!$B$19:$AG$49,ROW(S4)+1,FALSE)</f>
        <v>0</v>
      </c>
      <c r="AC6" s="15" cm="1">
        <f t="array" ref="AC6">+HLOOKUP($A$1,+[21]İcmal!$B$19:$AG$49,ROW(T4)+1,FALSE)</f>
        <v>0</v>
      </c>
      <c r="AD6" s="15" cm="1">
        <f t="array" ref="AD6">+HLOOKUP($A$1,+[22]İcmal!$B$19:$AG$49,ROW(U4)+1,FALSE)</f>
        <v>3.6370000000000005</v>
      </c>
      <c r="AE6" s="15" cm="1">
        <f t="array" ref="AE6">+HLOOKUP($A$1,+[23]İcmal!$B$19:$AG$49,ROW(V4)+1,FALSE)</f>
        <v>0</v>
      </c>
      <c r="AF6" s="15" cm="1">
        <f t="array" ref="AF6">+HLOOKUP($A$1,+[24]İcmal!$B$19:$AG$49,ROW(W4)+1,FALSE)</f>
        <v>0</v>
      </c>
      <c r="AG6" s="15" cm="1">
        <f t="array" ref="AG6">+HLOOKUP($A$1,+[25]İcmal!$B$19:$AG$49,ROW(X4)+1,FALSE)</f>
        <v>0</v>
      </c>
      <c r="AH6" s="15" cm="1">
        <f t="array" ref="AH6">+HLOOKUP($A$1,+[26]İcmal!$B$19:$AG$49,ROW(Y4)+1,FALSE)</f>
        <v>0</v>
      </c>
      <c r="AI6" s="15" cm="1">
        <f t="array" ref="AI6">+HLOOKUP($A$1,+[27]İcmal!$B$19:$AG$49,ROW(Z4)+1,FALSE)</f>
        <v>0</v>
      </c>
      <c r="AJ6" s="15" cm="1">
        <f t="array" ref="AJ6">+HLOOKUP($A$1,+[28]İcmal!$B$19:$AG$49,ROW(AA4)+1,FALSE)</f>
        <v>3.6370000000000005</v>
      </c>
      <c r="AK6" s="15" cm="1">
        <f t="array" ref="AK6">+HLOOKUP($A$1,+[29]İcmal!$B$19:$AG$49,ROW(AB4)+1,FALSE)</f>
        <v>21.931999999999999</v>
      </c>
      <c r="AL6" s="15"/>
      <c r="AM6" s="15"/>
      <c r="AN6" s="15"/>
      <c r="AO6" s="15"/>
      <c r="AP6" s="15"/>
      <c r="AQ6" s="15"/>
      <c r="AR6" s="15"/>
      <c r="AS6" s="15"/>
      <c r="AT6" s="13"/>
    </row>
    <row r="7" spans="1:46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+HLOOKUP($A$1,+[2]İcmal!$B$19:$AG$49,ROW(A5)+1,FALSE)</f>
        <v>0</v>
      </c>
      <c r="K7" s="15" cm="1">
        <f t="array" ref="K7">+HLOOKUP($A$1,+[3]İcmal!$B$19:$AG$49,ROW(B5)+1,FALSE)</f>
        <v>0</v>
      </c>
      <c r="L7" s="15" cm="1">
        <f t="array" ref="L7">+HLOOKUP($A$1,+[4]İcmal!$B$19:$AG$49,ROW(C5)+1,FALSE)</f>
        <v>0</v>
      </c>
      <c r="M7" s="15" cm="1">
        <f t="array" ref="M7">+HLOOKUP($A$1,+[5]İcmal!$B$19:$AG$49,ROW(D5)+1,FALSE)</f>
        <v>0</v>
      </c>
      <c r="N7" s="15" cm="1">
        <f t="array" ref="N7">+HLOOKUP($A$1,+[6]İcmal!$B$19:$AG$49,ROW(E5)+1,FALSE)</f>
        <v>0</v>
      </c>
      <c r="O7" s="15" cm="1">
        <f t="array" ref="O7">+HLOOKUP($A$1,+[7]İcmal!$B$19:$AG$49,ROW(F5)+1,FALSE)</f>
        <v>0</v>
      </c>
      <c r="P7" s="15" cm="1">
        <f t="array" ref="P7">+HLOOKUP($A$1,+[8]İcmal!$B$19:$AG$49,ROW(G5)+1,FALSE)</f>
        <v>0</v>
      </c>
      <c r="Q7" s="15" cm="1">
        <f t="array" ref="Q7">+HLOOKUP($A$1,+[9]İcmal!$B$19:$AG$49,ROW(H5)+1,FALSE)</f>
        <v>0</v>
      </c>
      <c r="R7" s="15" cm="1">
        <f t="array" ref="R7">+HLOOKUP($A$1,+[10]İcmal!$B$19:$AG$49,ROW(I5)+1,FALSE)</f>
        <v>0</v>
      </c>
      <c r="S7" s="15" cm="1">
        <f t="array" ref="S7">+HLOOKUP($A$1,+[11]İcmal!$B$19:$AG$49,ROW(J5)+1,FALSE)</f>
        <v>0</v>
      </c>
      <c r="T7" s="15" cm="1">
        <f t="array" ref="T7">+HLOOKUP($A$1,+[12]İcmal!$B$19:$AG$49,ROW(K5)+1,FALSE)</f>
        <v>0</v>
      </c>
      <c r="U7" s="15" cm="1">
        <f t="array" ref="U7">+HLOOKUP($A$1,+[13]İcmal!$B$19:$AG$49,ROW(L5)+1,FALSE)</f>
        <v>0</v>
      </c>
      <c r="V7" s="15" cm="1">
        <f t="array" ref="V7">+HLOOKUP($A$1,+[14]İcmal!$B$19:$AG$49,ROW(M5)+1,FALSE)</f>
        <v>0</v>
      </c>
      <c r="W7" s="15" cm="1">
        <f t="array" ref="W7">+HLOOKUP($A$1,+[15]İcmal!$B$19:$AG$49,ROW(N5)+1,FALSE)</f>
        <v>0</v>
      </c>
      <c r="X7" s="15" cm="1">
        <f t="array" ref="X7">+HLOOKUP($A$1,+[16]İcmal!$B$19:$AG$49,ROW(O5)+1,FALSE)</f>
        <v>0</v>
      </c>
      <c r="Y7" s="15" cm="1">
        <f t="array" ref="Y7">+HLOOKUP($A$1,+[17]İcmal!$B$19:$AG$49,ROW(P5)+1,FALSE)</f>
        <v>0</v>
      </c>
      <c r="Z7" s="15" cm="1">
        <f t="array" ref="Z7">+HLOOKUP($A$1,+[18]İcmal!$B$19:$AG$49,ROW(Q5)+1,FALSE)</f>
        <v>0</v>
      </c>
      <c r="AA7" s="15" cm="1">
        <f t="array" ref="AA7">+HLOOKUP($A$1,+[19]İcmal!$B$19:$AG$49,ROW(R5)+1,FALSE)</f>
        <v>0</v>
      </c>
      <c r="AB7" s="15" cm="1">
        <f t="array" ref="AB7">+HLOOKUP($A$1,+[20]İcmal!$B$19:$AG$49,ROW(S5)+1,FALSE)</f>
        <v>0</v>
      </c>
      <c r="AC7" s="15" cm="1">
        <f t="array" ref="AC7">+HLOOKUP($A$1,+[21]İcmal!$B$19:$AG$49,ROW(T5)+1,FALSE)</f>
        <v>0</v>
      </c>
      <c r="AD7" s="15" cm="1">
        <f t="array" ref="AD7">+HLOOKUP($A$1,+[22]İcmal!$B$19:$AG$49,ROW(U5)+1,FALSE)</f>
        <v>0</v>
      </c>
      <c r="AE7" s="15" cm="1">
        <f t="array" ref="AE7">+HLOOKUP($A$1,+[23]İcmal!$B$19:$AG$49,ROW(V5)+1,FALSE)</f>
        <v>0</v>
      </c>
      <c r="AF7" s="15" cm="1">
        <f t="array" ref="AF7">+HLOOKUP($A$1,+[24]İcmal!$B$19:$AG$49,ROW(W5)+1,FALSE)</f>
        <v>0</v>
      </c>
      <c r="AG7" s="15" cm="1">
        <f t="array" ref="AG7">+HLOOKUP($A$1,+[25]İcmal!$B$19:$AG$49,ROW(X5)+1,FALSE)</f>
        <v>0</v>
      </c>
      <c r="AH7" s="15" cm="1">
        <f t="array" ref="AH7">+HLOOKUP($A$1,+[26]İcmal!$B$19:$AG$49,ROW(Y5)+1,FALSE)</f>
        <v>0</v>
      </c>
      <c r="AI7" s="15" cm="1">
        <f t="array" ref="AI7">+HLOOKUP($A$1,+[27]İcmal!$B$19:$AG$49,ROW(Z5)+1,FALSE)</f>
        <v>0</v>
      </c>
      <c r="AJ7" s="15" cm="1">
        <f t="array" ref="AJ7">+HLOOKUP($A$1,+[28]İcmal!$B$19:$AG$49,ROW(AA5)+1,FALSE)</f>
        <v>0</v>
      </c>
      <c r="AK7" s="15" cm="1">
        <f t="array" ref="AK7">+HLOOKUP($A$1,+[29]İcmal!$B$19:$AG$49,ROW(AB5)+1,FALSE)</f>
        <v>0</v>
      </c>
      <c r="AL7" s="15"/>
      <c r="AM7" s="15"/>
      <c r="AN7" s="15"/>
      <c r="AO7" s="15"/>
      <c r="AP7" s="15"/>
      <c r="AQ7" s="15"/>
      <c r="AR7" s="15"/>
      <c r="AS7" s="15"/>
      <c r="AT7" s="13"/>
    </row>
    <row r="8" spans="1:46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+HLOOKUP($A$1,+[2]İcmal!$B$19:$AG$49,ROW(A6)+1,FALSE)</f>
        <v>0</v>
      </c>
      <c r="K8" s="15" cm="1">
        <f t="array" ref="K8">+HLOOKUP($A$1,+[3]İcmal!$B$19:$AG$49,ROW(B6)+1,FALSE)</f>
        <v>0</v>
      </c>
      <c r="L8" s="15" cm="1">
        <f t="array" ref="L8">+HLOOKUP($A$1,+[4]İcmal!$B$19:$AG$49,ROW(C6)+1,FALSE)</f>
        <v>0</v>
      </c>
      <c r="M8" s="15" cm="1">
        <f t="array" ref="M8">+HLOOKUP($A$1,+[5]İcmal!$B$19:$AG$49,ROW(D6)+1,FALSE)</f>
        <v>0</v>
      </c>
      <c r="N8" s="15" cm="1">
        <f t="array" ref="N8">+HLOOKUP($A$1,+[6]İcmal!$B$19:$AG$49,ROW(E6)+1,FALSE)</f>
        <v>0</v>
      </c>
      <c r="O8" s="15" cm="1">
        <f t="array" ref="O8">+HLOOKUP($A$1,+[7]İcmal!$B$19:$AG$49,ROW(F6)+1,FALSE)</f>
        <v>0</v>
      </c>
      <c r="P8" s="15" cm="1">
        <f t="array" ref="P8">+HLOOKUP($A$1,+[8]İcmal!$B$19:$AG$49,ROW(G6)+1,FALSE)</f>
        <v>0</v>
      </c>
      <c r="Q8" s="15" cm="1">
        <f t="array" ref="Q8">+HLOOKUP($A$1,+[9]İcmal!$B$19:$AG$49,ROW(H6)+1,FALSE)</f>
        <v>0</v>
      </c>
      <c r="R8" s="15" cm="1">
        <f t="array" ref="R8">+HLOOKUP($A$1,+[10]İcmal!$B$19:$AG$49,ROW(I6)+1,FALSE)</f>
        <v>0</v>
      </c>
      <c r="S8" s="15" cm="1">
        <f t="array" ref="S8">+HLOOKUP($A$1,+[11]İcmal!$B$19:$AG$49,ROW(J6)+1,FALSE)</f>
        <v>0</v>
      </c>
      <c r="T8" s="15" cm="1">
        <f t="array" ref="T8">+HLOOKUP($A$1,+[12]İcmal!$B$19:$AG$49,ROW(K6)+1,FALSE)</f>
        <v>0</v>
      </c>
      <c r="U8" s="15" cm="1">
        <f t="array" ref="U8">+HLOOKUP($A$1,+[13]İcmal!$B$19:$AG$49,ROW(L6)+1,FALSE)</f>
        <v>0</v>
      </c>
      <c r="V8" s="15" cm="1">
        <f t="array" ref="V8">+HLOOKUP($A$1,+[14]İcmal!$B$19:$AG$49,ROW(M6)+1,FALSE)</f>
        <v>0</v>
      </c>
      <c r="W8" s="15" cm="1">
        <f t="array" ref="W8">+HLOOKUP($A$1,+[15]İcmal!$B$19:$AG$49,ROW(N6)+1,FALSE)</f>
        <v>0</v>
      </c>
      <c r="X8" s="15" cm="1">
        <f t="array" ref="X8">+HLOOKUP($A$1,+[16]İcmal!$B$19:$AG$49,ROW(O6)+1,FALSE)</f>
        <v>0</v>
      </c>
      <c r="Y8" s="15" cm="1">
        <f t="array" ref="Y8">+HLOOKUP($A$1,+[17]İcmal!$B$19:$AG$49,ROW(P6)+1,FALSE)</f>
        <v>0</v>
      </c>
      <c r="Z8" s="15" cm="1">
        <f t="array" ref="Z8">+HLOOKUP($A$1,+[18]İcmal!$B$19:$AG$49,ROW(Q6)+1,FALSE)</f>
        <v>0</v>
      </c>
      <c r="AA8" s="15" cm="1">
        <f t="array" ref="AA8">+HLOOKUP($A$1,+[19]İcmal!$B$19:$AG$49,ROW(R6)+1,FALSE)</f>
        <v>0</v>
      </c>
      <c r="AB8" s="15" cm="1">
        <f t="array" ref="AB8">+HLOOKUP($A$1,+[20]İcmal!$B$19:$AG$49,ROW(S6)+1,FALSE)</f>
        <v>0</v>
      </c>
      <c r="AC8" s="15" cm="1">
        <f t="array" ref="AC8">+HLOOKUP($A$1,+[21]İcmal!$B$19:$AG$49,ROW(T6)+1,FALSE)</f>
        <v>0</v>
      </c>
      <c r="AD8" s="15" cm="1">
        <f t="array" ref="AD8">+HLOOKUP($A$1,+[22]İcmal!$B$19:$AG$49,ROW(U6)+1,FALSE)</f>
        <v>0</v>
      </c>
      <c r="AE8" s="15" cm="1">
        <f t="array" ref="AE8">+HLOOKUP($A$1,+[23]İcmal!$B$19:$AG$49,ROW(V6)+1,FALSE)</f>
        <v>0</v>
      </c>
      <c r="AF8" s="15" cm="1">
        <f t="array" ref="AF8">+HLOOKUP($A$1,+[24]İcmal!$B$19:$AG$49,ROW(W6)+1,FALSE)</f>
        <v>0</v>
      </c>
      <c r="AG8" s="15" cm="1">
        <f t="array" ref="AG8">+HLOOKUP($A$1,+[25]İcmal!$B$19:$AG$49,ROW(X6)+1,FALSE)</f>
        <v>0</v>
      </c>
      <c r="AH8" s="15" cm="1">
        <f t="array" ref="AH8">+HLOOKUP($A$1,+[26]İcmal!$B$19:$AG$49,ROW(Y6)+1,FALSE)</f>
        <v>0</v>
      </c>
      <c r="AI8" s="15" cm="1">
        <f t="array" ref="AI8">+HLOOKUP($A$1,+[27]İcmal!$B$19:$AG$49,ROW(Z6)+1,FALSE)</f>
        <v>0</v>
      </c>
      <c r="AJ8" s="15" cm="1">
        <f t="array" ref="AJ8">+HLOOKUP($A$1,+[28]İcmal!$B$19:$AG$49,ROW(AA6)+1,FALSE)</f>
        <v>0</v>
      </c>
      <c r="AK8" s="15" cm="1">
        <f t="array" ref="AK8">+HLOOKUP($A$1,+[29]İcmal!$B$19:$AG$49,ROW(AB6)+1,FALSE)</f>
        <v>0</v>
      </c>
      <c r="AL8" s="15"/>
      <c r="AM8" s="15"/>
      <c r="AN8" s="15"/>
      <c r="AO8" s="15"/>
      <c r="AP8" s="15"/>
      <c r="AQ8" s="15"/>
      <c r="AR8" s="15"/>
      <c r="AS8" s="15"/>
      <c r="AT8" s="13"/>
    </row>
    <row r="9" spans="1:46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+HLOOKUP($A$1,+[2]İcmal!$B$19:$AG$49,ROW(A7)+1,FALSE)</f>
        <v>0</v>
      </c>
      <c r="K9" s="15" cm="1">
        <f t="array" ref="K9">+HLOOKUP($A$1,+[3]İcmal!$B$19:$AG$49,ROW(B7)+1,FALSE)</f>
        <v>0</v>
      </c>
      <c r="L9" s="15" cm="1">
        <f t="array" ref="L9">+HLOOKUP($A$1,+[4]İcmal!$B$19:$AG$49,ROW(C7)+1,FALSE)</f>
        <v>0</v>
      </c>
      <c r="M9" s="15" cm="1">
        <f t="array" ref="M9">+HLOOKUP($A$1,+[5]İcmal!$B$19:$AG$49,ROW(D7)+1,FALSE)</f>
        <v>0</v>
      </c>
      <c r="N9" s="15" cm="1">
        <f t="array" ref="N9">+HLOOKUP($A$1,+[6]İcmal!$B$19:$AG$49,ROW(E7)+1,FALSE)</f>
        <v>0</v>
      </c>
      <c r="O9" s="15" cm="1">
        <f t="array" ref="O9">+HLOOKUP($A$1,+[7]İcmal!$B$19:$AG$49,ROW(F7)+1,FALSE)</f>
        <v>0</v>
      </c>
      <c r="P9" s="15" cm="1">
        <f t="array" ref="P9">+HLOOKUP($A$1,+[8]İcmal!$B$19:$AG$49,ROW(G7)+1,FALSE)</f>
        <v>0</v>
      </c>
      <c r="Q9" s="15" cm="1">
        <f t="array" ref="Q9">+HLOOKUP($A$1,+[9]İcmal!$B$19:$AG$49,ROW(H7)+1,FALSE)</f>
        <v>0</v>
      </c>
      <c r="R9" s="15" cm="1">
        <f t="array" ref="R9">+HLOOKUP($A$1,+[10]İcmal!$B$19:$AG$49,ROW(I7)+1,FALSE)</f>
        <v>0</v>
      </c>
      <c r="S9" s="15" cm="1">
        <f t="array" ref="S9">+HLOOKUP($A$1,+[11]İcmal!$B$19:$AG$49,ROW(J7)+1,FALSE)</f>
        <v>0</v>
      </c>
      <c r="T9" s="15" cm="1">
        <f t="array" ref="T9">+HLOOKUP($A$1,+[12]İcmal!$B$19:$AG$49,ROW(K7)+1,FALSE)</f>
        <v>0</v>
      </c>
      <c r="U9" s="15" cm="1">
        <f t="array" ref="U9">+HLOOKUP($A$1,+[13]İcmal!$B$19:$AG$49,ROW(L7)+1,FALSE)</f>
        <v>0</v>
      </c>
      <c r="V9" s="15" cm="1">
        <f t="array" ref="V9">+HLOOKUP($A$1,+[14]İcmal!$B$19:$AG$49,ROW(M7)+1,FALSE)</f>
        <v>0</v>
      </c>
      <c r="W9" s="15" cm="1">
        <f t="array" ref="W9">+HLOOKUP($A$1,+[15]İcmal!$B$19:$AG$49,ROW(N7)+1,FALSE)</f>
        <v>0</v>
      </c>
      <c r="X9" s="15" cm="1">
        <f t="array" ref="X9">+HLOOKUP($A$1,+[16]İcmal!$B$19:$AG$49,ROW(O7)+1,FALSE)</f>
        <v>0</v>
      </c>
      <c r="Y9" s="15" cm="1">
        <f t="array" ref="Y9">+HLOOKUP($A$1,+[17]İcmal!$B$19:$AG$49,ROW(P7)+1,FALSE)</f>
        <v>0</v>
      </c>
      <c r="Z9" s="15" cm="1">
        <f t="array" ref="Z9">+HLOOKUP($A$1,+[18]İcmal!$B$19:$AG$49,ROW(Q7)+1,FALSE)</f>
        <v>0</v>
      </c>
      <c r="AA9" s="15" cm="1">
        <f t="array" ref="AA9">+HLOOKUP($A$1,+[19]İcmal!$B$19:$AG$49,ROW(R7)+1,FALSE)</f>
        <v>0</v>
      </c>
      <c r="AB9" s="15" cm="1">
        <f t="array" ref="AB9">+HLOOKUP($A$1,+[20]İcmal!$B$19:$AG$49,ROW(S7)+1,FALSE)</f>
        <v>0</v>
      </c>
      <c r="AC9" s="15" cm="1">
        <f t="array" ref="AC9">+HLOOKUP($A$1,+[21]İcmal!$B$19:$AG$49,ROW(T7)+1,FALSE)</f>
        <v>0</v>
      </c>
      <c r="AD9" s="15" cm="1">
        <f t="array" ref="AD9">+HLOOKUP($A$1,+[22]İcmal!$B$19:$AG$49,ROW(U7)+1,FALSE)</f>
        <v>0</v>
      </c>
      <c r="AE9" s="15" cm="1">
        <f t="array" ref="AE9">+HLOOKUP($A$1,+[23]İcmal!$B$19:$AG$49,ROW(V7)+1,FALSE)</f>
        <v>0</v>
      </c>
      <c r="AF9" s="15" cm="1">
        <f t="array" ref="AF9">+HLOOKUP($A$1,+[24]İcmal!$B$19:$AG$49,ROW(W7)+1,FALSE)</f>
        <v>0</v>
      </c>
      <c r="AG9" s="15" cm="1">
        <f t="array" ref="AG9">+HLOOKUP($A$1,+[25]İcmal!$B$19:$AG$49,ROW(X7)+1,FALSE)</f>
        <v>0</v>
      </c>
      <c r="AH9" s="15" cm="1">
        <f t="array" ref="AH9">+HLOOKUP($A$1,+[26]İcmal!$B$19:$AG$49,ROW(Y7)+1,FALSE)</f>
        <v>0</v>
      </c>
      <c r="AI9" s="15" cm="1">
        <f t="array" ref="AI9">+HLOOKUP($A$1,+[27]İcmal!$B$19:$AG$49,ROW(Z7)+1,FALSE)</f>
        <v>0</v>
      </c>
      <c r="AJ9" s="15" cm="1">
        <f t="array" ref="AJ9">+HLOOKUP($A$1,+[28]İcmal!$B$19:$AG$49,ROW(AA7)+1,FALSE)</f>
        <v>0</v>
      </c>
      <c r="AK9" s="15" cm="1">
        <f t="array" ref="AK9">+HLOOKUP($A$1,+[29]İcmal!$B$19:$AG$49,ROW(AB7)+1,FALSE)</f>
        <v>0</v>
      </c>
      <c r="AL9" s="15"/>
      <c r="AM9" s="15"/>
      <c r="AN9" s="15"/>
      <c r="AO9" s="15"/>
      <c r="AP9" s="15"/>
      <c r="AQ9" s="15"/>
      <c r="AR9" s="15"/>
      <c r="AS9" s="15"/>
      <c r="AT9" s="13"/>
    </row>
    <row r="10" spans="1:46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18</v>
      </c>
      <c r="I10" s="9">
        <f t="shared" si="2"/>
        <v>144000</v>
      </c>
      <c r="J10" s="15" cm="1">
        <f t="array" ref="J10">+HLOOKUP($A$1,+[2]İcmal!$B$19:$AG$49,ROW(A8)+1,FALSE)</f>
        <v>0</v>
      </c>
      <c r="K10" s="15" cm="1">
        <f t="array" ref="K10">+HLOOKUP($A$1,+[3]İcmal!$B$19:$AG$49,ROW(B8)+1,FALSE)</f>
        <v>0</v>
      </c>
      <c r="L10" s="15" cm="1">
        <f t="array" ref="L10">+HLOOKUP($A$1,+[4]İcmal!$B$19:$AG$49,ROW(C8)+1,FALSE)</f>
        <v>0</v>
      </c>
      <c r="M10" s="15" cm="1">
        <f t="array" ref="M10">+HLOOKUP($A$1,+[5]İcmal!$B$19:$AG$49,ROW(D8)+1,FALSE)</f>
        <v>0</v>
      </c>
      <c r="N10" s="15" cm="1">
        <f t="array" ref="N10">+HLOOKUP($A$1,+[6]İcmal!$B$19:$AG$49,ROW(E8)+1,FALSE)</f>
        <v>0</v>
      </c>
      <c r="O10" s="15" cm="1">
        <f t="array" ref="O10">+HLOOKUP($A$1,+[7]İcmal!$B$19:$AG$49,ROW(F8)+1,FALSE)</f>
        <v>8</v>
      </c>
      <c r="P10" s="15" cm="1">
        <f t="array" ref="P10">+HLOOKUP($A$1,+[8]İcmal!$B$19:$AG$49,ROW(G8)+1,FALSE)</f>
        <v>0</v>
      </c>
      <c r="Q10" s="15" cm="1">
        <f t="array" ref="Q10">+HLOOKUP($A$1,+[9]İcmal!$B$19:$AG$49,ROW(H8)+1,FALSE)</f>
        <v>0</v>
      </c>
      <c r="R10" s="15" cm="1">
        <f t="array" ref="R10">+HLOOKUP($A$1,+[10]İcmal!$B$19:$AG$49,ROW(I8)+1,FALSE)</f>
        <v>0</v>
      </c>
      <c r="S10" s="15" cm="1">
        <f t="array" ref="S10">+HLOOKUP($A$1,+[11]İcmal!$B$19:$AG$49,ROW(J8)+1,FALSE)</f>
        <v>10</v>
      </c>
      <c r="T10" s="15" cm="1">
        <f t="array" ref="T10">+HLOOKUP($A$1,+[12]İcmal!$B$19:$AG$49,ROW(K8)+1,FALSE)</f>
        <v>0</v>
      </c>
      <c r="U10" s="15" cm="1">
        <f t="array" ref="U10">+HLOOKUP($A$1,+[13]İcmal!$B$19:$AG$49,ROW(L8)+1,FALSE)</f>
        <v>0</v>
      </c>
      <c r="V10" s="15" cm="1">
        <f t="array" ref="V10">+HLOOKUP($A$1,+[14]İcmal!$B$19:$AG$49,ROW(M8)+1,FALSE)</f>
        <v>0</v>
      </c>
      <c r="W10" s="15" cm="1">
        <f t="array" ref="W10">+HLOOKUP($A$1,+[15]İcmal!$B$19:$AG$49,ROW(N8)+1,FALSE)</f>
        <v>0</v>
      </c>
      <c r="X10" s="15" cm="1">
        <f t="array" ref="X10">+HLOOKUP($A$1,+[16]İcmal!$B$19:$AG$49,ROW(O8)+1,FALSE)</f>
        <v>0</v>
      </c>
      <c r="Y10" s="15" cm="1">
        <f t="array" ref="Y10">+HLOOKUP($A$1,+[17]İcmal!$B$19:$AG$49,ROW(P8)+1,FALSE)</f>
        <v>0</v>
      </c>
      <c r="Z10" s="15" cm="1">
        <f t="array" ref="Z10">+HLOOKUP($A$1,+[18]İcmal!$B$19:$AG$49,ROW(Q8)+1,FALSE)</f>
        <v>0</v>
      </c>
      <c r="AA10" s="15" cm="1">
        <f t="array" ref="AA10">+HLOOKUP($A$1,+[19]İcmal!$B$19:$AG$49,ROW(R8)+1,FALSE)</f>
        <v>0</v>
      </c>
      <c r="AB10" s="15" cm="1">
        <f t="array" ref="AB10">+HLOOKUP($A$1,+[20]İcmal!$B$19:$AG$49,ROW(S8)+1,FALSE)</f>
        <v>0</v>
      </c>
      <c r="AC10" s="15" cm="1">
        <f t="array" ref="AC10">+HLOOKUP($A$1,+[21]İcmal!$B$19:$AG$49,ROW(T8)+1,FALSE)</f>
        <v>0</v>
      </c>
      <c r="AD10" s="15" cm="1">
        <f t="array" ref="AD10">+HLOOKUP($A$1,+[22]İcmal!$B$19:$AG$49,ROW(U8)+1,FALSE)</f>
        <v>0</v>
      </c>
      <c r="AE10" s="15" cm="1">
        <f t="array" ref="AE10">+HLOOKUP($A$1,+[23]İcmal!$B$19:$AG$49,ROW(V8)+1,FALSE)</f>
        <v>0</v>
      </c>
      <c r="AF10" s="15" cm="1">
        <f t="array" ref="AF10">+HLOOKUP($A$1,+[24]İcmal!$B$19:$AG$49,ROW(W8)+1,FALSE)</f>
        <v>0</v>
      </c>
      <c r="AG10" s="15" cm="1">
        <f t="array" ref="AG10">+HLOOKUP($A$1,+[25]İcmal!$B$19:$AG$49,ROW(X8)+1,FALSE)</f>
        <v>0</v>
      </c>
      <c r="AH10" s="15" cm="1">
        <f t="array" ref="AH10">+HLOOKUP($A$1,+[26]İcmal!$B$19:$AG$49,ROW(Y8)+1,FALSE)</f>
        <v>0</v>
      </c>
      <c r="AI10" s="15" cm="1">
        <f t="array" ref="AI10">+HLOOKUP($A$1,+[27]İcmal!$B$19:$AG$49,ROW(Z8)+1,FALSE)</f>
        <v>0</v>
      </c>
      <c r="AJ10" s="15" cm="1">
        <f t="array" ref="AJ10">+HLOOKUP($A$1,+[28]İcmal!$B$19:$AG$49,ROW(AA8)+1,FALSE)</f>
        <v>0</v>
      </c>
      <c r="AK10" s="15" cm="1">
        <f t="array" ref="AK10">+HLOOKUP($A$1,+[29]İcmal!$B$19:$AG$49,ROW(AB8)+1,FALSE)</f>
        <v>0</v>
      </c>
      <c r="AL10" s="15"/>
      <c r="AM10" s="15"/>
      <c r="AN10" s="15"/>
      <c r="AO10" s="15"/>
      <c r="AP10" s="15"/>
      <c r="AQ10" s="15"/>
      <c r="AR10" s="15"/>
      <c r="AS10" s="15"/>
      <c r="AT10" s="13"/>
    </row>
    <row r="11" spans="1:46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+HLOOKUP($A$1,+[2]İcmal!$B$19:$AG$49,ROW(A9)+1,FALSE)</f>
        <v>0</v>
      </c>
      <c r="K11" s="15" cm="1">
        <f t="array" ref="K11">+HLOOKUP($A$1,+[3]İcmal!$B$19:$AG$49,ROW(B9)+1,FALSE)</f>
        <v>0</v>
      </c>
      <c r="L11" s="15" cm="1">
        <f t="array" ref="L11">+HLOOKUP($A$1,+[4]İcmal!$B$19:$AG$49,ROW(C9)+1,FALSE)</f>
        <v>0</v>
      </c>
      <c r="M11" s="15" cm="1">
        <f t="array" ref="M11">+HLOOKUP($A$1,+[5]İcmal!$B$19:$AG$49,ROW(D9)+1,FALSE)</f>
        <v>0</v>
      </c>
      <c r="N11" s="15" cm="1">
        <f t="array" ref="N11">+HLOOKUP($A$1,+[6]İcmal!$B$19:$AG$49,ROW(E9)+1,FALSE)</f>
        <v>0</v>
      </c>
      <c r="O11" s="15" cm="1">
        <f t="array" ref="O11">+HLOOKUP($A$1,+[7]İcmal!$B$19:$AG$49,ROW(F9)+1,FALSE)</f>
        <v>0</v>
      </c>
      <c r="P11" s="15" cm="1">
        <f t="array" ref="P11">+HLOOKUP($A$1,+[8]İcmal!$B$19:$AG$49,ROW(G9)+1,FALSE)</f>
        <v>0</v>
      </c>
      <c r="Q11" s="15" cm="1">
        <f t="array" ref="Q11">+HLOOKUP($A$1,+[9]İcmal!$B$19:$AG$49,ROW(H9)+1,FALSE)</f>
        <v>0</v>
      </c>
      <c r="R11" s="15" cm="1">
        <f t="array" ref="R11">+HLOOKUP($A$1,+[10]İcmal!$B$19:$AG$49,ROW(I9)+1,FALSE)</f>
        <v>0</v>
      </c>
      <c r="S11" s="15" cm="1">
        <f t="array" ref="S11">+HLOOKUP($A$1,+[11]İcmal!$B$19:$AG$49,ROW(J9)+1,FALSE)</f>
        <v>0</v>
      </c>
      <c r="T11" s="15" cm="1">
        <f t="array" ref="T11">+HLOOKUP($A$1,+[12]İcmal!$B$19:$AG$49,ROW(K9)+1,FALSE)</f>
        <v>0</v>
      </c>
      <c r="U11" s="15" cm="1">
        <f t="array" ref="U11">+HLOOKUP($A$1,+[13]İcmal!$B$19:$AG$49,ROW(L9)+1,FALSE)</f>
        <v>0</v>
      </c>
      <c r="V11" s="15" cm="1">
        <f t="array" ref="V11">+HLOOKUP($A$1,+[14]İcmal!$B$19:$AG$49,ROW(M9)+1,FALSE)</f>
        <v>0</v>
      </c>
      <c r="W11" s="15" cm="1">
        <f t="array" ref="W11">+HLOOKUP($A$1,+[15]İcmal!$B$19:$AG$49,ROW(N9)+1,FALSE)</f>
        <v>0</v>
      </c>
      <c r="X11" s="15" cm="1">
        <f t="array" ref="X11">+HLOOKUP($A$1,+[16]İcmal!$B$19:$AG$49,ROW(O9)+1,FALSE)</f>
        <v>0</v>
      </c>
      <c r="Y11" s="15" cm="1">
        <f t="array" ref="Y11">+HLOOKUP($A$1,+[17]İcmal!$B$19:$AG$49,ROW(P9)+1,FALSE)</f>
        <v>0</v>
      </c>
      <c r="Z11" s="15" cm="1">
        <f t="array" ref="Z11">+HLOOKUP($A$1,+[18]İcmal!$B$19:$AG$49,ROW(Q9)+1,FALSE)</f>
        <v>0</v>
      </c>
      <c r="AA11" s="15" cm="1">
        <f t="array" ref="AA11">+HLOOKUP($A$1,+[19]İcmal!$B$19:$AG$49,ROW(R9)+1,FALSE)</f>
        <v>0</v>
      </c>
      <c r="AB11" s="15" cm="1">
        <f t="array" ref="AB11">+HLOOKUP($A$1,+[20]İcmal!$B$19:$AG$49,ROW(S9)+1,FALSE)</f>
        <v>0</v>
      </c>
      <c r="AC11" s="15" cm="1">
        <f t="array" ref="AC11">+HLOOKUP($A$1,+[21]İcmal!$B$19:$AG$49,ROW(T9)+1,FALSE)</f>
        <v>0</v>
      </c>
      <c r="AD11" s="15" cm="1">
        <f t="array" ref="AD11">+HLOOKUP($A$1,+[22]İcmal!$B$19:$AG$49,ROW(U9)+1,FALSE)</f>
        <v>0</v>
      </c>
      <c r="AE11" s="15" cm="1">
        <f t="array" ref="AE11">+HLOOKUP($A$1,+[23]İcmal!$B$19:$AG$49,ROW(V9)+1,FALSE)</f>
        <v>0</v>
      </c>
      <c r="AF11" s="15" cm="1">
        <f t="array" ref="AF11">+HLOOKUP($A$1,+[24]İcmal!$B$19:$AG$49,ROW(W9)+1,FALSE)</f>
        <v>0</v>
      </c>
      <c r="AG11" s="15" cm="1">
        <f t="array" ref="AG11">+HLOOKUP($A$1,+[25]İcmal!$B$19:$AG$49,ROW(X9)+1,FALSE)</f>
        <v>0</v>
      </c>
      <c r="AH11" s="15" cm="1">
        <f t="array" ref="AH11">+HLOOKUP($A$1,+[26]İcmal!$B$19:$AG$49,ROW(Y9)+1,FALSE)</f>
        <v>0</v>
      </c>
      <c r="AI11" s="15" cm="1">
        <f t="array" ref="AI11">+HLOOKUP($A$1,+[27]İcmal!$B$19:$AG$49,ROW(Z9)+1,FALSE)</f>
        <v>0</v>
      </c>
      <c r="AJ11" s="15" cm="1">
        <f t="array" ref="AJ11">+HLOOKUP($A$1,+[28]İcmal!$B$19:$AG$49,ROW(AA9)+1,FALSE)</f>
        <v>0</v>
      </c>
      <c r="AK11" s="15" cm="1">
        <f t="array" ref="AK11">+HLOOKUP($A$1,+[29]İcmal!$B$19:$AG$49,ROW(AB9)+1,FALSE)</f>
        <v>0</v>
      </c>
      <c r="AL11" s="15"/>
      <c r="AM11" s="15"/>
      <c r="AN11" s="15"/>
      <c r="AO11" s="15"/>
      <c r="AP11" s="15"/>
      <c r="AQ11" s="15"/>
      <c r="AR11" s="15"/>
      <c r="AS11" s="15"/>
      <c r="AT11" s="13"/>
    </row>
    <row r="12" spans="1:46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350</v>
      </c>
      <c r="I12" s="9">
        <f t="shared" si="2"/>
        <v>4200000</v>
      </c>
      <c r="J12" s="15" cm="1">
        <f t="array" ref="J12">+HLOOKUP($A$1,+[2]İcmal!$B$19:$AG$49,ROW(A10)+1,FALSE)</f>
        <v>0</v>
      </c>
      <c r="K12" s="15" cm="1">
        <f t="array" ref="K12">+HLOOKUP($A$1,+[3]İcmal!$B$19:$AG$49,ROW(B10)+1,FALSE)</f>
        <v>0</v>
      </c>
      <c r="L12" s="15" cm="1">
        <f t="array" ref="L12">+HLOOKUP($A$1,+[4]İcmal!$B$19:$AG$49,ROW(C10)+1,FALSE)</f>
        <v>0</v>
      </c>
      <c r="M12" s="15" cm="1">
        <f t="array" ref="M12">+HLOOKUP($A$1,+[5]İcmal!$B$19:$AG$49,ROW(D10)+1,FALSE)</f>
        <v>0</v>
      </c>
      <c r="N12" s="15" cm="1">
        <f t="array" ref="N12">+HLOOKUP($A$1,+[6]İcmal!$B$19:$AG$49,ROW(E10)+1,FALSE)</f>
        <v>0</v>
      </c>
      <c r="O12" s="15" cm="1">
        <f t="array" ref="O12">+HLOOKUP($A$1,+[7]İcmal!$B$19:$AG$49,ROW(F10)+1,FALSE)</f>
        <v>0</v>
      </c>
      <c r="P12" s="15" cm="1">
        <f t="array" ref="P12">+HLOOKUP($A$1,+[8]İcmal!$B$19:$AG$49,ROW(G10)+1,FALSE)</f>
        <v>0</v>
      </c>
      <c r="Q12" s="15" cm="1">
        <f t="array" ref="Q12">+HLOOKUP($A$1,+[9]İcmal!$B$19:$AG$49,ROW(H10)+1,FALSE)</f>
        <v>0</v>
      </c>
      <c r="R12" s="15" cm="1">
        <f t="array" ref="R12">+HLOOKUP($A$1,+[10]İcmal!$B$19:$AG$49,ROW(I10)+1,FALSE)</f>
        <v>0</v>
      </c>
      <c r="S12" s="15" cm="1">
        <f t="array" ref="S12">+HLOOKUP($A$1,+[11]İcmal!$B$19:$AG$49,ROW(J10)+1,FALSE)</f>
        <v>0</v>
      </c>
      <c r="T12" s="15" cm="1">
        <f t="array" ref="T12">+HLOOKUP($A$1,+[12]İcmal!$B$19:$AG$49,ROW(K10)+1,FALSE)</f>
        <v>0</v>
      </c>
      <c r="U12" s="15" cm="1">
        <f t="array" ref="U12">+HLOOKUP($A$1,+[13]İcmal!$B$19:$AG$49,ROW(L10)+1,FALSE)</f>
        <v>0</v>
      </c>
      <c r="V12" s="15" cm="1">
        <f t="array" ref="V12">+HLOOKUP($A$1,+[14]İcmal!$B$19:$AG$49,ROW(M10)+1,FALSE)</f>
        <v>0</v>
      </c>
      <c r="W12" s="15" cm="1">
        <f t="array" ref="W12">+HLOOKUP($A$1,+[15]İcmal!$B$19:$AG$49,ROW(N10)+1,FALSE)</f>
        <v>0</v>
      </c>
      <c r="X12" s="15" cm="1">
        <f t="array" ref="X12">+HLOOKUP($A$1,+[16]İcmal!$B$19:$AG$49,ROW(O10)+1,FALSE)</f>
        <v>0</v>
      </c>
      <c r="Y12" s="15" cm="1">
        <f t="array" ref="Y12">+HLOOKUP($A$1,+[17]İcmal!$B$19:$AG$49,ROW(P10)+1,FALSE)</f>
        <v>0</v>
      </c>
      <c r="Z12" s="15" cm="1">
        <f t="array" ref="Z12">+HLOOKUP($A$1,+[18]İcmal!$B$19:$AG$49,ROW(Q10)+1,FALSE)</f>
        <v>175</v>
      </c>
      <c r="AA12" s="15" cm="1">
        <f t="array" ref="AA12">+HLOOKUP($A$1,+[19]İcmal!$B$19:$AG$49,ROW(R10)+1,FALSE)</f>
        <v>0</v>
      </c>
      <c r="AB12" s="15" cm="1">
        <f t="array" ref="AB12">+HLOOKUP($A$1,+[20]İcmal!$B$19:$AG$49,ROW(S10)+1,FALSE)</f>
        <v>0</v>
      </c>
      <c r="AC12" s="15" cm="1">
        <f t="array" ref="AC12">+HLOOKUP($A$1,+[21]İcmal!$B$19:$AG$49,ROW(T10)+1,FALSE)</f>
        <v>0</v>
      </c>
      <c r="AD12" s="15" cm="1">
        <f t="array" ref="AD12">+HLOOKUP($A$1,+[22]İcmal!$B$19:$AG$49,ROW(U10)+1,FALSE)</f>
        <v>0</v>
      </c>
      <c r="AE12" s="15" cm="1">
        <f t="array" ref="AE12">+HLOOKUP($A$1,+[23]İcmal!$B$19:$AG$49,ROW(V10)+1,FALSE)</f>
        <v>0</v>
      </c>
      <c r="AF12" s="15" cm="1">
        <f t="array" ref="AF12">+HLOOKUP($A$1,+[24]İcmal!$B$19:$AG$49,ROW(W10)+1,FALSE)</f>
        <v>0</v>
      </c>
      <c r="AG12" s="15" cm="1">
        <f t="array" ref="AG12">+HLOOKUP($A$1,+[25]İcmal!$B$19:$AG$49,ROW(X10)+1,FALSE)</f>
        <v>0</v>
      </c>
      <c r="AH12" s="15" cm="1">
        <f t="array" ref="AH12">+HLOOKUP($A$1,+[26]İcmal!$B$19:$AG$49,ROW(Y10)+1,FALSE)</f>
        <v>0</v>
      </c>
      <c r="AI12" s="15" cm="1">
        <f t="array" ref="AI12">+HLOOKUP($A$1,+[27]İcmal!$B$19:$AG$49,ROW(Z10)+1,FALSE)</f>
        <v>0</v>
      </c>
      <c r="AJ12" s="15" cm="1">
        <f t="array" ref="AJ12">+HLOOKUP($A$1,+[28]İcmal!$B$19:$AG$49,ROW(AA10)+1,FALSE)</f>
        <v>175</v>
      </c>
      <c r="AK12" s="15" cm="1">
        <f t="array" ref="AK12">+HLOOKUP($A$1,+[29]İcmal!$B$19:$AG$49,ROW(AB10)+1,FALSE)</f>
        <v>0</v>
      </c>
      <c r="AL12" s="15"/>
      <c r="AM12" s="15"/>
      <c r="AN12" s="15"/>
      <c r="AO12" s="15"/>
      <c r="AP12" s="15"/>
      <c r="AQ12" s="15"/>
      <c r="AR12" s="15"/>
      <c r="AS12" s="15"/>
      <c r="AT12" s="13"/>
    </row>
    <row r="13" spans="1:46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1273</v>
      </c>
      <c r="I13" s="9">
        <f t="shared" si="2"/>
        <v>35644000</v>
      </c>
      <c r="J13" s="15" cm="1">
        <f t="array" ref="J13">+HLOOKUP($A$1,+[2]İcmal!$B$19:$AG$49,ROW(A11)+1,FALSE)</f>
        <v>0</v>
      </c>
      <c r="K13" s="15" cm="1">
        <f t="array" ref="K13">+HLOOKUP($A$1,+[3]İcmal!$B$19:$AG$49,ROW(B11)+1,FALSE)</f>
        <v>0</v>
      </c>
      <c r="L13" s="15" cm="1">
        <f t="array" ref="L13">+HLOOKUP($A$1,+[4]İcmal!$B$19:$AG$49,ROW(C11)+1,FALSE)</f>
        <v>9</v>
      </c>
      <c r="M13" s="15" cm="1">
        <f t="array" ref="M13">+HLOOKUP($A$1,+[5]İcmal!$B$19:$AG$49,ROW(D11)+1,FALSE)</f>
        <v>9</v>
      </c>
      <c r="N13" s="15" cm="1">
        <f t="array" ref="N13">+HLOOKUP($A$1,+[6]İcmal!$B$19:$AG$49,ROW(E11)+1,FALSE)</f>
        <v>228</v>
      </c>
      <c r="O13" s="15" cm="1">
        <f t="array" ref="O13">+HLOOKUP($A$1,+[7]İcmal!$B$19:$AG$49,ROW(F11)+1,FALSE)</f>
        <v>166</v>
      </c>
      <c r="P13" s="15" cm="1">
        <f t="array" ref="P13">+HLOOKUP($A$1,+[8]İcmal!$B$19:$AG$49,ROW(G11)+1,FALSE)</f>
        <v>99</v>
      </c>
      <c r="Q13" s="15" cm="1">
        <f t="array" ref="Q13">+HLOOKUP($A$1,+[9]İcmal!$B$19:$AG$49,ROW(H11)+1,FALSE)</f>
        <v>66</v>
      </c>
      <c r="R13" s="15" cm="1">
        <f t="array" ref="R13">+HLOOKUP($A$1,+[10]İcmal!$B$19:$AG$49,ROW(I11)+1,FALSE)</f>
        <v>130</v>
      </c>
      <c r="S13" s="15" cm="1">
        <f t="array" ref="S13">+HLOOKUP($A$1,+[11]İcmal!$B$19:$AG$49,ROW(J11)+1,FALSE)</f>
        <v>74</v>
      </c>
      <c r="T13" s="15" cm="1">
        <f t="array" ref="T13">+HLOOKUP($A$1,+[12]İcmal!$B$19:$AG$49,ROW(K11)+1,FALSE)</f>
        <v>171</v>
      </c>
      <c r="U13" s="15" cm="1">
        <f t="array" ref="U13">+HLOOKUP($A$1,+[13]İcmal!$B$19:$AG$49,ROW(L11)+1,FALSE)</f>
        <v>138</v>
      </c>
      <c r="V13" s="15" cm="1">
        <f t="array" ref="V13">+HLOOKUP($A$1,+[14]İcmal!$B$19:$AG$49,ROW(M11)+1,FALSE)</f>
        <v>0</v>
      </c>
      <c r="W13" s="15" cm="1">
        <f t="array" ref="W13">+HLOOKUP($A$1,+[15]İcmal!$B$19:$AG$49,ROW(N11)+1,FALSE)</f>
        <v>0</v>
      </c>
      <c r="X13" s="15" cm="1">
        <f t="array" ref="X13">+HLOOKUP($A$1,+[16]İcmal!$B$19:$AG$49,ROW(O11)+1,FALSE)</f>
        <v>84</v>
      </c>
      <c r="Y13" s="15" cm="1">
        <f t="array" ref="Y13">+HLOOKUP($A$1,+[17]İcmal!$B$19:$AG$49,ROW(P11)+1,FALSE)</f>
        <v>81</v>
      </c>
      <c r="Z13" s="15" cm="1">
        <f t="array" ref="Z13">+HLOOKUP($A$1,+[18]İcmal!$B$19:$AG$49,ROW(Q11)+1,FALSE)</f>
        <v>0</v>
      </c>
      <c r="AA13" s="15" cm="1">
        <f t="array" ref="AA13">+HLOOKUP($A$1,+[19]İcmal!$B$19:$AG$49,ROW(R11)+1,FALSE)</f>
        <v>18</v>
      </c>
      <c r="AB13" s="15" cm="1">
        <f t="array" ref="AB13">+HLOOKUP($A$1,+[20]İcmal!$B$19:$AG$49,ROW(S11)+1,FALSE)</f>
        <v>0</v>
      </c>
      <c r="AC13" s="15" cm="1">
        <f t="array" ref="AC13">+HLOOKUP($A$1,+[21]İcmal!$B$19:$AG$49,ROW(T11)+1,FALSE)</f>
        <v>0</v>
      </c>
      <c r="AD13" s="15" cm="1">
        <f t="array" ref="AD13">+HLOOKUP($A$1,+[22]İcmal!$B$19:$AG$49,ROW(U11)+1,FALSE)</f>
        <v>0</v>
      </c>
      <c r="AE13" s="15" cm="1">
        <f t="array" ref="AE13">+HLOOKUP($A$1,+[23]İcmal!$B$19:$AG$49,ROW(V11)+1,FALSE)</f>
        <v>0</v>
      </c>
      <c r="AF13" s="15" cm="1">
        <f t="array" ref="AF13">+HLOOKUP($A$1,+[24]İcmal!$B$19:$AG$49,ROW(W11)+1,FALSE)</f>
        <v>0</v>
      </c>
      <c r="AG13" s="15" cm="1">
        <f t="array" ref="AG13">+HLOOKUP($A$1,+[25]İcmal!$B$19:$AG$49,ROW(X11)+1,FALSE)</f>
        <v>0</v>
      </c>
      <c r="AH13" s="15" cm="1">
        <f t="array" ref="AH13">+HLOOKUP($A$1,+[26]İcmal!$B$19:$AG$49,ROW(Y11)+1,FALSE)</f>
        <v>0</v>
      </c>
      <c r="AI13" s="15" cm="1">
        <f t="array" ref="AI13">+HLOOKUP($A$1,+[27]İcmal!$B$19:$AG$49,ROW(Z11)+1,FALSE)</f>
        <v>0</v>
      </c>
      <c r="AJ13" s="15" cm="1">
        <f t="array" ref="AJ13">+HLOOKUP($A$1,+[28]İcmal!$B$19:$AG$49,ROW(AA11)+1,FALSE)</f>
        <v>0</v>
      </c>
      <c r="AK13" s="15" cm="1">
        <f t="array" ref="AK13">+HLOOKUP($A$1,+[29]İcmal!$B$19:$AG$49,ROW(AB11)+1,FALSE)</f>
        <v>0</v>
      </c>
      <c r="AL13" s="15"/>
      <c r="AM13" s="15"/>
      <c r="AN13" s="15"/>
      <c r="AO13" s="15"/>
      <c r="AP13" s="15"/>
      <c r="AQ13" s="15"/>
      <c r="AR13" s="15"/>
      <c r="AS13" s="15"/>
      <c r="AT13" s="13"/>
    </row>
    <row r="14" spans="1:46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0</v>
      </c>
      <c r="I14" s="9">
        <f t="shared" si="2"/>
        <v>0</v>
      </c>
      <c r="J14" s="15" cm="1">
        <f t="array" ref="J14">+HLOOKUP($A$1,+[2]İcmal!$B$19:$AG$49,ROW(A12)+1,FALSE)</f>
        <v>0</v>
      </c>
      <c r="K14" s="15" cm="1">
        <f t="array" ref="K14">+HLOOKUP($A$1,+[3]İcmal!$B$19:$AG$49,ROW(B12)+1,FALSE)</f>
        <v>0</v>
      </c>
      <c r="L14" s="15" cm="1">
        <f t="array" ref="L14">+HLOOKUP($A$1,+[4]İcmal!$B$19:$AG$49,ROW(C12)+1,FALSE)</f>
        <v>0</v>
      </c>
      <c r="M14" s="15" cm="1">
        <f t="array" ref="M14">+HLOOKUP($A$1,+[5]İcmal!$B$19:$AG$49,ROW(D12)+1,FALSE)</f>
        <v>0</v>
      </c>
      <c r="N14" s="15" cm="1">
        <f t="array" ref="N14">+HLOOKUP($A$1,+[6]İcmal!$B$19:$AG$49,ROW(E12)+1,FALSE)</f>
        <v>0</v>
      </c>
      <c r="O14" s="15" cm="1">
        <f t="array" ref="O14">+HLOOKUP($A$1,+[7]İcmal!$B$19:$AG$49,ROW(F12)+1,FALSE)</f>
        <v>0</v>
      </c>
      <c r="P14" s="15" cm="1">
        <f t="array" ref="P14">+HLOOKUP($A$1,+[8]İcmal!$B$19:$AG$49,ROW(G12)+1,FALSE)</f>
        <v>0</v>
      </c>
      <c r="Q14" s="15" cm="1">
        <f t="array" ref="Q14">+HLOOKUP($A$1,+[9]İcmal!$B$19:$AG$49,ROW(H12)+1,FALSE)</f>
        <v>0</v>
      </c>
      <c r="R14" s="15" cm="1">
        <f t="array" ref="R14">+HLOOKUP($A$1,+[10]İcmal!$B$19:$AG$49,ROW(I12)+1,FALSE)</f>
        <v>0</v>
      </c>
      <c r="S14" s="15" cm="1">
        <f t="array" ref="S14">+HLOOKUP($A$1,+[11]İcmal!$B$19:$AG$49,ROW(J12)+1,FALSE)</f>
        <v>0</v>
      </c>
      <c r="T14" s="15" cm="1">
        <f t="array" ref="T14">+HLOOKUP($A$1,+[12]İcmal!$B$19:$AG$49,ROW(K12)+1,FALSE)</f>
        <v>0</v>
      </c>
      <c r="U14" s="15" cm="1">
        <f t="array" ref="U14">+HLOOKUP($A$1,+[13]İcmal!$B$19:$AG$49,ROW(L12)+1,FALSE)</f>
        <v>0</v>
      </c>
      <c r="V14" s="15" cm="1">
        <f t="array" ref="V14">+HLOOKUP($A$1,+[14]İcmal!$B$19:$AG$49,ROW(M12)+1,FALSE)</f>
        <v>0</v>
      </c>
      <c r="W14" s="15" cm="1">
        <f t="array" ref="W14">+HLOOKUP($A$1,+[15]İcmal!$B$19:$AG$49,ROW(N12)+1,FALSE)</f>
        <v>0</v>
      </c>
      <c r="X14" s="15" cm="1">
        <f t="array" ref="X14">+HLOOKUP($A$1,+[16]İcmal!$B$19:$AG$49,ROW(O12)+1,FALSE)</f>
        <v>0</v>
      </c>
      <c r="Y14" s="15" cm="1">
        <f t="array" ref="Y14">+HLOOKUP($A$1,+[17]İcmal!$B$19:$AG$49,ROW(P12)+1,FALSE)</f>
        <v>0</v>
      </c>
      <c r="Z14" s="15" cm="1">
        <f t="array" ref="Z14">+HLOOKUP($A$1,+[18]İcmal!$B$19:$AG$49,ROW(Q12)+1,FALSE)</f>
        <v>0</v>
      </c>
      <c r="AA14" s="15" cm="1">
        <f t="array" ref="AA14">+HLOOKUP($A$1,+[19]İcmal!$B$19:$AG$49,ROW(R12)+1,FALSE)</f>
        <v>0</v>
      </c>
      <c r="AB14" s="15" cm="1">
        <f t="array" ref="AB14">+HLOOKUP($A$1,+[20]İcmal!$B$19:$AG$49,ROW(S12)+1,FALSE)</f>
        <v>0</v>
      </c>
      <c r="AC14" s="15" cm="1">
        <f t="array" ref="AC14">+HLOOKUP($A$1,+[21]İcmal!$B$19:$AG$49,ROW(T12)+1,FALSE)</f>
        <v>0</v>
      </c>
      <c r="AD14" s="15" cm="1">
        <f t="array" ref="AD14">+HLOOKUP($A$1,+[22]İcmal!$B$19:$AG$49,ROW(U12)+1,FALSE)</f>
        <v>0</v>
      </c>
      <c r="AE14" s="15" cm="1">
        <f t="array" ref="AE14">+HLOOKUP($A$1,+[23]İcmal!$B$19:$AG$49,ROW(V12)+1,FALSE)</f>
        <v>0</v>
      </c>
      <c r="AF14" s="15" cm="1">
        <f t="array" ref="AF14">+HLOOKUP($A$1,+[24]İcmal!$B$19:$AG$49,ROW(W12)+1,FALSE)</f>
        <v>0</v>
      </c>
      <c r="AG14" s="15" cm="1">
        <f t="array" ref="AG14">+HLOOKUP($A$1,+[25]İcmal!$B$19:$AG$49,ROW(X12)+1,FALSE)</f>
        <v>0</v>
      </c>
      <c r="AH14" s="15" cm="1">
        <f t="array" ref="AH14">+HLOOKUP($A$1,+[26]İcmal!$B$19:$AG$49,ROW(Y12)+1,FALSE)</f>
        <v>0</v>
      </c>
      <c r="AI14" s="15" cm="1">
        <f t="array" ref="AI14">+HLOOKUP($A$1,+[27]İcmal!$B$19:$AG$49,ROW(Z12)+1,FALSE)</f>
        <v>0</v>
      </c>
      <c r="AJ14" s="15" cm="1">
        <f t="array" ref="AJ14">+HLOOKUP($A$1,+[28]İcmal!$B$19:$AG$49,ROW(AA12)+1,FALSE)</f>
        <v>0</v>
      </c>
      <c r="AK14" s="15" cm="1">
        <f t="array" ref="AK14">+HLOOKUP($A$1,+[29]İcmal!$B$19:$AG$49,ROW(AB12)+1,FALSE)</f>
        <v>0</v>
      </c>
      <c r="AL14" s="15"/>
      <c r="AM14" s="15"/>
      <c r="AN14" s="15"/>
      <c r="AO14" s="15"/>
      <c r="AP14" s="15"/>
      <c r="AQ14" s="15"/>
      <c r="AR14" s="15"/>
      <c r="AS14" s="15"/>
      <c r="AT14" s="13"/>
    </row>
    <row r="15" spans="1:46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+HLOOKUP($A$1,+[2]İcmal!$B$19:$AG$49,ROW(A13)+1,FALSE)</f>
        <v>0</v>
      </c>
      <c r="K15" s="15" cm="1">
        <f t="array" ref="K15">+HLOOKUP($A$1,+[3]İcmal!$B$19:$AG$49,ROW(B13)+1,FALSE)</f>
        <v>0</v>
      </c>
      <c r="L15" s="15" cm="1">
        <f t="array" ref="L15">+HLOOKUP($A$1,+[4]İcmal!$B$19:$AG$49,ROW(C13)+1,FALSE)</f>
        <v>0</v>
      </c>
      <c r="M15" s="15" cm="1">
        <f t="array" ref="M15">+HLOOKUP($A$1,+[5]İcmal!$B$19:$AG$49,ROW(D13)+1,FALSE)</f>
        <v>0</v>
      </c>
      <c r="N15" s="15" cm="1">
        <f t="array" ref="N15">+HLOOKUP($A$1,+[6]İcmal!$B$19:$AG$49,ROW(E13)+1,FALSE)</f>
        <v>0</v>
      </c>
      <c r="O15" s="15" cm="1">
        <f t="array" ref="O15">+HLOOKUP($A$1,+[7]İcmal!$B$19:$AG$49,ROW(F13)+1,FALSE)</f>
        <v>0</v>
      </c>
      <c r="P15" s="15" cm="1">
        <f t="array" ref="P15">+HLOOKUP($A$1,+[8]İcmal!$B$19:$AG$49,ROW(G13)+1,FALSE)</f>
        <v>0</v>
      </c>
      <c r="Q15" s="15" cm="1">
        <f t="array" ref="Q15">+HLOOKUP($A$1,+[9]İcmal!$B$19:$AG$49,ROW(H13)+1,FALSE)</f>
        <v>0</v>
      </c>
      <c r="R15" s="15" cm="1">
        <f t="array" ref="R15">+HLOOKUP($A$1,+[10]İcmal!$B$19:$AG$49,ROW(I13)+1,FALSE)</f>
        <v>0</v>
      </c>
      <c r="S15" s="15" cm="1">
        <f t="array" ref="S15">+HLOOKUP($A$1,+[11]İcmal!$B$19:$AG$49,ROW(J13)+1,FALSE)</f>
        <v>0</v>
      </c>
      <c r="T15" s="15" cm="1">
        <f t="array" ref="T15">+HLOOKUP($A$1,+[12]İcmal!$B$19:$AG$49,ROW(K13)+1,FALSE)</f>
        <v>0</v>
      </c>
      <c r="U15" s="15" cm="1">
        <f t="array" ref="U15">+HLOOKUP($A$1,+[13]İcmal!$B$19:$AG$49,ROW(L13)+1,FALSE)</f>
        <v>0</v>
      </c>
      <c r="V15" s="15" cm="1">
        <f t="array" ref="V15">+HLOOKUP($A$1,+[14]İcmal!$B$19:$AG$49,ROW(M13)+1,FALSE)</f>
        <v>0</v>
      </c>
      <c r="W15" s="15" cm="1">
        <f t="array" ref="W15">+HLOOKUP($A$1,+[15]İcmal!$B$19:$AG$49,ROW(N13)+1,FALSE)</f>
        <v>0</v>
      </c>
      <c r="X15" s="15" cm="1">
        <f t="array" ref="X15">+HLOOKUP($A$1,+[16]İcmal!$B$19:$AG$49,ROW(O13)+1,FALSE)</f>
        <v>0</v>
      </c>
      <c r="Y15" s="15" cm="1">
        <f t="array" ref="Y15">+HLOOKUP($A$1,+[17]İcmal!$B$19:$AG$49,ROW(P13)+1,FALSE)</f>
        <v>0</v>
      </c>
      <c r="Z15" s="15" cm="1">
        <f t="array" ref="Z15">+HLOOKUP($A$1,+[18]İcmal!$B$19:$AG$49,ROW(Q13)+1,FALSE)</f>
        <v>0</v>
      </c>
      <c r="AA15" s="15" cm="1">
        <f t="array" ref="AA15">+HLOOKUP($A$1,+[19]İcmal!$B$19:$AG$49,ROW(R13)+1,FALSE)</f>
        <v>0</v>
      </c>
      <c r="AB15" s="15" cm="1">
        <f t="array" ref="AB15">+HLOOKUP($A$1,+[20]İcmal!$B$19:$AG$49,ROW(S13)+1,FALSE)</f>
        <v>0</v>
      </c>
      <c r="AC15" s="15" cm="1">
        <f t="array" ref="AC15">+HLOOKUP($A$1,+[21]İcmal!$B$19:$AG$49,ROW(T13)+1,FALSE)</f>
        <v>0</v>
      </c>
      <c r="AD15" s="15" cm="1">
        <f t="array" ref="AD15">+HLOOKUP($A$1,+[22]İcmal!$B$19:$AG$49,ROW(U13)+1,FALSE)</f>
        <v>0</v>
      </c>
      <c r="AE15" s="15" cm="1">
        <f t="array" ref="AE15">+HLOOKUP($A$1,+[23]İcmal!$B$19:$AG$49,ROW(V13)+1,FALSE)</f>
        <v>0</v>
      </c>
      <c r="AF15" s="15" cm="1">
        <f t="array" ref="AF15">+HLOOKUP($A$1,+[24]İcmal!$B$19:$AG$49,ROW(W13)+1,FALSE)</f>
        <v>0</v>
      </c>
      <c r="AG15" s="15" cm="1">
        <f t="array" ref="AG15">+HLOOKUP($A$1,+[25]İcmal!$B$19:$AG$49,ROW(X13)+1,FALSE)</f>
        <v>0</v>
      </c>
      <c r="AH15" s="15" cm="1">
        <f t="array" ref="AH15">+HLOOKUP($A$1,+[26]İcmal!$B$19:$AG$49,ROW(Y13)+1,FALSE)</f>
        <v>0</v>
      </c>
      <c r="AI15" s="15" cm="1">
        <f t="array" ref="AI15">+HLOOKUP($A$1,+[27]İcmal!$B$19:$AG$49,ROW(Z13)+1,FALSE)</f>
        <v>0</v>
      </c>
      <c r="AJ15" s="15" cm="1">
        <f t="array" ref="AJ15">+HLOOKUP($A$1,+[28]İcmal!$B$19:$AG$49,ROW(AA13)+1,FALSE)</f>
        <v>0</v>
      </c>
      <c r="AK15" s="15" cm="1">
        <f t="array" ref="AK15">+HLOOKUP($A$1,+[29]İcmal!$B$19:$AG$49,ROW(AB13)+1,FALSE)</f>
        <v>0</v>
      </c>
      <c r="AL15" s="15"/>
      <c r="AM15" s="15"/>
      <c r="AN15" s="15"/>
      <c r="AO15" s="15"/>
      <c r="AP15" s="15"/>
      <c r="AQ15" s="15"/>
      <c r="AR15" s="15"/>
      <c r="AS15" s="15"/>
      <c r="AT15" s="13"/>
    </row>
    <row r="16" spans="1:46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157.31500000000003</v>
      </c>
      <c r="I16" s="9">
        <f t="shared" si="2"/>
        <v>16046130.000000002</v>
      </c>
      <c r="J16" s="15" cm="1">
        <f t="array" ref="J16">+HLOOKUP($A$1,+[2]İcmal!$B$19:$AG$49,ROW(A14)+1,FALSE)</f>
        <v>0</v>
      </c>
      <c r="K16" s="15" cm="1">
        <f t="array" ref="K16">+HLOOKUP($A$1,+[3]İcmal!$B$19:$AG$49,ROW(B14)+1,FALSE)</f>
        <v>0</v>
      </c>
      <c r="L16" s="15" cm="1">
        <f t="array" ref="L16">+HLOOKUP($A$1,+[4]İcmal!$B$19:$AG$49,ROW(C14)+1,FALSE)</f>
        <v>25.375</v>
      </c>
      <c r="M16" s="15" cm="1">
        <f t="array" ref="M16">+HLOOKUP($A$1,+[5]İcmal!$B$19:$AG$49,ROW(D14)+1,FALSE)</f>
        <v>0</v>
      </c>
      <c r="N16" s="15" cm="1">
        <f t="array" ref="N16">+HLOOKUP($A$1,+[6]İcmal!$B$19:$AG$49,ROW(E14)+1,FALSE)</f>
        <v>0</v>
      </c>
      <c r="O16" s="15" cm="1">
        <f t="array" ref="O16">+HLOOKUP($A$1,+[7]İcmal!$B$19:$AG$49,ROW(F14)+1,FALSE)</f>
        <v>0</v>
      </c>
      <c r="P16" s="15" cm="1">
        <f t="array" ref="P16">+HLOOKUP($A$1,+[8]İcmal!$B$19:$AG$49,ROW(G14)+1,FALSE)</f>
        <v>26.547000000000001</v>
      </c>
      <c r="Q16" s="15" cm="1">
        <f t="array" ref="Q16">+HLOOKUP($A$1,+[9]İcmal!$B$19:$AG$49,ROW(H14)+1,FALSE)</f>
        <v>25.24</v>
      </c>
      <c r="R16" s="15" cm="1">
        <f t="array" ref="R16">+HLOOKUP($A$1,+[10]İcmal!$B$19:$AG$49,ROW(I14)+1,FALSE)</f>
        <v>0</v>
      </c>
      <c r="S16" s="15" cm="1">
        <f t="array" ref="S16">+HLOOKUP($A$1,+[11]İcmal!$B$19:$AG$49,ROW(J14)+1,FALSE)</f>
        <v>0</v>
      </c>
      <c r="T16" s="15" cm="1">
        <f t="array" ref="T16">+HLOOKUP($A$1,+[12]İcmal!$B$19:$AG$49,ROW(K14)+1,FALSE)</f>
        <v>31.562000000000005</v>
      </c>
      <c r="U16" s="15" cm="1">
        <f t="array" ref="U16">+HLOOKUP($A$1,+[13]İcmal!$B$19:$AG$49,ROW(L14)+1,FALSE)</f>
        <v>31.625999999999998</v>
      </c>
      <c r="V16" s="15" cm="1">
        <f t="array" ref="V16">+HLOOKUP($A$1,+[14]İcmal!$B$19:$AG$49,ROW(M14)+1,FALSE)</f>
        <v>0</v>
      </c>
      <c r="W16" s="15" cm="1">
        <f t="array" ref="W16">+HLOOKUP($A$1,+[15]İcmal!$B$19:$AG$49,ROW(N14)+1,FALSE)</f>
        <v>0</v>
      </c>
      <c r="X16" s="15" cm="1">
        <f t="array" ref="X16">+HLOOKUP($A$1,+[16]İcmal!$B$19:$AG$49,ROW(O14)+1,FALSE)</f>
        <v>4.0919999999999987</v>
      </c>
      <c r="Y16" s="15" cm="1">
        <f t="array" ref="Y16">+HLOOKUP($A$1,+[17]İcmal!$B$19:$AG$49,ROW(P14)+1,FALSE)</f>
        <v>4.1069999999999993</v>
      </c>
      <c r="Z16" s="15" cm="1">
        <f t="array" ref="Z16">+HLOOKUP($A$1,+[18]İcmal!$B$19:$AG$49,ROW(Q14)+1,FALSE)</f>
        <v>0</v>
      </c>
      <c r="AA16" s="15" cm="1">
        <f t="array" ref="AA16">+HLOOKUP($A$1,+[19]İcmal!$B$19:$AG$49,ROW(R14)+1,FALSE)</f>
        <v>4.383</v>
      </c>
      <c r="AB16" s="15" cm="1">
        <f t="array" ref="AB16">+HLOOKUP($A$1,+[20]İcmal!$B$19:$AG$49,ROW(S14)+1,FALSE)</f>
        <v>0</v>
      </c>
      <c r="AC16" s="15" cm="1">
        <f t="array" ref="AC16">+HLOOKUP($A$1,+[21]İcmal!$B$19:$AG$49,ROW(T14)+1,FALSE)</f>
        <v>0</v>
      </c>
      <c r="AD16" s="15" cm="1">
        <f t="array" ref="AD16">+HLOOKUP($A$1,+[22]İcmal!$B$19:$AG$49,ROW(U14)+1,FALSE)</f>
        <v>0</v>
      </c>
      <c r="AE16" s="15" cm="1">
        <f t="array" ref="AE16">+HLOOKUP($A$1,+[23]İcmal!$B$19:$AG$49,ROW(V14)+1,FALSE)</f>
        <v>0</v>
      </c>
      <c r="AF16" s="15" cm="1">
        <f t="array" ref="AF16">+HLOOKUP($A$1,+[24]İcmal!$B$19:$AG$49,ROW(W14)+1,FALSE)</f>
        <v>0</v>
      </c>
      <c r="AG16" s="15" cm="1">
        <f t="array" ref="AG16">+HLOOKUP($A$1,+[25]İcmal!$B$19:$AG$49,ROW(X14)+1,FALSE)</f>
        <v>0</v>
      </c>
      <c r="AH16" s="15" cm="1">
        <f t="array" ref="AH16">+HLOOKUP($A$1,+[26]İcmal!$B$19:$AG$49,ROW(Y14)+1,FALSE)</f>
        <v>0</v>
      </c>
      <c r="AI16" s="15" cm="1">
        <f t="array" ref="AI16">+HLOOKUP($A$1,+[27]İcmal!$B$19:$AG$49,ROW(Z14)+1,FALSE)</f>
        <v>0</v>
      </c>
      <c r="AJ16" s="15" cm="1">
        <f t="array" ref="AJ16">+HLOOKUP($A$1,+[28]İcmal!$B$19:$AG$49,ROW(AA14)+1,FALSE)</f>
        <v>0</v>
      </c>
      <c r="AK16" s="15" cm="1">
        <f t="array" ref="AK16">+HLOOKUP($A$1,+[29]İcmal!$B$19:$AG$49,ROW(AB14)+1,FALSE)</f>
        <v>4.383</v>
      </c>
      <c r="AL16" s="15"/>
      <c r="AM16" s="15"/>
      <c r="AN16" s="15"/>
      <c r="AO16" s="15"/>
      <c r="AP16" s="15"/>
      <c r="AQ16" s="15"/>
      <c r="AR16" s="15"/>
      <c r="AS16" s="15"/>
      <c r="AT16" s="13"/>
    </row>
    <row r="17" spans="1:46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0</v>
      </c>
      <c r="I17" s="9">
        <f t="shared" si="2"/>
        <v>0</v>
      </c>
      <c r="J17" s="15" cm="1">
        <f t="array" ref="J17">+HLOOKUP($A$1,+[2]İcmal!$B$19:$AG$49,ROW(A15)+1,FALSE)</f>
        <v>0</v>
      </c>
      <c r="K17" s="15" cm="1">
        <f t="array" ref="K17">+HLOOKUP($A$1,+[3]İcmal!$B$19:$AG$49,ROW(B15)+1,FALSE)</f>
        <v>0</v>
      </c>
      <c r="L17" s="15" cm="1">
        <f t="array" ref="L17">+HLOOKUP($A$1,+[4]İcmal!$B$19:$AG$49,ROW(C15)+1,FALSE)</f>
        <v>0</v>
      </c>
      <c r="M17" s="15" cm="1">
        <f t="array" ref="M17">+HLOOKUP($A$1,+[5]İcmal!$B$19:$AG$49,ROW(D15)+1,FALSE)</f>
        <v>0</v>
      </c>
      <c r="N17" s="15" cm="1">
        <f t="array" ref="N17">+HLOOKUP($A$1,+[6]İcmal!$B$19:$AG$49,ROW(E15)+1,FALSE)</f>
        <v>0</v>
      </c>
      <c r="O17" s="15" cm="1">
        <f t="array" ref="O17">+HLOOKUP($A$1,+[7]İcmal!$B$19:$AG$49,ROW(F15)+1,FALSE)</f>
        <v>0</v>
      </c>
      <c r="P17" s="15" cm="1">
        <f t="array" ref="P17">+HLOOKUP($A$1,+[8]İcmal!$B$19:$AG$49,ROW(G15)+1,FALSE)</f>
        <v>0</v>
      </c>
      <c r="Q17" s="15" cm="1">
        <f t="array" ref="Q17">+HLOOKUP($A$1,+[9]İcmal!$B$19:$AG$49,ROW(H15)+1,FALSE)</f>
        <v>0</v>
      </c>
      <c r="R17" s="15" cm="1">
        <f t="array" ref="R17">+HLOOKUP($A$1,+[10]İcmal!$B$19:$AG$49,ROW(I15)+1,FALSE)</f>
        <v>0</v>
      </c>
      <c r="S17" s="15" cm="1">
        <f t="array" ref="S17">+HLOOKUP($A$1,+[11]İcmal!$B$19:$AG$49,ROW(J15)+1,FALSE)</f>
        <v>0</v>
      </c>
      <c r="T17" s="15" cm="1">
        <f t="array" ref="T17">+HLOOKUP($A$1,+[12]İcmal!$B$19:$AG$49,ROW(K15)+1,FALSE)</f>
        <v>0</v>
      </c>
      <c r="U17" s="15" cm="1">
        <f t="array" ref="U17">+HLOOKUP($A$1,+[13]İcmal!$B$19:$AG$49,ROW(L15)+1,FALSE)</f>
        <v>0</v>
      </c>
      <c r="V17" s="15" cm="1">
        <f t="array" ref="V17">+HLOOKUP($A$1,+[14]İcmal!$B$19:$AG$49,ROW(M15)+1,FALSE)</f>
        <v>0</v>
      </c>
      <c r="W17" s="15" cm="1">
        <f t="array" ref="W17">+HLOOKUP($A$1,+[15]İcmal!$B$19:$AG$49,ROW(N15)+1,FALSE)</f>
        <v>0</v>
      </c>
      <c r="X17" s="15" cm="1">
        <f t="array" ref="X17">+HLOOKUP($A$1,+[16]İcmal!$B$19:$AG$49,ROW(O15)+1,FALSE)</f>
        <v>0</v>
      </c>
      <c r="Y17" s="15" cm="1">
        <f t="array" ref="Y17">+HLOOKUP($A$1,+[17]İcmal!$B$19:$AG$49,ROW(P15)+1,FALSE)</f>
        <v>0</v>
      </c>
      <c r="Z17" s="15" cm="1">
        <f t="array" ref="Z17">+HLOOKUP($A$1,+[18]İcmal!$B$19:$AG$49,ROW(Q15)+1,FALSE)</f>
        <v>0</v>
      </c>
      <c r="AA17" s="15" cm="1">
        <f t="array" ref="AA17">+HLOOKUP($A$1,+[19]İcmal!$B$19:$AG$49,ROW(R15)+1,FALSE)</f>
        <v>0</v>
      </c>
      <c r="AB17" s="15" cm="1">
        <f t="array" ref="AB17">+HLOOKUP($A$1,+[20]İcmal!$B$19:$AG$49,ROW(S15)+1,FALSE)</f>
        <v>0</v>
      </c>
      <c r="AC17" s="15" cm="1">
        <f t="array" ref="AC17">+HLOOKUP($A$1,+[21]İcmal!$B$19:$AG$49,ROW(T15)+1,FALSE)</f>
        <v>0</v>
      </c>
      <c r="AD17" s="15" cm="1">
        <f t="array" ref="AD17">+HLOOKUP($A$1,+[22]İcmal!$B$19:$AG$49,ROW(U15)+1,FALSE)</f>
        <v>0</v>
      </c>
      <c r="AE17" s="15" cm="1">
        <f t="array" ref="AE17">+HLOOKUP($A$1,+[23]İcmal!$B$19:$AG$49,ROW(V15)+1,FALSE)</f>
        <v>0</v>
      </c>
      <c r="AF17" s="15" cm="1">
        <f t="array" ref="AF17">+HLOOKUP($A$1,+[24]İcmal!$B$19:$AG$49,ROW(W15)+1,FALSE)</f>
        <v>0</v>
      </c>
      <c r="AG17" s="15" cm="1">
        <f t="array" ref="AG17">+HLOOKUP($A$1,+[25]İcmal!$B$19:$AG$49,ROW(X15)+1,FALSE)</f>
        <v>0</v>
      </c>
      <c r="AH17" s="15" cm="1">
        <f t="array" ref="AH17">+HLOOKUP($A$1,+[26]İcmal!$B$19:$AG$49,ROW(Y15)+1,FALSE)</f>
        <v>0</v>
      </c>
      <c r="AI17" s="15" cm="1">
        <f t="array" ref="AI17">+HLOOKUP($A$1,+[27]İcmal!$B$19:$AG$49,ROW(Z15)+1,FALSE)</f>
        <v>0</v>
      </c>
      <c r="AJ17" s="15" cm="1">
        <f t="array" ref="AJ17">+HLOOKUP($A$1,+[28]İcmal!$B$19:$AG$49,ROW(AA15)+1,FALSE)</f>
        <v>0</v>
      </c>
      <c r="AK17" s="15" cm="1">
        <f t="array" ref="AK17">+HLOOKUP($A$1,+[29]İcmal!$B$19:$AG$49,ROW(AB15)+1,FALSE)</f>
        <v>0</v>
      </c>
      <c r="AL17" s="15"/>
      <c r="AM17" s="15"/>
      <c r="AN17" s="15"/>
      <c r="AO17" s="15"/>
      <c r="AP17" s="15"/>
      <c r="AQ17" s="15"/>
      <c r="AR17" s="15"/>
      <c r="AS17" s="15"/>
      <c r="AT17" s="13"/>
    </row>
    <row r="18" spans="1:46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+HLOOKUP($A$1,+[2]İcmal!$B$19:$AG$49,ROW(A16)+1,FALSE)</f>
        <v>0</v>
      </c>
      <c r="K18" s="15" cm="1">
        <f t="array" ref="K18">+HLOOKUP($A$1,+[3]İcmal!$B$19:$AG$49,ROW(B16)+1,FALSE)</f>
        <v>0</v>
      </c>
      <c r="L18" s="15" cm="1">
        <f t="array" ref="L18">+HLOOKUP($A$1,+[4]İcmal!$B$19:$AG$49,ROW(C16)+1,FALSE)</f>
        <v>0</v>
      </c>
      <c r="M18" s="15" cm="1">
        <f t="array" ref="M18">+HLOOKUP($A$1,+[5]İcmal!$B$19:$AG$49,ROW(D16)+1,FALSE)</f>
        <v>0</v>
      </c>
      <c r="N18" s="15" cm="1">
        <f t="array" ref="N18">+HLOOKUP($A$1,+[6]İcmal!$B$19:$AG$49,ROW(E16)+1,FALSE)</f>
        <v>0</v>
      </c>
      <c r="O18" s="15" cm="1">
        <f t="array" ref="O18">+HLOOKUP($A$1,+[7]İcmal!$B$19:$AG$49,ROW(F16)+1,FALSE)</f>
        <v>0</v>
      </c>
      <c r="P18" s="15" cm="1">
        <f t="array" ref="P18">+HLOOKUP($A$1,+[8]İcmal!$B$19:$AG$49,ROW(G16)+1,FALSE)</f>
        <v>0</v>
      </c>
      <c r="Q18" s="15" cm="1">
        <f t="array" ref="Q18">+HLOOKUP($A$1,+[9]İcmal!$B$19:$AG$49,ROW(H16)+1,FALSE)</f>
        <v>0</v>
      </c>
      <c r="R18" s="15" cm="1">
        <f t="array" ref="R18">+HLOOKUP($A$1,+[10]İcmal!$B$19:$AG$49,ROW(I16)+1,FALSE)</f>
        <v>0</v>
      </c>
      <c r="S18" s="15" cm="1">
        <f t="array" ref="S18">+HLOOKUP($A$1,+[11]İcmal!$B$19:$AG$49,ROW(J16)+1,FALSE)</f>
        <v>0</v>
      </c>
      <c r="T18" s="15" cm="1">
        <f t="array" ref="T18">+HLOOKUP($A$1,+[12]İcmal!$B$19:$AG$49,ROW(K16)+1,FALSE)</f>
        <v>0</v>
      </c>
      <c r="U18" s="15" cm="1">
        <f t="array" ref="U18">+HLOOKUP($A$1,+[13]İcmal!$B$19:$AG$49,ROW(L16)+1,FALSE)</f>
        <v>0</v>
      </c>
      <c r="V18" s="15" cm="1">
        <f t="array" ref="V18">+HLOOKUP($A$1,+[14]İcmal!$B$19:$AG$49,ROW(M16)+1,FALSE)</f>
        <v>0</v>
      </c>
      <c r="W18" s="15" cm="1">
        <f t="array" ref="W18">+HLOOKUP($A$1,+[15]İcmal!$B$19:$AG$49,ROW(N16)+1,FALSE)</f>
        <v>0</v>
      </c>
      <c r="X18" s="15" cm="1">
        <f t="array" ref="X18">+HLOOKUP($A$1,+[16]İcmal!$B$19:$AG$49,ROW(O16)+1,FALSE)</f>
        <v>0</v>
      </c>
      <c r="Y18" s="15" cm="1">
        <f t="array" ref="Y18">+HLOOKUP($A$1,+[17]İcmal!$B$19:$AG$49,ROW(P16)+1,FALSE)</f>
        <v>0</v>
      </c>
      <c r="Z18" s="15" cm="1">
        <f t="array" ref="Z18">+HLOOKUP($A$1,+[18]İcmal!$B$19:$AG$49,ROW(Q16)+1,FALSE)</f>
        <v>0</v>
      </c>
      <c r="AA18" s="15" cm="1">
        <f t="array" ref="AA18">+HLOOKUP($A$1,+[19]İcmal!$B$19:$AG$49,ROW(R16)+1,FALSE)</f>
        <v>0</v>
      </c>
      <c r="AB18" s="15" cm="1">
        <f t="array" ref="AB18">+HLOOKUP($A$1,+[20]İcmal!$B$19:$AG$49,ROW(S16)+1,FALSE)</f>
        <v>0</v>
      </c>
      <c r="AC18" s="15" cm="1">
        <f t="array" ref="AC18">+HLOOKUP($A$1,+[21]İcmal!$B$19:$AG$49,ROW(T16)+1,FALSE)</f>
        <v>0</v>
      </c>
      <c r="AD18" s="15" cm="1">
        <f t="array" ref="AD18">+HLOOKUP($A$1,+[22]İcmal!$B$19:$AG$49,ROW(U16)+1,FALSE)</f>
        <v>0</v>
      </c>
      <c r="AE18" s="15" cm="1">
        <f t="array" ref="AE18">+HLOOKUP($A$1,+[23]İcmal!$B$19:$AG$49,ROW(V16)+1,FALSE)</f>
        <v>0</v>
      </c>
      <c r="AF18" s="15" cm="1">
        <f t="array" ref="AF18">+HLOOKUP($A$1,+[24]İcmal!$B$19:$AG$49,ROW(W16)+1,FALSE)</f>
        <v>0</v>
      </c>
      <c r="AG18" s="15" cm="1">
        <f t="array" ref="AG18">+HLOOKUP($A$1,+[25]İcmal!$B$19:$AG$49,ROW(X16)+1,FALSE)</f>
        <v>0</v>
      </c>
      <c r="AH18" s="15" cm="1">
        <f t="array" ref="AH18">+HLOOKUP($A$1,+[26]İcmal!$B$19:$AG$49,ROW(Y16)+1,FALSE)</f>
        <v>0</v>
      </c>
      <c r="AI18" s="15" cm="1">
        <f t="array" ref="AI18">+HLOOKUP($A$1,+[27]İcmal!$B$19:$AG$49,ROW(Z16)+1,FALSE)</f>
        <v>0</v>
      </c>
      <c r="AJ18" s="15" cm="1">
        <f t="array" ref="AJ18">+HLOOKUP($A$1,+[28]İcmal!$B$19:$AG$49,ROW(AA16)+1,FALSE)</f>
        <v>0</v>
      </c>
      <c r="AK18" s="15" cm="1">
        <f t="array" ref="AK18">+HLOOKUP($A$1,+[29]İcmal!$B$19:$AG$49,ROW(AB16)+1,FALSE)</f>
        <v>0</v>
      </c>
      <c r="AL18" s="15"/>
      <c r="AM18" s="15"/>
      <c r="AN18" s="15"/>
      <c r="AO18" s="15"/>
      <c r="AP18" s="15"/>
      <c r="AQ18" s="15"/>
      <c r="AR18" s="15"/>
      <c r="AS18" s="15"/>
      <c r="AT18" s="13"/>
    </row>
    <row r="19" spans="1:46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+HLOOKUP($A$1,+[2]İcmal!$B$19:$AG$49,ROW(A17)+1,FALSE)</f>
        <v>0</v>
      </c>
      <c r="K19" s="15" cm="1">
        <f t="array" ref="K19">+HLOOKUP($A$1,+[3]İcmal!$B$19:$AG$49,ROW(B17)+1,FALSE)</f>
        <v>0</v>
      </c>
      <c r="L19" s="15" cm="1">
        <f t="array" ref="L19">+HLOOKUP($A$1,+[4]İcmal!$B$19:$AG$49,ROW(C17)+1,FALSE)</f>
        <v>0</v>
      </c>
      <c r="M19" s="15" cm="1">
        <f t="array" ref="M19">+HLOOKUP($A$1,+[5]İcmal!$B$19:$AG$49,ROW(D17)+1,FALSE)</f>
        <v>0</v>
      </c>
      <c r="N19" s="15" cm="1">
        <f t="array" ref="N19">+HLOOKUP($A$1,+[6]İcmal!$B$19:$AG$49,ROW(E17)+1,FALSE)</f>
        <v>0</v>
      </c>
      <c r="O19" s="15" cm="1">
        <f t="array" ref="O19">+HLOOKUP($A$1,+[7]İcmal!$B$19:$AG$49,ROW(F17)+1,FALSE)</f>
        <v>0</v>
      </c>
      <c r="P19" s="15" cm="1">
        <f t="array" ref="P19">+HLOOKUP($A$1,+[8]İcmal!$B$19:$AG$49,ROW(G17)+1,FALSE)</f>
        <v>0</v>
      </c>
      <c r="Q19" s="15" cm="1">
        <f t="array" ref="Q19">+HLOOKUP($A$1,+[9]İcmal!$B$19:$AG$49,ROW(H17)+1,FALSE)</f>
        <v>0</v>
      </c>
      <c r="R19" s="15" cm="1">
        <f t="array" ref="R19">+HLOOKUP($A$1,+[10]İcmal!$B$19:$AG$49,ROW(I17)+1,FALSE)</f>
        <v>0</v>
      </c>
      <c r="S19" s="15" cm="1">
        <f t="array" ref="S19">+HLOOKUP($A$1,+[11]İcmal!$B$19:$AG$49,ROW(J17)+1,FALSE)</f>
        <v>0</v>
      </c>
      <c r="T19" s="15" cm="1">
        <f t="array" ref="T19">+HLOOKUP($A$1,+[12]İcmal!$B$19:$AG$49,ROW(K17)+1,FALSE)</f>
        <v>0</v>
      </c>
      <c r="U19" s="15" cm="1">
        <f t="array" ref="U19">+HLOOKUP($A$1,+[13]İcmal!$B$19:$AG$49,ROW(L17)+1,FALSE)</f>
        <v>0</v>
      </c>
      <c r="V19" s="15" cm="1">
        <f t="array" ref="V19">+HLOOKUP($A$1,+[14]İcmal!$B$19:$AG$49,ROW(M17)+1,FALSE)</f>
        <v>0</v>
      </c>
      <c r="W19" s="15" cm="1">
        <f t="array" ref="W19">+HLOOKUP($A$1,+[15]İcmal!$B$19:$AG$49,ROW(N17)+1,FALSE)</f>
        <v>0</v>
      </c>
      <c r="X19" s="15" cm="1">
        <f t="array" ref="X19">+HLOOKUP($A$1,+[16]İcmal!$B$19:$AG$49,ROW(O17)+1,FALSE)</f>
        <v>0</v>
      </c>
      <c r="Y19" s="15" cm="1">
        <f t="array" ref="Y19">+HLOOKUP($A$1,+[17]İcmal!$B$19:$AG$49,ROW(P17)+1,FALSE)</f>
        <v>0</v>
      </c>
      <c r="Z19" s="15" cm="1">
        <f t="array" ref="Z19">+HLOOKUP($A$1,+[18]İcmal!$B$19:$AG$49,ROW(Q17)+1,FALSE)</f>
        <v>0</v>
      </c>
      <c r="AA19" s="15" cm="1">
        <f t="array" ref="AA19">+HLOOKUP($A$1,+[19]İcmal!$B$19:$AG$49,ROW(R17)+1,FALSE)</f>
        <v>0</v>
      </c>
      <c r="AB19" s="15" cm="1">
        <f t="array" ref="AB19">+HLOOKUP($A$1,+[20]İcmal!$B$19:$AG$49,ROW(S17)+1,FALSE)</f>
        <v>0</v>
      </c>
      <c r="AC19" s="15" cm="1">
        <f t="array" ref="AC19">+HLOOKUP($A$1,+[21]İcmal!$B$19:$AG$49,ROW(T17)+1,FALSE)</f>
        <v>0</v>
      </c>
      <c r="AD19" s="15" cm="1">
        <f t="array" ref="AD19">+HLOOKUP($A$1,+[22]İcmal!$B$19:$AG$49,ROW(U17)+1,FALSE)</f>
        <v>0</v>
      </c>
      <c r="AE19" s="15" cm="1">
        <f t="array" ref="AE19">+HLOOKUP($A$1,+[23]İcmal!$B$19:$AG$49,ROW(V17)+1,FALSE)</f>
        <v>0</v>
      </c>
      <c r="AF19" s="15" cm="1">
        <f t="array" ref="AF19">+HLOOKUP($A$1,+[24]İcmal!$B$19:$AG$49,ROW(W17)+1,FALSE)</f>
        <v>0</v>
      </c>
      <c r="AG19" s="15" cm="1">
        <f t="array" ref="AG19">+HLOOKUP($A$1,+[25]İcmal!$B$19:$AG$49,ROW(X17)+1,FALSE)</f>
        <v>0</v>
      </c>
      <c r="AH19" s="15" cm="1">
        <f t="array" ref="AH19">+HLOOKUP($A$1,+[26]İcmal!$B$19:$AG$49,ROW(Y17)+1,FALSE)</f>
        <v>0</v>
      </c>
      <c r="AI19" s="15" cm="1">
        <f t="array" ref="AI19">+HLOOKUP($A$1,+[27]İcmal!$B$19:$AG$49,ROW(Z17)+1,FALSE)</f>
        <v>0</v>
      </c>
      <c r="AJ19" s="15" cm="1">
        <f t="array" ref="AJ19">+HLOOKUP($A$1,+[28]İcmal!$B$19:$AG$49,ROW(AA17)+1,FALSE)</f>
        <v>0</v>
      </c>
      <c r="AK19" s="15" cm="1">
        <f t="array" ref="AK19">+HLOOKUP($A$1,+[29]İcmal!$B$19:$AG$49,ROW(AB17)+1,FALSE)</f>
        <v>0</v>
      </c>
      <c r="AL19" s="15"/>
      <c r="AM19" s="15"/>
      <c r="AN19" s="15"/>
      <c r="AO19" s="15"/>
      <c r="AP19" s="15"/>
      <c r="AQ19" s="15"/>
      <c r="AR19" s="15"/>
      <c r="AS19" s="15"/>
      <c r="AT19" s="13"/>
    </row>
    <row r="20" spans="1:46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+HLOOKUP($A$1,+[2]İcmal!$B$19:$AG$49,ROW(A18)+1,FALSE)</f>
        <v>0</v>
      </c>
      <c r="K20" s="15" cm="1">
        <f t="array" ref="K20">+HLOOKUP($A$1,+[3]İcmal!$B$19:$AG$49,ROW(B18)+1,FALSE)</f>
        <v>0</v>
      </c>
      <c r="L20" s="15" cm="1">
        <f t="array" ref="L20">+HLOOKUP($A$1,+[4]İcmal!$B$19:$AG$49,ROW(C18)+1,FALSE)</f>
        <v>0</v>
      </c>
      <c r="M20" s="15" cm="1">
        <f t="array" ref="M20">+HLOOKUP($A$1,+[5]İcmal!$B$19:$AG$49,ROW(D18)+1,FALSE)</f>
        <v>0</v>
      </c>
      <c r="N20" s="15" cm="1">
        <f t="array" ref="N20">+HLOOKUP($A$1,+[6]İcmal!$B$19:$AG$49,ROW(E18)+1,FALSE)</f>
        <v>0</v>
      </c>
      <c r="O20" s="15" cm="1">
        <f t="array" ref="O20">+HLOOKUP($A$1,+[7]İcmal!$B$19:$AG$49,ROW(F18)+1,FALSE)</f>
        <v>0</v>
      </c>
      <c r="P20" s="15" cm="1">
        <f t="array" ref="P20">+HLOOKUP($A$1,+[8]İcmal!$B$19:$AG$49,ROW(G18)+1,FALSE)</f>
        <v>0</v>
      </c>
      <c r="Q20" s="15" cm="1">
        <f t="array" ref="Q20">+HLOOKUP($A$1,+[9]İcmal!$B$19:$AG$49,ROW(H18)+1,FALSE)</f>
        <v>0</v>
      </c>
      <c r="R20" s="15" cm="1">
        <f t="array" ref="R20">+HLOOKUP($A$1,+[10]İcmal!$B$19:$AG$49,ROW(I18)+1,FALSE)</f>
        <v>0</v>
      </c>
      <c r="S20" s="15" cm="1">
        <f t="array" ref="S20">+HLOOKUP($A$1,+[11]İcmal!$B$19:$AG$49,ROW(J18)+1,FALSE)</f>
        <v>0</v>
      </c>
      <c r="T20" s="15" cm="1">
        <f t="array" ref="T20">+HLOOKUP($A$1,+[12]İcmal!$B$19:$AG$49,ROW(K18)+1,FALSE)</f>
        <v>0</v>
      </c>
      <c r="U20" s="15" cm="1">
        <f t="array" ref="U20">+HLOOKUP($A$1,+[13]İcmal!$B$19:$AG$49,ROW(L18)+1,FALSE)</f>
        <v>0</v>
      </c>
      <c r="V20" s="15" cm="1">
        <f t="array" ref="V20">+HLOOKUP($A$1,+[14]İcmal!$B$19:$AG$49,ROW(M18)+1,FALSE)</f>
        <v>0</v>
      </c>
      <c r="W20" s="15" cm="1">
        <f t="array" ref="W20">+HLOOKUP($A$1,+[15]İcmal!$B$19:$AG$49,ROW(N18)+1,FALSE)</f>
        <v>0</v>
      </c>
      <c r="X20" s="15" cm="1">
        <f t="array" ref="X20">+HLOOKUP($A$1,+[16]İcmal!$B$19:$AG$49,ROW(O18)+1,FALSE)</f>
        <v>0</v>
      </c>
      <c r="Y20" s="15" cm="1">
        <f t="array" ref="Y20">+HLOOKUP($A$1,+[17]İcmal!$B$19:$AG$49,ROW(P18)+1,FALSE)</f>
        <v>0</v>
      </c>
      <c r="Z20" s="15" cm="1">
        <f t="array" ref="Z20">+HLOOKUP($A$1,+[18]İcmal!$B$19:$AG$49,ROW(Q18)+1,FALSE)</f>
        <v>0</v>
      </c>
      <c r="AA20" s="15" cm="1">
        <f t="array" ref="AA20">+HLOOKUP($A$1,+[19]İcmal!$B$19:$AG$49,ROW(R18)+1,FALSE)</f>
        <v>0</v>
      </c>
      <c r="AB20" s="15" cm="1">
        <f t="array" ref="AB20">+HLOOKUP($A$1,+[20]İcmal!$B$19:$AG$49,ROW(S18)+1,FALSE)</f>
        <v>0</v>
      </c>
      <c r="AC20" s="15" cm="1">
        <f t="array" ref="AC20">+HLOOKUP($A$1,+[21]İcmal!$B$19:$AG$49,ROW(T18)+1,FALSE)</f>
        <v>0</v>
      </c>
      <c r="AD20" s="15" cm="1">
        <f t="array" ref="AD20">+HLOOKUP($A$1,+[22]İcmal!$B$19:$AG$49,ROW(U18)+1,FALSE)</f>
        <v>0</v>
      </c>
      <c r="AE20" s="15" cm="1">
        <f t="array" ref="AE20">+HLOOKUP($A$1,+[23]İcmal!$B$19:$AG$49,ROW(V18)+1,FALSE)</f>
        <v>0</v>
      </c>
      <c r="AF20" s="15" cm="1">
        <f t="array" ref="AF20">+HLOOKUP($A$1,+[24]İcmal!$B$19:$AG$49,ROW(W18)+1,FALSE)</f>
        <v>0</v>
      </c>
      <c r="AG20" s="15" cm="1">
        <f t="array" ref="AG20">+HLOOKUP($A$1,+[25]İcmal!$B$19:$AG$49,ROW(X18)+1,FALSE)</f>
        <v>0</v>
      </c>
      <c r="AH20" s="15" cm="1">
        <f t="array" ref="AH20">+HLOOKUP($A$1,+[26]İcmal!$B$19:$AG$49,ROW(Y18)+1,FALSE)</f>
        <v>0</v>
      </c>
      <c r="AI20" s="15" cm="1">
        <f t="array" ref="AI20">+HLOOKUP($A$1,+[27]İcmal!$B$19:$AG$49,ROW(Z18)+1,FALSE)</f>
        <v>0</v>
      </c>
      <c r="AJ20" s="15" cm="1">
        <f t="array" ref="AJ20">+HLOOKUP($A$1,+[28]İcmal!$B$19:$AG$49,ROW(AA18)+1,FALSE)</f>
        <v>0</v>
      </c>
      <c r="AK20" s="15" cm="1">
        <f t="array" ref="AK20">+HLOOKUP($A$1,+[29]İcmal!$B$19:$AG$49,ROW(AB18)+1,FALSE)</f>
        <v>0</v>
      </c>
      <c r="AL20" s="15"/>
      <c r="AM20" s="15"/>
      <c r="AN20" s="15"/>
      <c r="AO20" s="15"/>
      <c r="AP20" s="15"/>
      <c r="AQ20" s="15"/>
      <c r="AR20" s="15"/>
      <c r="AS20" s="15"/>
      <c r="AT20" s="13"/>
    </row>
    <row r="21" spans="1:46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+HLOOKUP($A$1,+[2]İcmal!$B$19:$AG$49,ROW(A19)+1,FALSE)</f>
        <v>0</v>
      </c>
      <c r="K21" s="15" cm="1">
        <f t="array" ref="K21">+HLOOKUP($A$1,+[3]İcmal!$B$19:$AG$49,ROW(B19)+1,FALSE)</f>
        <v>0</v>
      </c>
      <c r="L21" s="15" cm="1">
        <f t="array" ref="L21">+HLOOKUP($A$1,+[4]İcmal!$B$19:$AG$49,ROW(C19)+1,FALSE)</f>
        <v>0</v>
      </c>
      <c r="M21" s="15" cm="1">
        <f t="array" ref="M21">+HLOOKUP($A$1,+[5]İcmal!$B$19:$AG$49,ROW(D19)+1,FALSE)</f>
        <v>0</v>
      </c>
      <c r="N21" s="15" cm="1">
        <f t="array" ref="N21">+HLOOKUP($A$1,+[6]İcmal!$B$19:$AG$49,ROW(E19)+1,FALSE)</f>
        <v>0</v>
      </c>
      <c r="O21" s="15" cm="1">
        <f t="array" ref="O21">+HLOOKUP($A$1,+[7]İcmal!$B$19:$AG$49,ROW(F19)+1,FALSE)</f>
        <v>0</v>
      </c>
      <c r="P21" s="15" cm="1">
        <f t="array" ref="P21">+HLOOKUP($A$1,+[8]İcmal!$B$19:$AG$49,ROW(G19)+1,FALSE)</f>
        <v>0</v>
      </c>
      <c r="Q21" s="15" cm="1">
        <f t="array" ref="Q21">+HLOOKUP($A$1,+[9]İcmal!$B$19:$AG$49,ROW(H19)+1,FALSE)</f>
        <v>0</v>
      </c>
      <c r="R21" s="15" cm="1">
        <f t="array" ref="R21">+HLOOKUP($A$1,+[10]İcmal!$B$19:$AG$49,ROW(I19)+1,FALSE)</f>
        <v>0</v>
      </c>
      <c r="S21" s="15" cm="1">
        <f t="array" ref="S21">+HLOOKUP($A$1,+[11]İcmal!$B$19:$AG$49,ROW(J19)+1,FALSE)</f>
        <v>0</v>
      </c>
      <c r="T21" s="15" cm="1">
        <f t="array" ref="T21">+HLOOKUP($A$1,+[12]İcmal!$B$19:$AG$49,ROW(K19)+1,FALSE)</f>
        <v>0</v>
      </c>
      <c r="U21" s="15" cm="1">
        <f t="array" ref="U21">+HLOOKUP($A$1,+[13]İcmal!$B$19:$AG$49,ROW(L19)+1,FALSE)</f>
        <v>0</v>
      </c>
      <c r="V21" s="15" cm="1">
        <f t="array" ref="V21">+HLOOKUP($A$1,+[14]İcmal!$B$19:$AG$49,ROW(M19)+1,FALSE)</f>
        <v>0</v>
      </c>
      <c r="W21" s="15" cm="1">
        <f t="array" ref="W21">+HLOOKUP($A$1,+[15]İcmal!$B$19:$AG$49,ROW(N19)+1,FALSE)</f>
        <v>0</v>
      </c>
      <c r="X21" s="15" cm="1">
        <f t="array" ref="X21">+HLOOKUP($A$1,+[16]İcmal!$B$19:$AG$49,ROW(O19)+1,FALSE)</f>
        <v>0</v>
      </c>
      <c r="Y21" s="15" cm="1">
        <f t="array" ref="Y21">+HLOOKUP($A$1,+[17]İcmal!$B$19:$AG$49,ROW(P19)+1,FALSE)</f>
        <v>0</v>
      </c>
      <c r="Z21" s="15" cm="1">
        <f t="array" ref="Z21">+HLOOKUP($A$1,+[18]İcmal!$B$19:$AG$49,ROW(Q19)+1,FALSE)</f>
        <v>0</v>
      </c>
      <c r="AA21" s="15" cm="1">
        <f t="array" ref="AA21">+HLOOKUP($A$1,+[19]İcmal!$B$19:$AG$49,ROW(R19)+1,FALSE)</f>
        <v>0</v>
      </c>
      <c r="AB21" s="15" cm="1">
        <f t="array" ref="AB21">+HLOOKUP($A$1,+[20]İcmal!$B$19:$AG$49,ROW(S19)+1,FALSE)</f>
        <v>0</v>
      </c>
      <c r="AC21" s="15" cm="1">
        <f t="array" ref="AC21">+HLOOKUP($A$1,+[21]İcmal!$B$19:$AG$49,ROW(T19)+1,FALSE)</f>
        <v>0</v>
      </c>
      <c r="AD21" s="15" cm="1">
        <f t="array" ref="AD21">+HLOOKUP($A$1,+[22]İcmal!$B$19:$AG$49,ROW(U19)+1,FALSE)</f>
        <v>0</v>
      </c>
      <c r="AE21" s="15" cm="1">
        <f t="array" ref="AE21">+HLOOKUP($A$1,+[23]İcmal!$B$19:$AG$49,ROW(V19)+1,FALSE)</f>
        <v>0</v>
      </c>
      <c r="AF21" s="15" cm="1">
        <f t="array" ref="AF21">+HLOOKUP($A$1,+[24]İcmal!$B$19:$AG$49,ROW(W19)+1,FALSE)</f>
        <v>0</v>
      </c>
      <c r="AG21" s="15" cm="1">
        <f t="array" ref="AG21">+HLOOKUP($A$1,+[25]İcmal!$B$19:$AG$49,ROW(X19)+1,FALSE)</f>
        <v>0</v>
      </c>
      <c r="AH21" s="15" cm="1">
        <f t="array" ref="AH21">+HLOOKUP($A$1,+[26]İcmal!$B$19:$AG$49,ROW(Y19)+1,FALSE)</f>
        <v>0</v>
      </c>
      <c r="AI21" s="15" cm="1">
        <f t="array" ref="AI21">+HLOOKUP($A$1,+[27]İcmal!$B$19:$AG$49,ROW(Z19)+1,FALSE)</f>
        <v>0</v>
      </c>
      <c r="AJ21" s="15" cm="1">
        <f t="array" ref="AJ21">+HLOOKUP($A$1,+[28]İcmal!$B$19:$AG$49,ROW(AA19)+1,FALSE)</f>
        <v>0</v>
      </c>
      <c r="AK21" s="15" cm="1">
        <f t="array" ref="AK21">+HLOOKUP($A$1,+[29]İcmal!$B$19:$AG$49,ROW(AB19)+1,FALSE)</f>
        <v>0</v>
      </c>
      <c r="AL21" s="15"/>
      <c r="AM21" s="15"/>
      <c r="AN21" s="15"/>
      <c r="AO21" s="15"/>
      <c r="AP21" s="15"/>
      <c r="AQ21" s="15"/>
      <c r="AR21" s="15"/>
      <c r="AS21" s="15"/>
      <c r="AT21" s="13"/>
    </row>
    <row r="22" spans="1:46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+HLOOKUP($A$1,+[2]İcmal!$B$19:$AG$49,ROW(A20)+1,FALSE)</f>
        <v>0</v>
      </c>
      <c r="K22" s="15" cm="1">
        <f t="array" ref="K22">+HLOOKUP($A$1,+[3]İcmal!$B$19:$AG$49,ROW(B20)+1,FALSE)</f>
        <v>0</v>
      </c>
      <c r="L22" s="15" cm="1">
        <f t="array" ref="L22">+HLOOKUP($A$1,+[4]İcmal!$B$19:$AG$49,ROW(C20)+1,FALSE)</f>
        <v>0</v>
      </c>
      <c r="M22" s="15" cm="1">
        <f t="array" ref="M22">+HLOOKUP($A$1,+[5]İcmal!$B$19:$AG$49,ROW(D20)+1,FALSE)</f>
        <v>0</v>
      </c>
      <c r="N22" s="15" cm="1">
        <f t="array" ref="N22">+HLOOKUP($A$1,+[6]İcmal!$B$19:$AG$49,ROW(E20)+1,FALSE)</f>
        <v>0</v>
      </c>
      <c r="O22" s="15" cm="1">
        <f t="array" ref="O22">+HLOOKUP($A$1,+[7]İcmal!$B$19:$AG$49,ROW(F20)+1,FALSE)</f>
        <v>0</v>
      </c>
      <c r="P22" s="15" cm="1">
        <f t="array" ref="P22">+HLOOKUP($A$1,+[8]İcmal!$B$19:$AG$49,ROW(G20)+1,FALSE)</f>
        <v>0</v>
      </c>
      <c r="Q22" s="15" cm="1">
        <f t="array" ref="Q22">+HLOOKUP($A$1,+[9]İcmal!$B$19:$AG$49,ROW(H20)+1,FALSE)</f>
        <v>0</v>
      </c>
      <c r="R22" s="15" cm="1">
        <f t="array" ref="R22">+HLOOKUP($A$1,+[10]İcmal!$B$19:$AG$49,ROW(I20)+1,FALSE)</f>
        <v>0</v>
      </c>
      <c r="S22" s="15" cm="1">
        <f t="array" ref="S22">+HLOOKUP($A$1,+[11]İcmal!$B$19:$AG$49,ROW(J20)+1,FALSE)</f>
        <v>0</v>
      </c>
      <c r="T22" s="15" cm="1">
        <f t="array" ref="T22">+HLOOKUP($A$1,+[12]İcmal!$B$19:$AG$49,ROW(K20)+1,FALSE)</f>
        <v>0</v>
      </c>
      <c r="U22" s="15" cm="1">
        <f t="array" ref="U22">+HLOOKUP($A$1,+[13]İcmal!$B$19:$AG$49,ROW(L20)+1,FALSE)</f>
        <v>0</v>
      </c>
      <c r="V22" s="15" cm="1">
        <f t="array" ref="V22">+HLOOKUP($A$1,+[14]İcmal!$B$19:$AG$49,ROW(M20)+1,FALSE)</f>
        <v>0</v>
      </c>
      <c r="W22" s="15" cm="1">
        <f t="array" ref="W22">+HLOOKUP($A$1,+[15]İcmal!$B$19:$AG$49,ROW(N20)+1,FALSE)</f>
        <v>0</v>
      </c>
      <c r="X22" s="15" cm="1">
        <f t="array" ref="X22">+HLOOKUP($A$1,+[16]İcmal!$B$19:$AG$49,ROW(O20)+1,FALSE)</f>
        <v>0</v>
      </c>
      <c r="Y22" s="15" cm="1">
        <f t="array" ref="Y22">+HLOOKUP($A$1,+[17]İcmal!$B$19:$AG$49,ROW(P20)+1,FALSE)</f>
        <v>0</v>
      </c>
      <c r="Z22" s="15" cm="1">
        <f t="array" ref="Z22">+HLOOKUP($A$1,+[18]İcmal!$B$19:$AG$49,ROW(Q20)+1,FALSE)</f>
        <v>0</v>
      </c>
      <c r="AA22" s="15" cm="1">
        <f t="array" ref="AA22">+HLOOKUP($A$1,+[19]İcmal!$B$19:$AG$49,ROW(R20)+1,FALSE)</f>
        <v>0</v>
      </c>
      <c r="AB22" s="15" cm="1">
        <f t="array" ref="AB22">+HLOOKUP($A$1,+[20]İcmal!$B$19:$AG$49,ROW(S20)+1,FALSE)</f>
        <v>0</v>
      </c>
      <c r="AC22" s="15" cm="1">
        <f t="array" ref="AC22">+HLOOKUP($A$1,+[21]İcmal!$B$19:$AG$49,ROW(T20)+1,FALSE)</f>
        <v>0</v>
      </c>
      <c r="AD22" s="15" cm="1">
        <f t="array" ref="AD22">+HLOOKUP($A$1,+[22]İcmal!$B$19:$AG$49,ROW(U20)+1,FALSE)</f>
        <v>0</v>
      </c>
      <c r="AE22" s="15" cm="1">
        <f t="array" ref="AE22">+HLOOKUP($A$1,+[23]İcmal!$B$19:$AG$49,ROW(V20)+1,FALSE)</f>
        <v>0</v>
      </c>
      <c r="AF22" s="15" cm="1">
        <f t="array" ref="AF22">+HLOOKUP($A$1,+[24]İcmal!$B$19:$AG$49,ROW(W20)+1,FALSE)</f>
        <v>0</v>
      </c>
      <c r="AG22" s="15" cm="1">
        <f t="array" ref="AG22">+HLOOKUP($A$1,+[25]İcmal!$B$19:$AG$49,ROW(X20)+1,FALSE)</f>
        <v>0</v>
      </c>
      <c r="AH22" s="15" cm="1">
        <f t="array" ref="AH22">+HLOOKUP($A$1,+[26]İcmal!$B$19:$AG$49,ROW(Y20)+1,FALSE)</f>
        <v>0</v>
      </c>
      <c r="AI22" s="15" cm="1">
        <f t="array" ref="AI22">+HLOOKUP($A$1,+[27]İcmal!$B$19:$AG$49,ROW(Z20)+1,FALSE)</f>
        <v>0</v>
      </c>
      <c r="AJ22" s="15" cm="1">
        <f t="array" ref="AJ22">+HLOOKUP($A$1,+[28]İcmal!$B$19:$AG$49,ROW(AA20)+1,FALSE)</f>
        <v>0</v>
      </c>
      <c r="AK22" s="15" cm="1">
        <f t="array" ref="AK22">+HLOOKUP($A$1,+[29]İcmal!$B$19:$AG$49,ROW(AB20)+1,FALSE)</f>
        <v>0</v>
      </c>
      <c r="AL22" s="15"/>
      <c r="AM22" s="15"/>
      <c r="AN22" s="15"/>
      <c r="AO22" s="15"/>
      <c r="AP22" s="15"/>
      <c r="AQ22" s="15"/>
      <c r="AR22" s="15"/>
      <c r="AS22" s="15"/>
      <c r="AT22" s="13"/>
    </row>
    <row r="23" spans="1:46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+HLOOKUP($A$1,+[2]İcmal!$B$19:$AG$49,ROW(A21)+1,FALSE)</f>
        <v>0</v>
      </c>
      <c r="K23" s="15" cm="1">
        <f t="array" ref="K23">+HLOOKUP($A$1,+[3]İcmal!$B$19:$AG$49,ROW(B21)+1,FALSE)</f>
        <v>0</v>
      </c>
      <c r="L23" s="15" cm="1">
        <f t="array" ref="L23">+HLOOKUP($A$1,+[4]İcmal!$B$19:$AG$49,ROW(C21)+1,FALSE)</f>
        <v>0</v>
      </c>
      <c r="M23" s="15" cm="1">
        <f t="array" ref="M23">+HLOOKUP($A$1,+[5]İcmal!$B$19:$AG$49,ROW(D21)+1,FALSE)</f>
        <v>0</v>
      </c>
      <c r="N23" s="15" cm="1">
        <f t="array" ref="N23">+HLOOKUP($A$1,+[6]İcmal!$B$19:$AG$49,ROW(E21)+1,FALSE)</f>
        <v>0</v>
      </c>
      <c r="O23" s="15" cm="1">
        <f t="array" ref="O23">+HLOOKUP($A$1,+[7]İcmal!$B$19:$AG$49,ROW(F21)+1,FALSE)</f>
        <v>0</v>
      </c>
      <c r="P23" s="15" cm="1">
        <f t="array" ref="P23">+HLOOKUP($A$1,+[8]İcmal!$B$19:$AG$49,ROW(G21)+1,FALSE)</f>
        <v>0</v>
      </c>
      <c r="Q23" s="15" cm="1">
        <f t="array" ref="Q23">+HLOOKUP($A$1,+[9]İcmal!$B$19:$AG$49,ROW(H21)+1,FALSE)</f>
        <v>0</v>
      </c>
      <c r="R23" s="15" cm="1">
        <f t="array" ref="R23">+HLOOKUP($A$1,+[10]İcmal!$B$19:$AG$49,ROW(I21)+1,FALSE)</f>
        <v>0</v>
      </c>
      <c r="S23" s="15" cm="1">
        <f t="array" ref="S23">+HLOOKUP($A$1,+[11]İcmal!$B$19:$AG$49,ROW(J21)+1,FALSE)</f>
        <v>0</v>
      </c>
      <c r="T23" s="15" cm="1">
        <f t="array" ref="T23">+HLOOKUP($A$1,+[12]İcmal!$B$19:$AG$49,ROW(K21)+1,FALSE)</f>
        <v>0</v>
      </c>
      <c r="U23" s="15" cm="1">
        <f t="array" ref="U23">+HLOOKUP($A$1,+[13]İcmal!$B$19:$AG$49,ROW(L21)+1,FALSE)</f>
        <v>0</v>
      </c>
      <c r="V23" s="15" cm="1">
        <f t="array" ref="V23">+HLOOKUP($A$1,+[14]İcmal!$B$19:$AG$49,ROW(M21)+1,FALSE)</f>
        <v>0</v>
      </c>
      <c r="W23" s="15" cm="1">
        <f t="array" ref="W23">+HLOOKUP($A$1,+[15]İcmal!$B$19:$AG$49,ROW(N21)+1,FALSE)</f>
        <v>0</v>
      </c>
      <c r="X23" s="15" cm="1">
        <f t="array" ref="X23">+HLOOKUP($A$1,+[16]İcmal!$B$19:$AG$49,ROW(O21)+1,FALSE)</f>
        <v>0</v>
      </c>
      <c r="Y23" s="15" cm="1">
        <f t="array" ref="Y23">+HLOOKUP($A$1,+[17]İcmal!$B$19:$AG$49,ROW(P21)+1,FALSE)</f>
        <v>0</v>
      </c>
      <c r="Z23" s="15" cm="1">
        <f t="array" ref="Z23">+HLOOKUP($A$1,+[18]İcmal!$B$19:$AG$49,ROW(Q21)+1,FALSE)</f>
        <v>0</v>
      </c>
      <c r="AA23" s="15" cm="1">
        <f t="array" ref="AA23">+HLOOKUP($A$1,+[19]İcmal!$B$19:$AG$49,ROW(R21)+1,FALSE)</f>
        <v>0</v>
      </c>
      <c r="AB23" s="15" cm="1">
        <f t="array" ref="AB23">+HLOOKUP($A$1,+[20]İcmal!$B$19:$AG$49,ROW(S21)+1,FALSE)</f>
        <v>0</v>
      </c>
      <c r="AC23" s="15" cm="1">
        <f t="array" ref="AC23">+HLOOKUP($A$1,+[21]İcmal!$B$19:$AG$49,ROW(T21)+1,FALSE)</f>
        <v>0</v>
      </c>
      <c r="AD23" s="15" cm="1">
        <f t="array" ref="AD23">+HLOOKUP($A$1,+[22]İcmal!$B$19:$AG$49,ROW(U21)+1,FALSE)</f>
        <v>0</v>
      </c>
      <c r="AE23" s="15" cm="1">
        <f t="array" ref="AE23">+HLOOKUP($A$1,+[23]İcmal!$B$19:$AG$49,ROW(V21)+1,FALSE)</f>
        <v>0</v>
      </c>
      <c r="AF23" s="15" cm="1">
        <f t="array" ref="AF23">+HLOOKUP($A$1,+[24]İcmal!$B$19:$AG$49,ROW(W21)+1,FALSE)</f>
        <v>0</v>
      </c>
      <c r="AG23" s="15" cm="1">
        <f t="array" ref="AG23">+HLOOKUP($A$1,+[25]İcmal!$B$19:$AG$49,ROW(X21)+1,FALSE)</f>
        <v>0</v>
      </c>
      <c r="AH23" s="15" cm="1">
        <f t="array" ref="AH23">+HLOOKUP($A$1,+[26]İcmal!$B$19:$AG$49,ROW(Y21)+1,FALSE)</f>
        <v>0</v>
      </c>
      <c r="AI23" s="15" cm="1">
        <f t="array" ref="AI23">+HLOOKUP($A$1,+[27]İcmal!$B$19:$AG$49,ROW(Z21)+1,FALSE)</f>
        <v>0</v>
      </c>
      <c r="AJ23" s="15" cm="1">
        <f t="array" ref="AJ23">+HLOOKUP($A$1,+[28]İcmal!$B$19:$AG$49,ROW(AA21)+1,FALSE)</f>
        <v>0</v>
      </c>
      <c r="AK23" s="15" cm="1">
        <f t="array" ref="AK23">+HLOOKUP($A$1,+[29]İcmal!$B$19:$AG$49,ROW(AB21)+1,FALSE)</f>
        <v>0</v>
      </c>
      <c r="AL23" s="15"/>
      <c r="AM23" s="15"/>
      <c r="AN23" s="15"/>
      <c r="AO23" s="15"/>
      <c r="AP23" s="15"/>
      <c r="AQ23" s="15"/>
      <c r="AR23" s="15"/>
      <c r="AS23" s="15"/>
      <c r="AT23" s="13"/>
    </row>
    <row r="24" spans="1:46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+HLOOKUP($A$1,+[2]İcmal!$B$19:$AG$49,ROW(A22)+1,FALSE)</f>
        <v>0</v>
      </c>
      <c r="K24" s="15" cm="1">
        <f t="array" ref="K24">+HLOOKUP($A$1,+[3]İcmal!$B$19:$AG$49,ROW(B22)+1,FALSE)</f>
        <v>0</v>
      </c>
      <c r="L24" s="15" cm="1">
        <f t="array" ref="L24">+HLOOKUP($A$1,+[4]İcmal!$B$19:$AG$49,ROW(C22)+1,FALSE)</f>
        <v>0</v>
      </c>
      <c r="M24" s="15" cm="1">
        <f t="array" ref="M24">+HLOOKUP($A$1,+[5]İcmal!$B$19:$AG$49,ROW(D22)+1,FALSE)</f>
        <v>0</v>
      </c>
      <c r="N24" s="15" cm="1">
        <f t="array" ref="N24">+HLOOKUP($A$1,+[6]İcmal!$B$19:$AG$49,ROW(E22)+1,FALSE)</f>
        <v>0</v>
      </c>
      <c r="O24" s="15" cm="1">
        <f t="array" ref="O24">+HLOOKUP($A$1,+[7]İcmal!$B$19:$AG$49,ROW(F22)+1,FALSE)</f>
        <v>0</v>
      </c>
      <c r="P24" s="15" cm="1">
        <f t="array" ref="P24">+HLOOKUP($A$1,+[8]İcmal!$B$19:$AG$49,ROW(G22)+1,FALSE)</f>
        <v>0</v>
      </c>
      <c r="Q24" s="15" cm="1">
        <f t="array" ref="Q24">+HLOOKUP($A$1,+[9]İcmal!$B$19:$AG$49,ROW(H22)+1,FALSE)</f>
        <v>0</v>
      </c>
      <c r="R24" s="15" cm="1">
        <f t="array" ref="R24">+HLOOKUP($A$1,+[10]İcmal!$B$19:$AG$49,ROW(I22)+1,FALSE)</f>
        <v>0</v>
      </c>
      <c r="S24" s="15" cm="1">
        <f t="array" ref="S24">+HLOOKUP($A$1,+[11]İcmal!$B$19:$AG$49,ROW(J22)+1,FALSE)</f>
        <v>0</v>
      </c>
      <c r="T24" s="15" cm="1">
        <f t="array" ref="T24">+HLOOKUP($A$1,+[12]İcmal!$B$19:$AG$49,ROW(K22)+1,FALSE)</f>
        <v>0</v>
      </c>
      <c r="U24" s="15" cm="1">
        <f t="array" ref="U24">+HLOOKUP($A$1,+[13]İcmal!$B$19:$AG$49,ROW(L22)+1,FALSE)</f>
        <v>0</v>
      </c>
      <c r="V24" s="15" cm="1">
        <f t="array" ref="V24">+HLOOKUP($A$1,+[14]İcmal!$B$19:$AG$49,ROW(M22)+1,FALSE)</f>
        <v>0</v>
      </c>
      <c r="W24" s="15" cm="1">
        <f t="array" ref="W24">+HLOOKUP($A$1,+[15]İcmal!$B$19:$AG$49,ROW(N22)+1,FALSE)</f>
        <v>0</v>
      </c>
      <c r="X24" s="15" cm="1">
        <f t="array" ref="X24">+HLOOKUP($A$1,+[16]İcmal!$B$19:$AG$49,ROW(O22)+1,FALSE)</f>
        <v>0</v>
      </c>
      <c r="Y24" s="15" cm="1">
        <f t="array" ref="Y24">+HLOOKUP($A$1,+[17]İcmal!$B$19:$AG$49,ROW(P22)+1,FALSE)</f>
        <v>0</v>
      </c>
      <c r="Z24" s="15" cm="1">
        <f t="array" ref="Z24">+HLOOKUP($A$1,+[18]İcmal!$B$19:$AG$49,ROW(Q22)+1,FALSE)</f>
        <v>0</v>
      </c>
      <c r="AA24" s="15" cm="1">
        <f t="array" ref="AA24">+HLOOKUP($A$1,+[19]İcmal!$B$19:$AG$49,ROW(R22)+1,FALSE)</f>
        <v>0</v>
      </c>
      <c r="AB24" s="15" cm="1">
        <f t="array" ref="AB24">+HLOOKUP($A$1,+[20]İcmal!$B$19:$AG$49,ROW(S22)+1,FALSE)</f>
        <v>0</v>
      </c>
      <c r="AC24" s="15" cm="1">
        <f t="array" ref="AC24">+HLOOKUP($A$1,+[21]İcmal!$B$19:$AG$49,ROW(T22)+1,FALSE)</f>
        <v>0</v>
      </c>
      <c r="AD24" s="15" cm="1">
        <f t="array" ref="AD24">+HLOOKUP($A$1,+[22]İcmal!$B$19:$AG$49,ROW(U22)+1,FALSE)</f>
        <v>0</v>
      </c>
      <c r="AE24" s="15" cm="1">
        <f t="array" ref="AE24">+HLOOKUP($A$1,+[23]İcmal!$B$19:$AG$49,ROW(V22)+1,FALSE)</f>
        <v>0</v>
      </c>
      <c r="AF24" s="15" cm="1">
        <f t="array" ref="AF24">+HLOOKUP($A$1,+[24]İcmal!$B$19:$AG$49,ROW(W22)+1,FALSE)</f>
        <v>0</v>
      </c>
      <c r="AG24" s="15" cm="1">
        <f t="array" ref="AG24">+HLOOKUP($A$1,+[25]İcmal!$B$19:$AG$49,ROW(X22)+1,FALSE)</f>
        <v>0</v>
      </c>
      <c r="AH24" s="15" cm="1">
        <f t="array" ref="AH24">+HLOOKUP($A$1,+[26]İcmal!$B$19:$AG$49,ROW(Y22)+1,FALSE)</f>
        <v>0</v>
      </c>
      <c r="AI24" s="15" cm="1">
        <f t="array" ref="AI24">+HLOOKUP($A$1,+[27]İcmal!$B$19:$AG$49,ROW(Z22)+1,FALSE)</f>
        <v>0</v>
      </c>
      <c r="AJ24" s="15" cm="1">
        <f t="array" ref="AJ24">+HLOOKUP($A$1,+[28]İcmal!$B$19:$AG$49,ROW(AA22)+1,FALSE)</f>
        <v>0</v>
      </c>
      <c r="AK24" s="15" cm="1">
        <f t="array" ref="AK24">+HLOOKUP($A$1,+[29]İcmal!$B$19:$AG$49,ROW(AB22)+1,FALSE)</f>
        <v>0</v>
      </c>
      <c r="AL24" s="15"/>
      <c r="AM24" s="15"/>
      <c r="AN24" s="15"/>
      <c r="AO24" s="15"/>
      <c r="AP24" s="15"/>
      <c r="AQ24" s="15"/>
      <c r="AR24" s="15"/>
      <c r="AS24" s="15"/>
      <c r="AT24" s="13"/>
    </row>
    <row r="25" spans="1:46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+HLOOKUP($A$1,+[2]İcmal!$B$19:$AG$49,ROW(A23)+1,FALSE)</f>
        <v>0</v>
      </c>
      <c r="K25" s="15" cm="1">
        <f t="array" ref="K25">+HLOOKUP($A$1,+[3]İcmal!$B$19:$AG$49,ROW(B23)+1,FALSE)</f>
        <v>0</v>
      </c>
      <c r="L25" s="15" cm="1">
        <f t="array" ref="L25">+HLOOKUP($A$1,+[4]İcmal!$B$19:$AG$49,ROW(C23)+1,FALSE)</f>
        <v>0</v>
      </c>
      <c r="M25" s="15" cm="1">
        <f t="array" ref="M25">+HLOOKUP($A$1,+[5]İcmal!$B$19:$AG$49,ROW(D23)+1,FALSE)</f>
        <v>0</v>
      </c>
      <c r="N25" s="15" cm="1">
        <f t="array" ref="N25">+HLOOKUP($A$1,+[6]İcmal!$B$19:$AG$49,ROW(E23)+1,FALSE)</f>
        <v>0</v>
      </c>
      <c r="O25" s="15" cm="1">
        <f t="array" ref="O25">+HLOOKUP($A$1,+[7]İcmal!$B$19:$AG$49,ROW(F23)+1,FALSE)</f>
        <v>0</v>
      </c>
      <c r="P25" s="15" cm="1">
        <f t="array" ref="P25">+HLOOKUP($A$1,+[8]İcmal!$B$19:$AG$49,ROW(G23)+1,FALSE)</f>
        <v>0</v>
      </c>
      <c r="Q25" s="15" cm="1">
        <f t="array" ref="Q25">+HLOOKUP($A$1,+[9]İcmal!$B$19:$AG$49,ROW(H23)+1,FALSE)</f>
        <v>0</v>
      </c>
      <c r="R25" s="15" cm="1">
        <f t="array" ref="R25">+HLOOKUP($A$1,+[10]İcmal!$B$19:$AG$49,ROW(I23)+1,FALSE)</f>
        <v>0</v>
      </c>
      <c r="S25" s="15" cm="1">
        <f t="array" ref="S25">+HLOOKUP($A$1,+[11]İcmal!$B$19:$AG$49,ROW(J23)+1,FALSE)</f>
        <v>0</v>
      </c>
      <c r="T25" s="15" cm="1">
        <f t="array" ref="T25">+HLOOKUP($A$1,+[12]İcmal!$B$19:$AG$49,ROW(K23)+1,FALSE)</f>
        <v>0</v>
      </c>
      <c r="U25" s="15" cm="1">
        <f t="array" ref="U25">+HLOOKUP($A$1,+[13]İcmal!$B$19:$AG$49,ROW(L23)+1,FALSE)</f>
        <v>0</v>
      </c>
      <c r="V25" s="15" cm="1">
        <f t="array" ref="V25">+HLOOKUP($A$1,+[14]İcmal!$B$19:$AG$49,ROW(M23)+1,FALSE)</f>
        <v>0</v>
      </c>
      <c r="W25" s="15" cm="1">
        <f t="array" ref="W25">+HLOOKUP($A$1,+[15]İcmal!$B$19:$AG$49,ROW(N23)+1,FALSE)</f>
        <v>0</v>
      </c>
      <c r="X25" s="15" cm="1">
        <f t="array" ref="X25">+HLOOKUP($A$1,+[16]İcmal!$B$19:$AG$49,ROW(O23)+1,FALSE)</f>
        <v>0</v>
      </c>
      <c r="Y25" s="15" cm="1">
        <f t="array" ref="Y25">+HLOOKUP($A$1,+[17]İcmal!$B$19:$AG$49,ROW(P23)+1,FALSE)</f>
        <v>0</v>
      </c>
      <c r="Z25" s="15" cm="1">
        <f t="array" ref="Z25">+HLOOKUP($A$1,+[18]İcmal!$B$19:$AG$49,ROW(Q23)+1,FALSE)</f>
        <v>0</v>
      </c>
      <c r="AA25" s="15" cm="1">
        <f t="array" ref="AA25">+HLOOKUP($A$1,+[19]İcmal!$B$19:$AG$49,ROW(R23)+1,FALSE)</f>
        <v>0</v>
      </c>
      <c r="AB25" s="15" cm="1">
        <f t="array" ref="AB25">+HLOOKUP($A$1,+[20]İcmal!$B$19:$AG$49,ROW(S23)+1,FALSE)</f>
        <v>0</v>
      </c>
      <c r="AC25" s="15" cm="1">
        <f t="array" ref="AC25">+HLOOKUP($A$1,+[21]İcmal!$B$19:$AG$49,ROW(T23)+1,FALSE)</f>
        <v>0</v>
      </c>
      <c r="AD25" s="15" cm="1">
        <f t="array" ref="AD25">+HLOOKUP($A$1,+[22]İcmal!$B$19:$AG$49,ROW(U23)+1,FALSE)</f>
        <v>0</v>
      </c>
      <c r="AE25" s="15" cm="1">
        <f t="array" ref="AE25">+HLOOKUP($A$1,+[23]İcmal!$B$19:$AG$49,ROW(V23)+1,FALSE)</f>
        <v>0</v>
      </c>
      <c r="AF25" s="15" cm="1">
        <f t="array" ref="AF25">+HLOOKUP($A$1,+[24]İcmal!$B$19:$AG$49,ROW(W23)+1,FALSE)</f>
        <v>0</v>
      </c>
      <c r="AG25" s="15" cm="1">
        <f t="array" ref="AG25">+HLOOKUP($A$1,+[25]İcmal!$B$19:$AG$49,ROW(X23)+1,FALSE)</f>
        <v>0</v>
      </c>
      <c r="AH25" s="15" cm="1">
        <f t="array" ref="AH25">+HLOOKUP($A$1,+[26]İcmal!$B$19:$AG$49,ROW(Y23)+1,FALSE)</f>
        <v>0</v>
      </c>
      <c r="AI25" s="15" cm="1">
        <f t="array" ref="AI25">+HLOOKUP($A$1,+[27]İcmal!$B$19:$AG$49,ROW(Z23)+1,FALSE)</f>
        <v>0</v>
      </c>
      <c r="AJ25" s="15" cm="1">
        <f t="array" ref="AJ25">+HLOOKUP($A$1,+[28]İcmal!$B$19:$AG$49,ROW(AA23)+1,FALSE)</f>
        <v>0</v>
      </c>
      <c r="AK25" s="15" cm="1">
        <f t="array" ref="AK25">+HLOOKUP($A$1,+[29]İcmal!$B$19:$AG$49,ROW(AB23)+1,FALSE)</f>
        <v>0</v>
      </c>
      <c r="AL25" s="15"/>
      <c r="AM25" s="15"/>
      <c r="AN25" s="15"/>
      <c r="AO25" s="15"/>
      <c r="AP25" s="15"/>
      <c r="AQ25" s="15"/>
      <c r="AR25" s="15"/>
      <c r="AS25" s="15"/>
      <c r="AT25" s="13"/>
    </row>
    <row r="26" spans="1:46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+HLOOKUP($A$1,+[2]İcmal!$B$19:$AG$49,ROW(A24)+1,FALSE)</f>
        <v>0</v>
      </c>
      <c r="K26" s="15" cm="1">
        <f t="array" ref="K26">+HLOOKUP($A$1,+[3]İcmal!$B$19:$AG$49,ROW(B24)+1,FALSE)</f>
        <v>0</v>
      </c>
      <c r="L26" s="15" cm="1">
        <f t="array" ref="L26">+HLOOKUP($A$1,+[4]İcmal!$B$19:$AG$49,ROW(C24)+1,FALSE)</f>
        <v>0</v>
      </c>
      <c r="M26" s="15" cm="1">
        <f t="array" ref="M26">+HLOOKUP($A$1,+[5]İcmal!$B$19:$AG$49,ROW(D24)+1,FALSE)</f>
        <v>0</v>
      </c>
      <c r="N26" s="15" cm="1">
        <f t="array" ref="N26">+HLOOKUP($A$1,+[6]İcmal!$B$19:$AG$49,ROW(E24)+1,FALSE)</f>
        <v>0</v>
      </c>
      <c r="O26" s="15" cm="1">
        <f t="array" ref="O26">+HLOOKUP($A$1,+[7]İcmal!$B$19:$AG$49,ROW(F24)+1,FALSE)</f>
        <v>0</v>
      </c>
      <c r="P26" s="15" cm="1">
        <f t="array" ref="P26">+HLOOKUP($A$1,+[8]İcmal!$B$19:$AG$49,ROW(G24)+1,FALSE)</f>
        <v>0</v>
      </c>
      <c r="Q26" s="15" cm="1">
        <f t="array" ref="Q26">+HLOOKUP($A$1,+[9]İcmal!$B$19:$AG$49,ROW(H24)+1,FALSE)</f>
        <v>0</v>
      </c>
      <c r="R26" s="15" cm="1">
        <f t="array" ref="R26">+HLOOKUP($A$1,+[10]İcmal!$B$19:$AG$49,ROW(I24)+1,FALSE)</f>
        <v>0</v>
      </c>
      <c r="S26" s="15" cm="1">
        <f t="array" ref="S26">+HLOOKUP($A$1,+[11]İcmal!$B$19:$AG$49,ROW(J24)+1,FALSE)</f>
        <v>0</v>
      </c>
      <c r="T26" s="15" cm="1">
        <f t="array" ref="T26">+HLOOKUP($A$1,+[12]İcmal!$B$19:$AG$49,ROW(K24)+1,FALSE)</f>
        <v>0</v>
      </c>
      <c r="U26" s="15" cm="1">
        <f t="array" ref="U26">+HLOOKUP($A$1,+[13]İcmal!$B$19:$AG$49,ROW(L24)+1,FALSE)</f>
        <v>0</v>
      </c>
      <c r="V26" s="15" cm="1">
        <f t="array" ref="V26">+HLOOKUP($A$1,+[14]İcmal!$B$19:$AG$49,ROW(M24)+1,FALSE)</f>
        <v>0</v>
      </c>
      <c r="W26" s="15" cm="1">
        <f t="array" ref="W26">+HLOOKUP($A$1,+[15]İcmal!$B$19:$AG$49,ROW(N24)+1,FALSE)</f>
        <v>0</v>
      </c>
      <c r="X26" s="15" cm="1">
        <f t="array" ref="X26">+HLOOKUP($A$1,+[16]İcmal!$B$19:$AG$49,ROW(O24)+1,FALSE)</f>
        <v>0</v>
      </c>
      <c r="Y26" s="15" cm="1">
        <f t="array" ref="Y26">+HLOOKUP($A$1,+[17]İcmal!$B$19:$AG$49,ROW(P24)+1,FALSE)</f>
        <v>0</v>
      </c>
      <c r="Z26" s="15" cm="1">
        <f t="array" ref="Z26">+HLOOKUP($A$1,+[18]İcmal!$B$19:$AG$49,ROW(Q24)+1,FALSE)</f>
        <v>0</v>
      </c>
      <c r="AA26" s="15" cm="1">
        <f t="array" ref="AA26">+HLOOKUP($A$1,+[19]İcmal!$B$19:$AG$49,ROW(R24)+1,FALSE)</f>
        <v>0</v>
      </c>
      <c r="AB26" s="15" cm="1">
        <f t="array" ref="AB26">+HLOOKUP($A$1,+[20]İcmal!$B$19:$AG$49,ROW(S24)+1,FALSE)</f>
        <v>0</v>
      </c>
      <c r="AC26" s="15" cm="1">
        <f t="array" ref="AC26">+HLOOKUP($A$1,+[21]İcmal!$B$19:$AG$49,ROW(T24)+1,FALSE)</f>
        <v>0</v>
      </c>
      <c r="AD26" s="15" cm="1">
        <f t="array" ref="AD26">+HLOOKUP($A$1,+[22]İcmal!$B$19:$AG$49,ROW(U24)+1,FALSE)</f>
        <v>0</v>
      </c>
      <c r="AE26" s="15" cm="1">
        <f t="array" ref="AE26">+HLOOKUP($A$1,+[23]İcmal!$B$19:$AG$49,ROW(V24)+1,FALSE)</f>
        <v>0</v>
      </c>
      <c r="AF26" s="15" cm="1">
        <f t="array" ref="AF26">+HLOOKUP($A$1,+[24]İcmal!$B$19:$AG$49,ROW(W24)+1,FALSE)</f>
        <v>0</v>
      </c>
      <c r="AG26" s="15" cm="1">
        <f t="array" ref="AG26">+HLOOKUP($A$1,+[25]İcmal!$B$19:$AG$49,ROW(X24)+1,FALSE)</f>
        <v>0</v>
      </c>
      <c r="AH26" s="15" cm="1">
        <f t="array" ref="AH26">+HLOOKUP($A$1,+[26]İcmal!$B$19:$AG$49,ROW(Y24)+1,FALSE)</f>
        <v>0</v>
      </c>
      <c r="AI26" s="15" cm="1">
        <f t="array" ref="AI26">+HLOOKUP($A$1,+[27]İcmal!$B$19:$AG$49,ROW(Z24)+1,FALSE)</f>
        <v>0</v>
      </c>
      <c r="AJ26" s="15" cm="1">
        <f t="array" ref="AJ26">+HLOOKUP($A$1,+[28]İcmal!$B$19:$AG$49,ROW(AA24)+1,FALSE)</f>
        <v>0</v>
      </c>
      <c r="AK26" s="15" cm="1">
        <f t="array" ref="AK26">+HLOOKUP($A$1,+[29]İcmal!$B$19:$AG$49,ROW(AB24)+1,FALSE)</f>
        <v>0</v>
      </c>
      <c r="AL26" s="15"/>
      <c r="AM26" s="15"/>
      <c r="AN26" s="15"/>
      <c r="AO26" s="15"/>
      <c r="AP26" s="15"/>
      <c r="AQ26" s="15"/>
      <c r="AR26" s="15"/>
      <c r="AS26" s="15"/>
      <c r="AT26" s="13"/>
    </row>
    <row r="27" spans="1:46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+HLOOKUP($A$1,+[2]İcmal!$B$19:$AG$49,ROW(A25)+1,FALSE)</f>
        <v>0</v>
      </c>
      <c r="K27" s="15" cm="1">
        <f t="array" ref="K27">+HLOOKUP($A$1,+[3]İcmal!$B$19:$AG$49,ROW(B25)+1,FALSE)</f>
        <v>0</v>
      </c>
      <c r="L27" s="15" cm="1">
        <f t="array" ref="L27">+HLOOKUP($A$1,+[4]İcmal!$B$19:$AG$49,ROW(C25)+1,FALSE)</f>
        <v>0</v>
      </c>
      <c r="M27" s="15" cm="1">
        <f t="array" ref="M27">+HLOOKUP($A$1,+[5]İcmal!$B$19:$AG$49,ROW(D25)+1,FALSE)</f>
        <v>0</v>
      </c>
      <c r="N27" s="15" cm="1">
        <f t="array" ref="N27">+HLOOKUP($A$1,+[6]İcmal!$B$19:$AG$49,ROW(E25)+1,FALSE)</f>
        <v>0</v>
      </c>
      <c r="O27" s="15" cm="1">
        <f t="array" ref="O27">+HLOOKUP($A$1,+[7]İcmal!$B$19:$AG$49,ROW(F25)+1,FALSE)</f>
        <v>0</v>
      </c>
      <c r="P27" s="15" cm="1">
        <f t="array" ref="P27">+HLOOKUP($A$1,+[8]İcmal!$B$19:$AG$49,ROW(G25)+1,FALSE)</f>
        <v>0</v>
      </c>
      <c r="Q27" s="15" cm="1">
        <f t="array" ref="Q27">+HLOOKUP($A$1,+[9]İcmal!$B$19:$AG$49,ROW(H25)+1,FALSE)</f>
        <v>0</v>
      </c>
      <c r="R27" s="15" cm="1">
        <f t="array" ref="R27">+HLOOKUP($A$1,+[10]İcmal!$B$19:$AG$49,ROW(I25)+1,FALSE)</f>
        <v>0</v>
      </c>
      <c r="S27" s="15" cm="1">
        <f t="array" ref="S27">+HLOOKUP($A$1,+[11]İcmal!$B$19:$AG$49,ROW(J25)+1,FALSE)</f>
        <v>0</v>
      </c>
      <c r="T27" s="15" cm="1">
        <f t="array" ref="T27">+HLOOKUP($A$1,+[12]İcmal!$B$19:$AG$49,ROW(K25)+1,FALSE)</f>
        <v>0</v>
      </c>
      <c r="U27" s="15" cm="1">
        <f t="array" ref="U27">+HLOOKUP($A$1,+[13]İcmal!$B$19:$AG$49,ROW(L25)+1,FALSE)</f>
        <v>0</v>
      </c>
      <c r="V27" s="15" cm="1">
        <f t="array" ref="V27">+HLOOKUP($A$1,+[14]İcmal!$B$19:$AG$49,ROW(M25)+1,FALSE)</f>
        <v>0</v>
      </c>
      <c r="W27" s="15" cm="1">
        <f t="array" ref="W27">+HLOOKUP($A$1,+[15]İcmal!$B$19:$AG$49,ROW(N25)+1,FALSE)</f>
        <v>0</v>
      </c>
      <c r="X27" s="15" cm="1">
        <f t="array" ref="X27">+HLOOKUP($A$1,+[16]İcmal!$B$19:$AG$49,ROW(O25)+1,FALSE)</f>
        <v>0</v>
      </c>
      <c r="Y27" s="15" cm="1">
        <f t="array" ref="Y27">+HLOOKUP($A$1,+[17]İcmal!$B$19:$AG$49,ROW(P25)+1,FALSE)</f>
        <v>0</v>
      </c>
      <c r="Z27" s="15" cm="1">
        <f t="array" ref="Z27">+HLOOKUP($A$1,+[18]İcmal!$B$19:$AG$49,ROW(Q25)+1,FALSE)</f>
        <v>0</v>
      </c>
      <c r="AA27" s="15" cm="1">
        <f t="array" ref="AA27">+HLOOKUP($A$1,+[19]İcmal!$B$19:$AG$49,ROW(R25)+1,FALSE)</f>
        <v>0</v>
      </c>
      <c r="AB27" s="15" cm="1">
        <f t="array" ref="AB27">+HLOOKUP($A$1,+[20]İcmal!$B$19:$AG$49,ROW(S25)+1,FALSE)</f>
        <v>0</v>
      </c>
      <c r="AC27" s="15" cm="1">
        <f t="array" ref="AC27">+HLOOKUP($A$1,+[21]İcmal!$B$19:$AG$49,ROW(T25)+1,FALSE)</f>
        <v>0</v>
      </c>
      <c r="AD27" s="15" cm="1">
        <f t="array" ref="AD27">+HLOOKUP($A$1,+[22]İcmal!$B$19:$AG$49,ROW(U25)+1,FALSE)</f>
        <v>0</v>
      </c>
      <c r="AE27" s="15" cm="1">
        <f t="array" ref="AE27">+HLOOKUP($A$1,+[23]İcmal!$B$19:$AG$49,ROW(V25)+1,FALSE)</f>
        <v>0</v>
      </c>
      <c r="AF27" s="15" cm="1">
        <f t="array" ref="AF27">+HLOOKUP($A$1,+[24]İcmal!$B$19:$AG$49,ROW(W25)+1,FALSE)</f>
        <v>0</v>
      </c>
      <c r="AG27" s="15" cm="1">
        <f t="array" ref="AG27">+HLOOKUP($A$1,+[25]İcmal!$B$19:$AG$49,ROW(X25)+1,FALSE)</f>
        <v>0</v>
      </c>
      <c r="AH27" s="15" cm="1">
        <f t="array" ref="AH27">+HLOOKUP($A$1,+[26]İcmal!$B$19:$AG$49,ROW(Y25)+1,FALSE)</f>
        <v>0</v>
      </c>
      <c r="AI27" s="15" cm="1">
        <f t="array" ref="AI27">+HLOOKUP($A$1,+[27]İcmal!$B$19:$AG$49,ROW(Z25)+1,FALSE)</f>
        <v>0</v>
      </c>
      <c r="AJ27" s="15" cm="1">
        <f t="array" ref="AJ27">+HLOOKUP($A$1,+[28]İcmal!$B$19:$AG$49,ROW(AA25)+1,FALSE)</f>
        <v>0</v>
      </c>
      <c r="AK27" s="15" cm="1">
        <f t="array" ref="AK27">+HLOOKUP($A$1,+[29]İcmal!$B$19:$AG$49,ROW(AB25)+1,FALSE)</f>
        <v>0</v>
      </c>
      <c r="AL27" s="15"/>
      <c r="AM27" s="15"/>
      <c r="AN27" s="15"/>
      <c r="AO27" s="15"/>
      <c r="AP27" s="15"/>
      <c r="AQ27" s="15"/>
      <c r="AR27" s="15"/>
      <c r="AS27" s="15"/>
      <c r="AT27" s="13"/>
    </row>
    <row r="28" spans="1:46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3.8380000000000005</v>
      </c>
      <c r="I28" s="9">
        <f t="shared" si="2"/>
        <v>177507.50000000003</v>
      </c>
      <c r="J28" s="15" cm="1">
        <f t="array" ref="J28">+HLOOKUP($A$1,+[2]İcmal!$B$19:$AG$49,ROW(A26)+1,FALSE)</f>
        <v>0</v>
      </c>
      <c r="K28" s="15" cm="1">
        <f t="array" ref="K28">+HLOOKUP($A$1,+[3]İcmal!$B$19:$AG$49,ROW(B26)+1,FALSE)</f>
        <v>0</v>
      </c>
      <c r="L28" s="15" cm="1">
        <f t="array" ref="L28">+HLOOKUP($A$1,+[4]İcmal!$B$19:$AG$49,ROW(C26)+1,FALSE)</f>
        <v>0</v>
      </c>
      <c r="M28" s="15" cm="1">
        <f t="array" ref="M28">+HLOOKUP($A$1,+[5]İcmal!$B$19:$AG$49,ROW(D26)+1,FALSE)</f>
        <v>0</v>
      </c>
      <c r="N28" s="15" cm="1">
        <f t="array" ref="N28">+HLOOKUP($A$1,+[6]İcmal!$B$19:$AG$49,ROW(E26)+1,FALSE)</f>
        <v>0</v>
      </c>
      <c r="O28" s="15" cm="1">
        <f t="array" ref="O28">+HLOOKUP($A$1,+[7]İcmal!$B$19:$AG$49,ROW(F26)+1,FALSE)</f>
        <v>0</v>
      </c>
      <c r="P28" s="15" cm="1">
        <f t="array" ref="P28">+HLOOKUP($A$1,+[8]İcmal!$B$19:$AG$49,ROW(G26)+1,FALSE)</f>
        <v>1.1720000000000002</v>
      </c>
      <c r="Q28" s="15" cm="1">
        <f t="array" ref="Q28">+HLOOKUP($A$1,+[9]İcmal!$B$19:$AG$49,ROW(H26)+1,FALSE)</f>
        <v>0.379</v>
      </c>
      <c r="R28" s="15" cm="1">
        <f t="array" ref="R28">+HLOOKUP($A$1,+[10]İcmal!$B$19:$AG$49,ROW(I26)+1,FALSE)</f>
        <v>0</v>
      </c>
      <c r="S28" s="15" cm="1">
        <f t="array" ref="S28">+HLOOKUP($A$1,+[11]İcmal!$B$19:$AG$49,ROW(J26)+1,FALSE)</f>
        <v>0</v>
      </c>
      <c r="T28" s="15" cm="1">
        <f t="array" ref="T28">+HLOOKUP($A$1,+[12]İcmal!$B$19:$AG$49,ROW(K26)+1,FALSE)</f>
        <v>1.3940000000000001</v>
      </c>
      <c r="U28" s="15" cm="1">
        <f t="array" ref="U28">+HLOOKUP($A$1,+[13]İcmal!$B$19:$AG$49,ROW(L26)+1,FALSE)</f>
        <v>0.47499999999999998</v>
      </c>
      <c r="V28" s="15" cm="1">
        <f t="array" ref="V28">+HLOOKUP($A$1,+[14]İcmal!$B$19:$AG$49,ROW(M26)+1,FALSE)</f>
        <v>0</v>
      </c>
      <c r="W28" s="15" cm="1">
        <f t="array" ref="W28">+HLOOKUP($A$1,+[15]İcmal!$B$19:$AG$49,ROW(N26)+1,FALSE)</f>
        <v>0</v>
      </c>
      <c r="X28" s="15" cm="1">
        <f t="array" ref="X28">+HLOOKUP($A$1,+[16]İcmal!$B$19:$AG$49,ROW(O26)+1,FALSE)</f>
        <v>0.182</v>
      </c>
      <c r="Y28" s="15" cm="1">
        <f t="array" ref="Y28">+HLOOKUP($A$1,+[17]İcmal!$B$19:$AG$49,ROW(P26)+1,FALSE)</f>
        <v>6.2E-2</v>
      </c>
      <c r="Z28" s="15" cm="1">
        <f t="array" ref="Z28">+HLOOKUP($A$1,+[18]İcmal!$B$19:$AG$49,ROW(Q26)+1,FALSE)</f>
        <v>0</v>
      </c>
      <c r="AA28" s="15" cm="1">
        <f t="array" ref="AA28">+HLOOKUP($A$1,+[19]İcmal!$B$19:$AG$49,ROW(R26)+1,FALSE)</f>
        <v>8.6999999999999994E-2</v>
      </c>
      <c r="AB28" s="15" cm="1">
        <f t="array" ref="AB28">+HLOOKUP($A$1,+[20]İcmal!$B$19:$AG$49,ROW(S26)+1,FALSE)</f>
        <v>0</v>
      </c>
      <c r="AC28" s="15" cm="1">
        <f t="array" ref="AC28">+HLOOKUP($A$1,+[21]İcmal!$B$19:$AG$49,ROW(T26)+1,FALSE)</f>
        <v>0</v>
      </c>
      <c r="AD28" s="15" cm="1">
        <f t="array" ref="AD28">+HLOOKUP($A$1,+[22]İcmal!$B$19:$AG$49,ROW(U26)+1,FALSE)</f>
        <v>0</v>
      </c>
      <c r="AE28" s="15" cm="1">
        <f t="array" ref="AE28">+HLOOKUP($A$1,+[23]İcmal!$B$19:$AG$49,ROW(V26)+1,FALSE)</f>
        <v>0</v>
      </c>
      <c r="AF28" s="15" cm="1">
        <f t="array" ref="AF28">+HLOOKUP($A$1,+[24]İcmal!$B$19:$AG$49,ROW(W26)+1,FALSE)</f>
        <v>0</v>
      </c>
      <c r="AG28" s="15" cm="1">
        <f t="array" ref="AG28">+HLOOKUP($A$1,+[25]İcmal!$B$19:$AG$49,ROW(X26)+1,FALSE)</f>
        <v>0</v>
      </c>
      <c r="AH28" s="15" cm="1">
        <f t="array" ref="AH28">+HLOOKUP($A$1,+[26]İcmal!$B$19:$AG$49,ROW(Y26)+1,FALSE)</f>
        <v>0</v>
      </c>
      <c r="AI28" s="15" cm="1">
        <f t="array" ref="AI28">+HLOOKUP($A$1,+[27]İcmal!$B$19:$AG$49,ROW(Z26)+1,FALSE)</f>
        <v>0</v>
      </c>
      <c r="AJ28" s="15" cm="1">
        <f t="array" ref="AJ28">+HLOOKUP($A$1,+[28]İcmal!$B$19:$AG$49,ROW(AA26)+1,FALSE)</f>
        <v>0</v>
      </c>
      <c r="AK28" s="15" cm="1">
        <f t="array" ref="AK28">+HLOOKUP($A$1,+[29]İcmal!$B$19:$AG$49,ROW(AB26)+1,FALSE)</f>
        <v>8.6999999999999994E-2</v>
      </c>
      <c r="AL28" s="15"/>
      <c r="AM28" s="15"/>
      <c r="AN28" s="15"/>
      <c r="AO28" s="15"/>
      <c r="AP28" s="15"/>
      <c r="AQ28" s="15"/>
      <c r="AR28" s="15"/>
      <c r="AS28" s="15"/>
      <c r="AT28" s="13"/>
    </row>
    <row r="29" spans="1:46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+HLOOKUP($A$1,+[2]İcmal!$B$19:$AG$49,ROW(A27)+1,FALSE)</f>
        <v>0</v>
      </c>
      <c r="K29" s="15" cm="1">
        <f t="array" ref="K29">+HLOOKUP($A$1,+[3]İcmal!$B$19:$AG$49,ROW(B27)+1,FALSE)</f>
        <v>0</v>
      </c>
      <c r="L29" s="15" cm="1">
        <f t="array" ref="L29">+HLOOKUP($A$1,+[4]İcmal!$B$19:$AG$49,ROW(C27)+1,FALSE)</f>
        <v>0</v>
      </c>
      <c r="M29" s="15" cm="1">
        <f t="array" ref="M29">+HLOOKUP($A$1,+[5]İcmal!$B$19:$AG$49,ROW(D27)+1,FALSE)</f>
        <v>0</v>
      </c>
      <c r="N29" s="15" cm="1">
        <f t="array" ref="N29">+HLOOKUP($A$1,+[6]İcmal!$B$19:$AG$49,ROW(E27)+1,FALSE)</f>
        <v>0</v>
      </c>
      <c r="O29" s="15" cm="1">
        <f t="array" ref="O29">+HLOOKUP($A$1,+[7]İcmal!$B$19:$AG$49,ROW(F27)+1,FALSE)</f>
        <v>0</v>
      </c>
      <c r="P29" s="15" cm="1">
        <f t="array" ref="P29">+HLOOKUP($A$1,+[8]İcmal!$B$19:$AG$49,ROW(G27)+1,FALSE)</f>
        <v>0</v>
      </c>
      <c r="Q29" s="15" cm="1">
        <f t="array" ref="Q29">+HLOOKUP($A$1,+[9]İcmal!$B$19:$AG$49,ROW(H27)+1,FALSE)</f>
        <v>0</v>
      </c>
      <c r="R29" s="15" cm="1">
        <f t="array" ref="R29">+HLOOKUP($A$1,+[10]İcmal!$B$19:$AG$49,ROW(I27)+1,FALSE)</f>
        <v>0</v>
      </c>
      <c r="S29" s="15" cm="1">
        <f t="array" ref="S29">+HLOOKUP($A$1,+[11]İcmal!$B$19:$AG$49,ROW(J27)+1,FALSE)</f>
        <v>0</v>
      </c>
      <c r="T29" s="15" cm="1">
        <f t="array" ref="T29">+HLOOKUP($A$1,+[12]İcmal!$B$19:$AG$49,ROW(K27)+1,FALSE)</f>
        <v>0</v>
      </c>
      <c r="U29" s="15" cm="1">
        <f t="array" ref="U29">+HLOOKUP($A$1,+[13]İcmal!$B$19:$AG$49,ROW(L27)+1,FALSE)</f>
        <v>0</v>
      </c>
      <c r="V29" s="15" cm="1">
        <f t="array" ref="V29">+HLOOKUP($A$1,+[14]İcmal!$B$19:$AG$49,ROW(M27)+1,FALSE)</f>
        <v>0</v>
      </c>
      <c r="W29" s="15" cm="1">
        <f t="array" ref="W29">+HLOOKUP($A$1,+[15]İcmal!$B$19:$AG$49,ROW(N27)+1,FALSE)</f>
        <v>0</v>
      </c>
      <c r="X29" s="15" cm="1">
        <f t="array" ref="X29">+HLOOKUP($A$1,+[16]İcmal!$B$19:$AG$49,ROW(O27)+1,FALSE)</f>
        <v>0</v>
      </c>
      <c r="Y29" s="15" cm="1">
        <f t="array" ref="Y29">+HLOOKUP($A$1,+[17]İcmal!$B$19:$AG$49,ROW(P27)+1,FALSE)</f>
        <v>0</v>
      </c>
      <c r="Z29" s="15" cm="1">
        <f t="array" ref="Z29">+HLOOKUP($A$1,+[18]İcmal!$B$19:$AG$49,ROW(Q27)+1,FALSE)</f>
        <v>0</v>
      </c>
      <c r="AA29" s="15" cm="1">
        <f t="array" ref="AA29">+HLOOKUP($A$1,+[19]İcmal!$B$19:$AG$49,ROW(R27)+1,FALSE)</f>
        <v>0</v>
      </c>
      <c r="AB29" s="15" cm="1">
        <f t="array" ref="AB29">+HLOOKUP($A$1,+[20]İcmal!$B$19:$AG$49,ROW(S27)+1,FALSE)</f>
        <v>0</v>
      </c>
      <c r="AC29" s="15" cm="1">
        <f t="array" ref="AC29">+HLOOKUP($A$1,+[21]İcmal!$B$19:$AG$49,ROW(T27)+1,FALSE)</f>
        <v>0</v>
      </c>
      <c r="AD29" s="15" cm="1">
        <f t="array" ref="AD29">+HLOOKUP($A$1,+[22]İcmal!$B$19:$AG$49,ROW(U27)+1,FALSE)</f>
        <v>0</v>
      </c>
      <c r="AE29" s="15" cm="1">
        <f t="array" ref="AE29">+HLOOKUP($A$1,+[23]İcmal!$B$19:$AG$49,ROW(V27)+1,FALSE)</f>
        <v>0</v>
      </c>
      <c r="AF29" s="15" cm="1">
        <f t="array" ref="AF29">+HLOOKUP($A$1,+[24]İcmal!$B$19:$AG$49,ROW(W27)+1,FALSE)</f>
        <v>0</v>
      </c>
      <c r="AG29" s="15" cm="1">
        <f t="array" ref="AG29">+HLOOKUP($A$1,+[25]İcmal!$B$19:$AG$49,ROW(X27)+1,FALSE)</f>
        <v>0</v>
      </c>
      <c r="AH29" s="15" cm="1">
        <f t="array" ref="AH29">+HLOOKUP($A$1,+[26]İcmal!$B$19:$AG$49,ROW(Y27)+1,FALSE)</f>
        <v>0</v>
      </c>
      <c r="AI29" s="15" cm="1">
        <f t="array" ref="AI29">+HLOOKUP($A$1,+[27]İcmal!$B$19:$AG$49,ROW(Z27)+1,FALSE)</f>
        <v>0</v>
      </c>
      <c r="AJ29" s="15" cm="1">
        <f t="array" ref="AJ29">+HLOOKUP($A$1,+[28]İcmal!$B$19:$AG$49,ROW(AA27)+1,FALSE)</f>
        <v>0</v>
      </c>
      <c r="AK29" s="15" cm="1">
        <f t="array" ref="AK29">+HLOOKUP($A$1,+[29]İcmal!$B$19:$AG$49,ROW(AB27)+1,FALSE)</f>
        <v>0</v>
      </c>
      <c r="AL29" s="15"/>
      <c r="AM29" s="15"/>
      <c r="AN29" s="15"/>
      <c r="AO29" s="15"/>
      <c r="AP29" s="15"/>
      <c r="AQ29" s="15"/>
      <c r="AR29" s="15"/>
      <c r="AS29" s="15"/>
      <c r="AT29" s="13"/>
    </row>
    <row r="30" spans="1:46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33.473000000000006</v>
      </c>
      <c r="I30" s="9">
        <f t="shared" si="2"/>
        <v>3258027.5090000005</v>
      </c>
      <c r="J30" s="15" cm="1">
        <f t="array" ref="J30">+HLOOKUP($A$1,+[2]İcmal!$B$19:$AG$49,ROW(A28)+1,FALSE)</f>
        <v>0</v>
      </c>
      <c r="K30" s="15" cm="1">
        <f t="array" ref="K30">+HLOOKUP($A$1,+[3]İcmal!$B$19:$AG$49,ROW(B28)+1,FALSE)</f>
        <v>0</v>
      </c>
      <c r="L30" s="15" cm="1">
        <f t="array" ref="L30">+HLOOKUP($A$1,+[4]İcmal!$B$19:$AG$49,ROW(C28)+1,FALSE)</f>
        <v>0</v>
      </c>
      <c r="M30" s="15" cm="1">
        <f t="array" ref="M30">+HLOOKUP($A$1,+[5]İcmal!$B$19:$AG$49,ROW(D28)+1,FALSE)</f>
        <v>0</v>
      </c>
      <c r="N30" s="15" cm="1">
        <f t="array" ref="N30">+HLOOKUP($A$1,+[6]İcmal!$B$19:$AG$49,ROW(E28)+1,FALSE)</f>
        <v>0</v>
      </c>
      <c r="O30" s="15" cm="1">
        <f t="array" ref="O30">+HLOOKUP($A$1,+[7]İcmal!$B$19:$AG$49,ROW(F28)+1,FALSE)</f>
        <v>0</v>
      </c>
      <c r="P30" s="15" cm="1">
        <f t="array" ref="P30">+HLOOKUP($A$1,+[8]İcmal!$B$19:$AG$49,ROW(G28)+1,FALSE)</f>
        <v>6.9619999999999997</v>
      </c>
      <c r="Q30" s="15" cm="1">
        <f t="array" ref="Q30">+HLOOKUP($A$1,+[9]İcmal!$B$19:$AG$49,ROW(H28)+1,FALSE)</f>
        <v>6.6210000000000004</v>
      </c>
      <c r="R30" s="15" cm="1">
        <f t="array" ref="R30">+HLOOKUP($A$1,+[10]İcmal!$B$19:$AG$49,ROW(I28)+1,FALSE)</f>
        <v>0</v>
      </c>
      <c r="S30" s="15" cm="1">
        <f t="array" ref="S30">+HLOOKUP($A$1,+[11]İcmal!$B$19:$AG$49,ROW(J28)+1,FALSE)</f>
        <v>0</v>
      </c>
      <c r="T30" s="15" cm="1">
        <f t="array" ref="T30">+HLOOKUP($A$1,+[12]İcmal!$B$19:$AG$49,ROW(K28)+1,FALSE)</f>
        <v>7.9370000000000012</v>
      </c>
      <c r="U30" s="15" cm="1">
        <f t="array" ref="U30">+HLOOKUP($A$1,+[13]İcmal!$B$19:$AG$49,ROW(L28)+1,FALSE)</f>
        <v>7.9420000000000002</v>
      </c>
      <c r="V30" s="15" cm="1">
        <f t="array" ref="V30">+HLOOKUP($A$1,+[14]İcmal!$B$19:$AG$49,ROW(M28)+1,FALSE)</f>
        <v>0</v>
      </c>
      <c r="W30" s="15" cm="1">
        <f t="array" ref="W30">+HLOOKUP($A$1,+[15]İcmal!$B$19:$AG$49,ROW(N28)+1,FALSE)</f>
        <v>0</v>
      </c>
      <c r="X30" s="15" cm="1">
        <f t="array" ref="X30">+HLOOKUP($A$1,+[16]İcmal!$B$19:$AG$49,ROW(O28)+1,FALSE)</f>
        <v>1.0350000000000001</v>
      </c>
      <c r="Y30" s="15" cm="1">
        <f t="array" ref="Y30">+HLOOKUP($A$1,+[17]İcmal!$B$19:$AG$49,ROW(P28)+1,FALSE)</f>
        <v>1.0360000000000014</v>
      </c>
      <c r="Z30" s="15" cm="1">
        <f t="array" ref="Z30">+HLOOKUP($A$1,+[18]İcmal!$B$19:$AG$49,ROW(Q28)+1,FALSE)</f>
        <v>0</v>
      </c>
      <c r="AA30" s="15" cm="1">
        <f t="array" ref="AA30">+HLOOKUP($A$1,+[19]İcmal!$B$19:$AG$49,ROW(R28)+1,FALSE)</f>
        <v>0.97</v>
      </c>
      <c r="AB30" s="15" cm="1">
        <f t="array" ref="AB30">+HLOOKUP($A$1,+[20]İcmal!$B$19:$AG$49,ROW(S28)+1,FALSE)</f>
        <v>0</v>
      </c>
      <c r="AC30" s="15" cm="1">
        <f t="array" ref="AC30">+HLOOKUP($A$1,+[21]İcmal!$B$19:$AG$49,ROW(T28)+1,FALSE)</f>
        <v>0</v>
      </c>
      <c r="AD30" s="15" cm="1">
        <f t="array" ref="AD30">+HLOOKUP($A$1,+[22]İcmal!$B$19:$AG$49,ROW(U28)+1,FALSE)</f>
        <v>0</v>
      </c>
      <c r="AE30" s="15" cm="1">
        <f t="array" ref="AE30">+HLOOKUP($A$1,+[23]İcmal!$B$19:$AG$49,ROW(V28)+1,FALSE)</f>
        <v>0</v>
      </c>
      <c r="AF30" s="15" cm="1">
        <f t="array" ref="AF30">+HLOOKUP($A$1,+[24]İcmal!$B$19:$AG$49,ROW(W28)+1,FALSE)</f>
        <v>0</v>
      </c>
      <c r="AG30" s="15" cm="1">
        <f t="array" ref="AG30">+HLOOKUP($A$1,+[25]İcmal!$B$19:$AG$49,ROW(X28)+1,FALSE)</f>
        <v>0</v>
      </c>
      <c r="AH30" s="15" cm="1">
        <f t="array" ref="AH30">+HLOOKUP($A$1,+[26]İcmal!$B$19:$AG$49,ROW(Y28)+1,FALSE)</f>
        <v>0</v>
      </c>
      <c r="AI30" s="15" cm="1">
        <f t="array" ref="AI30">+HLOOKUP($A$1,+[27]İcmal!$B$19:$AG$49,ROW(Z28)+1,FALSE)</f>
        <v>0</v>
      </c>
      <c r="AJ30" s="15" cm="1">
        <f t="array" ref="AJ30">+HLOOKUP($A$1,+[28]İcmal!$B$19:$AG$49,ROW(AA28)+1,FALSE)</f>
        <v>0</v>
      </c>
      <c r="AK30" s="15" cm="1">
        <f t="array" ref="AK30">+HLOOKUP($A$1,+[29]İcmal!$B$19:$AG$49,ROW(AB28)+1,FALSE)</f>
        <v>0.97</v>
      </c>
      <c r="AL30" s="15"/>
      <c r="AM30" s="15"/>
      <c r="AN30" s="15"/>
      <c r="AO30" s="15"/>
      <c r="AP30" s="15"/>
      <c r="AQ30" s="15"/>
      <c r="AR30" s="15"/>
      <c r="AS30" s="15"/>
      <c r="AT30" s="13"/>
    </row>
    <row r="31" spans="1:46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+HLOOKUP($A$1,+[2]İcmal!$B$19:$AG$49,ROW(A29)+1,FALSE)</f>
        <v>0</v>
      </c>
      <c r="K31" s="15" cm="1">
        <f t="array" ref="K31">+HLOOKUP($A$1,+[3]İcmal!$B$19:$AG$49,ROW(B29)+1,FALSE)</f>
        <v>0</v>
      </c>
      <c r="L31" s="15" cm="1">
        <f t="array" ref="L31">+HLOOKUP($A$1,+[4]İcmal!$B$19:$AG$49,ROW(C29)+1,FALSE)</f>
        <v>0</v>
      </c>
      <c r="M31" s="15" cm="1">
        <f t="array" ref="M31">+HLOOKUP($A$1,+[5]İcmal!$B$19:$AG$49,ROW(D29)+1,FALSE)</f>
        <v>0</v>
      </c>
      <c r="N31" s="15" cm="1">
        <f t="array" ref="N31">+HLOOKUP($A$1,+[6]İcmal!$B$19:$AG$49,ROW(E29)+1,FALSE)</f>
        <v>0</v>
      </c>
      <c r="O31" s="15" cm="1">
        <f t="array" ref="O31">+HLOOKUP($A$1,+[7]İcmal!$B$19:$AG$49,ROW(F29)+1,FALSE)</f>
        <v>0</v>
      </c>
      <c r="P31" s="15" cm="1">
        <f t="array" ref="P31">+HLOOKUP($A$1,+[8]İcmal!$B$19:$AG$49,ROW(G29)+1,FALSE)</f>
        <v>0</v>
      </c>
      <c r="Q31" s="15" cm="1">
        <f t="array" ref="Q31">+HLOOKUP($A$1,+[9]İcmal!$B$19:$AG$49,ROW(H29)+1,FALSE)</f>
        <v>0</v>
      </c>
      <c r="R31" s="15" cm="1">
        <f t="array" ref="R31">+HLOOKUP($A$1,+[10]İcmal!$B$19:$AG$49,ROW(I29)+1,FALSE)</f>
        <v>0</v>
      </c>
      <c r="S31" s="15" cm="1">
        <f t="array" ref="S31">+HLOOKUP($A$1,+[11]İcmal!$B$19:$AG$49,ROW(J29)+1,FALSE)</f>
        <v>0</v>
      </c>
      <c r="T31" s="15" cm="1">
        <f t="array" ref="T31">+HLOOKUP($A$1,+[12]İcmal!$B$19:$AG$49,ROW(K29)+1,FALSE)</f>
        <v>0</v>
      </c>
      <c r="U31" s="15" cm="1">
        <f t="array" ref="U31">+HLOOKUP($A$1,+[13]İcmal!$B$19:$AG$49,ROW(L29)+1,FALSE)</f>
        <v>0</v>
      </c>
      <c r="V31" s="15" cm="1">
        <f t="array" ref="V31">+HLOOKUP($A$1,+[14]İcmal!$B$19:$AG$49,ROW(M29)+1,FALSE)</f>
        <v>0</v>
      </c>
      <c r="W31" s="15" cm="1">
        <f t="array" ref="W31">+HLOOKUP($A$1,+[15]İcmal!$B$19:$AG$49,ROW(N29)+1,FALSE)</f>
        <v>0</v>
      </c>
      <c r="X31" s="15" cm="1">
        <f t="array" ref="X31">+HLOOKUP($A$1,+[16]İcmal!$B$19:$AG$49,ROW(O29)+1,FALSE)</f>
        <v>0</v>
      </c>
      <c r="Y31" s="15" cm="1">
        <f t="array" ref="Y31">+HLOOKUP($A$1,+[17]İcmal!$B$19:$AG$49,ROW(P29)+1,FALSE)</f>
        <v>0</v>
      </c>
      <c r="Z31" s="15" cm="1">
        <f t="array" ref="Z31">+HLOOKUP($A$1,+[18]İcmal!$B$19:$AG$49,ROW(Q29)+1,FALSE)</f>
        <v>0</v>
      </c>
      <c r="AA31" s="15" cm="1">
        <f t="array" ref="AA31">+HLOOKUP($A$1,+[19]İcmal!$B$19:$AG$49,ROW(R29)+1,FALSE)</f>
        <v>0</v>
      </c>
      <c r="AB31" s="15" cm="1">
        <f t="array" ref="AB31">+HLOOKUP($A$1,+[20]İcmal!$B$19:$AG$49,ROW(S29)+1,FALSE)</f>
        <v>0</v>
      </c>
      <c r="AC31" s="15" cm="1">
        <f t="array" ref="AC31">+HLOOKUP($A$1,+[21]İcmal!$B$19:$AG$49,ROW(T29)+1,FALSE)</f>
        <v>0</v>
      </c>
      <c r="AD31" s="15" cm="1">
        <f t="array" ref="AD31">+HLOOKUP($A$1,+[22]İcmal!$B$19:$AG$49,ROW(U29)+1,FALSE)</f>
        <v>0</v>
      </c>
      <c r="AE31" s="15" cm="1">
        <f t="array" ref="AE31">+HLOOKUP($A$1,+[23]İcmal!$B$19:$AG$49,ROW(V29)+1,FALSE)</f>
        <v>0</v>
      </c>
      <c r="AF31" s="15" cm="1">
        <f t="array" ref="AF31">+HLOOKUP($A$1,+[24]İcmal!$B$19:$AG$49,ROW(W29)+1,FALSE)</f>
        <v>0</v>
      </c>
      <c r="AG31" s="15" cm="1">
        <f t="array" ref="AG31">+HLOOKUP($A$1,+[25]İcmal!$B$19:$AG$49,ROW(X29)+1,FALSE)</f>
        <v>0</v>
      </c>
      <c r="AH31" s="15" cm="1">
        <f t="array" ref="AH31">+HLOOKUP($A$1,+[26]İcmal!$B$19:$AG$49,ROW(Y29)+1,FALSE)</f>
        <v>0</v>
      </c>
      <c r="AI31" s="15" cm="1">
        <f t="array" ref="AI31">+HLOOKUP($A$1,+[27]İcmal!$B$19:$AG$49,ROW(Z29)+1,FALSE)</f>
        <v>0</v>
      </c>
      <c r="AJ31" s="15" cm="1">
        <f t="array" ref="AJ31">+HLOOKUP($A$1,+[28]İcmal!$B$19:$AG$49,ROW(AA29)+1,FALSE)</f>
        <v>0</v>
      </c>
      <c r="AK31" s="15" cm="1">
        <f t="array" ref="AK31">+HLOOKUP($A$1,+[29]İcmal!$B$19:$AG$49,ROW(AB29)+1,FALSE)</f>
        <v>0</v>
      </c>
      <c r="AL31" s="15"/>
      <c r="AM31" s="15"/>
      <c r="AN31" s="15"/>
      <c r="AO31" s="15"/>
      <c r="AP31" s="15"/>
      <c r="AQ31" s="15"/>
      <c r="AR31" s="15"/>
      <c r="AS31" s="15"/>
      <c r="AT31" s="13"/>
    </row>
    <row r="32" spans="1:46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+HLOOKUP($A$1,+[2]İcmal!$B$19:$AG$49,ROW(A30)+1,FALSE)</f>
        <v>0</v>
      </c>
      <c r="K32" s="15" cm="1">
        <f t="array" ref="K32">+HLOOKUP($A$1,+[3]İcmal!$B$19:$AG$49,ROW(B30)+1,FALSE)</f>
        <v>0</v>
      </c>
      <c r="L32" s="15" cm="1">
        <f t="array" ref="L32">+HLOOKUP($A$1,+[4]İcmal!$B$19:$AG$49,ROW(C30)+1,FALSE)</f>
        <v>0</v>
      </c>
      <c r="M32" s="15" cm="1">
        <f t="array" ref="M32">+HLOOKUP($A$1,+[5]İcmal!$B$19:$AG$49,ROW(D30)+1,FALSE)</f>
        <v>0</v>
      </c>
      <c r="N32" s="15" cm="1">
        <f t="array" ref="N32">+HLOOKUP($A$1,+[6]İcmal!$B$19:$AG$49,ROW(E30)+1,FALSE)</f>
        <v>0</v>
      </c>
      <c r="O32" s="15" cm="1">
        <f t="array" ref="O32">+HLOOKUP($A$1,+[7]İcmal!$B$19:$AG$49,ROW(F30)+1,FALSE)</f>
        <v>0</v>
      </c>
      <c r="P32" s="15" cm="1">
        <f t="array" ref="P32">+HLOOKUP($A$1,+[8]İcmal!$B$19:$AG$49,ROW(G30)+1,FALSE)</f>
        <v>0</v>
      </c>
      <c r="Q32" s="15" cm="1">
        <f t="array" ref="Q32">+HLOOKUP($A$1,+[9]İcmal!$B$19:$AG$49,ROW(H30)+1,FALSE)</f>
        <v>0</v>
      </c>
      <c r="R32" s="15" cm="1">
        <f t="array" ref="R32">+HLOOKUP($A$1,+[10]İcmal!$B$19:$AG$49,ROW(I30)+1,FALSE)</f>
        <v>0</v>
      </c>
      <c r="S32" s="15" cm="1">
        <f t="array" ref="S32">+HLOOKUP($A$1,+[11]İcmal!$B$19:$AG$49,ROW(J30)+1,FALSE)</f>
        <v>0</v>
      </c>
      <c r="T32" s="15" cm="1">
        <f t="array" ref="T32">+HLOOKUP($A$1,+[12]İcmal!$B$19:$AG$49,ROW(K30)+1,FALSE)</f>
        <v>0</v>
      </c>
      <c r="U32" s="15" cm="1">
        <f t="array" ref="U32">+HLOOKUP($A$1,+[13]İcmal!$B$19:$AG$49,ROW(L30)+1,FALSE)</f>
        <v>0</v>
      </c>
      <c r="V32" s="15" cm="1">
        <f t="array" ref="V32">+HLOOKUP($A$1,+[14]İcmal!$B$19:$AG$49,ROW(M30)+1,FALSE)</f>
        <v>0</v>
      </c>
      <c r="W32" s="15" cm="1">
        <f t="array" ref="W32">+HLOOKUP($A$1,+[15]İcmal!$B$19:$AG$49,ROW(N30)+1,FALSE)</f>
        <v>0</v>
      </c>
      <c r="X32" s="15" cm="1">
        <f t="array" ref="X32">+HLOOKUP($A$1,+[16]İcmal!$B$19:$AG$49,ROW(O30)+1,FALSE)</f>
        <v>0</v>
      </c>
      <c r="Y32" s="15" cm="1">
        <f t="array" ref="Y32">+HLOOKUP($A$1,+[17]İcmal!$B$19:$AG$49,ROW(P30)+1,FALSE)</f>
        <v>0</v>
      </c>
      <c r="Z32" s="15" cm="1">
        <f t="array" ref="Z32">+HLOOKUP($A$1,+[18]İcmal!$B$19:$AG$49,ROW(Q30)+1,FALSE)</f>
        <v>0</v>
      </c>
      <c r="AA32" s="15" cm="1">
        <f t="array" ref="AA32">+HLOOKUP($A$1,+[19]İcmal!$B$19:$AG$49,ROW(R30)+1,FALSE)</f>
        <v>0</v>
      </c>
      <c r="AB32" s="15" cm="1">
        <f t="array" ref="AB32">+HLOOKUP($A$1,+[20]İcmal!$B$19:$AG$49,ROW(S30)+1,FALSE)</f>
        <v>0</v>
      </c>
      <c r="AC32" s="15" cm="1">
        <f t="array" ref="AC32">+HLOOKUP($A$1,+[21]İcmal!$B$19:$AG$49,ROW(T30)+1,FALSE)</f>
        <v>0</v>
      </c>
      <c r="AD32" s="15" cm="1">
        <f t="array" ref="AD32">+HLOOKUP($A$1,+[22]İcmal!$B$19:$AG$49,ROW(U30)+1,FALSE)</f>
        <v>0</v>
      </c>
      <c r="AE32" s="15" cm="1">
        <f t="array" ref="AE32">+HLOOKUP($A$1,+[23]İcmal!$B$19:$AG$49,ROW(V30)+1,FALSE)</f>
        <v>0</v>
      </c>
      <c r="AF32" s="15" cm="1">
        <f t="array" ref="AF32">+HLOOKUP($A$1,+[24]İcmal!$B$19:$AG$49,ROW(W30)+1,FALSE)</f>
        <v>0</v>
      </c>
      <c r="AG32" s="15" cm="1">
        <f t="array" ref="AG32">+HLOOKUP($A$1,+[25]İcmal!$B$19:$AG$49,ROW(X30)+1,FALSE)</f>
        <v>0</v>
      </c>
      <c r="AH32" s="15" cm="1">
        <f t="array" ref="AH32">+HLOOKUP($A$1,+[26]İcmal!$B$19:$AG$49,ROW(Y30)+1,FALSE)</f>
        <v>0</v>
      </c>
      <c r="AI32" s="15" cm="1">
        <f t="array" ref="AI32">+HLOOKUP($A$1,+[27]İcmal!$B$19:$AG$49,ROW(Z30)+1,FALSE)</f>
        <v>0</v>
      </c>
      <c r="AJ32" s="15" cm="1">
        <f t="array" ref="AJ32">+HLOOKUP($A$1,+[28]İcmal!$B$19:$AG$49,ROW(AA30)+1,FALSE)</f>
        <v>0</v>
      </c>
      <c r="AK32" s="15" cm="1">
        <f t="array" ref="AK32">+HLOOKUP($A$1,+[29]İcmal!$B$19:$AG$49,ROW(AB30)+1,FALSE)</f>
        <v>0</v>
      </c>
      <c r="AL32" s="15"/>
      <c r="AM32" s="15"/>
      <c r="AN32" s="15"/>
      <c r="AO32" s="15"/>
      <c r="AP32" s="15"/>
      <c r="AQ32" s="15"/>
      <c r="AR32" s="15"/>
      <c r="AS32" s="15"/>
      <c r="AT32" s="14"/>
    </row>
    <row r="33" spans="7:45" x14ac:dyDescent="0.3">
      <c r="I33" s="16">
        <f>SUM(I3:I32)</f>
        <v>83315277.519000009</v>
      </c>
      <c r="J33" s="16">
        <f t="shared" ref="J33:AS33" si="3">+SUMPRODUCT(J3:J32,$F$3:$F$32)</f>
        <v>0</v>
      </c>
      <c r="K33" s="16">
        <f t="shared" si="3"/>
        <v>0</v>
      </c>
      <c r="L33" s="16">
        <f t="shared" si="3"/>
        <v>2840250</v>
      </c>
      <c r="M33" s="16">
        <f t="shared" si="3"/>
        <v>252000</v>
      </c>
      <c r="N33" s="16">
        <f t="shared" si="3"/>
        <v>7035112.3080000002</v>
      </c>
      <c r="O33" s="16">
        <f t="shared" si="3"/>
        <v>5089661.0860000001</v>
      </c>
      <c r="P33" s="16">
        <f t="shared" si="3"/>
        <v>10805694.848000001</v>
      </c>
      <c r="Q33" s="16">
        <f t="shared" si="3"/>
        <v>8898182.0490000006</v>
      </c>
      <c r="R33" s="16">
        <f t="shared" si="3"/>
        <v>4219686.5359999994</v>
      </c>
      <c r="S33" s="16">
        <f t="shared" si="3"/>
        <v>2488228.6180000002</v>
      </c>
      <c r="T33" s="16">
        <f t="shared" si="3"/>
        <v>14240688.435000001</v>
      </c>
      <c r="U33" s="16">
        <f t="shared" si="3"/>
        <v>12609716.791000001</v>
      </c>
      <c r="V33" s="16">
        <f t="shared" si="3"/>
        <v>0</v>
      </c>
      <c r="W33" s="16">
        <f t="shared" si="3"/>
        <v>0</v>
      </c>
      <c r="X33" s="16">
        <f t="shared" si="3"/>
        <v>3760397.1309999996</v>
      </c>
      <c r="Y33" s="16">
        <f t="shared" si="3"/>
        <v>3590529.7469999995</v>
      </c>
      <c r="Z33" s="16">
        <f t="shared" si="3"/>
        <v>2155769.7579999999</v>
      </c>
      <c r="AA33" s="16">
        <f t="shared" si="3"/>
        <v>1810910.348</v>
      </c>
      <c r="AB33" s="16">
        <f t="shared" si="3"/>
        <v>0</v>
      </c>
      <c r="AC33" s="16">
        <f t="shared" si="3"/>
        <v>0</v>
      </c>
      <c r="AD33" s="16">
        <f t="shared" si="3"/>
        <v>55769.758000000009</v>
      </c>
      <c r="AE33" s="16">
        <f t="shared" si="3"/>
        <v>0</v>
      </c>
      <c r="AF33" s="16">
        <f t="shared" si="3"/>
        <v>0</v>
      </c>
      <c r="AG33" s="16">
        <f t="shared" si="3"/>
        <v>0</v>
      </c>
      <c r="AH33" s="16">
        <f t="shared" si="3"/>
        <v>0</v>
      </c>
      <c r="AI33" s="16">
        <f t="shared" si="3"/>
        <v>0</v>
      </c>
      <c r="AJ33" s="16">
        <f t="shared" si="3"/>
        <v>2155769.7579999999</v>
      </c>
      <c r="AK33" s="16">
        <f t="shared" si="3"/>
        <v>1306910.348</v>
      </c>
      <c r="AL33" s="16"/>
      <c r="AM33" s="16"/>
      <c r="AN33" s="16"/>
      <c r="AO33" s="16"/>
      <c r="AP33" s="16"/>
      <c r="AQ33" s="16"/>
      <c r="AR33" s="16"/>
      <c r="AS33" s="16">
        <f t="shared" si="3"/>
        <v>0</v>
      </c>
    </row>
    <row r="34" spans="7:45" x14ac:dyDescent="0.3">
      <c r="H34" s="52"/>
    </row>
    <row r="35" spans="7:45" x14ac:dyDescent="0.3">
      <c r="G35" s="16"/>
      <c r="H35" s="16"/>
      <c r="I35" s="16"/>
    </row>
    <row r="36" spans="7:45" x14ac:dyDescent="0.3">
      <c r="I36" s="16"/>
      <c r="K36" s="49"/>
      <c r="N36" s="49"/>
      <c r="O36" s="49"/>
      <c r="P36" s="49"/>
      <c r="Q36" s="49"/>
    </row>
    <row r="37" spans="7:45" x14ac:dyDescent="0.3"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7:45" x14ac:dyDescent="0.3">
      <c r="I38" s="16"/>
    </row>
    <row r="39" spans="7:45" x14ac:dyDescent="0.3">
      <c r="I39" s="16"/>
    </row>
    <row r="40" spans="7:45" x14ac:dyDescent="0.3">
      <c r="I40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63C8-F035-4FAA-BCFB-0508497420E8}">
  <sheetPr>
    <tabColor rgb="FFFF0000"/>
  </sheetPr>
  <dimension ref="A1:AS37"/>
  <sheetViews>
    <sheetView topLeftCell="AK1" zoomScale="85" zoomScaleNormal="85" workbookViewId="0">
      <selection activeCell="AK12" sqref="AK12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1" width="19.33203125" customWidth="1"/>
    <col min="12" max="13" width="21.109375" customWidth="1"/>
    <col min="14" max="15" width="19.21875" customWidth="1"/>
    <col min="16" max="16" width="19.33203125" customWidth="1"/>
    <col min="17" max="19" width="19.21875" customWidth="1"/>
    <col min="20" max="20" width="19.33203125" customWidth="1"/>
    <col min="21" max="21" width="19.21875" customWidth="1"/>
    <col min="22" max="24" width="46.77734375" customWidth="1"/>
    <col min="25" max="25" width="46.33203125" customWidth="1"/>
    <col min="26" max="32" width="46.77734375" customWidth="1"/>
    <col min="33" max="33" width="46.33203125" customWidth="1"/>
    <col min="34" max="37" width="46.77734375" customWidth="1"/>
    <col min="38" max="43" width="59.109375" customWidth="1"/>
    <col min="44" max="44" width="12.33203125" bestFit="1" customWidth="1"/>
    <col min="45" max="45" width="2.21875" customWidth="1"/>
  </cols>
  <sheetData>
    <row r="1" spans="1:45" ht="15" thickBot="1" x14ac:dyDescent="0.35">
      <c r="A1" s="17" t="s">
        <v>137</v>
      </c>
    </row>
    <row r="2" spans="1:45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3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11" t="s">
        <v>126</v>
      </c>
      <c r="AG2" s="3" t="s">
        <v>143</v>
      </c>
      <c r="AH2" s="11" t="s">
        <v>144</v>
      </c>
      <c r="AI2" s="3" t="s">
        <v>138</v>
      </c>
      <c r="AJ2" s="11" t="s">
        <v>125</v>
      </c>
      <c r="AK2" s="3" t="s">
        <v>133</v>
      </c>
      <c r="AL2" s="11" t="s">
        <v>145</v>
      </c>
      <c r="AM2" s="11" t="s">
        <v>146</v>
      </c>
      <c r="AN2" s="11" t="s">
        <v>147</v>
      </c>
      <c r="AO2" s="11" t="s">
        <v>148</v>
      </c>
      <c r="AP2" s="11" t="s">
        <v>149</v>
      </c>
      <c r="AQ2" s="11"/>
      <c r="AR2" s="11"/>
      <c r="AS2" s="12"/>
    </row>
    <row r="3" spans="1:45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SUM(J3:AS3)</f>
        <v>0</v>
      </c>
      <c r="I3" s="9">
        <f>+F3*H3</f>
        <v>0</v>
      </c>
      <c r="J3" s="15" cm="1">
        <f t="array" ref="J3">+HLOOKUP($A$1,+[31]İcmal!$B$19:$AG$49,ROW(A1)+1,FALSE)</f>
        <v>0</v>
      </c>
      <c r="K3" s="15" cm="1">
        <f t="array" ref="K3">+HLOOKUP($A$1,+[32]İcmal!$B$19:$AG$49,ROW(B1)+1,FALSE)</f>
        <v>0</v>
      </c>
      <c r="L3" s="15" cm="1">
        <f t="array" ref="L3">+HLOOKUP($A$1,+[33]İcmal!$B$19:$AG$49,ROW(C1)+1,FALSE)</f>
        <v>0</v>
      </c>
      <c r="M3" s="15" cm="1">
        <f t="array" ref="M3">+HLOOKUP($A$1,+[34]İcmal!$B$19:$AG$49,ROW(D1)+1,FALSE)</f>
        <v>0</v>
      </c>
      <c r="N3" s="15" cm="1">
        <f t="array" ref="N3">+HLOOKUP($A$1,+[35]İcmal!$B$19:$AG$49,ROW(A1)+1,FALSE)</f>
        <v>0</v>
      </c>
      <c r="O3" s="15" cm="1">
        <f t="array" ref="O3">+HLOOKUP($A$1,+[36]İcmal!$B$19:$AG$49,ROW(B1)+1,FALSE)</f>
        <v>0</v>
      </c>
      <c r="P3" s="15" cm="1">
        <f t="array" ref="P3">+HLOOKUP($A$1,+[37]İcmal!$B$19:$AG$49,ROW(C1)+1,FALSE)</f>
        <v>0</v>
      </c>
      <c r="Q3" s="15" cm="1">
        <f t="array" ref="Q3">+HLOOKUP($A$1,+[38]İcmal!$B$19:$AG$49,ROW(D1)+1,FALSE)</f>
        <v>0</v>
      </c>
      <c r="R3" s="15" cm="1">
        <f t="array" ref="R3">+HLOOKUP($A$1,+[39]İcmal!$B$19:$AG$49,ROW(A1)+1,FALSE)</f>
        <v>0</v>
      </c>
      <c r="S3" s="15" cm="1">
        <f t="array" ref="S3">+HLOOKUP($A$1,+[40]İcmal!$B$19:$AG$49,ROW(B1)+1,FALSE)</f>
        <v>0</v>
      </c>
      <c r="T3" s="15" cm="1">
        <f t="array" ref="T3">+HLOOKUP($A$1,+[41]İcmal!$B$19:$AG$49,ROW(C1)+1,FALSE)</f>
        <v>0</v>
      </c>
      <c r="U3" s="15" cm="1">
        <f t="array" ref="U3">+HLOOKUP($A$1,+[42]İcmal!$B$19:$AG$49,ROW(D1)+1,FALSE)</f>
        <v>0</v>
      </c>
      <c r="V3" s="15" cm="1">
        <f t="array" ref="V3">+HLOOKUP($A$1,+[43]İcmal!$B$19:$AG$49,ROW(A1)+1,FALSE)</f>
        <v>0</v>
      </c>
      <c r="W3" s="15" cm="1">
        <f t="array" ref="W3">+HLOOKUP($A$1,+[44]İcmal!$B$19:$AG$49,ROW(B1)+1,FALSE)</f>
        <v>0</v>
      </c>
      <c r="X3" s="15" cm="1">
        <f t="array" ref="X3">+HLOOKUP($A$1,+[45]İcmal!$B$19:$AG$49,ROW(C1)+1,FALSE)</f>
        <v>0</v>
      </c>
      <c r="Y3" s="15" cm="1">
        <f t="array" ref="Y3">+HLOOKUP($A$1,+[46]İcmal!$B$19:$AG$49,ROW(D1)+1,FALSE)</f>
        <v>0</v>
      </c>
      <c r="Z3" s="15" cm="1">
        <f t="array" ref="Z3">+HLOOKUP($A$1,+[47]İcmal!$B$19:$AG$49,ROW(A1)+1,FALSE)</f>
        <v>0</v>
      </c>
      <c r="AA3" s="15" cm="1">
        <f t="array" ref="AA3">+HLOOKUP($A$1,+[48]İcmal!$B$19:$AG$49,ROW(B1)+1,FALSE)</f>
        <v>0</v>
      </c>
      <c r="AB3" s="15" cm="1">
        <f t="array" ref="AB3">+HLOOKUP($A$1,+[49]İcmal!$B$19:$AG$49,ROW(A1)+1,FALSE)</f>
        <v>0</v>
      </c>
      <c r="AC3" s="15" cm="1">
        <f t="array" ref="AC3">+HLOOKUP($A$1,+[50]İcmal!$B$19:$AG$49,ROW(A1)+1,FALSE)</f>
        <v>0</v>
      </c>
      <c r="AD3" s="15" cm="1">
        <f t="array" ref="AD3">+HLOOKUP($A$1,+[51]İcmal!$B$19:$AG$49,ROW(A1)+1,FALSE)</f>
        <v>0</v>
      </c>
      <c r="AE3" s="15" cm="1">
        <f t="array" ref="AE3">+HLOOKUP($A$1,+[52]İcmal!$B$19:$AG$49,ROW(A1)+1,FALSE)</f>
        <v>0</v>
      </c>
      <c r="AF3" s="50" cm="1">
        <f t="array" ref="AF3">+HLOOKUP($A$1,+[53]İcmal!$B$19:$AG$49,ROW(A1)+1,FALSE)</f>
        <v>0</v>
      </c>
      <c r="AG3" s="15" cm="1">
        <f t="array" ref="AG3">+HLOOKUP($A$1,+[54]İcmal!$B$19:$AG$49,ROW(A1)+1,FALSE)</f>
        <v>0</v>
      </c>
      <c r="AH3" s="15" cm="1">
        <f t="array" ref="AH3">+HLOOKUP($A$1,+[55]İcmal!$B$19:$AG$49,ROW(A1)+1,FALSE)</f>
        <v>0</v>
      </c>
      <c r="AI3" s="15" cm="1">
        <f t="array" ref="AI3">+HLOOKUP($A$1,+[56]İcmal!$B$19:$AG$49,ROW(A1)+1,FALSE)</f>
        <v>0</v>
      </c>
      <c r="AJ3" s="15" cm="1">
        <f t="array" ref="AJ3">+HLOOKUP($A$1,+[57]İcmal!$B$19:$AG$49,ROW(A1)+1,FALSE)</f>
        <v>0</v>
      </c>
      <c r="AK3" s="15" cm="1">
        <f t="array" ref="AK3">+HLOOKUP($A$1,+[58]İcmal!$B$19:$AG$49,ROW(B1)+1,FALSE)</f>
        <v>0</v>
      </c>
      <c r="AL3" s="15">
        <f>+'[59]İcmal B1 101'!AI21</f>
        <v>0</v>
      </c>
      <c r="AM3" s="15">
        <f>+'[60]İcmal B1 102'!AI21</f>
        <v>0</v>
      </c>
      <c r="AN3" s="15">
        <f>+'[61]İcmal B1 103'!AH21</f>
        <v>0</v>
      </c>
      <c r="AO3" s="15">
        <f>+'[62]İcmal  P1 101'!AI21</f>
        <v>0</v>
      </c>
      <c r="AP3" s="15">
        <f>+'[63]İcmal P1 102'!AI21</f>
        <v>0</v>
      </c>
      <c r="AQ3" s="15"/>
      <c r="AR3" s="15"/>
      <c r="AS3" s="13"/>
    </row>
    <row r="4" spans="1:45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+HLOOKUP($A$1,+[31]İcmal!$B$19:$AG$49,ROW(A2)+1,FALSE)</f>
        <v>0</v>
      </c>
      <c r="K4" s="15" cm="1">
        <f t="array" ref="K4">+HLOOKUP($A$1,+[32]İcmal!$B$19:$AG$49,ROW(B2)+1,FALSE)</f>
        <v>0</v>
      </c>
      <c r="L4" s="15" cm="1">
        <f t="array" ref="L4">+HLOOKUP($A$1,+[33]İcmal!$B$19:$AG$49,ROW(C2)+1,FALSE)</f>
        <v>0</v>
      </c>
      <c r="M4" s="15" cm="1">
        <f t="array" ref="M4">+HLOOKUP($A$1,+[34]İcmal!$B$19:$AG$49,ROW(D2)+1,FALSE)</f>
        <v>0</v>
      </c>
      <c r="N4" s="15" cm="1">
        <f t="array" ref="N4">+HLOOKUP($A$1,+[35]İcmal!$B$19:$AG$49,ROW(A2)+1,FALSE)</f>
        <v>0</v>
      </c>
      <c r="O4" s="15" cm="1">
        <f t="array" ref="O4">+HLOOKUP($A$1,+[36]İcmal!$B$19:$AG$49,ROW(B2)+1,FALSE)</f>
        <v>0</v>
      </c>
      <c r="P4" s="15" cm="1">
        <f t="array" ref="P4">+HLOOKUP($A$1,+[37]İcmal!$B$19:$AG$49,ROW(C2)+1,FALSE)</f>
        <v>0</v>
      </c>
      <c r="Q4" s="15" cm="1">
        <f t="array" ref="Q4">+HLOOKUP($A$1,+[38]İcmal!$B$19:$AG$49,ROW(D2)+1,FALSE)</f>
        <v>0</v>
      </c>
      <c r="R4" s="15" cm="1">
        <f t="array" ref="R4">+HLOOKUP($A$1,+[39]İcmal!$B$19:$AG$49,ROW(A2)+1,FALSE)</f>
        <v>0</v>
      </c>
      <c r="S4" s="15" cm="1">
        <f t="array" ref="S4">+HLOOKUP($A$1,+[40]İcmal!$B$19:$AG$49,ROW(B2)+1,FALSE)</f>
        <v>0</v>
      </c>
      <c r="T4" s="15" cm="1">
        <f t="array" ref="T4">+HLOOKUP($A$1,+[41]İcmal!$B$19:$AG$49,ROW(C2)+1,FALSE)</f>
        <v>0</v>
      </c>
      <c r="U4" s="15" cm="1">
        <f t="array" ref="U4">+HLOOKUP($A$1,+[42]İcmal!$B$19:$AG$49,ROW(D2)+1,FALSE)</f>
        <v>0</v>
      </c>
      <c r="V4" s="15" cm="1">
        <f t="array" ref="V4">+HLOOKUP($A$1,+[43]İcmal!$B$19:$AG$49,ROW(A2)+1,FALSE)</f>
        <v>0</v>
      </c>
      <c r="W4" s="15" cm="1">
        <f t="array" ref="W4">+HLOOKUP($A$1,+[44]İcmal!$B$19:$AG$49,ROW(B2)+1,FALSE)</f>
        <v>0</v>
      </c>
      <c r="X4" s="15" cm="1">
        <f t="array" ref="X4">+HLOOKUP($A$1,+[45]İcmal!$B$19:$AG$49,ROW(C2)+1,FALSE)</f>
        <v>0</v>
      </c>
      <c r="Y4" s="15" cm="1">
        <f t="array" ref="Y4">+HLOOKUP($A$1,+[46]İcmal!$B$19:$AG$49,ROW(D2)+1,FALSE)</f>
        <v>0</v>
      </c>
      <c r="Z4" s="15" cm="1">
        <f t="array" ref="Z4">+HLOOKUP($A$1,+[47]İcmal!$B$19:$AG$49,ROW(A2)+1,FALSE)</f>
        <v>0</v>
      </c>
      <c r="AA4" s="15" cm="1">
        <f t="array" ref="AA4">+HLOOKUP($A$1,+[48]İcmal!$B$19:$AG$49,ROW(B2)+1,FALSE)</f>
        <v>0</v>
      </c>
      <c r="AB4" s="15" cm="1">
        <f t="array" ref="AB4">+HLOOKUP($A$1,+[49]İcmal!$B$19:$AG$49,ROW(A2)+1,FALSE)</f>
        <v>0</v>
      </c>
      <c r="AC4" s="15" cm="1">
        <f t="array" ref="AC4">+HLOOKUP($A$1,+[50]İcmal!$B$19:$AG$49,ROW(A2)+1,FALSE)</f>
        <v>0</v>
      </c>
      <c r="AD4" s="15" cm="1">
        <f t="array" ref="AD4">+HLOOKUP($A$1,+[51]İcmal!$B$19:$AG$49,ROW(A2)+1,FALSE)</f>
        <v>0</v>
      </c>
      <c r="AE4" s="15" cm="1">
        <f t="array" ref="AE4">+HLOOKUP($A$1,+[52]İcmal!$B$19:$AG$49,ROW(A2)+1,FALSE)</f>
        <v>0</v>
      </c>
      <c r="AF4" s="50" cm="1">
        <f t="array" ref="AF4">+HLOOKUP($A$1,+[53]İcmal!$B$19:$AG$49,ROW(A2)+1,FALSE)</f>
        <v>0</v>
      </c>
      <c r="AG4" s="15" cm="1">
        <f t="array" ref="AG4">+HLOOKUP($A$1,+[54]İcmal!$B$19:$AG$49,ROW(A2)+1,FALSE)</f>
        <v>0</v>
      </c>
      <c r="AH4" s="15" cm="1">
        <f t="array" ref="AH4">+HLOOKUP($A$1,+[55]İcmal!$B$19:$AG$49,ROW(A2)+1,FALSE)</f>
        <v>0</v>
      </c>
      <c r="AI4" s="15" cm="1">
        <f t="array" ref="AI4">+HLOOKUP($A$1,+[56]İcmal!$B$19:$AG$49,ROW(A2)+1,FALSE)</f>
        <v>0</v>
      </c>
      <c r="AJ4" s="15" cm="1">
        <f t="array" ref="AJ4">+HLOOKUP($A$1,+[57]İcmal!$B$19:$AG$49,ROW(A2)+1,FALSE)</f>
        <v>0</v>
      </c>
      <c r="AK4" s="15" cm="1">
        <f t="array" ref="AK4">+HLOOKUP($A$1,+[58]İcmal!$B$19:$AG$49,ROW(B2)+1,FALSE)</f>
        <v>0</v>
      </c>
      <c r="AL4" s="15">
        <f>+'[59]İcmal B1 101'!AI22</f>
        <v>0</v>
      </c>
      <c r="AM4" s="15">
        <f>+'[60]İcmal B1 102'!AI22</f>
        <v>0</v>
      </c>
      <c r="AN4" s="15">
        <f>+'[61]İcmal B1 103'!AH22</f>
        <v>0</v>
      </c>
      <c r="AO4" s="15">
        <f>+'[62]İcmal  P1 101'!AI22</f>
        <v>0</v>
      </c>
      <c r="AP4" s="15">
        <f>+'[63]İcmal P1 102'!AI22</f>
        <v>0</v>
      </c>
      <c r="AQ4" s="15"/>
      <c r="AR4" s="15"/>
      <c r="AS4" s="13"/>
    </row>
    <row r="5" spans="1:45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+HLOOKUP($A$1,+[31]İcmal!$B$19:$AG$49,ROW(A3)+1,FALSE)</f>
        <v>0</v>
      </c>
      <c r="K5" s="15" cm="1">
        <f t="array" ref="K5">+HLOOKUP($A$1,+[32]İcmal!$B$19:$AG$49,ROW(B3)+1,FALSE)</f>
        <v>0</v>
      </c>
      <c r="L5" s="15" cm="1">
        <f t="array" ref="L5">+HLOOKUP($A$1,+[33]İcmal!$B$19:$AG$49,ROW(C3)+1,FALSE)</f>
        <v>0</v>
      </c>
      <c r="M5" s="15" cm="1">
        <f t="array" ref="M5">+HLOOKUP($A$1,+[34]İcmal!$B$19:$AG$49,ROW(D3)+1,FALSE)</f>
        <v>0</v>
      </c>
      <c r="N5" s="15" cm="1">
        <f t="array" ref="N5">+HLOOKUP($A$1,+[35]İcmal!$B$19:$AG$49,ROW(A3)+1,FALSE)</f>
        <v>0</v>
      </c>
      <c r="O5" s="15" cm="1">
        <f t="array" ref="O5">+HLOOKUP($A$1,+[36]İcmal!$B$19:$AG$49,ROW(B3)+1,FALSE)</f>
        <v>0</v>
      </c>
      <c r="P5" s="15" cm="1">
        <f t="array" ref="P5">+HLOOKUP($A$1,+[37]İcmal!$B$19:$AG$49,ROW(C3)+1,FALSE)</f>
        <v>0</v>
      </c>
      <c r="Q5" s="15" cm="1">
        <f t="array" ref="Q5">+HLOOKUP($A$1,+[38]İcmal!$B$19:$AG$49,ROW(D3)+1,FALSE)</f>
        <v>0</v>
      </c>
      <c r="R5" s="15" cm="1">
        <f t="array" ref="R5">+HLOOKUP($A$1,+[39]İcmal!$B$19:$AG$49,ROW(A3)+1,FALSE)</f>
        <v>0</v>
      </c>
      <c r="S5" s="15" cm="1">
        <f t="array" ref="S5">+HLOOKUP($A$1,+[40]İcmal!$B$19:$AG$49,ROW(B3)+1,FALSE)</f>
        <v>0</v>
      </c>
      <c r="T5" s="15" cm="1">
        <f t="array" ref="T5">+HLOOKUP($A$1,+[41]İcmal!$B$19:$AG$49,ROW(C3)+1,FALSE)</f>
        <v>0</v>
      </c>
      <c r="U5" s="15" cm="1">
        <f t="array" ref="U5">+HLOOKUP($A$1,+[42]İcmal!$B$19:$AG$49,ROW(D3)+1,FALSE)</f>
        <v>0</v>
      </c>
      <c r="V5" s="15" cm="1">
        <f t="array" ref="V5">+HLOOKUP($A$1,+[43]İcmal!$B$19:$AG$49,ROW(A3)+1,FALSE)</f>
        <v>0</v>
      </c>
      <c r="W5" s="15" cm="1">
        <f t="array" ref="W5">+HLOOKUP($A$1,+[44]İcmal!$B$19:$AG$49,ROW(B3)+1,FALSE)</f>
        <v>0</v>
      </c>
      <c r="X5" s="15" cm="1">
        <f t="array" ref="X5">+HLOOKUP($A$1,+[45]İcmal!$B$19:$AG$49,ROW(C3)+1,FALSE)</f>
        <v>0</v>
      </c>
      <c r="Y5" s="15" cm="1">
        <f t="array" ref="Y5">+HLOOKUP($A$1,+[46]İcmal!$B$19:$AG$49,ROW(D3)+1,FALSE)</f>
        <v>0</v>
      </c>
      <c r="Z5" s="15" cm="1">
        <f t="array" ref="Z5">+HLOOKUP($A$1,+[47]İcmal!$B$19:$AG$49,ROW(A3)+1,FALSE)</f>
        <v>0</v>
      </c>
      <c r="AA5" s="15" cm="1">
        <f t="array" ref="AA5">+HLOOKUP($A$1,+[48]İcmal!$B$19:$AG$49,ROW(B3)+1,FALSE)</f>
        <v>0</v>
      </c>
      <c r="AB5" s="15" cm="1">
        <f t="array" ref="AB5">+HLOOKUP($A$1,+[49]İcmal!$B$19:$AG$49,ROW(A3)+1,FALSE)</f>
        <v>0</v>
      </c>
      <c r="AC5" s="15" cm="1">
        <f t="array" ref="AC5">+HLOOKUP($A$1,+[50]İcmal!$B$19:$AG$49,ROW(A3)+1,FALSE)</f>
        <v>0</v>
      </c>
      <c r="AD5" s="15" cm="1">
        <f t="array" ref="AD5">+HLOOKUP($A$1,+[51]İcmal!$B$19:$AG$49,ROW(A3)+1,FALSE)</f>
        <v>0</v>
      </c>
      <c r="AE5" s="15" cm="1">
        <f t="array" ref="AE5">+HLOOKUP($A$1,+[52]İcmal!$B$19:$AG$49,ROW(A3)+1,FALSE)</f>
        <v>0</v>
      </c>
      <c r="AF5" s="50" cm="1">
        <f t="array" ref="AF5">+HLOOKUP($A$1,+[53]İcmal!$B$19:$AG$49,ROW(A3)+1,FALSE)</f>
        <v>0</v>
      </c>
      <c r="AG5" s="15" cm="1">
        <f t="array" ref="AG5">+HLOOKUP($A$1,+[54]İcmal!$B$19:$AG$49,ROW(A3)+1,FALSE)</f>
        <v>0</v>
      </c>
      <c r="AH5" s="15" cm="1">
        <f t="array" ref="AH5">+HLOOKUP($A$1,+[55]İcmal!$B$19:$AG$49,ROW(A3)+1,FALSE)</f>
        <v>0</v>
      </c>
      <c r="AI5" s="15" cm="1">
        <f t="array" ref="AI5">+HLOOKUP($A$1,+[56]İcmal!$B$19:$AG$49,ROW(A3)+1,FALSE)</f>
        <v>0</v>
      </c>
      <c r="AJ5" s="15" cm="1">
        <f t="array" ref="AJ5">+HLOOKUP($A$1,+[57]İcmal!$B$19:$AG$49,ROW(A3)+1,FALSE)</f>
        <v>0</v>
      </c>
      <c r="AK5" s="15" cm="1">
        <f t="array" ref="AK5">+HLOOKUP($A$1,+[58]İcmal!$B$19:$AG$49,ROW(B3)+1,FALSE)</f>
        <v>0</v>
      </c>
      <c r="AL5" s="15">
        <f>+'[59]İcmal B1 101'!AI23</f>
        <v>0</v>
      </c>
      <c r="AM5" s="15">
        <f>+'[60]İcmal B1 102'!AI23</f>
        <v>0</v>
      </c>
      <c r="AN5" s="15">
        <f>+'[61]İcmal B1 103'!AH23</f>
        <v>0</v>
      </c>
      <c r="AO5" s="15">
        <f>+'[62]İcmal  P1 101'!AI23</f>
        <v>0</v>
      </c>
      <c r="AP5" s="15">
        <f>+'[63]İcmal P1 102'!AI23</f>
        <v>0</v>
      </c>
      <c r="AQ5" s="15"/>
      <c r="AR5" s="15"/>
      <c r="AS5" s="13"/>
    </row>
    <row r="6" spans="1:45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0</v>
      </c>
      <c r="I6" s="9">
        <f t="shared" si="2"/>
        <v>0</v>
      </c>
      <c r="J6" s="15" cm="1">
        <f t="array" ref="J6">+HLOOKUP($A$1,+[31]İcmal!$B$19:$AG$49,ROW(A4)+1,FALSE)</f>
        <v>0</v>
      </c>
      <c r="K6" s="15" cm="1">
        <f t="array" ref="K6">+HLOOKUP($A$1,+[32]İcmal!$B$19:$AG$49,ROW(B4)+1,FALSE)</f>
        <v>0</v>
      </c>
      <c r="L6" s="15" cm="1">
        <f t="array" ref="L6">+HLOOKUP($A$1,+[33]İcmal!$B$19:$AG$49,ROW(C4)+1,FALSE)</f>
        <v>0</v>
      </c>
      <c r="M6" s="15" cm="1">
        <f t="array" ref="M6">+HLOOKUP($A$1,+[34]İcmal!$B$19:$AG$49,ROW(D4)+1,FALSE)</f>
        <v>0</v>
      </c>
      <c r="N6" s="15" cm="1">
        <f t="array" ref="N6">+HLOOKUP($A$1,+[35]İcmal!$B$19:$AG$49,ROW(A4)+1,FALSE)</f>
        <v>0</v>
      </c>
      <c r="O6" s="15" cm="1">
        <f t="array" ref="O6">+HLOOKUP($A$1,+[36]İcmal!$B$19:$AG$49,ROW(B4)+1,FALSE)</f>
        <v>0</v>
      </c>
      <c r="P6" s="15" cm="1">
        <f t="array" ref="P6">+HLOOKUP($A$1,+[37]İcmal!$B$19:$AG$49,ROW(C4)+1,FALSE)</f>
        <v>0</v>
      </c>
      <c r="Q6" s="15" cm="1">
        <f t="array" ref="Q6">+HLOOKUP($A$1,+[38]İcmal!$B$19:$AG$49,ROW(D4)+1,FALSE)</f>
        <v>0</v>
      </c>
      <c r="R6" s="15" cm="1">
        <f t="array" ref="R6">+HLOOKUP($A$1,+[39]İcmal!$B$19:$AG$49,ROW(A4)+1,FALSE)</f>
        <v>0</v>
      </c>
      <c r="S6" s="15" cm="1">
        <f t="array" ref="S6">+HLOOKUP($A$1,+[40]İcmal!$B$19:$AG$49,ROW(B4)+1,FALSE)</f>
        <v>0</v>
      </c>
      <c r="T6" s="15" cm="1">
        <f t="array" ref="T6">+HLOOKUP($A$1,+[41]İcmal!$B$19:$AG$49,ROW(C4)+1,FALSE)</f>
        <v>0</v>
      </c>
      <c r="U6" s="15" cm="1">
        <f t="array" ref="U6">+HLOOKUP($A$1,+[42]İcmal!$B$19:$AG$49,ROW(D4)+1,FALSE)</f>
        <v>0</v>
      </c>
      <c r="V6" s="15" cm="1">
        <f t="array" ref="V6">+HLOOKUP($A$1,+[43]İcmal!$B$19:$AG$49,ROW(A4)+1,FALSE)</f>
        <v>0</v>
      </c>
      <c r="W6" s="15" cm="1">
        <f t="array" ref="W6">+HLOOKUP($A$1,+[44]İcmal!$B$19:$AG$49,ROW(B4)+1,FALSE)</f>
        <v>0</v>
      </c>
      <c r="X6" s="15" cm="1">
        <f t="array" ref="X6">+HLOOKUP($A$1,+[45]İcmal!$B$19:$AG$49,ROW(C4)+1,FALSE)</f>
        <v>0</v>
      </c>
      <c r="Y6" s="15" cm="1">
        <f t="array" ref="Y6">+HLOOKUP($A$1,+[46]İcmal!$B$19:$AG$49,ROW(D4)+1,FALSE)</f>
        <v>0</v>
      </c>
      <c r="Z6" s="15" cm="1">
        <f t="array" ref="Z6">+HLOOKUP($A$1,+[47]İcmal!$B$19:$AG$49,ROW(A4)+1,FALSE)</f>
        <v>0</v>
      </c>
      <c r="AA6" s="15" cm="1">
        <f t="array" ref="AA6">+HLOOKUP($A$1,+[48]İcmal!$B$19:$AG$49,ROW(B4)+1,FALSE)</f>
        <v>0</v>
      </c>
      <c r="AB6" s="15" cm="1">
        <f t="array" ref="AB6">+HLOOKUP($A$1,+[49]İcmal!$B$19:$AG$49,ROW(A4)+1,FALSE)</f>
        <v>0</v>
      </c>
      <c r="AC6" s="15" cm="1">
        <f t="array" ref="AC6">+HLOOKUP($A$1,+[50]İcmal!$B$19:$AG$49,ROW(A4)+1,FALSE)</f>
        <v>0</v>
      </c>
      <c r="AD6" s="15" cm="1">
        <f t="array" ref="AD6">+HLOOKUP($A$1,+[51]İcmal!$B$19:$AG$49,ROW(A4)+1,FALSE)</f>
        <v>0</v>
      </c>
      <c r="AE6" s="15" cm="1">
        <f t="array" ref="AE6">+HLOOKUP($A$1,+[52]İcmal!$B$19:$AG$49,ROW(A4)+1,FALSE)</f>
        <v>0</v>
      </c>
      <c r="AF6" s="50" cm="1">
        <f t="array" ref="AF6">+HLOOKUP($A$1,+[53]İcmal!$B$19:$AG$49,ROW(A4)+1,FALSE)</f>
        <v>0</v>
      </c>
      <c r="AG6" s="15" cm="1">
        <f t="array" ref="AG6">+HLOOKUP($A$1,+[54]İcmal!$B$19:$AG$49,ROW(A4)+1,FALSE)</f>
        <v>0</v>
      </c>
      <c r="AH6" s="15" cm="1">
        <f t="array" ref="AH6">+HLOOKUP($A$1,+[55]İcmal!$B$19:$AG$49,ROW(A4)+1,FALSE)</f>
        <v>0</v>
      </c>
      <c r="AI6" s="15" cm="1">
        <f t="array" ref="AI6">+HLOOKUP($A$1,+[56]İcmal!$B$19:$AG$49,ROW(A4)+1,FALSE)</f>
        <v>0</v>
      </c>
      <c r="AJ6" s="15" cm="1">
        <f t="array" ref="AJ6">+HLOOKUP($A$1,+[57]İcmal!$B$19:$AG$49,ROW(A4)+1,FALSE)</f>
        <v>0</v>
      </c>
      <c r="AK6" s="15" cm="1">
        <f t="array" ref="AK6">+HLOOKUP($A$1,+[58]İcmal!$B$19:$AG$49,ROW(B4)+1,FALSE)</f>
        <v>0</v>
      </c>
      <c r="AL6" s="15">
        <f>+'[59]İcmal B1 101'!AI24</f>
        <v>0</v>
      </c>
      <c r="AM6" s="15">
        <f>+'[60]İcmal B1 102'!AI24</f>
        <v>0</v>
      </c>
      <c r="AN6" s="15">
        <f>+'[61]İcmal B1 103'!AH24</f>
        <v>0</v>
      </c>
      <c r="AO6" s="15">
        <f>+'[62]İcmal  P1 101'!AI24</f>
        <v>0</v>
      </c>
      <c r="AP6" s="15">
        <f>+'[63]İcmal P1 102'!AI24</f>
        <v>0</v>
      </c>
      <c r="AQ6" s="15"/>
      <c r="AR6" s="15"/>
      <c r="AS6" s="13"/>
    </row>
    <row r="7" spans="1:45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+HLOOKUP($A$1,+[31]İcmal!$B$19:$AG$49,ROW(A5)+1,FALSE)</f>
        <v>0</v>
      </c>
      <c r="K7" s="15" cm="1">
        <f t="array" ref="K7">+HLOOKUP($A$1,+[32]İcmal!$B$19:$AG$49,ROW(B5)+1,FALSE)</f>
        <v>0</v>
      </c>
      <c r="L7" s="15" cm="1">
        <f t="array" ref="L7">+HLOOKUP($A$1,+[33]İcmal!$B$19:$AG$49,ROW(C5)+1,FALSE)</f>
        <v>0</v>
      </c>
      <c r="M7" s="15" cm="1">
        <f t="array" ref="M7">+HLOOKUP($A$1,+[34]İcmal!$B$19:$AG$49,ROW(D5)+1,FALSE)</f>
        <v>0</v>
      </c>
      <c r="N7" s="15" cm="1">
        <f t="array" ref="N7">+HLOOKUP($A$1,+[35]İcmal!$B$19:$AG$49,ROW(A5)+1,FALSE)</f>
        <v>0</v>
      </c>
      <c r="O7" s="15" cm="1">
        <f t="array" ref="O7">+HLOOKUP($A$1,+[36]İcmal!$B$19:$AG$49,ROW(B5)+1,FALSE)</f>
        <v>0</v>
      </c>
      <c r="P7" s="15" cm="1">
        <f t="array" ref="P7">+HLOOKUP($A$1,+[37]İcmal!$B$19:$AG$49,ROW(C5)+1,FALSE)</f>
        <v>0</v>
      </c>
      <c r="Q7" s="15" cm="1">
        <f t="array" ref="Q7">+HLOOKUP($A$1,+[38]İcmal!$B$19:$AG$49,ROW(D5)+1,FALSE)</f>
        <v>0</v>
      </c>
      <c r="R7" s="15" cm="1">
        <f t="array" ref="R7">+HLOOKUP($A$1,+[39]İcmal!$B$19:$AG$49,ROW(A5)+1,FALSE)</f>
        <v>0</v>
      </c>
      <c r="S7" s="15" cm="1">
        <f t="array" ref="S7">+HLOOKUP($A$1,+[40]İcmal!$B$19:$AG$49,ROW(B5)+1,FALSE)</f>
        <v>0</v>
      </c>
      <c r="T7" s="15" cm="1">
        <f t="array" ref="T7">+HLOOKUP($A$1,+[41]İcmal!$B$19:$AG$49,ROW(C5)+1,FALSE)</f>
        <v>0</v>
      </c>
      <c r="U7" s="15" cm="1">
        <f t="array" ref="U7">+HLOOKUP($A$1,+[42]İcmal!$B$19:$AG$49,ROW(D5)+1,FALSE)</f>
        <v>0</v>
      </c>
      <c r="V7" s="15" cm="1">
        <f t="array" ref="V7">+HLOOKUP($A$1,+[43]İcmal!$B$19:$AG$49,ROW(A5)+1,FALSE)</f>
        <v>0</v>
      </c>
      <c r="W7" s="15" cm="1">
        <f t="array" ref="W7">+HLOOKUP($A$1,+[44]İcmal!$B$19:$AG$49,ROW(B5)+1,FALSE)</f>
        <v>0</v>
      </c>
      <c r="X7" s="15" cm="1">
        <f t="array" ref="X7">+HLOOKUP($A$1,+[45]İcmal!$B$19:$AG$49,ROW(C5)+1,FALSE)</f>
        <v>0</v>
      </c>
      <c r="Y7" s="15" cm="1">
        <f t="array" ref="Y7">+HLOOKUP($A$1,+[46]İcmal!$B$19:$AG$49,ROW(D5)+1,FALSE)</f>
        <v>0</v>
      </c>
      <c r="Z7" s="15" cm="1">
        <f t="array" ref="Z7">+HLOOKUP($A$1,+[47]İcmal!$B$19:$AG$49,ROW(A5)+1,FALSE)</f>
        <v>0</v>
      </c>
      <c r="AA7" s="15" cm="1">
        <f t="array" ref="AA7">+HLOOKUP($A$1,+[48]İcmal!$B$19:$AG$49,ROW(B5)+1,FALSE)</f>
        <v>0</v>
      </c>
      <c r="AB7" s="15" cm="1">
        <f t="array" ref="AB7">+HLOOKUP($A$1,+[49]İcmal!$B$19:$AG$49,ROW(A5)+1,FALSE)</f>
        <v>0</v>
      </c>
      <c r="AC7" s="15" cm="1">
        <f t="array" ref="AC7">+HLOOKUP($A$1,+[50]İcmal!$B$19:$AG$49,ROW(A5)+1,FALSE)</f>
        <v>0</v>
      </c>
      <c r="AD7" s="15" cm="1">
        <f t="array" ref="AD7">+HLOOKUP($A$1,+[51]İcmal!$B$19:$AG$49,ROW(A5)+1,FALSE)</f>
        <v>0</v>
      </c>
      <c r="AE7" s="15" cm="1">
        <f t="array" ref="AE7">+HLOOKUP($A$1,+[52]İcmal!$B$19:$AG$49,ROW(A5)+1,FALSE)</f>
        <v>0</v>
      </c>
      <c r="AF7" s="50" cm="1">
        <f t="array" ref="AF7">+HLOOKUP($A$1,+[53]İcmal!$B$19:$AG$49,ROW(A5)+1,FALSE)</f>
        <v>0</v>
      </c>
      <c r="AG7" s="15" cm="1">
        <f t="array" ref="AG7">+HLOOKUP($A$1,+[54]İcmal!$B$19:$AG$49,ROW(A5)+1,FALSE)</f>
        <v>0</v>
      </c>
      <c r="AH7" s="15" cm="1">
        <f t="array" ref="AH7">+HLOOKUP($A$1,+[55]İcmal!$B$19:$AG$49,ROW(A5)+1,FALSE)</f>
        <v>0</v>
      </c>
      <c r="AI7" s="15" cm="1">
        <f t="array" ref="AI7">+HLOOKUP($A$1,+[56]İcmal!$B$19:$AG$49,ROW(A5)+1,FALSE)</f>
        <v>0</v>
      </c>
      <c r="AJ7" s="15" cm="1">
        <f t="array" ref="AJ7">+HLOOKUP($A$1,+[57]İcmal!$B$19:$AG$49,ROW(A5)+1,FALSE)</f>
        <v>0</v>
      </c>
      <c r="AK7" s="15" cm="1">
        <f t="array" ref="AK7">+HLOOKUP($A$1,+[58]İcmal!$B$19:$AG$49,ROW(B5)+1,FALSE)</f>
        <v>0</v>
      </c>
      <c r="AL7" s="15">
        <f>+'[59]İcmal B1 101'!AI25</f>
        <v>0</v>
      </c>
      <c r="AM7" s="15">
        <f>+'[60]İcmal B1 102'!AI25</f>
        <v>0</v>
      </c>
      <c r="AN7" s="15">
        <f>+'[61]İcmal B1 103'!AH25</f>
        <v>0</v>
      </c>
      <c r="AO7" s="15">
        <f>+'[62]İcmal  P1 101'!AI25</f>
        <v>0</v>
      </c>
      <c r="AP7" s="15">
        <f>+'[63]İcmal P1 102'!AI25</f>
        <v>0</v>
      </c>
      <c r="AQ7" s="15"/>
      <c r="AR7" s="15"/>
      <c r="AS7" s="13"/>
    </row>
    <row r="8" spans="1:45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+HLOOKUP($A$1,+[31]İcmal!$B$19:$AG$49,ROW(A6)+1,FALSE)</f>
        <v>0</v>
      </c>
      <c r="K8" s="15" cm="1">
        <f t="array" ref="K8">+HLOOKUP($A$1,+[32]İcmal!$B$19:$AG$49,ROW(B6)+1,FALSE)</f>
        <v>0</v>
      </c>
      <c r="L8" s="15" cm="1">
        <f t="array" ref="L8">+HLOOKUP($A$1,+[33]İcmal!$B$19:$AG$49,ROW(C6)+1,FALSE)</f>
        <v>0</v>
      </c>
      <c r="M8" s="15" cm="1">
        <f t="array" ref="M8">+HLOOKUP($A$1,+[34]İcmal!$B$19:$AG$49,ROW(D6)+1,FALSE)</f>
        <v>0</v>
      </c>
      <c r="N8" s="15" cm="1">
        <f t="array" ref="N8">+HLOOKUP($A$1,+[35]İcmal!$B$19:$AG$49,ROW(A6)+1,FALSE)</f>
        <v>0</v>
      </c>
      <c r="O8" s="15" cm="1">
        <f t="array" ref="O8">+HLOOKUP($A$1,+[36]İcmal!$B$19:$AG$49,ROW(B6)+1,FALSE)</f>
        <v>0</v>
      </c>
      <c r="P8" s="15" cm="1">
        <f t="array" ref="P8">+HLOOKUP($A$1,+[37]İcmal!$B$19:$AG$49,ROW(C6)+1,FALSE)</f>
        <v>0</v>
      </c>
      <c r="Q8" s="15" cm="1">
        <f t="array" ref="Q8">+HLOOKUP($A$1,+[38]İcmal!$B$19:$AG$49,ROW(D6)+1,FALSE)</f>
        <v>0</v>
      </c>
      <c r="R8" s="15" cm="1">
        <f t="array" ref="R8">+HLOOKUP($A$1,+[39]İcmal!$B$19:$AG$49,ROW(A6)+1,FALSE)</f>
        <v>0</v>
      </c>
      <c r="S8" s="15" cm="1">
        <f t="array" ref="S8">+HLOOKUP($A$1,+[40]İcmal!$B$19:$AG$49,ROW(B6)+1,FALSE)</f>
        <v>0</v>
      </c>
      <c r="T8" s="15" cm="1">
        <f t="array" ref="T8">+HLOOKUP($A$1,+[41]İcmal!$B$19:$AG$49,ROW(C6)+1,FALSE)</f>
        <v>0</v>
      </c>
      <c r="U8" s="15" cm="1">
        <f t="array" ref="U8">+HLOOKUP($A$1,+[42]İcmal!$B$19:$AG$49,ROW(D6)+1,FALSE)</f>
        <v>0</v>
      </c>
      <c r="V8" s="15" cm="1">
        <f t="array" ref="V8">+HLOOKUP($A$1,+[43]İcmal!$B$19:$AG$49,ROW(A6)+1,FALSE)</f>
        <v>0</v>
      </c>
      <c r="W8" s="15" cm="1">
        <f t="array" ref="W8">+HLOOKUP($A$1,+[44]İcmal!$B$19:$AG$49,ROW(B6)+1,FALSE)</f>
        <v>0</v>
      </c>
      <c r="X8" s="15" cm="1">
        <f t="array" ref="X8">+HLOOKUP($A$1,+[45]İcmal!$B$19:$AG$49,ROW(C6)+1,FALSE)</f>
        <v>0</v>
      </c>
      <c r="Y8" s="15" cm="1">
        <f t="array" ref="Y8">+HLOOKUP($A$1,+[46]İcmal!$B$19:$AG$49,ROW(D6)+1,FALSE)</f>
        <v>0</v>
      </c>
      <c r="Z8" s="15" cm="1">
        <f t="array" ref="Z8">+HLOOKUP($A$1,+[47]İcmal!$B$19:$AG$49,ROW(A6)+1,FALSE)</f>
        <v>0</v>
      </c>
      <c r="AA8" s="15" cm="1">
        <f t="array" ref="AA8">+HLOOKUP($A$1,+[48]İcmal!$B$19:$AG$49,ROW(B6)+1,FALSE)</f>
        <v>0</v>
      </c>
      <c r="AB8" s="15" cm="1">
        <f t="array" ref="AB8">+HLOOKUP($A$1,+[49]İcmal!$B$19:$AG$49,ROW(A6)+1,FALSE)</f>
        <v>0</v>
      </c>
      <c r="AC8" s="15" cm="1">
        <f t="array" ref="AC8">+HLOOKUP($A$1,+[50]İcmal!$B$19:$AG$49,ROW(A6)+1,FALSE)</f>
        <v>0</v>
      </c>
      <c r="AD8" s="15" cm="1">
        <f t="array" ref="AD8">+HLOOKUP($A$1,+[51]İcmal!$B$19:$AG$49,ROW(A6)+1,FALSE)</f>
        <v>0</v>
      </c>
      <c r="AE8" s="15" cm="1">
        <f t="array" ref="AE8">+HLOOKUP($A$1,+[52]İcmal!$B$19:$AG$49,ROW(A6)+1,FALSE)</f>
        <v>0</v>
      </c>
      <c r="AF8" s="50" cm="1">
        <f t="array" ref="AF8">+HLOOKUP($A$1,+[53]İcmal!$B$19:$AG$49,ROW(A6)+1,FALSE)</f>
        <v>0</v>
      </c>
      <c r="AG8" s="15" cm="1">
        <f t="array" ref="AG8">+HLOOKUP($A$1,+[54]İcmal!$B$19:$AG$49,ROW(A6)+1,FALSE)</f>
        <v>0</v>
      </c>
      <c r="AH8" s="15" cm="1">
        <f t="array" ref="AH8">+HLOOKUP($A$1,+[55]İcmal!$B$19:$AG$49,ROW(A6)+1,FALSE)</f>
        <v>0</v>
      </c>
      <c r="AI8" s="15" cm="1">
        <f t="array" ref="AI8">+HLOOKUP($A$1,+[56]İcmal!$B$19:$AG$49,ROW(A6)+1,FALSE)</f>
        <v>0</v>
      </c>
      <c r="AJ8" s="15" cm="1">
        <f t="array" ref="AJ8">+HLOOKUP($A$1,+[57]İcmal!$B$19:$AG$49,ROW(A6)+1,FALSE)</f>
        <v>0</v>
      </c>
      <c r="AK8" s="15" cm="1">
        <f t="array" ref="AK8">+HLOOKUP($A$1,+[58]İcmal!$B$19:$AG$49,ROW(B6)+1,FALSE)</f>
        <v>0</v>
      </c>
      <c r="AL8" s="15">
        <f>+'[59]İcmal B1 101'!AI26</f>
        <v>0</v>
      </c>
      <c r="AM8" s="15">
        <f>+'[60]İcmal B1 102'!AI26</f>
        <v>0</v>
      </c>
      <c r="AN8" s="15">
        <f>+'[61]İcmal B1 103'!AH26</f>
        <v>0</v>
      </c>
      <c r="AO8" s="15">
        <f>+'[62]İcmal  P1 101'!AI26</f>
        <v>0</v>
      </c>
      <c r="AP8" s="15">
        <f>+'[63]İcmal P1 102'!AI26</f>
        <v>0</v>
      </c>
      <c r="AQ8" s="15"/>
      <c r="AR8" s="15"/>
      <c r="AS8" s="13"/>
    </row>
    <row r="9" spans="1:45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+HLOOKUP($A$1,+[31]İcmal!$B$19:$AG$49,ROW(A7)+1,FALSE)</f>
        <v>0</v>
      </c>
      <c r="K9" s="15" cm="1">
        <f t="array" ref="K9">+HLOOKUP($A$1,+[32]İcmal!$B$19:$AG$49,ROW(B7)+1,FALSE)</f>
        <v>0</v>
      </c>
      <c r="L9" s="15" cm="1">
        <f t="array" ref="L9">+HLOOKUP($A$1,+[33]İcmal!$B$19:$AG$49,ROW(C7)+1,FALSE)</f>
        <v>0</v>
      </c>
      <c r="M9" s="15" cm="1">
        <f t="array" ref="M9">+HLOOKUP($A$1,+[34]İcmal!$B$19:$AG$49,ROW(D7)+1,FALSE)</f>
        <v>0</v>
      </c>
      <c r="N9" s="15" cm="1">
        <f t="array" ref="N9">+HLOOKUP($A$1,+[35]İcmal!$B$19:$AG$49,ROW(A7)+1,FALSE)</f>
        <v>0</v>
      </c>
      <c r="O9" s="15" cm="1">
        <f t="array" ref="O9">+HLOOKUP($A$1,+[36]İcmal!$B$19:$AG$49,ROW(B7)+1,FALSE)</f>
        <v>0</v>
      </c>
      <c r="P9" s="15" cm="1">
        <f t="array" ref="P9">+HLOOKUP($A$1,+[37]İcmal!$B$19:$AG$49,ROW(C7)+1,FALSE)</f>
        <v>0</v>
      </c>
      <c r="Q9" s="15" cm="1">
        <f t="array" ref="Q9">+HLOOKUP($A$1,+[38]İcmal!$B$19:$AG$49,ROW(D7)+1,FALSE)</f>
        <v>0</v>
      </c>
      <c r="R9" s="15" cm="1">
        <f t="array" ref="R9">+HLOOKUP($A$1,+[39]İcmal!$B$19:$AG$49,ROW(A7)+1,FALSE)</f>
        <v>0</v>
      </c>
      <c r="S9" s="15" cm="1">
        <f t="array" ref="S9">+HLOOKUP($A$1,+[40]İcmal!$B$19:$AG$49,ROW(B7)+1,FALSE)</f>
        <v>0</v>
      </c>
      <c r="T9" s="15" cm="1">
        <f t="array" ref="T9">+HLOOKUP($A$1,+[41]İcmal!$B$19:$AG$49,ROW(C7)+1,FALSE)</f>
        <v>0</v>
      </c>
      <c r="U9" s="15" cm="1">
        <f t="array" ref="U9">+HLOOKUP($A$1,+[42]İcmal!$B$19:$AG$49,ROW(D7)+1,FALSE)</f>
        <v>0</v>
      </c>
      <c r="V9" s="15" cm="1">
        <f t="array" ref="V9">+HLOOKUP($A$1,+[43]İcmal!$B$19:$AG$49,ROW(A7)+1,FALSE)</f>
        <v>0</v>
      </c>
      <c r="W9" s="15" cm="1">
        <f t="array" ref="W9">+HLOOKUP($A$1,+[44]İcmal!$B$19:$AG$49,ROW(B7)+1,FALSE)</f>
        <v>0</v>
      </c>
      <c r="X9" s="15" cm="1">
        <f t="array" ref="X9">+HLOOKUP($A$1,+[45]İcmal!$B$19:$AG$49,ROW(C7)+1,FALSE)</f>
        <v>0</v>
      </c>
      <c r="Y9" s="15" cm="1">
        <f t="array" ref="Y9">+HLOOKUP($A$1,+[46]İcmal!$B$19:$AG$49,ROW(D7)+1,FALSE)</f>
        <v>0</v>
      </c>
      <c r="Z9" s="15" cm="1">
        <f t="array" ref="Z9">+HLOOKUP($A$1,+[47]İcmal!$B$19:$AG$49,ROW(A7)+1,FALSE)</f>
        <v>0</v>
      </c>
      <c r="AA9" s="15" cm="1">
        <f t="array" ref="AA9">+HLOOKUP($A$1,+[48]İcmal!$B$19:$AG$49,ROW(B7)+1,FALSE)</f>
        <v>0</v>
      </c>
      <c r="AB9" s="15" cm="1">
        <f t="array" ref="AB9">+HLOOKUP($A$1,+[49]İcmal!$B$19:$AG$49,ROW(A7)+1,FALSE)</f>
        <v>0</v>
      </c>
      <c r="AC9" s="15" cm="1">
        <f t="array" ref="AC9">+HLOOKUP($A$1,+[50]İcmal!$B$19:$AG$49,ROW(A7)+1,FALSE)</f>
        <v>0</v>
      </c>
      <c r="AD9" s="15" cm="1">
        <f t="array" ref="AD9">+HLOOKUP($A$1,+[51]İcmal!$B$19:$AG$49,ROW(A7)+1,FALSE)</f>
        <v>0</v>
      </c>
      <c r="AE9" s="15" cm="1">
        <f t="array" ref="AE9">+HLOOKUP($A$1,+[52]İcmal!$B$19:$AG$49,ROW(A7)+1,FALSE)</f>
        <v>0</v>
      </c>
      <c r="AF9" s="50" cm="1">
        <f t="array" ref="AF9">+HLOOKUP($A$1,+[53]İcmal!$B$19:$AG$49,ROW(A7)+1,FALSE)</f>
        <v>0</v>
      </c>
      <c r="AG9" s="15" cm="1">
        <f t="array" ref="AG9">+HLOOKUP($A$1,+[54]İcmal!$B$19:$AG$49,ROW(A7)+1,FALSE)</f>
        <v>0</v>
      </c>
      <c r="AH9" s="15" cm="1">
        <f t="array" ref="AH9">+HLOOKUP($A$1,+[55]İcmal!$B$19:$AG$49,ROW(A7)+1,FALSE)</f>
        <v>0</v>
      </c>
      <c r="AI9" s="15" cm="1">
        <f t="array" ref="AI9">+HLOOKUP($A$1,+[56]İcmal!$B$19:$AG$49,ROW(A7)+1,FALSE)</f>
        <v>0</v>
      </c>
      <c r="AJ9" s="15" cm="1">
        <f t="array" ref="AJ9">+HLOOKUP($A$1,+[57]İcmal!$B$19:$AG$49,ROW(A7)+1,FALSE)</f>
        <v>0</v>
      </c>
      <c r="AK9" s="15" cm="1">
        <f t="array" ref="AK9">+HLOOKUP($A$1,+[58]İcmal!$B$19:$AG$49,ROW(B7)+1,FALSE)</f>
        <v>0</v>
      </c>
      <c r="AL9" s="15">
        <f>+'[59]İcmal B1 101'!AI27</f>
        <v>0</v>
      </c>
      <c r="AM9" s="15">
        <f>+'[60]İcmal B1 102'!AI27</f>
        <v>0</v>
      </c>
      <c r="AN9" s="15">
        <f>+'[61]İcmal B1 103'!AH27</f>
        <v>0</v>
      </c>
      <c r="AO9" s="15">
        <f>+'[62]İcmal  P1 101'!AI27</f>
        <v>0</v>
      </c>
      <c r="AP9" s="15">
        <f>+'[63]İcmal P1 102'!AI27</f>
        <v>0</v>
      </c>
      <c r="AQ9" s="15"/>
      <c r="AR9" s="15"/>
      <c r="AS9" s="13"/>
    </row>
    <row r="10" spans="1:45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0</v>
      </c>
      <c r="I10" s="9">
        <f t="shared" si="2"/>
        <v>0</v>
      </c>
      <c r="J10" s="15" cm="1">
        <f t="array" ref="J10">+HLOOKUP($A$1,+[31]İcmal!$B$19:$AG$49,ROW(A8)+1,FALSE)</f>
        <v>0</v>
      </c>
      <c r="K10" s="15" cm="1">
        <f t="array" ref="K10">+HLOOKUP($A$1,+[32]İcmal!$B$19:$AG$49,ROW(B8)+1,FALSE)</f>
        <v>0</v>
      </c>
      <c r="L10" s="15" cm="1">
        <f t="array" ref="L10">+HLOOKUP($A$1,+[33]İcmal!$B$19:$AG$49,ROW(C8)+1,FALSE)</f>
        <v>0</v>
      </c>
      <c r="M10" s="15" cm="1">
        <f t="array" ref="M10">+HLOOKUP($A$1,+[34]İcmal!$B$19:$AG$49,ROW(D8)+1,FALSE)</f>
        <v>0</v>
      </c>
      <c r="N10" s="15" cm="1">
        <f t="array" ref="N10">+HLOOKUP($A$1,+[35]İcmal!$B$19:$AG$49,ROW(A8)+1,FALSE)</f>
        <v>0</v>
      </c>
      <c r="O10" s="15" cm="1">
        <f t="array" ref="O10">+HLOOKUP($A$1,+[36]İcmal!$B$19:$AG$49,ROW(B8)+1,FALSE)</f>
        <v>0</v>
      </c>
      <c r="P10" s="15" cm="1">
        <f t="array" ref="P10">+HLOOKUP($A$1,+[37]İcmal!$B$19:$AG$49,ROW(C8)+1,FALSE)</f>
        <v>0</v>
      </c>
      <c r="Q10" s="15" cm="1">
        <f t="array" ref="Q10">+HLOOKUP($A$1,+[38]İcmal!$B$19:$AG$49,ROW(D8)+1,FALSE)</f>
        <v>0</v>
      </c>
      <c r="R10" s="15" cm="1">
        <f t="array" ref="R10">+HLOOKUP($A$1,+[39]İcmal!$B$19:$AG$49,ROW(A8)+1,FALSE)</f>
        <v>0</v>
      </c>
      <c r="S10" s="15" cm="1">
        <f t="array" ref="S10">+HLOOKUP($A$1,+[40]İcmal!$B$19:$AG$49,ROW(B8)+1,FALSE)</f>
        <v>0</v>
      </c>
      <c r="T10" s="15" cm="1">
        <f t="array" ref="T10">+HLOOKUP($A$1,+[41]İcmal!$B$19:$AG$49,ROW(C8)+1,FALSE)</f>
        <v>0</v>
      </c>
      <c r="U10" s="15" cm="1">
        <f t="array" ref="U10">+HLOOKUP($A$1,+[42]İcmal!$B$19:$AG$49,ROW(D8)+1,FALSE)</f>
        <v>0</v>
      </c>
      <c r="V10" s="15" cm="1">
        <f t="array" ref="V10">+HLOOKUP($A$1,+[43]İcmal!$B$19:$AG$49,ROW(A8)+1,FALSE)</f>
        <v>0</v>
      </c>
      <c r="W10" s="15" cm="1">
        <f t="array" ref="W10">+HLOOKUP($A$1,+[44]İcmal!$B$19:$AG$49,ROW(B8)+1,FALSE)</f>
        <v>0</v>
      </c>
      <c r="X10" s="15" cm="1">
        <f t="array" ref="X10">+HLOOKUP($A$1,+[45]İcmal!$B$19:$AG$49,ROW(C8)+1,FALSE)</f>
        <v>0</v>
      </c>
      <c r="Y10" s="15" cm="1">
        <f t="array" ref="Y10">+HLOOKUP($A$1,+[46]İcmal!$B$19:$AG$49,ROW(D8)+1,FALSE)</f>
        <v>0</v>
      </c>
      <c r="Z10" s="15" cm="1">
        <f t="array" ref="Z10">+HLOOKUP($A$1,+[47]İcmal!$B$19:$AG$49,ROW(A8)+1,FALSE)</f>
        <v>0</v>
      </c>
      <c r="AA10" s="15" cm="1">
        <f t="array" ref="AA10">+HLOOKUP($A$1,+[48]İcmal!$B$19:$AG$49,ROW(B8)+1,FALSE)</f>
        <v>0</v>
      </c>
      <c r="AB10" s="15" cm="1">
        <f t="array" ref="AB10">+HLOOKUP($A$1,+[49]İcmal!$B$19:$AG$49,ROW(A8)+1,FALSE)</f>
        <v>0</v>
      </c>
      <c r="AC10" s="15" cm="1">
        <f t="array" ref="AC10">+HLOOKUP($A$1,+[50]İcmal!$B$19:$AG$49,ROW(A8)+1,FALSE)</f>
        <v>0</v>
      </c>
      <c r="AD10" s="15" cm="1">
        <f t="array" ref="AD10">+HLOOKUP($A$1,+[51]İcmal!$B$19:$AG$49,ROW(A8)+1,FALSE)</f>
        <v>0</v>
      </c>
      <c r="AE10" s="15" cm="1">
        <f t="array" ref="AE10">+HLOOKUP($A$1,+[52]İcmal!$B$19:$AG$49,ROW(A8)+1,FALSE)</f>
        <v>0</v>
      </c>
      <c r="AF10" s="50" cm="1">
        <f t="array" ref="AF10">+HLOOKUP($A$1,+[53]İcmal!$B$19:$AG$49,ROW(A8)+1,FALSE)</f>
        <v>0</v>
      </c>
      <c r="AG10" s="15" cm="1">
        <f t="array" ref="AG10">+HLOOKUP($A$1,+[54]İcmal!$B$19:$AG$49,ROW(A8)+1,FALSE)</f>
        <v>0</v>
      </c>
      <c r="AH10" s="15" cm="1">
        <f t="array" ref="AH10">+HLOOKUP($A$1,+[55]İcmal!$B$19:$AG$49,ROW(A8)+1,FALSE)</f>
        <v>0</v>
      </c>
      <c r="AI10" s="15" cm="1">
        <f t="array" ref="AI10">+HLOOKUP($A$1,+[56]İcmal!$B$19:$AG$49,ROW(A8)+1,FALSE)</f>
        <v>0</v>
      </c>
      <c r="AJ10" s="15" cm="1">
        <f t="array" ref="AJ10">+HLOOKUP($A$1,+[57]İcmal!$B$19:$AG$49,ROW(A8)+1,FALSE)</f>
        <v>0</v>
      </c>
      <c r="AK10" s="15" cm="1">
        <f t="array" ref="AK10">+HLOOKUP($A$1,+[58]İcmal!$B$19:$AG$49,ROW(B8)+1,FALSE)</f>
        <v>0</v>
      </c>
      <c r="AL10" s="15">
        <f>+'[59]İcmal B1 101'!AI28</f>
        <v>0</v>
      </c>
      <c r="AM10" s="15">
        <f>+'[60]İcmal B1 102'!AI28</f>
        <v>0</v>
      </c>
      <c r="AN10" s="15">
        <f>+'[61]İcmal B1 103'!AH28</f>
        <v>0</v>
      </c>
      <c r="AO10" s="15">
        <f>+'[62]İcmal  P1 101'!AI28</f>
        <v>0</v>
      </c>
      <c r="AP10" s="15">
        <f>+'[63]İcmal P1 102'!AI28</f>
        <v>0</v>
      </c>
      <c r="AQ10" s="15"/>
      <c r="AR10" s="15"/>
      <c r="AS10" s="13"/>
    </row>
    <row r="11" spans="1:45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+HLOOKUP($A$1,+[31]İcmal!$B$19:$AG$49,ROW(A9)+1,FALSE)</f>
        <v>0</v>
      </c>
      <c r="K11" s="15" cm="1">
        <f t="array" ref="K11">+HLOOKUP($A$1,+[32]İcmal!$B$19:$AG$49,ROW(B9)+1,FALSE)</f>
        <v>0</v>
      </c>
      <c r="L11" s="15" cm="1">
        <f t="array" ref="L11">+HLOOKUP($A$1,+[33]İcmal!$B$19:$AG$49,ROW(C9)+1,FALSE)</f>
        <v>0</v>
      </c>
      <c r="M11" s="15" cm="1">
        <f t="array" ref="M11">+HLOOKUP($A$1,+[34]İcmal!$B$19:$AG$49,ROW(D9)+1,FALSE)</f>
        <v>0</v>
      </c>
      <c r="N11" s="15" cm="1">
        <f t="array" ref="N11">+HLOOKUP($A$1,+[35]İcmal!$B$19:$AG$49,ROW(A9)+1,FALSE)</f>
        <v>0</v>
      </c>
      <c r="O11" s="15" cm="1">
        <f t="array" ref="O11">+HLOOKUP($A$1,+[36]İcmal!$B$19:$AG$49,ROW(B9)+1,FALSE)</f>
        <v>0</v>
      </c>
      <c r="P11" s="15" cm="1">
        <f t="array" ref="P11">+HLOOKUP($A$1,+[37]İcmal!$B$19:$AG$49,ROW(C9)+1,FALSE)</f>
        <v>0</v>
      </c>
      <c r="Q11" s="15" cm="1">
        <f t="array" ref="Q11">+HLOOKUP($A$1,+[38]İcmal!$B$19:$AG$49,ROW(D9)+1,FALSE)</f>
        <v>0</v>
      </c>
      <c r="R11" s="15" cm="1">
        <f t="array" ref="R11">+HLOOKUP($A$1,+[39]İcmal!$B$19:$AG$49,ROW(A9)+1,FALSE)</f>
        <v>0</v>
      </c>
      <c r="S11" s="15" cm="1">
        <f t="array" ref="S11">+HLOOKUP($A$1,+[40]İcmal!$B$19:$AG$49,ROW(B9)+1,FALSE)</f>
        <v>0</v>
      </c>
      <c r="T11" s="15" cm="1">
        <f t="array" ref="T11">+HLOOKUP($A$1,+[41]İcmal!$B$19:$AG$49,ROW(C9)+1,FALSE)</f>
        <v>0</v>
      </c>
      <c r="U11" s="15" cm="1">
        <f t="array" ref="U11">+HLOOKUP($A$1,+[42]İcmal!$B$19:$AG$49,ROW(D9)+1,FALSE)</f>
        <v>0</v>
      </c>
      <c r="V11" s="15" cm="1">
        <f t="array" ref="V11">+HLOOKUP($A$1,+[43]İcmal!$B$19:$AG$49,ROW(A9)+1,FALSE)</f>
        <v>0</v>
      </c>
      <c r="W11" s="15" cm="1">
        <f t="array" ref="W11">+HLOOKUP($A$1,+[44]İcmal!$B$19:$AG$49,ROW(B9)+1,FALSE)</f>
        <v>0</v>
      </c>
      <c r="X11" s="15" cm="1">
        <f t="array" ref="X11">+HLOOKUP($A$1,+[45]İcmal!$B$19:$AG$49,ROW(C9)+1,FALSE)</f>
        <v>0</v>
      </c>
      <c r="Y11" s="15" cm="1">
        <f t="array" ref="Y11">+HLOOKUP($A$1,+[46]İcmal!$B$19:$AG$49,ROW(D9)+1,FALSE)</f>
        <v>0</v>
      </c>
      <c r="Z11" s="15" cm="1">
        <f t="array" ref="Z11">+HLOOKUP($A$1,+[47]İcmal!$B$19:$AG$49,ROW(A9)+1,FALSE)</f>
        <v>0</v>
      </c>
      <c r="AA11" s="15" cm="1">
        <f t="array" ref="AA11">+HLOOKUP($A$1,+[48]İcmal!$B$19:$AG$49,ROW(B9)+1,FALSE)</f>
        <v>0</v>
      </c>
      <c r="AB11" s="15" cm="1">
        <f t="array" ref="AB11">+HLOOKUP($A$1,+[49]İcmal!$B$19:$AG$49,ROW(A9)+1,FALSE)</f>
        <v>0</v>
      </c>
      <c r="AC11" s="15" cm="1">
        <f t="array" ref="AC11">+HLOOKUP($A$1,+[50]İcmal!$B$19:$AG$49,ROW(A9)+1,FALSE)</f>
        <v>0</v>
      </c>
      <c r="AD11" s="15" cm="1">
        <f t="array" ref="AD11">+HLOOKUP($A$1,+[51]İcmal!$B$19:$AG$49,ROW(A9)+1,FALSE)</f>
        <v>0</v>
      </c>
      <c r="AE11" s="15" cm="1">
        <f t="array" ref="AE11">+HLOOKUP($A$1,+[52]İcmal!$B$19:$AG$49,ROW(A9)+1,FALSE)</f>
        <v>0</v>
      </c>
      <c r="AF11" s="50" cm="1">
        <f t="array" ref="AF11">+HLOOKUP($A$1,+[53]İcmal!$B$19:$AG$49,ROW(A9)+1,FALSE)</f>
        <v>0</v>
      </c>
      <c r="AG11" s="15" cm="1">
        <f t="array" ref="AG11">+HLOOKUP($A$1,+[54]İcmal!$B$19:$AG$49,ROW(A9)+1,FALSE)</f>
        <v>0</v>
      </c>
      <c r="AH11" s="15" cm="1">
        <f t="array" ref="AH11">+HLOOKUP($A$1,+[55]İcmal!$B$19:$AG$49,ROW(A9)+1,FALSE)</f>
        <v>0</v>
      </c>
      <c r="AI11" s="15" cm="1">
        <f t="array" ref="AI11">+HLOOKUP($A$1,+[56]İcmal!$B$19:$AG$49,ROW(A9)+1,FALSE)</f>
        <v>0</v>
      </c>
      <c r="AJ11" s="15" cm="1">
        <f t="array" ref="AJ11">+HLOOKUP($A$1,+[57]İcmal!$B$19:$AG$49,ROW(A9)+1,FALSE)</f>
        <v>0</v>
      </c>
      <c r="AK11" s="15" cm="1">
        <f t="array" ref="AK11">+HLOOKUP($A$1,+[58]İcmal!$B$19:$AG$49,ROW(B9)+1,FALSE)</f>
        <v>0</v>
      </c>
      <c r="AL11" s="15">
        <f>+'[59]İcmal B1 101'!AI29</f>
        <v>0</v>
      </c>
      <c r="AM11" s="15">
        <f>+'[60]İcmal B1 102'!AI29</f>
        <v>0</v>
      </c>
      <c r="AN11" s="15">
        <f>+'[61]İcmal B1 103'!AH29</f>
        <v>0</v>
      </c>
      <c r="AO11" s="15">
        <f>+'[62]İcmal  P1 101'!AI29</f>
        <v>0</v>
      </c>
      <c r="AP11" s="15">
        <f>+'[63]İcmal P1 102'!AI29</f>
        <v>0</v>
      </c>
      <c r="AQ11" s="15"/>
      <c r="AR11" s="15"/>
      <c r="AS11" s="13"/>
    </row>
    <row r="12" spans="1:45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+HLOOKUP($A$1,+[31]İcmal!$B$19:$AG$49,ROW(A10)+1,FALSE)</f>
        <v>0</v>
      </c>
      <c r="K12" s="15" cm="1">
        <f t="array" ref="K12">+HLOOKUP($A$1,+[32]İcmal!$B$19:$AG$49,ROW(B10)+1,FALSE)</f>
        <v>0</v>
      </c>
      <c r="L12" s="15" cm="1">
        <f t="array" ref="L12">+HLOOKUP($A$1,+[33]İcmal!$B$19:$AG$49,ROW(C10)+1,FALSE)</f>
        <v>0</v>
      </c>
      <c r="M12" s="15" cm="1">
        <f t="array" ref="M12">+HLOOKUP($A$1,+[34]İcmal!$B$19:$AG$49,ROW(D10)+1,FALSE)</f>
        <v>0</v>
      </c>
      <c r="N12" s="15" cm="1">
        <f t="array" ref="N12">+HLOOKUP($A$1,+[35]İcmal!$B$19:$AG$49,ROW(A10)+1,FALSE)</f>
        <v>0</v>
      </c>
      <c r="O12" s="15" cm="1">
        <f t="array" ref="O12">+HLOOKUP($A$1,+[36]İcmal!$B$19:$AG$49,ROW(B10)+1,FALSE)</f>
        <v>0</v>
      </c>
      <c r="P12" s="15" cm="1">
        <f t="array" ref="P12">+HLOOKUP($A$1,+[37]İcmal!$B$19:$AG$49,ROW(C10)+1,FALSE)</f>
        <v>0</v>
      </c>
      <c r="Q12" s="15" cm="1">
        <f t="array" ref="Q12">+HLOOKUP($A$1,+[38]İcmal!$B$19:$AG$49,ROW(D10)+1,FALSE)</f>
        <v>0</v>
      </c>
      <c r="R12" s="15" cm="1">
        <f t="array" ref="R12">+HLOOKUP($A$1,+[39]İcmal!$B$19:$AG$49,ROW(A10)+1,FALSE)</f>
        <v>0</v>
      </c>
      <c r="S12" s="15" cm="1">
        <f t="array" ref="S12">+HLOOKUP($A$1,+[40]İcmal!$B$19:$AG$49,ROW(B10)+1,FALSE)</f>
        <v>0</v>
      </c>
      <c r="T12" s="15" cm="1">
        <f t="array" ref="T12">+HLOOKUP($A$1,+[41]İcmal!$B$19:$AG$49,ROW(C10)+1,FALSE)</f>
        <v>0</v>
      </c>
      <c r="U12" s="15" cm="1">
        <f t="array" ref="U12">+HLOOKUP($A$1,+[42]İcmal!$B$19:$AG$49,ROW(D10)+1,FALSE)</f>
        <v>0</v>
      </c>
      <c r="V12" s="15" cm="1">
        <f t="array" ref="V12">+HLOOKUP($A$1,+[43]İcmal!$B$19:$AG$49,ROW(A10)+1,FALSE)</f>
        <v>0</v>
      </c>
      <c r="W12" s="15" cm="1">
        <f t="array" ref="W12">+HLOOKUP($A$1,+[44]İcmal!$B$19:$AG$49,ROW(B10)+1,FALSE)</f>
        <v>0</v>
      </c>
      <c r="X12" s="15" cm="1">
        <f t="array" ref="X12">+HLOOKUP($A$1,+[45]İcmal!$B$19:$AG$49,ROW(C10)+1,FALSE)</f>
        <v>0</v>
      </c>
      <c r="Y12" s="15" cm="1">
        <f t="array" ref="Y12">+HLOOKUP($A$1,+[46]İcmal!$B$19:$AG$49,ROW(D10)+1,FALSE)</f>
        <v>0</v>
      </c>
      <c r="Z12" s="15" cm="1">
        <f t="array" ref="Z12">+HLOOKUP($A$1,+[47]İcmal!$B$19:$AG$49,ROW(A10)+1,FALSE)</f>
        <v>0</v>
      </c>
      <c r="AA12" s="15" cm="1">
        <f t="array" ref="AA12">+HLOOKUP($A$1,+[48]İcmal!$B$19:$AG$49,ROW(B10)+1,FALSE)</f>
        <v>0</v>
      </c>
      <c r="AB12" s="15" cm="1">
        <f t="array" ref="AB12">+HLOOKUP($A$1,+[49]İcmal!$B$19:$AG$49,ROW(A10)+1,FALSE)</f>
        <v>0</v>
      </c>
      <c r="AC12" s="15" cm="1">
        <f t="array" ref="AC12">+HLOOKUP($A$1,+[50]İcmal!$B$19:$AG$49,ROW(A10)+1,FALSE)</f>
        <v>0</v>
      </c>
      <c r="AD12" s="15" cm="1">
        <f t="array" ref="AD12">+HLOOKUP($A$1,+[51]İcmal!$B$19:$AG$49,ROW(A10)+1,FALSE)</f>
        <v>0</v>
      </c>
      <c r="AE12" s="15" cm="1">
        <f t="array" ref="AE12">+HLOOKUP($A$1,+[52]İcmal!$B$19:$AG$49,ROW(A10)+1,FALSE)</f>
        <v>0</v>
      </c>
      <c r="AF12" s="50" cm="1">
        <f t="array" ref="AF12">+HLOOKUP($A$1,+[53]İcmal!$B$19:$AG$49,ROW(A10)+1,FALSE)</f>
        <v>0</v>
      </c>
      <c r="AG12" s="15" cm="1">
        <f t="array" ref="AG12">+HLOOKUP($A$1,+[54]İcmal!$B$19:$AG$49,ROW(A10)+1,FALSE)</f>
        <v>0</v>
      </c>
      <c r="AH12" s="15" cm="1">
        <f t="array" ref="AH12">+HLOOKUP($A$1,+[55]İcmal!$B$19:$AG$49,ROW(A10)+1,FALSE)</f>
        <v>0</v>
      </c>
      <c r="AI12" s="15" cm="1">
        <f t="array" ref="AI12">+HLOOKUP($A$1,+[56]İcmal!$B$19:$AG$49,ROW(A10)+1,FALSE)</f>
        <v>0</v>
      </c>
      <c r="AJ12" s="15" cm="1">
        <f t="array" ref="AJ12">+HLOOKUP($A$1,+[57]İcmal!$B$19:$AG$49,ROW(A10)+1,FALSE)</f>
        <v>0</v>
      </c>
      <c r="AK12" s="15" cm="1">
        <f t="array" ref="AK12">+HLOOKUP($A$1,+[58]İcmal!$B$19:$AG$49,ROW(B10)+1,FALSE)</f>
        <v>0</v>
      </c>
      <c r="AL12" s="15">
        <f>+'[59]İcmal B1 101'!AI30</f>
        <v>0</v>
      </c>
      <c r="AM12" s="15">
        <f>+'[60]İcmal B1 102'!AI30</f>
        <v>0</v>
      </c>
      <c r="AN12" s="15">
        <f>+'[61]İcmal B1 103'!AH30</f>
        <v>0</v>
      </c>
      <c r="AO12" s="15">
        <f>+'[62]İcmal  P1 101'!AI30</f>
        <v>0</v>
      </c>
      <c r="AP12" s="15">
        <f>+'[63]İcmal P1 102'!AI30</f>
        <v>0</v>
      </c>
      <c r="AQ12" s="15"/>
      <c r="AR12" s="15"/>
      <c r="AS12" s="13"/>
    </row>
    <row r="13" spans="1:45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0</v>
      </c>
      <c r="I13" s="9">
        <f t="shared" si="2"/>
        <v>0</v>
      </c>
      <c r="J13" s="15" cm="1">
        <f t="array" ref="J13">+HLOOKUP($A$1,+[31]İcmal!$B$19:$AG$49,ROW(A11)+1,FALSE)</f>
        <v>0</v>
      </c>
      <c r="K13" s="15" cm="1">
        <f t="array" ref="K13">+HLOOKUP($A$1,+[32]İcmal!$B$19:$AG$49,ROW(B11)+1,FALSE)</f>
        <v>0</v>
      </c>
      <c r="L13" s="15" cm="1">
        <f t="array" ref="L13">+HLOOKUP($A$1,+[33]İcmal!$B$19:$AG$49,ROW(C11)+1,FALSE)</f>
        <v>0</v>
      </c>
      <c r="M13" s="15" cm="1">
        <f t="array" ref="M13">+HLOOKUP($A$1,+[34]İcmal!$B$19:$AG$49,ROW(D11)+1,FALSE)</f>
        <v>0</v>
      </c>
      <c r="N13" s="15" cm="1">
        <f t="array" ref="N13">+HLOOKUP($A$1,+[35]İcmal!$B$19:$AG$49,ROW(A11)+1,FALSE)</f>
        <v>0</v>
      </c>
      <c r="O13" s="15" cm="1">
        <f t="array" ref="O13">+HLOOKUP($A$1,+[36]İcmal!$B$19:$AG$49,ROW(B11)+1,FALSE)</f>
        <v>0</v>
      </c>
      <c r="P13" s="15" cm="1">
        <f t="array" ref="P13">+HLOOKUP($A$1,+[37]İcmal!$B$19:$AG$49,ROW(C11)+1,FALSE)</f>
        <v>0</v>
      </c>
      <c r="Q13" s="15" cm="1">
        <f t="array" ref="Q13">+HLOOKUP($A$1,+[38]İcmal!$B$19:$AG$49,ROW(D11)+1,FALSE)</f>
        <v>0</v>
      </c>
      <c r="R13" s="15" cm="1">
        <f t="array" ref="R13">+HLOOKUP($A$1,+[39]İcmal!$B$19:$AG$49,ROW(A11)+1,FALSE)</f>
        <v>0</v>
      </c>
      <c r="S13" s="15" cm="1">
        <f t="array" ref="S13">+HLOOKUP($A$1,+[40]İcmal!$B$19:$AG$49,ROW(B11)+1,FALSE)</f>
        <v>0</v>
      </c>
      <c r="T13" s="15" cm="1">
        <f t="array" ref="T13">+HLOOKUP($A$1,+[41]İcmal!$B$19:$AG$49,ROW(C11)+1,FALSE)</f>
        <v>0</v>
      </c>
      <c r="U13" s="15" cm="1">
        <f t="array" ref="U13">+HLOOKUP($A$1,+[42]İcmal!$B$19:$AG$49,ROW(D11)+1,FALSE)</f>
        <v>0</v>
      </c>
      <c r="V13" s="15" cm="1">
        <f t="array" ref="V13">+HLOOKUP($A$1,+[43]İcmal!$B$19:$AG$49,ROW(A11)+1,FALSE)</f>
        <v>0</v>
      </c>
      <c r="W13" s="15" cm="1">
        <f t="array" ref="W13">+HLOOKUP($A$1,+[44]İcmal!$B$19:$AG$49,ROW(B11)+1,FALSE)</f>
        <v>0</v>
      </c>
      <c r="X13" s="15" cm="1">
        <f t="array" ref="X13">+HLOOKUP($A$1,+[45]İcmal!$B$19:$AG$49,ROW(C11)+1,FALSE)</f>
        <v>0</v>
      </c>
      <c r="Y13" s="15" cm="1">
        <f t="array" ref="Y13">+HLOOKUP($A$1,+[46]İcmal!$B$19:$AG$49,ROW(D11)+1,FALSE)</f>
        <v>0</v>
      </c>
      <c r="Z13" s="15" cm="1">
        <f t="array" ref="Z13">+HLOOKUP($A$1,+[47]İcmal!$B$19:$AG$49,ROW(A11)+1,FALSE)</f>
        <v>0</v>
      </c>
      <c r="AA13" s="15" cm="1">
        <f t="array" ref="AA13">+HLOOKUP($A$1,+[48]İcmal!$B$19:$AG$49,ROW(B11)+1,FALSE)</f>
        <v>0</v>
      </c>
      <c r="AB13" s="15" cm="1">
        <f t="array" ref="AB13">+HLOOKUP($A$1,+[49]İcmal!$B$19:$AG$49,ROW(A11)+1,FALSE)</f>
        <v>0</v>
      </c>
      <c r="AC13" s="15" cm="1">
        <f t="array" ref="AC13">+HLOOKUP($A$1,+[50]İcmal!$B$19:$AG$49,ROW(A11)+1,FALSE)</f>
        <v>0</v>
      </c>
      <c r="AD13" s="15" cm="1">
        <f t="array" ref="AD13">+HLOOKUP($A$1,+[51]İcmal!$B$19:$AG$49,ROW(A11)+1,FALSE)</f>
        <v>0</v>
      </c>
      <c r="AE13" s="15" cm="1">
        <f t="array" ref="AE13">+HLOOKUP($A$1,+[52]İcmal!$B$19:$AG$49,ROW(A11)+1,FALSE)</f>
        <v>0</v>
      </c>
      <c r="AF13" s="50" cm="1">
        <f t="array" ref="AF13">+HLOOKUP($A$1,+[53]İcmal!$B$19:$AG$49,ROW(A11)+1,FALSE)</f>
        <v>0</v>
      </c>
      <c r="AG13" s="15" cm="1">
        <f t="array" ref="AG13">+HLOOKUP($A$1,+[54]İcmal!$B$19:$AG$49,ROW(A11)+1,FALSE)</f>
        <v>0</v>
      </c>
      <c r="AH13" s="15" cm="1">
        <f t="array" ref="AH13">+HLOOKUP($A$1,+[55]İcmal!$B$19:$AG$49,ROW(A11)+1,FALSE)</f>
        <v>0</v>
      </c>
      <c r="AI13" s="15" cm="1">
        <f t="array" ref="AI13">+HLOOKUP($A$1,+[56]İcmal!$B$19:$AG$49,ROW(A11)+1,FALSE)</f>
        <v>0</v>
      </c>
      <c r="AJ13" s="15" cm="1">
        <f t="array" ref="AJ13">+HLOOKUP($A$1,+[57]İcmal!$B$19:$AG$49,ROW(A11)+1,FALSE)</f>
        <v>0</v>
      </c>
      <c r="AK13" s="15" cm="1">
        <f t="array" ref="AK13">+HLOOKUP($A$1,+[58]İcmal!$B$19:$AG$49,ROW(B11)+1,FALSE)</f>
        <v>0</v>
      </c>
      <c r="AL13" s="15">
        <f>+'[59]İcmal B1 101'!AI31</f>
        <v>0</v>
      </c>
      <c r="AM13" s="15">
        <f>+'[60]İcmal B1 102'!AI31</f>
        <v>0</v>
      </c>
      <c r="AN13" s="15">
        <f>+'[61]İcmal B1 103'!AH31</f>
        <v>0</v>
      </c>
      <c r="AO13" s="15">
        <f>+'[62]İcmal  P1 101'!AI31</f>
        <v>0</v>
      </c>
      <c r="AP13" s="15">
        <f>+'[63]İcmal P1 102'!AI31</f>
        <v>0</v>
      </c>
      <c r="AQ13" s="15"/>
      <c r="AR13" s="15"/>
      <c r="AS13" s="13"/>
    </row>
    <row r="14" spans="1:45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0</v>
      </c>
      <c r="I14" s="9">
        <f t="shared" si="2"/>
        <v>0</v>
      </c>
      <c r="J14" s="15" cm="1">
        <f t="array" ref="J14">+HLOOKUP($A$1,+[31]İcmal!$B$19:$AG$49,ROW(A12)+1,FALSE)</f>
        <v>0</v>
      </c>
      <c r="K14" s="15" cm="1">
        <f t="array" ref="K14">+HLOOKUP($A$1,+[32]İcmal!$B$19:$AG$49,ROW(B12)+1,FALSE)</f>
        <v>0</v>
      </c>
      <c r="L14" s="15" cm="1">
        <f t="array" ref="L14">+HLOOKUP($A$1,+[33]İcmal!$B$19:$AG$49,ROW(C12)+1,FALSE)</f>
        <v>0</v>
      </c>
      <c r="M14" s="15" cm="1">
        <f t="array" ref="M14">+HLOOKUP($A$1,+[34]İcmal!$B$19:$AG$49,ROW(D12)+1,FALSE)</f>
        <v>0</v>
      </c>
      <c r="N14" s="15" cm="1">
        <f t="array" ref="N14">+HLOOKUP($A$1,+[35]İcmal!$B$19:$AG$49,ROW(A12)+1,FALSE)</f>
        <v>0</v>
      </c>
      <c r="O14" s="15" cm="1">
        <f t="array" ref="O14">+HLOOKUP($A$1,+[36]İcmal!$B$19:$AG$49,ROW(B12)+1,FALSE)</f>
        <v>0</v>
      </c>
      <c r="P14" s="15" cm="1">
        <f t="array" ref="P14">+HLOOKUP($A$1,+[37]İcmal!$B$19:$AG$49,ROW(C12)+1,FALSE)</f>
        <v>0</v>
      </c>
      <c r="Q14" s="15" cm="1">
        <f t="array" ref="Q14">+HLOOKUP($A$1,+[38]İcmal!$B$19:$AG$49,ROW(D12)+1,FALSE)</f>
        <v>0</v>
      </c>
      <c r="R14" s="15" cm="1">
        <f t="array" ref="R14">+HLOOKUP($A$1,+[39]İcmal!$B$19:$AG$49,ROW(A12)+1,FALSE)</f>
        <v>0</v>
      </c>
      <c r="S14" s="15" cm="1">
        <f t="array" ref="S14">+HLOOKUP($A$1,+[40]İcmal!$B$19:$AG$49,ROW(B12)+1,FALSE)</f>
        <v>0</v>
      </c>
      <c r="T14" s="15" cm="1">
        <f t="array" ref="T14">+HLOOKUP($A$1,+[41]İcmal!$B$19:$AG$49,ROW(C12)+1,FALSE)</f>
        <v>0</v>
      </c>
      <c r="U14" s="15" cm="1">
        <f t="array" ref="U14">+HLOOKUP($A$1,+[42]İcmal!$B$19:$AG$49,ROW(D12)+1,FALSE)</f>
        <v>0</v>
      </c>
      <c r="V14" s="15" cm="1">
        <f t="array" ref="V14">+HLOOKUP($A$1,+[43]İcmal!$B$19:$AG$49,ROW(A12)+1,FALSE)</f>
        <v>0</v>
      </c>
      <c r="W14" s="15" cm="1">
        <f t="array" ref="W14">+HLOOKUP($A$1,+[44]İcmal!$B$19:$AG$49,ROW(B12)+1,FALSE)</f>
        <v>0</v>
      </c>
      <c r="X14" s="15" cm="1">
        <f t="array" ref="X14">+HLOOKUP($A$1,+[45]İcmal!$B$19:$AG$49,ROW(C12)+1,FALSE)</f>
        <v>0</v>
      </c>
      <c r="Y14" s="15" cm="1">
        <f t="array" ref="Y14">+HLOOKUP($A$1,+[46]İcmal!$B$19:$AG$49,ROW(D12)+1,FALSE)</f>
        <v>0</v>
      </c>
      <c r="Z14" s="15" cm="1">
        <f t="array" ref="Z14">+HLOOKUP($A$1,+[47]İcmal!$B$19:$AG$49,ROW(A12)+1,FALSE)</f>
        <v>0</v>
      </c>
      <c r="AA14" s="15" cm="1">
        <f t="array" ref="AA14">+HLOOKUP($A$1,+[48]İcmal!$B$19:$AG$49,ROW(B12)+1,FALSE)</f>
        <v>0</v>
      </c>
      <c r="AB14" s="15" cm="1">
        <f t="array" ref="AB14">+HLOOKUP($A$1,+[49]İcmal!$B$19:$AG$49,ROW(A12)+1,FALSE)</f>
        <v>0</v>
      </c>
      <c r="AC14" s="15" cm="1">
        <f t="array" ref="AC14">+HLOOKUP($A$1,+[50]İcmal!$B$19:$AG$49,ROW(A12)+1,FALSE)</f>
        <v>0</v>
      </c>
      <c r="AD14" s="15" cm="1">
        <f t="array" ref="AD14">+HLOOKUP($A$1,+[51]İcmal!$B$19:$AG$49,ROW(A12)+1,FALSE)</f>
        <v>0</v>
      </c>
      <c r="AE14" s="15" cm="1">
        <f t="array" ref="AE14">+HLOOKUP($A$1,+[52]İcmal!$B$19:$AG$49,ROW(A12)+1,FALSE)</f>
        <v>0</v>
      </c>
      <c r="AF14" s="50" cm="1">
        <f t="array" ref="AF14">+HLOOKUP($A$1,+[53]İcmal!$B$19:$AG$49,ROW(A12)+1,FALSE)</f>
        <v>0</v>
      </c>
      <c r="AG14" s="15" cm="1">
        <f t="array" ref="AG14">+HLOOKUP($A$1,+[54]İcmal!$B$19:$AG$49,ROW(A12)+1,FALSE)</f>
        <v>0</v>
      </c>
      <c r="AH14" s="15" cm="1">
        <f t="array" ref="AH14">+HLOOKUP($A$1,+[55]İcmal!$B$19:$AG$49,ROW(A12)+1,FALSE)</f>
        <v>0</v>
      </c>
      <c r="AI14" s="15" cm="1">
        <f t="array" ref="AI14">+HLOOKUP($A$1,+[56]İcmal!$B$19:$AG$49,ROW(A12)+1,FALSE)</f>
        <v>0</v>
      </c>
      <c r="AJ14" s="15" cm="1">
        <f t="array" ref="AJ14">+HLOOKUP($A$1,+[57]İcmal!$B$19:$AG$49,ROW(A12)+1,FALSE)</f>
        <v>0</v>
      </c>
      <c r="AK14" s="15" cm="1">
        <f t="array" ref="AK14">+HLOOKUP($A$1,+[58]İcmal!$B$19:$AG$49,ROW(B12)+1,FALSE)</f>
        <v>0</v>
      </c>
      <c r="AL14" s="15">
        <f>+'[59]İcmal B1 101'!AI32</f>
        <v>0</v>
      </c>
      <c r="AM14" s="15">
        <f>+'[60]İcmal B1 102'!AI32</f>
        <v>0</v>
      </c>
      <c r="AN14" s="15">
        <f>+'[61]İcmal B1 103'!AH32</f>
        <v>0</v>
      </c>
      <c r="AO14" s="15">
        <f>+'[62]İcmal  P1 101'!AI32</f>
        <v>0</v>
      </c>
      <c r="AP14" s="15">
        <f>+'[63]İcmal P1 102'!AI32</f>
        <v>0</v>
      </c>
      <c r="AQ14" s="15"/>
      <c r="AR14" s="15"/>
      <c r="AS14" s="13"/>
    </row>
    <row r="15" spans="1:45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+HLOOKUP($A$1,+[31]İcmal!$B$19:$AG$49,ROW(A13)+1,FALSE)</f>
        <v>0</v>
      </c>
      <c r="K15" s="15" cm="1">
        <f t="array" ref="K15">+HLOOKUP($A$1,+[32]İcmal!$B$19:$AG$49,ROW(B13)+1,FALSE)</f>
        <v>0</v>
      </c>
      <c r="L15" s="15" cm="1">
        <f t="array" ref="L15">+HLOOKUP($A$1,+[33]İcmal!$B$19:$AG$49,ROW(C13)+1,FALSE)</f>
        <v>0</v>
      </c>
      <c r="M15" s="15" cm="1">
        <f t="array" ref="M15">+HLOOKUP($A$1,+[34]İcmal!$B$19:$AG$49,ROW(D13)+1,FALSE)</f>
        <v>0</v>
      </c>
      <c r="N15" s="15" cm="1">
        <f t="array" ref="N15">+HLOOKUP($A$1,+[35]İcmal!$B$19:$AG$49,ROW(A13)+1,FALSE)</f>
        <v>0</v>
      </c>
      <c r="O15" s="15" cm="1">
        <f t="array" ref="O15">+HLOOKUP($A$1,+[36]İcmal!$B$19:$AG$49,ROW(B13)+1,FALSE)</f>
        <v>0</v>
      </c>
      <c r="P15" s="15" cm="1">
        <f t="array" ref="P15">+HLOOKUP($A$1,+[37]İcmal!$B$19:$AG$49,ROW(C13)+1,FALSE)</f>
        <v>0</v>
      </c>
      <c r="Q15" s="15" cm="1">
        <f t="array" ref="Q15">+HLOOKUP($A$1,+[38]İcmal!$B$19:$AG$49,ROW(D13)+1,FALSE)</f>
        <v>0</v>
      </c>
      <c r="R15" s="15" cm="1">
        <f t="array" ref="R15">+HLOOKUP($A$1,+[39]İcmal!$B$19:$AG$49,ROW(A13)+1,FALSE)</f>
        <v>0</v>
      </c>
      <c r="S15" s="15" cm="1">
        <f t="array" ref="S15">+HLOOKUP($A$1,+[40]İcmal!$B$19:$AG$49,ROW(B13)+1,FALSE)</f>
        <v>0</v>
      </c>
      <c r="T15" s="15" cm="1">
        <f t="array" ref="T15">+HLOOKUP($A$1,+[41]İcmal!$B$19:$AG$49,ROW(C13)+1,FALSE)</f>
        <v>0</v>
      </c>
      <c r="U15" s="15" cm="1">
        <f t="array" ref="U15">+HLOOKUP($A$1,+[42]İcmal!$B$19:$AG$49,ROW(D13)+1,FALSE)</f>
        <v>0</v>
      </c>
      <c r="V15" s="15" cm="1">
        <f t="array" ref="V15">+HLOOKUP($A$1,+[43]İcmal!$B$19:$AG$49,ROW(A13)+1,FALSE)</f>
        <v>0</v>
      </c>
      <c r="W15" s="15" cm="1">
        <f t="array" ref="W15">+HLOOKUP($A$1,+[44]İcmal!$B$19:$AG$49,ROW(B13)+1,FALSE)</f>
        <v>0</v>
      </c>
      <c r="X15" s="15" cm="1">
        <f t="array" ref="X15">+HLOOKUP($A$1,+[45]İcmal!$B$19:$AG$49,ROW(C13)+1,FALSE)</f>
        <v>0</v>
      </c>
      <c r="Y15" s="15" cm="1">
        <f t="array" ref="Y15">+HLOOKUP($A$1,+[46]İcmal!$B$19:$AG$49,ROW(D13)+1,FALSE)</f>
        <v>0</v>
      </c>
      <c r="Z15" s="15" cm="1">
        <f t="array" ref="Z15">+HLOOKUP($A$1,+[47]İcmal!$B$19:$AG$49,ROW(A13)+1,FALSE)</f>
        <v>0</v>
      </c>
      <c r="AA15" s="15" cm="1">
        <f t="array" ref="AA15">+HLOOKUP($A$1,+[48]İcmal!$B$19:$AG$49,ROW(B13)+1,FALSE)</f>
        <v>0</v>
      </c>
      <c r="AB15" s="15" cm="1">
        <f t="array" ref="AB15">+HLOOKUP($A$1,+[49]İcmal!$B$19:$AG$49,ROW(A13)+1,FALSE)</f>
        <v>0</v>
      </c>
      <c r="AC15" s="15" cm="1">
        <f t="array" ref="AC15">+HLOOKUP($A$1,+[50]İcmal!$B$19:$AG$49,ROW(A13)+1,FALSE)</f>
        <v>0</v>
      </c>
      <c r="AD15" s="15" cm="1">
        <f t="array" ref="AD15">+HLOOKUP($A$1,+[51]İcmal!$B$19:$AG$49,ROW(A13)+1,FALSE)</f>
        <v>0</v>
      </c>
      <c r="AE15" s="15" cm="1">
        <f t="array" ref="AE15">+HLOOKUP($A$1,+[52]İcmal!$B$19:$AG$49,ROW(A13)+1,FALSE)</f>
        <v>0</v>
      </c>
      <c r="AF15" s="50" cm="1">
        <f t="array" ref="AF15">+HLOOKUP($A$1,+[53]İcmal!$B$19:$AG$49,ROW(A13)+1,FALSE)</f>
        <v>0</v>
      </c>
      <c r="AG15" s="15" cm="1">
        <f t="array" ref="AG15">+HLOOKUP($A$1,+[54]İcmal!$B$19:$AG$49,ROW(A13)+1,FALSE)</f>
        <v>0</v>
      </c>
      <c r="AH15" s="15" cm="1">
        <f t="array" ref="AH15">+HLOOKUP($A$1,+[55]İcmal!$B$19:$AG$49,ROW(A13)+1,FALSE)</f>
        <v>0</v>
      </c>
      <c r="AI15" s="15" cm="1">
        <f t="array" ref="AI15">+HLOOKUP($A$1,+[56]İcmal!$B$19:$AG$49,ROW(A13)+1,FALSE)</f>
        <v>0</v>
      </c>
      <c r="AJ15" s="15" cm="1">
        <f t="array" ref="AJ15">+HLOOKUP($A$1,+[57]İcmal!$B$19:$AG$49,ROW(A13)+1,FALSE)</f>
        <v>0</v>
      </c>
      <c r="AK15" s="15" cm="1">
        <f t="array" ref="AK15">+HLOOKUP($A$1,+[58]İcmal!$B$19:$AG$49,ROW(B13)+1,FALSE)</f>
        <v>0</v>
      </c>
      <c r="AL15" s="15">
        <f>+'[59]İcmal B1 101'!AI33</f>
        <v>0</v>
      </c>
      <c r="AM15" s="15">
        <f>+'[60]İcmal B1 102'!AI33</f>
        <v>0</v>
      </c>
      <c r="AN15" s="15">
        <f>+'[61]İcmal B1 103'!AH33</f>
        <v>0</v>
      </c>
      <c r="AO15" s="15">
        <f>+'[62]İcmal  P1 101'!AI33</f>
        <v>0</v>
      </c>
      <c r="AP15" s="15">
        <f>+'[63]İcmal P1 102'!AI33</f>
        <v>0</v>
      </c>
      <c r="AQ15" s="15"/>
      <c r="AR15" s="15"/>
      <c r="AS15" s="13"/>
    </row>
    <row r="16" spans="1:45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0</v>
      </c>
      <c r="I16" s="9">
        <f t="shared" si="2"/>
        <v>0</v>
      </c>
      <c r="J16" s="15" cm="1">
        <f t="array" ref="J16">+HLOOKUP($A$1,+[31]İcmal!$B$19:$AG$49,ROW(A14)+1,FALSE)</f>
        <v>0</v>
      </c>
      <c r="K16" s="15" cm="1">
        <f t="array" ref="K16">+HLOOKUP($A$1,+[32]İcmal!$B$19:$AG$49,ROW(B14)+1,FALSE)</f>
        <v>0</v>
      </c>
      <c r="L16" s="15" cm="1">
        <f t="array" ref="L16">+HLOOKUP($A$1,+[33]İcmal!$B$19:$AG$49,ROW(C14)+1,FALSE)</f>
        <v>0</v>
      </c>
      <c r="M16" s="15" cm="1">
        <f t="array" ref="M16">+HLOOKUP($A$1,+[34]İcmal!$B$19:$AG$49,ROW(D14)+1,FALSE)</f>
        <v>0</v>
      </c>
      <c r="N16" s="15" cm="1">
        <f t="array" ref="N16">+HLOOKUP($A$1,+[35]İcmal!$B$19:$AG$49,ROW(A14)+1,FALSE)</f>
        <v>0</v>
      </c>
      <c r="O16" s="15" cm="1">
        <f t="array" ref="O16">+HLOOKUP($A$1,+[36]İcmal!$B$19:$AG$49,ROW(B14)+1,FALSE)</f>
        <v>0</v>
      </c>
      <c r="P16" s="15" cm="1">
        <f t="array" ref="P16">+HLOOKUP($A$1,+[37]İcmal!$B$19:$AG$49,ROW(C14)+1,FALSE)</f>
        <v>0</v>
      </c>
      <c r="Q16" s="15" cm="1">
        <f t="array" ref="Q16">+HLOOKUP($A$1,+[38]İcmal!$B$19:$AG$49,ROW(D14)+1,FALSE)</f>
        <v>0</v>
      </c>
      <c r="R16" s="15" cm="1">
        <f t="array" ref="R16">+HLOOKUP($A$1,+[39]İcmal!$B$19:$AG$49,ROW(A14)+1,FALSE)</f>
        <v>0</v>
      </c>
      <c r="S16" s="15" cm="1">
        <f t="array" ref="S16">+HLOOKUP($A$1,+[40]İcmal!$B$19:$AG$49,ROW(B14)+1,FALSE)</f>
        <v>0</v>
      </c>
      <c r="T16" s="15" cm="1">
        <f t="array" ref="T16">+HLOOKUP($A$1,+[41]İcmal!$B$19:$AG$49,ROW(C14)+1,FALSE)</f>
        <v>0</v>
      </c>
      <c r="U16" s="15" cm="1">
        <f t="array" ref="U16">+HLOOKUP($A$1,+[42]İcmal!$B$19:$AG$49,ROW(D14)+1,FALSE)</f>
        <v>0</v>
      </c>
      <c r="V16" s="15" cm="1">
        <f t="array" ref="V16">+HLOOKUP($A$1,+[43]İcmal!$B$19:$AG$49,ROW(A14)+1,FALSE)</f>
        <v>0</v>
      </c>
      <c r="W16" s="15" cm="1">
        <f t="array" ref="W16">+HLOOKUP($A$1,+[44]İcmal!$B$19:$AG$49,ROW(B14)+1,FALSE)</f>
        <v>0</v>
      </c>
      <c r="X16" s="15" cm="1">
        <f t="array" ref="X16">+HLOOKUP($A$1,+[45]İcmal!$B$19:$AG$49,ROW(C14)+1,FALSE)</f>
        <v>0</v>
      </c>
      <c r="Y16" s="15" cm="1">
        <f t="array" ref="Y16">+HLOOKUP($A$1,+[46]İcmal!$B$19:$AG$49,ROW(D14)+1,FALSE)</f>
        <v>0</v>
      </c>
      <c r="Z16" s="15" cm="1">
        <f t="array" ref="Z16">+HLOOKUP($A$1,+[47]İcmal!$B$19:$AG$49,ROW(A14)+1,FALSE)</f>
        <v>0</v>
      </c>
      <c r="AA16" s="15" cm="1">
        <f t="array" ref="AA16">+HLOOKUP($A$1,+[48]İcmal!$B$19:$AG$49,ROW(B14)+1,FALSE)</f>
        <v>0</v>
      </c>
      <c r="AB16" s="15" cm="1">
        <f t="array" ref="AB16">+HLOOKUP($A$1,+[49]İcmal!$B$19:$AG$49,ROW(A14)+1,FALSE)</f>
        <v>0</v>
      </c>
      <c r="AC16" s="15" cm="1">
        <f t="array" ref="AC16">+HLOOKUP($A$1,+[50]İcmal!$B$19:$AG$49,ROW(A14)+1,FALSE)</f>
        <v>0</v>
      </c>
      <c r="AD16" s="15" cm="1">
        <f t="array" ref="AD16">+HLOOKUP($A$1,+[51]İcmal!$B$19:$AG$49,ROW(A14)+1,FALSE)</f>
        <v>0</v>
      </c>
      <c r="AE16" s="15" cm="1">
        <f t="array" ref="AE16">+HLOOKUP($A$1,+[52]İcmal!$B$19:$AG$49,ROW(A14)+1,FALSE)</f>
        <v>0</v>
      </c>
      <c r="AF16" s="50" cm="1">
        <f t="array" ref="AF16">+HLOOKUP($A$1,+[53]İcmal!$B$19:$AG$49,ROW(A14)+1,FALSE)</f>
        <v>0</v>
      </c>
      <c r="AG16" s="15" cm="1">
        <f t="array" ref="AG16">+HLOOKUP($A$1,+[54]İcmal!$B$19:$AG$49,ROW(A14)+1,FALSE)</f>
        <v>0</v>
      </c>
      <c r="AH16" s="15" cm="1">
        <f t="array" ref="AH16">+HLOOKUP($A$1,+[55]İcmal!$B$19:$AG$49,ROW(A14)+1,FALSE)</f>
        <v>0</v>
      </c>
      <c r="AI16" s="15" cm="1">
        <f t="array" ref="AI16">+HLOOKUP($A$1,+[56]İcmal!$B$19:$AG$49,ROW(A14)+1,FALSE)</f>
        <v>0</v>
      </c>
      <c r="AJ16" s="15" cm="1">
        <f t="array" ref="AJ16">+HLOOKUP($A$1,+[57]İcmal!$B$19:$AG$49,ROW(A14)+1,FALSE)</f>
        <v>0</v>
      </c>
      <c r="AK16" s="15" cm="1">
        <f t="array" ref="AK16">+HLOOKUP($A$1,+[58]İcmal!$B$19:$AG$49,ROW(B14)+1,FALSE)</f>
        <v>0</v>
      </c>
      <c r="AL16" s="15">
        <f>+'[59]İcmal B1 101'!AI34</f>
        <v>0</v>
      </c>
      <c r="AM16" s="15">
        <f>+'[60]İcmal B1 102'!AI34</f>
        <v>0</v>
      </c>
      <c r="AN16" s="15">
        <f>+'[61]İcmal B1 103'!AH34</f>
        <v>0</v>
      </c>
      <c r="AO16" s="15">
        <f>+'[62]İcmal  P1 101'!AI34</f>
        <v>0</v>
      </c>
      <c r="AP16" s="15">
        <f>+'[63]İcmal P1 102'!AI34</f>
        <v>0</v>
      </c>
      <c r="AQ16" s="15"/>
      <c r="AR16" s="15"/>
      <c r="AS16" s="13"/>
    </row>
    <row r="17" spans="1:45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0</v>
      </c>
      <c r="I17" s="9">
        <f t="shared" si="2"/>
        <v>0</v>
      </c>
      <c r="J17" s="15" cm="1">
        <f t="array" ref="J17">+HLOOKUP($A$1,+[31]İcmal!$B$19:$AG$49,ROW(A15)+1,FALSE)</f>
        <v>0</v>
      </c>
      <c r="K17" s="15" cm="1">
        <f t="array" ref="K17">+HLOOKUP($A$1,+[32]İcmal!$B$19:$AG$49,ROW(B15)+1,FALSE)</f>
        <v>0</v>
      </c>
      <c r="L17" s="15" cm="1">
        <f t="array" ref="L17">+HLOOKUP($A$1,+[33]İcmal!$B$19:$AG$49,ROW(C15)+1,FALSE)</f>
        <v>0</v>
      </c>
      <c r="M17" s="15" cm="1">
        <f t="array" ref="M17">+HLOOKUP($A$1,+[34]İcmal!$B$19:$AG$49,ROW(D15)+1,FALSE)</f>
        <v>0</v>
      </c>
      <c r="N17" s="15" cm="1">
        <f t="array" ref="N17">+HLOOKUP($A$1,+[35]İcmal!$B$19:$AG$49,ROW(A15)+1,FALSE)</f>
        <v>0</v>
      </c>
      <c r="O17" s="15" cm="1">
        <f t="array" ref="O17">+HLOOKUP($A$1,+[36]İcmal!$B$19:$AG$49,ROW(B15)+1,FALSE)</f>
        <v>0</v>
      </c>
      <c r="P17" s="15" cm="1">
        <f t="array" ref="P17">+HLOOKUP($A$1,+[37]İcmal!$B$19:$AG$49,ROW(C15)+1,FALSE)</f>
        <v>0</v>
      </c>
      <c r="Q17" s="15" cm="1">
        <f t="array" ref="Q17">+HLOOKUP($A$1,+[38]İcmal!$B$19:$AG$49,ROW(D15)+1,FALSE)</f>
        <v>0</v>
      </c>
      <c r="R17" s="15" cm="1">
        <f t="array" ref="R17">+HLOOKUP($A$1,+[39]İcmal!$B$19:$AG$49,ROW(A15)+1,FALSE)</f>
        <v>0</v>
      </c>
      <c r="S17" s="15" cm="1">
        <f t="array" ref="S17">+HLOOKUP($A$1,+[40]İcmal!$B$19:$AG$49,ROW(B15)+1,FALSE)</f>
        <v>0</v>
      </c>
      <c r="T17" s="15" cm="1">
        <f t="array" ref="T17">+HLOOKUP($A$1,+[41]İcmal!$B$19:$AG$49,ROW(C15)+1,FALSE)</f>
        <v>0</v>
      </c>
      <c r="U17" s="15" cm="1">
        <f t="array" ref="U17">+HLOOKUP($A$1,+[42]İcmal!$B$19:$AG$49,ROW(D15)+1,FALSE)</f>
        <v>0</v>
      </c>
      <c r="V17" s="15" cm="1">
        <f t="array" ref="V17">+HLOOKUP($A$1,+[43]İcmal!$B$19:$AG$49,ROW(A15)+1,FALSE)</f>
        <v>0</v>
      </c>
      <c r="W17" s="15" cm="1">
        <f t="array" ref="W17">+HLOOKUP($A$1,+[44]İcmal!$B$19:$AG$49,ROW(B15)+1,FALSE)</f>
        <v>0</v>
      </c>
      <c r="X17" s="15" cm="1">
        <f t="array" ref="X17">+HLOOKUP($A$1,+[45]İcmal!$B$19:$AG$49,ROW(C15)+1,FALSE)</f>
        <v>0</v>
      </c>
      <c r="Y17" s="15" cm="1">
        <f t="array" ref="Y17">+HLOOKUP($A$1,+[46]İcmal!$B$19:$AG$49,ROW(D15)+1,FALSE)</f>
        <v>0</v>
      </c>
      <c r="Z17" s="15" cm="1">
        <f t="array" ref="Z17">+HLOOKUP($A$1,+[47]İcmal!$B$19:$AG$49,ROW(A15)+1,FALSE)</f>
        <v>0</v>
      </c>
      <c r="AA17" s="15" cm="1">
        <f t="array" ref="AA17">+HLOOKUP($A$1,+[48]İcmal!$B$19:$AG$49,ROW(B15)+1,FALSE)</f>
        <v>0</v>
      </c>
      <c r="AB17" s="15" cm="1">
        <f t="array" ref="AB17">+HLOOKUP($A$1,+[49]İcmal!$B$19:$AG$49,ROW(A15)+1,FALSE)</f>
        <v>0</v>
      </c>
      <c r="AC17" s="15" cm="1">
        <f t="array" ref="AC17">+HLOOKUP($A$1,+[50]İcmal!$B$19:$AG$49,ROW(A15)+1,FALSE)</f>
        <v>0</v>
      </c>
      <c r="AD17" s="15" cm="1">
        <f t="array" ref="AD17">+HLOOKUP($A$1,+[51]İcmal!$B$19:$AG$49,ROW(A15)+1,FALSE)</f>
        <v>0</v>
      </c>
      <c r="AE17" s="15" cm="1">
        <f t="array" ref="AE17">+HLOOKUP($A$1,+[52]İcmal!$B$19:$AG$49,ROW(A15)+1,FALSE)</f>
        <v>0</v>
      </c>
      <c r="AF17" s="50" cm="1">
        <f t="array" ref="AF17">+HLOOKUP($A$1,+[53]İcmal!$B$19:$AG$49,ROW(A15)+1,FALSE)</f>
        <v>0</v>
      </c>
      <c r="AG17" s="15" cm="1">
        <f t="array" ref="AG17">+HLOOKUP($A$1,+[54]İcmal!$B$19:$AG$49,ROW(A15)+1,FALSE)</f>
        <v>0</v>
      </c>
      <c r="AH17" s="15" cm="1">
        <f t="array" ref="AH17">+HLOOKUP($A$1,+[55]İcmal!$B$19:$AG$49,ROW(A15)+1,FALSE)</f>
        <v>0</v>
      </c>
      <c r="AI17" s="15" cm="1">
        <f t="array" ref="AI17">+HLOOKUP($A$1,+[56]İcmal!$B$19:$AG$49,ROW(A15)+1,FALSE)</f>
        <v>0</v>
      </c>
      <c r="AJ17" s="15" cm="1">
        <f t="array" ref="AJ17">+HLOOKUP($A$1,+[57]İcmal!$B$19:$AG$49,ROW(A15)+1,FALSE)</f>
        <v>0</v>
      </c>
      <c r="AK17" s="15" cm="1">
        <f t="array" ref="AK17">+HLOOKUP($A$1,+[58]İcmal!$B$19:$AG$49,ROW(B15)+1,FALSE)</f>
        <v>0</v>
      </c>
      <c r="AL17" s="15">
        <f>+'[59]İcmal B1 101'!AI35</f>
        <v>0</v>
      </c>
      <c r="AM17" s="15">
        <f>+'[60]İcmal B1 102'!AI35</f>
        <v>0</v>
      </c>
      <c r="AN17" s="15">
        <f>+'[61]İcmal B1 103'!AH35</f>
        <v>0</v>
      </c>
      <c r="AO17" s="15">
        <f>+'[62]İcmal  P1 101'!AI35</f>
        <v>0</v>
      </c>
      <c r="AP17" s="15">
        <f>+'[63]İcmal P1 102'!AI35</f>
        <v>0</v>
      </c>
      <c r="AQ17" s="15"/>
      <c r="AR17" s="15"/>
      <c r="AS17" s="13"/>
    </row>
    <row r="18" spans="1:45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2924.8950599999971</v>
      </c>
      <c r="I18" s="9">
        <f t="shared" si="2"/>
        <v>1491696.4805999985</v>
      </c>
      <c r="J18" s="15" cm="1">
        <f t="array" ref="J18">+HLOOKUP($A$1,+[31]İcmal!$B$19:$AG$49,ROW(A16)+1,FALSE)</f>
        <v>0</v>
      </c>
      <c r="K18" s="15" cm="1">
        <f t="array" ref="K18">+HLOOKUP($A$1,+[32]İcmal!$B$19:$AG$49,ROW(B16)+1,FALSE)</f>
        <v>0</v>
      </c>
      <c r="L18" s="15" cm="1">
        <f t="array" ref="L18">+HLOOKUP($A$1,+[33]İcmal!$B$19:$AG$49,ROW(C16)+1,FALSE)</f>
        <v>0</v>
      </c>
      <c r="M18" s="15" cm="1">
        <f t="array" ref="M18">+HLOOKUP($A$1,+[34]İcmal!$B$19:$AG$49,ROW(D16)+1,FALSE)</f>
        <v>0</v>
      </c>
      <c r="N18" s="15" cm="1">
        <f t="array" ref="N18">+HLOOKUP($A$1,+[35]İcmal!$B$19:$AG$49,ROW(A16)+1,FALSE)</f>
        <v>0</v>
      </c>
      <c r="O18" s="15" cm="1">
        <f t="array" ref="O18">+HLOOKUP($A$1,+[36]İcmal!$B$19:$AG$49,ROW(B16)+1,FALSE)</f>
        <v>0</v>
      </c>
      <c r="P18" s="15" cm="1">
        <f t="array" ref="P18">+HLOOKUP($A$1,+[37]İcmal!$B$19:$AG$49,ROW(C16)+1,FALSE)</f>
        <v>0</v>
      </c>
      <c r="Q18" s="15" cm="1">
        <f t="array" ref="Q18">+HLOOKUP($A$1,+[38]İcmal!$B$19:$AG$49,ROW(D16)+1,FALSE)</f>
        <v>0</v>
      </c>
      <c r="R18" s="15" cm="1">
        <f t="array" ref="R18">+HLOOKUP($A$1,+[39]İcmal!$B$19:$AG$49,ROW(A16)+1,FALSE)</f>
        <v>0</v>
      </c>
      <c r="S18" s="15" cm="1">
        <f t="array" ref="S18">+HLOOKUP($A$1,+[40]İcmal!$B$19:$AG$49,ROW(B16)+1,FALSE)</f>
        <v>0</v>
      </c>
      <c r="T18" s="15" cm="1">
        <f t="array" ref="T18">+HLOOKUP($A$1,+[41]İcmal!$B$19:$AG$49,ROW(C16)+1,FALSE)</f>
        <v>0</v>
      </c>
      <c r="U18" s="15" cm="1">
        <f t="array" ref="U18">+HLOOKUP($A$1,+[42]İcmal!$B$19:$AG$49,ROW(D16)+1,FALSE)</f>
        <v>0</v>
      </c>
      <c r="V18" s="15" cm="1">
        <f t="array" ref="V18">+HLOOKUP($A$1,+[43]İcmal!$B$19:$AG$49,ROW(A16)+1,FALSE)</f>
        <v>0</v>
      </c>
      <c r="W18" s="15" cm="1">
        <f t="array" ref="W18">+HLOOKUP($A$1,+[44]İcmal!$B$19:$AG$49,ROW(B16)+1,FALSE)</f>
        <v>0</v>
      </c>
      <c r="X18" s="15" cm="1">
        <f t="array" ref="X18">+HLOOKUP($A$1,+[45]İcmal!$B$19:$AG$49,ROW(C16)+1,FALSE)</f>
        <v>0</v>
      </c>
      <c r="Y18" s="15" cm="1">
        <f t="array" ref="Y18">+HLOOKUP($A$1,+[46]İcmal!$B$19:$AG$49,ROW(D16)+1,FALSE)</f>
        <v>0</v>
      </c>
      <c r="Z18" s="15" cm="1">
        <f t="array" ref="Z18">+HLOOKUP($A$1,+[47]İcmal!$B$19:$AG$49,ROW(A16)+1,FALSE)</f>
        <v>0</v>
      </c>
      <c r="AA18" s="15" cm="1">
        <f t="array" ref="AA18">+HLOOKUP($A$1,+[48]İcmal!$B$19:$AG$49,ROW(B16)+1,FALSE)</f>
        <v>0</v>
      </c>
      <c r="AB18" s="15" cm="1">
        <f t="array" ref="AB18">+HLOOKUP($A$1,+[49]İcmal!$B$19:$AG$49,ROW(A16)+1,FALSE)</f>
        <v>0</v>
      </c>
      <c r="AC18" s="15" cm="1">
        <f t="array" ref="AC18">+HLOOKUP($A$1,+[50]İcmal!$B$19:$AG$49,ROW(A16)+1,FALSE)</f>
        <v>0</v>
      </c>
      <c r="AD18" s="15" cm="1">
        <f t="array" ref="AD18">+HLOOKUP($A$1,+[51]İcmal!$B$19:$AG$49,ROW(A16)+1,FALSE)</f>
        <v>0</v>
      </c>
      <c r="AE18" s="15" cm="1">
        <f t="array" ref="AE18">+HLOOKUP($A$1,+[52]İcmal!$B$19:$AG$49,ROW(A16)+1,FALSE)</f>
        <v>0</v>
      </c>
      <c r="AF18" s="50" cm="1">
        <f t="array" ref="AF18">+HLOOKUP($A$1,+[53]İcmal!$B$19:$AG$49,ROW(A16)+1,FALSE)</f>
        <v>0</v>
      </c>
      <c r="AG18" s="15" cm="1">
        <f t="array" ref="AG18">+HLOOKUP($A$1,+[54]İcmal!$B$19:$AG$49,ROW(A16)+1,FALSE)</f>
        <v>0</v>
      </c>
      <c r="AH18" s="15" cm="1">
        <f t="array" ref="AH18">+HLOOKUP($A$1,+[55]İcmal!$B$19:$AG$49,ROW(A16)+1,FALSE)</f>
        <v>0</v>
      </c>
      <c r="AI18" s="15" cm="1">
        <f t="array" ref="AI18">+HLOOKUP($A$1,+[56]İcmal!$B$19:$AG$49,ROW(A16)+1,FALSE)</f>
        <v>0</v>
      </c>
      <c r="AJ18" s="15" cm="1">
        <f t="array" ref="AJ18">+HLOOKUP($A$1,+[57]İcmal!$B$19:$AG$49,ROW(A16)+1,FALSE)</f>
        <v>0</v>
      </c>
      <c r="AK18" s="15" cm="1">
        <f t="array" ref="AK18">+HLOOKUP($A$1,+[58]İcmal!$B$19:$AG$49,ROW(B16)+1,FALSE)</f>
        <v>0</v>
      </c>
      <c r="AL18" s="15">
        <f>+'[59]İcmal B1 101'!AI36</f>
        <v>0</v>
      </c>
      <c r="AM18" s="15">
        <f>+'[60]İcmal B1 102'!AI36</f>
        <v>0</v>
      </c>
      <c r="AN18" s="15">
        <f>+'[61]İcmal B1 103'!AH36</f>
        <v>20.247500000000002</v>
      </c>
      <c r="AO18" s="15">
        <f>+'[62]İcmal  P1 101'!AI36</f>
        <v>875.75303999999994</v>
      </c>
      <c r="AP18" s="15">
        <f>+'[63]İcmal P1 102'!AI36</f>
        <v>2028.8945199999969</v>
      </c>
      <c r="AQ18" s="15"/>
      <c r="AR18" s="15"/>
      <c r="AS18" s="13"/>
    </row>
    <row r="19" spans="1:45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1675.8150499999979</v>
      </c>
      <c r="I19" s="9">
        <f t="shared" si="2"/>
        <v>2010978.0599999975</v>
      </c>
      <c r="J19" s="15" cm="1">
        <f t="array" ref="J19">+HLOOKUP($A$1,+[31]İcmal!$B$19:$AG$49,ROW(A17)+1,FALSE)</f>
        <v>0</v>
      </c>
      <c r="K19" s="15" cm="1">
        <f t="array" ref="K19">+HLOOKUP($A$1,+[32]İcmal!$B$19:$AG$49,ROW(B17)+1,FALSE)</f>
        <v>0</v>
      </c>
      <c r="L19" s="15" cm="1">
        <f t="array" ref="L19">+HLOOKUP($A$1,+[33]İcmal!$B$19:$AG$49,ROW(C17)+1,FALSE)</f>
        <v>0</v>
      </c>
      <c r="M19" s="15" cm="1">
        <f t="array" ref="M19">+HLOOKUP($A$1,+[34]İcmal!$B$19:$AG$49,ROW(D17)+1,FALSE)</f>
        <v>0</v>
      </c>
      <c r="N19" s="15" cm="1">
        <f t="array" ref="N19">+HLOOKUP($A$1,+[35]İcmal!$B$19:$AG$49,ROW(A17)+1,FALSE)</f>
        <v>0</v>
      </c>
      <c r="O19" s="15" cm="1">
        <f t="array" ref="O19">+HLOOKUP($A$1,+[36]İcmal!$B$19:$AG$49,ROW(B17)+1,FALSE)</f>
        <v>0</v>
      </c>
      <c r="P19" s="15" cm="1">
        <f t="array" ref="P19">+HLOOKUP($A$1,+[37]İcmal!$B$19:$AG$49,ROW(C17)+1,FALSE)</f>
        <v>0</v>
      </c>
      <c r="Q19" s="15" cm="1">
        <f t="array" ref="Q19">+HLOOKUP($A$1,+[38]İcmal!$B$19:$AG$49,ROW(D17)+1,FALSE)</f>
        <v>0</v>
      </c>
      <c r="R19" s="15" cm="1">
        <f t="array" ref="R19">+HLOOKUP($A$1,+[39]İcmal!$B$19:$AG$49,ROW(A17)+1,FALSE)</f>
        <v>0</v>
      </c>
      <c r="S19" s="15" cm="1">
        <f t="array" ref="S19">+HLOOKUP($A$1,+[40]İcmal!$B$19:$AG$49,ROW(B17)+1,FALSE)</f>
        <v>0</v>
      </c>
      <c r="T19" s="15" cm="1">
        <f t="array" ref="T19">+HLOOKUP($A$1,+[41]İcmal!$B$19:$AG$49,ROW(C17)+1,FALSE)</f>
        <v>0</v>
      </c>
      <c r="U19" s="15" cm="1">
        <f t="array" ref="U19">+HLOOKUP($A$1,+[42]İcmal!$B$19:$AG$49,ROW(D17)+1,FALSE)</f>
        <v>0</v>
      </c>
      <c r="V19" s="15" cm="1">
        <f t="array" ref="V19">+HLOOKUP($A$1,+[43]İcmal!$B$19:$AG$49,ROW(A17)+1,FALSE)</f>
        <v>0</v>
      </c>
      <c r="W19" s="15" cm="1">
        <f t="array" ref="W19">+HLOOKUP($A$1,+[44]İcmal!$B$19:$AG$49,ROW(B17)+1,FALSE)</f>
        <v>0</v>
      </c>
      <c r="X19" s="15" cm="1">
        <f t="array" ref="X19">+HLOOKUP($A$1,+[45]İcmal!$B$19:$AG$49,ROW(C17)+1,FALSE)</f>
        <v>0</v>
      </c>
      <c r="Y19" s="15" cm="1">
        <f t="array" ref="Y19">+HLOOKUP($A$1,+[46]İcmal!$B$19:$AG$49,ROW(D17)+1,FALSE)</f>
        <v>0</v>
      </c>
      <c r="Z19" s="15" cm="1">
        <f t="array" ref="Z19">+HLOOKUP($A$1,+[47]İcmal!$B$19:$AG$49,ROW(A17)+1,FALSE)</f>
        <v>0</v>
      </c>
      <c r="AA19" s="15" cm="1">
        <f t="array" ref="AA19">+HLOOKUP($A$1,+[48]İcmal!$B$19:$AG$49,ROW(B17)+1,FALSE)</f>
        <v>0</v>
      </c>
      <c r="AB19" s="15" cm="1">
        <f t="array" ref="AB19">+HLOOKUP($A$1,+[49]İcmal!$B$19:$AG$49,ROW(A17)+1,FALSE)</f>
        <v>0</v>
      </c>
      <c r="AC19" s="15" cm="1">
        <f t="array" ref="AC19">+HLOOKUP($A$1,+[50]İcmal!$B$19:$AG$49,ROW(A17)+1,FALSE)</f>
        <v>0</v>
      </c>
      <c r="AD19" s="15" cm="1">
        <f t="array" ref="AD19">+HLOOKUP($A$1,+[51]İcmal!$B$19:$AG$49,ROW(A17)+1,FALSE)</f>
        <v>0</v>
      </c>
      <c r="AE19" s="15" cm="1">
        <f t="array" ref="AE19">+HLOOKUP($A$1,+[52]İcmal!$B$19:$AG$49,ROW(A17)+1,FALSE)</f>
        <v>0</v>
      </c>
      <c r="AF19" s="50" cm="1">
        <f t="array" ref="AF19">+HLOOKUP($A$1,+[53]İcmal!$B$19:$AG$49,ROW(A17)+1,FALSE)</f>
        <v>0</v>
      </c>
      <c r="AG19" s="15" cm="1">
        <f t="array" ref="AG19">+HLOOKUP($A$1,+[54]İcmal!$B$19:$AG$49,ROW(A17)+1,FALSE)</f>
        <v>0</v>
      </c>
      <c r="AH19" s="15" cm="1">
        <f t="array" ref="AH19">+HLOOKUP($A$1,+[55]İcmal!$B$19:$AG$49,ROW(A17)+1,FALSE)</f>
        <v>0</v>
      </c>
      <c r="AI19" s="15" cm="1">
        <f t="array" ref="AI19">+HLOOKUP($A$1,+[56]İcmal!$B$19:$AG$49,ROW(A17)+1,FALSE)</f>
        <v>0</v>
      </c>
      <c r="AJ19" s="15" cm="1">
        <f t="array" ref="AJ19">+HLOOKUP($A$1,+[57]İcmal!$B$19:$AG$49,ROW(A17)+1,FALSE)</f>
        <v>0</v>
      </c>
      <c r="AK19" s="15" cm="1">
        <f t="array" ref="AK19">+HLOOKUP($A$1,+[58]İcmal!$B$19:$AG$49,ROW(B17)+1,FALSE)</f>
        <v>0</v>
      </c>
      <c r="AL19" s="15">
        <f>+'[59]İcmal B1 101'!AI37</f>
        <v>0</v>
      </c>
      <c r="AM19" s="15">
        <f>+'[60]İcmal B1 102'!AI37</f>
        <v>0</v>
      </c>
      <c r="AN19" s="15">
        <f>+'[61]İcmal B1 103'!AH37</f>
        <v>14.372499999999999</v>
      </c>
      <c r="AO19" s="15">
        <f>+'[62]İcmal  P1 101'!AI37</f>
        <v>487.33139999999992</v>
      </c>
      <c r="AP19" s="15">
        <f>+'[63]İcmal P1 102'!AI37</f>
        <v>1174.1111499999979</v>
      </c>
      <c r="AQ19" s="15"/>
      <c r="AR19" s="15"/>
      <c r="AS19" s="13"/>
    </row>
    <row r="20" spans="1:45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535.39199999999983</v>
      </c>
      <c r="I20" s="9">
        <f t="shared" si="2"/>
        <v>1156446.7199999997</v>
      </c>
      <c r="J20" s="15" cm="1">
        <f t="array" ref="J20">+HLOOKUP($A$1,+[31]İcmal!$B$19:$AG$49,ROW(A18)+1,FALSE)</f>
        <v>0</v>
      </c>
      <c r="K20" s="15" cm="1">
        <f t="array" ref="K20">+HLOOKUP($A$1,+[32]İcmal!$B$19:$AG$49,ROW(B18)+1,FALSE)</f>
        <v>0</v>
      </c>
      <c r="L20" s="15" cm="1">
        <f t="array" ref="L20">+HLOOKUP($A$1,+[33]İcmal!$B$19:$AG$49,ROW(C18)+1,FALSE)</f>
        <v>0</v>
      </c>
      <c r="M20" s="15" cm="1">
        <f t="array" ref="M20">+HLOOKUP($A$1,+[34]İcmal!$B$19:$AG$49,ROW(D18)+1,FALSE)</f>
        <v>0</v>
      </c>
      <c r="N20" s="15" cm="1">
        <f t="array" ref="N20">+HLOOKUP($A$1,+[35]İcmal!$B$19:$AG$49,ROW(A18)+1,FALSE)</f>
        <v>0</v>
      </c>
      <c r="O20" s="15" cm="1">
        <f t="array" ref="O20">+HLOOKUP($A$1,+[36]İcmal!$B$19:$AG$49,ROW(B18)+1,FALSE)</f>
        <v>0</v>
      </c>
      <c r="P20" s="15" cm="1">
        <f t="array" ref="P20">+HLOOKUP($A$1,+[37]İcmal!$B$19:$AG$49,ROW(C18)+1,FALSE)</f>
        <v>0</v>
      </c>
      <c r="Q20" s="15" cm="1">
        <f t="array" ref="Q20">+HLOOKUP($A$1,+[38]İcmal!$B$19:$AG$49,ROW(D18)+1,FALSE)</f>
        <v>0</v>
      </c>
      <c r="R20" s="15" cm="1">
        <f t="array" ref="R20">+HLOOKUP($A$1,+[39]İcmal!$B$19:$AG$49,ROW(A18)+1,FALSE)</f>
        <v>0</v>
      </c>
      <c r="S20" s="15" cm="1">
        <f t="array" ref="S20">+HLOOKUP($A$1,+[40]İcmal!$B$19:$AG$49,ROW(B18)+1,FALSE)</f>
        <v>0</v>
      </c>
      <c r="T20" s="15" cm="1">
        <f t="array" ref="T20">+HLOOKUP($A$1,+[41]İcmal!$B$19:$AG$49,ROW(C18)+1,FALSE)</f>
        <v>0</v>
      </c>
      <c r="U20" s="15" cm="1">
        <f t="array" ref="U20">+HLOOKUP($A$1,+[42]İcmal!$B$19:$AG$49,ROW(D18)+1,FALSE)</f>
        <v>0</v>
      </c>
      <c r="V20" s="15" cm="1">
        <f t="array" ref="V20">+HLOOKUP($A$1,+[43]İcmal!$B$19:$AG$49,ROW(A18)+1,FALSE)</f>
        <v>0</v>
      </c>
      <c r="W20" s="15" cm="1">
        <f t="array" ref="W20">+HLOOKUP($A$1,+[44]İcmal!$B$19:$AG$49,ROW(B18)+1,FALSE)</f>
        <v>0</v>
      </c>
      <c r="X20" s="15" cm="1">
        <f t="array" ref="X20">+HLOOKUP($A$1,+[45]İcmal!$B$19:$AG$49,ROW(C18)+1,FALSE)</f>
        <v>0</v>
      </c>
      <c r="Y20" s="15" cm="1">
        <f t="array" ref="Y20">+HLOOKUP($A$1,+[46]İcmal!$B$19:$AG$49,ROW(D18)+1,FALSE)</f>
        <v>0</v>
      </c>
      <c r="Z20" s="15" cm="1">
        <f t="array" ref="Z20">+HLOOKUP($A$1,+[47]İcmal!$B$19:$AG$49,ROW(A18)+1,FALSE)</f>
        <v>0</v>
      </c>
      <c r="AA20" s="15" cm="1">
        <f t="array" ref="AA20">+HLOOKUP($A$1,+[48]İcmal!$B$19:$AG$49,ROW(B18)+1,FALSE)</f>
        <v>0</v>
      </c>
      <c r="AB20" s="15" cm="1">
        <f t="array" ref="AB20">+HLOOKUP($A$1,+[49]İcmal!$B$19:$AG$49,ROW(A18)+1,FALSE)</f>
        <v>0</v>
      </c>
      <c r="AC20" s="15" cm="1">
        <f t="array" ref="AC20">+HLOOKUP($A$1,+[50]İcmal!$B$19:$AG$49,ROW(A18)+1,FALSE)</f>
        <v>0</v>
      </c>
      <c r="AD20" s="15" cm="1">
        <f t="array" ref="AD20">+HLOOKUP($A$1,+[51]İcmal!$B$19:$AG$49,ROW(A18)+1,FALSE)</f>
        <v>0</v>
      </c>
      <c r="AE20" s="15" cm="1">
        <f t="array" ref="AE20">+HLOOKUP($A$1,+[52]İcmal!$B$19:$AG$49,ROW(A18)+1,FALSE)</f>
        <v>0</v>
      </c>
      <c r="AF20" s="50" cm="1">
        <f t="array" ref="AF20">+HLOOKUP($A$1,+[53]İcmal!$B$19:$AG$49,ROW(A18)+1,FALSE)</f>
        <v>0</v>
      </c>
      <c r="AG20" s="15" cm="1">
        <f t="array" ref="AG20">+HLOOKUP($A$1,+[54]İcmal!$B$19:$AG$49,ROW(A18)+1,FALSE)</f>
        <v>0</v>
      </c>
      <c r="AH20" s="15" cm="1">
        <f t="array" ref="AH20">+HLOOKUP($A$1,+[55]İcmal!$B$19:$AG$49,ROW(A18)+1,FALSE)</f>
        <v>0</v>
      </c>
      <c r="AI20" s="15" cm="1">
        <f t="array" ref="AI20">+HLOOKUP($A$1,+[56]İcmal!$B$19:$AG$49,ROW(A18)+1,FALSE)</f>
        <v>0</v>
      </c>
      <c r="AJ20" s="15" cm="1">
        <f t="array" ref="AJ20">+HLOOKUP($A$1,+[57]İcmal!$B$19:$AG$49,ROW(A18)+1,FALSE)</f>
        <v>0</v>
      </c>
      <c r="AK20" s="15" cm="1">
        <f t="array" ref="AK20">+HLOOKUP($A$1,+[58]İcmal!$B$19:$AG$49,ROW(B18)+1,FALSE)</f>
        <v>0</v>
      </c>
      <c r="AL20" s="15">
        <f>+'[59]İcmal B1 101'!AI38</f>
        <v>0</v>
      </c>
      <c r="AM20" s="15">
        <f>+'[60]İcmal B1 102'!AI38</f>
        <v>0</v>
      </c>
      <c r="AN20" s="15">
        <f>+'[61]İcmal B1 103'!AH38</f>
        <v>10.303000000000001</v>
      </c>
      <c r="AO20" s="15">
        <f>+'[62]İcmal  P1 101'!AI38</f>
        <v>170.51999999999998</v>
      </c>
      <c r="AP20" s="15">
        <f>+'[63]İcmal P1 102'!AI38</f>
        <v>354.56899999999985</v>
      </c>
      <c r="AQ20" s="15"/>
      <c r="AR20" s="15"/>
      <c r="AS20" s="13"/>
    </row>
    <row r="21" spans="1:45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+HLOOKUP($A$1,+[31]İcmal!$B$19:$AG$49,ROW(A19)+1,FALSE)</f>
        <v>0</v>
      </c>
      <c r="K21" s="15" cm="1">
        <f t="array" ref="K21">+HLOOKUP($A$1,+[32]İcmal!$B$19:$AG$49,ROW(B19)+1,FALSE)</f>
        <v>0</v>
      </c>
      <c r="L21" s="15" cm="1">
        <f t="array" ref="L21">+HLOOKUP($A$1,+[33]İcmal!$B$19:$AG$49,ROW(C19)+1,FALSE)</f>
        <v>0</v>
      </c>
      <c r="M21" s="15" cm="1">
        <f t="array" ref="M21">+HLOOKUP($A$1,+[34]İcmal!$B$19:$AG$49,ROW(D19)+1,FALSE)</f>
        <v>0</v>
      </c>
      <c r="N21" s="15" cm="1">
        <f t="array" ref="N21">+HLOOKUP($A$1,+[35]İcmal!$B$19:$AG$49,ROW(A19)+1,FALSE)</f>
        <v>0</v>
      </c>
      <c r="O21" s="15" cm="1">
        <f t="array" ref="O21">+HLOOKUP($A$1,+[36]İcmal!$B$19:$AG$49,ROW(B19)+1,FALSE)</f>
        <v>0</v>
      </c>
      <c r="P21" s="15" cm="1">
        <f t="array" ref="P21">+HLOOKUP($A$1,+[37]İcmal!$B$19:$AG$49,ROW(C19)+1,FALSE)</f>
        <v>0</v>
      </c>
      <c r="Q21" s="15" cm="1">
        <f t="array" ref="Q21">+HLOOKUP($A$1,+[38]İcmal!$B$19:$AG$49,ROW(D19)+1,FALSE)</f>
        <v>0</v>
      </c>
      <c r="R21" s="15" cm="1">
        <f t="array" ref="R21">+HLOOKUP($A$1,+[39]İcmal!$B$19:$AG$49,ROW(A19)+1,FALSE)</f>
        <v>0</v>
      </c>
      <c r="S21" s="15" cm="1">
        <f t="array" ref="S21">+HLOOKUP($A$1,+[40]İcmal!$B$19:$AG$49,ROW(B19)+1,FALSE)</f>
        <v>0</v>
      </c>
      <c r="T21" s="15" cm="1">
        <f t="array" ref="T21">+HLOOKUP($A$1,+[41]İcmal!$B$19:$AG$49,ROW(C19)+1,FALSE)</f>
        <v>0</v>
      </c>
      <c r="U21" s="15" cm="1">
        <f t="array" ref="U21">+HLOOKUP($A$1,+[42]İcmal!$B$19:$AG$49,ROW(D19)+1,FALSE)</f>
        <v>0</v>
      </c>
      <c r="V21" s="15" cm="1">
        <f t="array" ref="V21">+HLOOKUP($A$1,+[43]İcmal!$B$19:$AG$49,ROW(A19)+1,FALSE)</f>
        <v>0</v>
      </c>
      <c r="W21" s="15" cm="1">
        <f t="array" ref="W21">+HLOOKUP($A$1,+[44]İcmal!$B$19:$AG$49,ROW(B19)+1,FALSE)</f>
        <v>0</v>
      </c>
      <c r="X21" s="15" cm="1">
        <f t="array" ref="X21">+HLOOKUP($A$1,+[45]İcmal!$B$19:$AG$49,ROW(C19)+1,FALSE)</f>
        <v>0</v>
      </c>
      <c r="Y21" s="15" cm="1">
        <f t="array" ref="Y21">+HLOOKUP($A$1,+[46]İcmal!$B$19:$AG$49,ROW(D19)+1,FALSE)</f>
        <v>0</v>
      </c>
      <c r="Z21" s="15" cm="1">
        <f t="array" ref="Z21">+HLOOKUP($A$1,+[47]İcmal!$B$19:$AG$49,ROW(A19)+1,FALSE)</f>
        <v>0</v>
      </c>
      <c r="AA21" s="15" cm="1">
        <f t="array" ref="AA21">+HLOOKUP($A$1,+[48]İcmal!$B$19:$AG$49,ROW(B19)+1,FALSE)</f>
        <v>0</v>
      </c>
      <c r="AB21" s="15" cm="1">
        <f t="array" ref="AB21">+HLOOKUP($A$1,+[49]İcmal!$B$19:$AG$49,ROW(A19)+1,FALSE)</f>
        <v>0</v>
      </c>
      <c r="AC21" s="15" cm="1">
        <f t="array" ref="AC21">+HLOOKUP($A$1,+[50]İcmal!$B$19:$AG$49,ROW(A19)+1,FALSE)</f>
        <v>0</v>
      </c>
      <c r="AD21" s="15" cm="1">
        <f t="array" ref="AD21">+HLOOKUP($A$1,+[51]İcmal!$B$19:$AG$49,ROW(A19)+1,FALSE)</f>
        <v>0</v>
      </c>
      <c r="AE21" s="15" cm="1">
        <f t="array" ref="AE21">+HLOOKUP($A$1,+[52]İcmal!$B$19:$AG$49,ROW(A19)+1,FALSE)</f>
        <v>0</v>
      </c>
      <c r="AF21" s="50" cm="1">
        <f t="array" ref="AF21">+HLOOKUP($A$1,+[53]İcmal!$B$19:$AG$49,ROW(A19)+1,FALSE)</f>
        <v>0</v>
      </c>
      <c r="AG21" s="15" cm="1">
        <f t="array" ref="AG21">+HLOOKUP($A$1,+[54]İcmal!$B$19:$AG$49,ROW(A19)+1,FALSE)</f>
        <v>0</v>
      </c>
      <c r="AH21" s="15" cm="1">
        <f t="array" ref="AH21">+HLOOKUP($A$1,+[55]İcmal!$B$19:$AG$49,ROW(A19)+1,FALSE)</f>
        <v>0</v>
      </c>
      <c r="AI21" s="15" cm="1">
        <f t="array" ref="AI21">+HLOOKUP($A$1,+[56]İcmal!$B$19:$AG$49,ROW(A19)+1,FALSE)</f>
        <v>0</v>
      </c>
      <c r="AJ21" s="15" cm="1">
        <f t="array" ref="AJ21">+HLOOKUP($A$1,+[57]İcmal!$B$19:$AG$49,ROW(A19)+1,FALSE)</f>
        <v>0</v>
      </c>
      <c r="AK21" s="15" cm="1">
        <f t="array" ref="AK21">+HLOOKUP($A$1,+[58]İcmal!$B$19:$AG$49,ROW(B19)+1,FALSE)</f>
        <v>0</v>
      </c>
      <c r="AL21" s="15">
        <f>+'[59]İcmal B1 101'!AI39</f>
        <v>0</v>
      </c>
      <c r="AM21" s="15">
        <f>+'[60]İcmal B1 102'!AI39</f>
        <v>0</v>
      </c>
      <c r="AN21" s="15">
        <f>+'[61]İcmal B1 103'!AH39</f>
        <v>0</v>
      </c>
      <c r="AO21" s="15">
        <f>+'[62]İcmal  P1 101'!AI39</f>
        <v>0</v>
      </c>
      <c r="AP21" s="15">
        <f>+'[63]İcmal P1 102'!AI39</f>
        <v>0</v>
      </c>
      <c r="AQ21" s="15"/>
      <c r="AR21" s="15"/>
      <c r="AS21" s="13"/>
    </row>
    <row r="22" spans="1:45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+HLOOKUP($A$1,+[31]İcmal!$B$19:$AG$49,ROW(A20)+1,FALSE)</f>
        <v>0</v>
      </c>
      <c r="K22" s="15" cm="1">
        <f t="array" ref="K22">+HLOOKUP($A$1,+[32]İcmal!$B$19:$AG$49,ROW(B20)+1,FALSE)</f>
        <v>0</v>
      </c>
      <c r="L22" s="15" cm="1">
        <f t="array" ref="L22">+HLOOKUP($A$1,+[33]İcmal!$B$19:$AG$49,ROW(C20)+1,FALSE)</f>
        <v>0</v>
      </c>
      <c r="M22" s="15" cm="1">
        <f t="array" ref="M22">+HLOOKUP($A$1,+[34]İcmal!$B$19:$AG$49,ROW(D20)+1,FALSE)</f>
        <v>0</v>
      </c>
      <c r="N22" s="15" cm="1">
        <f t="array" ref="N22">+HLOOKUP($A$1,+[35]İcmal!$B$19:$AG$49,ROW(A20)+1,FALSE)</f>
        <v>0</v>
      </c>
      <c r="O22" s="15" cm="1">
        <f t="array" ref="O22">+HLOOKUP($A$1,+[36]İcmal!$B$19:$AG$49,ROW(B20)+1,FALSE)</f>
        <v>0</v>
      </c>
      <c r="P22" s="15" cm="1">
        <f t="array" ref="P22">+HLOOKUP($A$1,+[37]İcmal!$B$19:$AG$49,ROW(C20)+1,FALSE)</f>
        <v>0</v>
      </c>
      <c r="Q22" s="15" cm="1">
        <f t="array" ref="Q22">+HLOOKUP($A$1,+[38]İcmal!$B$19:$AG$49,ROW(D20)+1,FALSE)</f>
        <v>0</v>
      </c>
      <c r="R22" s="15" cm="1">
        <f t="array" ref="R22">+HLOOKUP($A$1,+[39]İcmal!$B$19:$AG$49,ROW(A20)+1,FALSE)</f>
        <v>0</v>
      </c>
      <c r="S22" s="15" cm="1">
        <f t="array" ref="S22">+HLOOKUP($A$1,+[40]İcmal!$B$19:$AG$49,ROW(B20)+1,FALSE)</f>
        <v>0</v>
      </c>
      <c r="T22" s="15" cm="1">
        <f t="array" ref="T22">+HLOOKUP($A$1,+[41]İcmal!$B$19:$AG$49,ROW(C20)+1,FALSE)</f>
        <v>0</v>
      </c>
      <c r="U22" s="15" cm="1">
        <f t="array" ref="U22">+HLOOKUP($A$1,+[42]İcmal!$B$19:$AG$49,ROW(D20)+1,FALSE)</f>
        <v>0</v>
      </c>
      <c r="V22" s="15" cm="1">
        <f t="array" ref="V22">+HLOOKUP($A$1,+[43]İcmal!$B$19:$AG$49,ROW(A20)+1,FALSE)</f>
        <v>0</v>
      </c>
      <c r="W22" s="15" cm="1">
        <f t="array" ref="W22">+HLOOKUP($A$1,+[44]İcmal!$B$19:$AG$49,ROW(B20)+1,FALSE)</f>
        <v>0</v>
      </c>
      <c r="X22" s="15" cm="1">
        <f t="array" ref="X22">+HLOOKUP($A$1,+[45]İcmal!$B$19:$AG$49,ROW(C20)+1,FALSE)</f>
        <v>0</v>
      </c>
      <c r="Y22" s="15" cm="1">
        <f t="array" ref="Y22">+HLOOKUP($A$1,+[46]İcmal!$B$19:$AG$49,ROW(D20)+1,FALSE)</f>
        <v>0</v>
      </c>
      <c r="Z22" s="15" cm="1">
        <f t="array" ref="Z22">+HLOOKUP($A$1,+[47]İcmal!$B$19:$AG$49,ROW(A20)+1,FALSE)</f>
        <v>0</v>
      </c>
      <c r="AA22" s="15" cm="1">
        <f t="array" ref="AA22">+HLOOKUP($A$1,+[48]İcmal!$B$19:$AG$49,ROW(B20)+1,FALSE)</f>
        <v>0</v>
      </c>
      <c r="AB22" s="15" cm="1">
        <f t="array" ref="AB22">+HLOOKUP($A$1,+[49]İcmal!$B$19:$AG$49,ROW(A20)+1,FALSE)</f>
        <v>0</v>
      </c>
      <c r="AC22" s="15" cm="1">
        <f t="array" ref="AC22">+HLOOKUP($A$1,+[50]İcmal!$B$19:$AG$49,ROW(A20)+1,FALSE)</f>
        <v>0</v>
      </c>
      <c r="AD22" s="15" cm="1">
        <f t="array" ref="AD22">+HLOOKUP($A$1,+[51]İcmal!$B$19:$AG$49,ROW(A20)+1,FALSE)</f>
        <v>0</v>
      </c>
      <c r="AE22" s="15" cm="1">
        <f t="array" ref="AE22">+HLOOKUP($A$1,+[52]İcmal!$B$19:$AG$49,ROW(A20)+1,FALSE)</f>
        <v>0</v>
      </c>
      <c r="AF22" s="50" cm="1">
        <f t="array" ref="AF22">+HLOOKUP($A$1,+[53]İcmal!$B$19:$AG$49,ROW(A20)+1,FALSE)</f>
        <v>0</v>
      </c>
      <c r="AG22" s="15" cm="1">
        <f t="array" ref="AG22">+HLOOKUP($A$1,+[54]İcmal!$B$19:$AG$49,ROW(A20)+1,FALSE)</f>
        <v>0</v>
      </c>
      <c r="AH22" s="15" cm="1">
        <f t="array" ref="AH22">+HLOOKUP($A$1,+[55]İcmal!$B$19:$AG$49,ROW(A20)+1,FALSE)</f>
        <v>0</v>
      </c>
      <c r="AI22" s="15" cm="1">
        <f t="array" ref="AI22">+HLOOKUP($A$1,+[56]İcmal!$B$19:$AG$49,ROW(A20)+1,FALSE)</f>
        <v>0</v>
      </c>
      <c r="AJ22" s="15" cm="1">
        <f t="array" ref="AJ22">+HLOOKUP($A$1,+[57]İcmal!$B$19:$AG$49,ROW(A20)+1,FALSE)</f>
        <v>0</v>
      </c>
      <c r="AK22" s="15" cm="1">
        <f t="array" ref="AK22">+HLOOKUP($A$1,+[58]İcmal!$B$19:$AG$49,ROW(B20)+1,FALSE)</f>
        <v>0</v>
      </c>
      <c r="AL22" s="15">
        <f>+'[59]İcmal B1 101'!AI40</f>
        <v>0</v>
      </c>
      <c r="AM22" s="15">
        <f>+'[60]İcmal B1 102'!AI40</f>
        <v>0</v>
      </c>
      <c r="AN22" s="15">
        <f>+'[61]İcmal B1 103'!AH40</f>
        <v>0</v>
      </c>
      <c r="AO22" s="15">
        <f>+'[62]İcmal  P1 101'!AI40</f>
        <v>0</v>
      </c>
      <c r="AP22" s="15">
        <f>+'[63]İcmal P1 102'!AI40</f>
        <v>0</v>
      </c>
      <c r="AQ22" s="15"/>
      <c r="AR22" s="15"/>
      <c r="AS22" s="13"/>
    </row>
    <row r="23" spans="1:45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76.646000000000001</v>
      </c>
      <c r="I23" s="9">
        <f t="shared" si="2"/>
        <v>38323</v>
      </c>
      <c r="J23" s="15" cm="1">
        <f t="array" ref="J23">+HLOOKUP($A$1,+[31]İcmal!$B$19:$AG$49,ROW(A21)+1,FALSE)</f>
        <v>0</v>
      </c>
      <c r="K23" s="15" cm="1">
        <f t="array" ref="K23">+HLOOKUP($A$1,+[32]İcmal!$B$19:$AG$49,ROW(B21)+1,FALSE)</f>
        <v>0</v>
      </c>
      <c r="L23" s="15" cm="1">
        <f t="array" ref="L23">+HLOOKUP($A$1,+[33]İcmal!$B$19:$AG$49,ROW(C21)+1,FALSE)</f>
        <v>0</v>
      </c>
      <c r="M23" s="15" cm="1">
        <f t="array" ref="M23">+HLOOKUP($A$1,+[34]İcmal!$B$19:$AG$49,ROW(D21)+1,FALSE)</f>
        <v>0</v>
      </c>
      <c r="N23" s="15" cm="1">
        <f t="array" ref="N23">+HLOOKUP($A$1,+[35]İcmal!$B$19:$AG$49,ROW(A21)+1,FALSE)</f>
        <v>0</v>
      </c>
      <c r="O23" s="15" cm="1">
        <f t="array" ref="O23">+HLOOKUP($A$1,+[36]İcmal!$B$19:$AG$49,ROW(B21)+1,FALSE)</f>
        <v>0</v>
      </c>
      <c r="P23" s="15" cm="1">
        <f t="array" ref="P23">+HLOOKUP($A$1,+[37]İcmal!$B$19:$AG$49,ROW(C21)+1,FALSE)</f>
        <v>0</v>
      </c>
      <c r="Q23" s="15" cm="1">
        <f t="array" ref="Q23">+HLOOKUP($A$1,+[38]İcmal!$B$19:$AG$49,ROW(D21)+1,FALSE)</f>
        <v>0</v>
      </c>
      <c r="R23" s="15" cm="1">
        <f t="array" ref="R23">+HLOOKUP($A$1,+[39]İcmal!$B$19:$AG$49,ROW(A21)+1,FALSE)</f>
        <v>0</v>
      </c>
      <c r="S23" s="15" cm="1">
        <f t="array" ref="S23">+HLOOKUP($A$1,+[40]İcmal!$B$19:$AG$49,ROW(B21)+1,FALSE)</f>
        <v>0</v>
      </c>
      <c r="T23" s="15" cm="1">
        <f t="array" ref="T23">+HLOOKUP($A$1,+[41]İcmal!$B$19:$AG$49,ROW(C21)+1,FALSE)</f>
        <v>0</v>
      </c>
      <c r="U23" s="15" cm="1">
        <f t="array" ref="U23">+HLOOKUP($A$1,+[42]İcmal!$B$19:$AG$49,ROW(D21)+1,FALSE)</f>
        <v>0</v>
      </c>
      <c r="V23" s="15" cm="1">
        <f t="array" ref="V23">+HLOOKUP($A$1,+[43]İcmal!$B$19:$AG$49,ROW(A21)+1,FALSE)</f>
        <v>0</v>
      </c>
      <c r="W23" s="15" cm="1">
        <f t="array" ref="W23">+HLOOKUP($A$1,+[44]İcmal!$B$19:$AG$49,ROW(B21)+1,FALSE)</f>
        <v>0</v>
      </c>
      <c r="X23" s="15" cm="1">
        <f t="array" ref="X23">+HLOOKUP($A$1,+[45]İcmal!$B$19:$AG$49,ROW(C21)+1,FALSE)</f>
        <v>0</v>
      </c>
      <c r="Y23" s="15" cm="1">
        <f t="array" ref="Y23">+HLOOKUP($A$1,+[46]İcmal!$B$19:$AG$49,ROW(D21)+1,FALSE)</f>
        <v>0</v>
      </c>
      <c r="Z23" s="15" cm="1">
        <f t="array" ref="Z23">+HLOOKUP($A$1,+[47]İcmal!$B$19:$AG$49,ROW(A21)+1,FALSE)</f>
        <v>0</v>
      </c>
      <c r="AA23" s="15" cm="1">
        <f t="array" ref="AA23">+HLOOKUP($A$1,+[48]İcmal!$B$19:$AG$49,ROW(B21)+1,FALSE)</f>
        <v>0</v>
      </c>
      <c r="AB23" s="15" cm="1">
        <f t="array" ref="AB23">+HLOOKUP($A$1,+[49]İcmal!$B$19:$AG$49,ROW(A21)+1,FALSE)</f>
        <v>0</v>
      </c>
      <c r="AC23" s="15" cm="1">
        <f t="array" ref="AC23">+HLOOKUP($A$1,+[50]İcmal!$B$19:$AG$49,ROW(A21)+1,FALSE)</f>
        <v>0</v>
      </c>
      <c r="AD23" s="15" cm="1">
        <f t="array" ref="AD23">+HLOOKUP($A$1,+[51]İcmal!$B$19:$AG$49,ROW(A21)+1,FALSE)</f>
        <v>0</v>
      </c>
      <c r="AE23" s="15" cm="1">
        <f t="array" ref="AE23">+HLOOKUP($A$1,+[52]İcmal!$B$19:$AG$49,ROW(A21)+1,FALSE)</f>
        <v>0</v>
      </c>
      <c r="AF23" s="50" cm="1">
        <f t="array" ref="AF23">+HLOOKUP($A$1,+[53]İcmal!$B$19:$AG$49,ROW(A21)+1,FALSE)</f>
        <v>0</v>
      </c>
      <c r="AG23" s="15" cm="1">
        <f t="array" ref="AG23">+HLOOKUP($A$1,+[54]İcmal!$B$19:$AG$49,ROW(A21)+1,FALSE)</f>
        <v>0</v>
      </c>
      <c r="AH23" s="15" cm="1">
        <f t="array" ref="AH23">+HLOOKUP($A$1,+[55]İcmal!$B$19:$AG$49,ROW(A21)+1,FALSE)</f>
        <v>0</v>
      </c>
      <c r="AI23" s="15" cm="1">
        <f t="array" ref="AI23">+HLOOKUP($A$1,+[56]İcmal!$B$19:$AG$49,ROW(A21)+1,FALSE)</f>
        <v>0</v>
      </c>
      <c r="AJ23" s="15" cm="1">
        <f t="array" ref="AJ23">+HLOOKUP($A$1,+[57]İcmal!$B$19:$AG$49,ROW(A21)+1,FALSE)</f>
        <v>0</v>
      </c>
      <c r="AK23" s="15" cm="1">
        <f t="array" ref="AK23">+HLOOKUP($A$1,+[58]İcmal!$B$19:$AG$49,ROW(B21)+1,FALSE)</f>
        <v>0</v>
      </c>
      <c r="AL23" s="15">
        <f>+'[59]İcmal B1 101'!AI41</f>
        <v>0</v>
      </c>
      <c r="AM23" s="15">
        <f>+'[60]İcmal B1 102'!AI41</f>
        <v>0</v>
      </c>
      <c r="AN23" s="15">
        <f>+'[61]İcmal B1 103'!AH41</f>
        <v>2.0299999999999998</v>
      </c>
      <c r="AO23" s="15">
        <f>+'[62]İcmal  P1 101'!AI41</f>
        <v>22.841999999999999</v>
      </c>
      <c r="AP23" s="15">
        <f>+'[63]İcmal P1 102'!AI41</f>
        <v>51.774000000000001</v>
      </c>
      <c r="AQ23" s="15"/>
      <c r="AR23" s="15"/>
      <c r="AS23" s="13"/>
    </row>
    <row r="24" spans="1:45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+HLOOKUP($A$1,+[31]İcmal!$B$19:$AG$49,ROW(A22)+1,FALSE)</f>
        <v>0</v>
      </c>
      <c r="K24" s="15" cm="1">
        <f t="array" ref="K24">+HLOOKUP($A$1,+[32]İcmal!$B$19:$AG$49,ROW(B22)+1,FALSE)</f>
        <v>0</v>
      </c>
      <c r="L24" s="15" cm="1">
        <f t="array" ref="L24">+HLOOKUP($A$1,+[33]İcmal!$B$19:$AG$49,ROW(C22)+1,FALSE)</f>
        <v>0</v>
      </c>
      <c r="M24" s="15" cm="1">
        <f t="array" ref="M24">+HLOOKUP($A$1,+[34]İcmal!$B$19:$AG$49,ROW(D22)+1,FALSE)</f>
        <v>0</v>
      </c>
      <c r="N24" s="15" cm="1">
        <f t="array" ref="N24">+HLOOKUP($A$1,+[35]İcmal!$B$19:$AG$49,ROW(A22)+1,FALSE)</f>
        <v>0</v>
      </c>
      <c r="O24" s="15" cm="1">
        <f t="array" ref="O24">+HLOOKUP($A$1,+[36]İcmal!$B$19:$AG$49,ROW(B22)+1,FALSE)</f>
        <v>0</v>
      </c>
      <c r="P24" s="15" cm="1">
        <f t="array" ref="P24">+HLOOKUP($A$1,+[37]İcmal!$B$19:$AG$49,ROW(C22)+1,FALSE)</f>
        <v>0</v>
      </c>
      <c r="Q24" s="15" cm="1">
        <f t="array" ref="Q24">+HLOOKUP($A$1,+[38]İcmal!$B$19:$AG$49,ROW(D22)+1,FALSE)</f>
        <v>0</v>
      </c>
      <c r="R24" s="15" cm="1">
        <f t="array" ref="R24">+HLOOKUP($A$1,+[39]İcmal!$B$19:$AG$49,ROW(A22)+1,FALSE)</f>
        <v>0</v>
      </c>
      <c r="S24" s="15" cm="1">
        <f t="array" ref="S24">+HLOOKUP($A$1,+[40]İcmal!$B$19:$AG$49,ROW(B22)+1,FALSE)</f>
        <v>0</v>
      </c>
      <c r="T24" s="15" cm="1">
        <f t="array" ref="T24">+HLOOKUP($A$1,+[41]İcmal!$B$19:$AG$49,ROW(C22)+1,FALSE)</f>
        <v>0</v>
      </c>
      <c r="U24" s="15" cm="1">
        <f t="array" ref="U24">+HLOOKUP($A$1,+[42]İcmal!$B$19:$AG$49,ROW(D22)+1,FALSE)</f>
        <v>0</v>
      </c>
      <c r="V24" s="15" cm="1">
        <f t="array" ref="V24">+HLOOKUP($A$1,+[43]İcmal!$B$19:$AG$49,ROW(A22)+1,FALSE)</f>
        <v>0</v>
      </c>
      <c r="W24" s="15" cm="1">
        <f t="array" ref="W24">+HLOOKUP($A$1,+[44]İcmal!$B$19:$AG$49,ROW(B22)+1,FALSE)</f>
        <v>0</v>
      </c>
      <c r="X24" s="15" cm="1">
        <f t="array" ref="X24">+HLOOKUP($A$1,+[45]İcmal!$B$19:$AG$49,ROW(C22)+1,FALSE)</f>
        <v>0</v>
      </c>
      <c r="Y24" s="15" cm="1">
        <f t="array" ref="Y24">+HLOOKUP($A$1,+[46]İcmal!$B$19:$AG$49,ROW(D22)+1,FALSE)</f>
        <v>0</v>
      </c>
      <c r="Z24" s="15" cm="1">
        <f t="array" ref="Z24">+HLOOKUP($A$1,+[47]İcmal!$B$19:$AG$49,ROW(A22)+1,FALSE)</f>
        <v>0</v>
      </c>
      <c r="AA24" s="15" cm="1">
        <f t="array" ref="AA24">+HLOOKUP($A$1,+[48]İcmal!$B$19:$AG$49,ROW(B22)+1,FALSE)</f>
        <v>0</v>
      </c>
      <c r="AB24" s="15" cm="1">
        <f t="array" ref="AB24">+HLOOKUP($A$1,+[49]İcmal!$B$19:$AG$49,ROW(A22)+1,FALSE)</f>
        <v>0</v>
      </c>
      <c r="AC24" s="15" cm="1">
        <f t="array" ref="AC24">+HLOOKUP($A$1,+[50]İcmal!$B$19:$AG$49,ROW(A22)+1,FALSE)</f>
        <v>0</v>
      </c>
      <c r="AD24" s="15" cm="1">
        <f t="array" ref="AD24">+HLOOKUP($A$1,+[51]İcmal!$B$19:$AG$49,ROW(A22)+1,FALSE)</f>
        <v>0</v>
      </c>
      <c r="AE24" s="15" cm="1">
        <f t="array" ref="AE24">+HLOOKUP($A$1,+[52]İcmal!$B$19:$AG$49,ROW(A22)+1,FALSE)</f>
        <v>0</v>
      </c>
      <c r="AF24" s="50" cm="1">
        <f t="array" ref="AF24">+HLOOKUP($A$1,+[53]İcmal!$B$19:$AG$49,ROW(A22)+1,FALSE)</f>
        <v>0</v>
      </c>
      <c r="AG24" s="15" cm="1">
        <f t="array" ref="AG24">+HLOOKUP($A$1,+[54]İcmal!$B$19:$AG$49,ROW(A22)+1,FALSE)</f>
        <v>0</v>
      </c>
      <c r="AH24" s="15" cm="1">
        <f t="array" ref="AH24">+HLOOKUP($A$1,+[55]İcmal!$B$19:$AG$49,ROW(A22)+1,FALSE)</f>
        <v>0</v>
      </c>
      <c r="AI24" s="15" cm="1">
        <f t="array" ref="AI24">+HLOOKUP($A$1,+[56]İcmal!$B$19:$AG$49,ROW(A22)+1,FALSE)</f>
        <v>0</v>
      </c>
      <c r="AJ24" s="15" cm="1">
        <f t="array" ref="AJ24">+HLOOKUP($A$1,+[57]İcmal!$B$19:$AG$49,ROW(A22)+1,FALSE)</f>
        <v>0</v>
      </c>
      <c r="AK24" s="15" cm="1">
        <f t="array" ref="AK24">+HLOOKUP($A$1,+[58]İcmal!$B$19:$AG$49,ROW(B22)+1,FALSE)</f>
        <v>0</v>
      </c>
      <c r="AL24" s="15">
        <f>+'[59]İcmal B1 101'!AI42</f>
        <v>0</v>
      </c>
      <c r="AM24" s="15">
        <f>+'[60]İcmal B1 102'!AI42</f>
        <v>0</v>
      </c>
      <c r="AN24" s="15">
        <f>+'[61]İcmal B1 103'!AH42</f>
        <v>0</v>
      </c>
      <c r="AO24" s="15">
        <f>+'[62]İcmal  P1 101'!AI42</f>
        <v>0</v>
      </c>
      <c r="AP24" s="15">
        <f>+'[63]İcmal P1 102'!AI42</f>
        <v>0</v>
      </c>
      <c r="AQ24" s="15"/>
      <c r="AR24" s="15"/>
      <c r="AS24" s="13"/>
    </row>
    <row r="25" spans="1:45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743.63543000000072</v>
      </c>
      <c r="I25" s="9">
        <f t="shared" si="2"/>
        <v>7700344.8776500076</v>
      </c>
      <c r="J25" s="15" cm="1">
        <f t="array" ref="J25">+HLOOKUP($A$1,+[31]İcmal!$B$19:$AG$49,ROW(A23)+1,FALSE)</f>
        <v>0</v>
      </c>
      <c r="K25" s="15" cm="1">
        <f t="array" ref="K25">+HLOOKUP($A$1,+[32]İcmal!$B$19:$AG$49,ROW(B23)+1,FALSE)</f>
        <v>0</v>
      </c>
      <c r="L25" s="15" cm="1">
        <f t="array" ref="L25">+HLOOKUP($A$1,+[33]İcmal!$B$19:$AG$49,ROW(C23)+1,FALSE)</f>
        <v>0</v>
      </c>
      <c r="M25" s="15" cm="1">
        <f t="array" ref="M25">+HLOOKUP($A$1,+[34]İcmal!$B$19:$AG$49,ROW(D23)+1,FALSE)</f>
        <v>0</v>
      </c>
      <c r="N25" s="15" cm="1">
        <f t="array" ref="N25">+HLOOKUP($A$1,+[35]İcmal!$B$19:$AG$49,ROW(A23)+1,FALSE)</f>
        <v>0</v>
      </c>
      <c r="O25" s="15" cm="1">
        <f t="array" ref="O25">+HLOOKUP($A$1,+[36]İcmal!$B$19:$AG$49,ROW(B23)+1,FALSE)</f>
        <v>0</v>
      </c>
      <c r="P25" s="15" cm="1">
        <f t="array" ref="P25">+HLOOKUP($A$1,+[37]İcmal!$B$19:$AG$49,ROW(C23)+1,FALSE)</f>
        <v>0</v>
      </c>
      <c r="Q25" s="15" cm="1">
        <f t="array" ref="Q25">+HLOOKUP($A$1,+[38]İcmal!$B$19:$AG$49,ROW(D23)+1,FALSE)</f>
        <v>0</v>
      </c>
      <c r="R25" s="15" cm="1">
        <f t="array" ref="R25">+HLOOKUP($A$1,+[39]İcmal!$B$19:$AG$49,ROW(A23)+1,FALSE)</f>
        <v>0</v>
      </c>
      <c r="S25" s="15" cm="1">
        <f t="array" ref="S25">+HLOOKUP($A$1,+[40]İcmal!$B$19:$AG$49,ROW(B23)+1,FALSE)</f>
        <v>0</v>
      </c>
      <c r="T25" s="15" cm="1">
        <f t="array" ref="T25">+HLOOKUP($A$1,+[41]İcmal!$B$19:$AG$49,ROW(C23)+1,FALSE)</f>
        <v>0</v>
      </c>
      <c r="U25" s="15" cm="1">
        <f t="array" ref="U25">+HLOOKUP($A$1,+[42]İcmal!$B$19:$AG$49,ROW(D23)+1,FALSE)</f>
        <v>0</v>
      </c>
      <c r="V25" s="15" cm="1">
        <f t="array" ref="V25">+HLOOKUP($A$1,+[43]İcmal!$B$19:$AG$49,ROW(A23)+1,FALSE)</f>
        <v>0</v>
      </c>
      <c r="W25" s="15" cm="1">
        <f t="array" ref="W25">+HLOOKUP($A$1,+[44]İcmal!$B$19:$AG$49,ROW(B23)+1,FALSE)</f>
        <v>0</v>
      </c>
      <c r="X25" s="15" cm="1">
        <f t="array" ref="X25">+HLOOKUP($A$1,+[45]İcmal!$B$19:$AG$49,ROW(C23)+1,FALSE)</f>
        <v>0</v>
      </c>
      <c r="Y25" s="15" cm="1">
        <f t="array" ref="Y25">+HLOOKUP($A$1,+[46]İcmal!$B$19:$AG$49,ROW(D23)+1,FALSE)</f>
        <v>0</v>
      </c>
      <c r="Z25" s="15" cm="1">
        <f t="array" ref="Z25">+HLOOKUP($A$1,+[47]İcmal!$B$19:$AG$49,ROW(A23)+1,FALSE)</f>
        <v>0</v>
      </c>
      <c r="AA25" s="15" cm="1">
        <f t="array" ref="AA25">+HLOOKUP($A$1,+[48]İcmal!$B$19:$AG$49,ROW(B23)+1,FALSE)</f>
        <v>0</v>
      </c>
      <c r="AB25" s="15" cm="1">
        <f t="array" ref="AB25">+HLOOKUP($A$1,+[49]İcmal!$B$19:$AG$49,ROW(A23)+1,FALSE)</f>
        <v>0</v>
      </c>
      <c r="AC25" s="15" cm="1">
        <f t="array" ref="AC25">+HLOOKUP($A$1,+[50]İcmal!$B$19:$AG$49,ROW(A23)+1,FALSE)</f>
        <v>0</v>
      </c>
      <c r="AD25" s="15" cm="1">
        <f t="array" ref="AD25">+HLOOKUP($A$1,+[51]İcmal!$B$19:$AG$49,ROW(A23)+1,FALSE)</f>
        <v>0</v>
      </c>
      <c r="AE25" s="15" cm="1">
        <f t="array" ref="AE25">+HLOOKUP($A$1,+[52]İcmal!$B$19:$AG$49,ROW(A23)+1,FALSE)</f>
        <v>0</v>
      </c>
      <c r="AF25" s="50" cm="1">
        <f t="array" ref="AF25">+HLOOKUP($A$1,+[53]İcmal!$B$19:$AG$49,ROW(A23)+1,FALSE)</f>
        <v>0</v>
      </c>
      <c r="AG25" s="15" cm="1">
        <f t="array" ref="AG25">+HLOOKUP($A$1,+[54]İcmal!$B$19:$AG$49,ROW(A23)+1,FALSE)</f>
        <v>0</v>
      </c>
      <c r="AH25" s="15" cm="1">
        <f t="array" ref="AH25">+HLOOKUP($A$1,+[55]İcmal!$B$19:$AG$49,ROW(A23)+1,FALSE)</f>
        <v>0</v>
      </c>
      <c r="AI25" s="15" cm="1">
        <f t="array" ref="AI25">+HLOOKUP($A$1,+[56]İcmal!$B$19:$AG$49,ROW(A23)+1,FALSE)</f>
        <v>0</v>
      </c>
      <c r="AJ25" s="15" cm="1">
        <f t="array" ref="AJ25">+HLOOKUP($A$1,+[57]İcmal!$B$19:$AG$49,ROW(A23)+1,FALSE)</f>
        <v>0</v>
      </c>
      <c r="AK25" s="15" cm="1">
        <f t="array" ref="AK25">+HLOOKUP($A$1,+[58]İcmal!$B$19:$AG$49,ROW(B23)+1,FALSE)</f>
        <v>0</v>
      </c>
      <c r="AL25" s="15">
        <f>+'[59]İcmal B1 101'!AI43</f>
        <v>0</v>
      </c>
      <c r="AM25" s="15">
        <f>+'[60]İcmal B1 102'!AI43</f>
        <v>0</v>
      </c>
      <c r="AN25" s="15">
        <f>+'[61]İcmal B1 103'!AH43</f>
        <v>5.0749999999999993</v>
      </c>
      <c r="AO25" s="15">
        <f>+'[62]İcmal  P1 101'!AI43</f>
        <v>238.92731999999995</v>
      </c>
      <c r="AP25" s="15">
        <f>+'[63]İcmal P1 102'!AI43</f>
        <v>499.63311000000078</v>
      </c>
      <c r="AQ25" s="15"/>
      <c r="AR25" s="15"/>
      <c r="AS25" s="13"/>
    </row>
    <row r="26" spans="1:45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+HLOOKUP($A$1,+[31]İcmal!$B$19:$AG$49,ROW(A24)+1,FALSE)</f>
        <v>0</v>
      </c>
      <c r="K26" s="15" cm="1">
        <f t="array" ref="K26">+HLOOKUP($A$1,+[32]İcmal!$B$19:$AG$49,ROW(B24)+1,FALSE)</f>
        <v>0</v>
      </c>
      <c r="L26" s="15" cm="1">
        <f t="array" ref="L26">+HLOOKUP($A$1,+[33]İcmal!$B$19:$AG$49,ROW(C24)+1,FALSE)</f>
        <v>0</v>
      </c>
      <c r="M26" s="15" cm="1">
        <f t="array" ref="M26">+HLOOKUP($A$1,+[34]İcmal!$B$19:$AG$49,ROW(D24)+1,FALSE)</f>
        <v>0</v>
      </c>
      <c r="N26" s="15" cm="1">
        <f t="array" ref="N26">+HLOOKUP($A$1,+[35]İcmal!$B$19:$AG$49,ROW(A24)+1,FALSE)</f>
        <v>0</v>
      </c>
      <c r="O26" s="15" cm="1">
        <f t="array" ref="O26">+HLOOKUP($A$1,+[36]İcmal!$B$19:$AG$49,ROW(B24)+1,FALSE)</f>
        <v>0</v>
      </c>
      <c r="P26" s="15" cm="1">
        <f t="array" ref="P26">+HLOOKUP($A$1,+[37]İcmal!$B$19:$AG$49,ROW(C24)+1,FALSE)</f>
        <v>0</v>
      </c>
      <c r="Q26" s="15" cm="1">
        <f t="array" ref="Q26">+HLOOKUP($A$1,+[38]İcmal!$B$19:$AG$49,ROW(D24)+1,FALSE)</f>
        <v>0</v>
      </c>
      <c r="R26" s="15" cm="1">
        <f t="array" ref="R26">+HLOOKUP($A$1,+[39]İcmal!$B$19:$AG$49,ROW(A24)+1,FALSE)</f>
        <v>0</v>
      </c>
      <c r="S26" s="15" cm="1">
        <f t="array" ref="S26">+HLOOKUP($A$1,+[40]İcmal!$B$19:$AG$49,ROW(B24)+1,FALSE)</f>
        <v>0</v>
      </c>
      <c r="T26" s="15" cm="1">
        <f t="array" ref="T26">+HLOOKUP($A$1,+[41]İcmal!$B$19:$AG$49,ROW(C24)+1,FALSE)</f>
        <v>0</v>
      </c>
      <c r="U26" s="15" cm="1">
        <f t="array" ref="U26">+HLOOKUP($A$1,+[42]İcmal!$B$19:$AG$49,ROW(D24)+1,FALSE)</f>
        <v>0</v>
      </c>
      <c r="V26" s="15" cm="1">
        <f t="array" ref="V26">+HLOOKUP($A$1,+[43]İcmal!$B$19:$AG$49,ROW(A24)+1,FALSE)</f>
        <v>0</v>
      </c>
      <c r="W26" s="15" cm="1">
        <f t="array" ref="W26">+HLOOKUP($A$1,+[44]İcmal!$B$19:$AG$49,ROW(B24)+1,FALSE)</f>
        <v>0</v>
      </c>
      <c r="X26" s="15" cm="1">
        <f t="array" ref="X26">+HLOOKUP($A$1,+[45]İcmal!$B$19:$AG$49,ROW(C24)+1,FALSE)</f>
        <v>0</v>
      </c>
      <c r="Y26" s="15" cm="1">
        <f t="array" ref="Y26">+HLOOKUP($A$1,+[46]İcmal!$B$19:$AG$49,ROW(D24)+1,FALSE)</f>
        <v>0</v>
      </c>
      <c r="Z26" s="15" cm="1">
        <f t="array" ref="Z26">+HLOOKUP($A$1,+[47]İcmal!$B$19:$AG$49,ROW(A24)+1,FALSE)</f>
        <v>0</v>
      </c>
      <c r="AA26" s="15" cm="1">
        <f t="array" ref="AA26">+HLOOKUP($A$1,+[48]İcmal!$B$19:$AG$49,ROW(B24)+1,FALSE)</f>
        <v>0</v>
      </c>
      <c r="AB26" s="15" cm="1">
        <f t="array" ref="AB26">+HLOOKUP($A$1,+[49]İcmal!$B$19:$AG$49,ROW(A24)+1,FALSE)</f>
        <v>0</v>
      </c>
      <c r="AC26" s="15" cm="1">
        <f t="array" ref="AC26">+HLOOKUP($A$1,+[50]İcmal!$B$19:$AG$49,ROW(A24)+1,FALSE)</f>
        <v>0</v>
      </c>
      <c r="AD26" s="15" cm="1">
        <f t="array" ref="AD26">+HLOOKUP($A$1,+[51]İcmal!$B$19:$AG$49,ROW(A24)+1,FALSE)</f>
        <v>0</v>
      </c>
      <c r="AE26" s="15" cm="1">
        <f t="array" ref="AE26">+HLOOKUP($A$1,+[52]İcmal!$B$19:$AG$49,ROW(A24)+1,FALSE)</f>
        <v>0</v>
      </c>
      <c r="AF26" s="50" cm="1">
        <f t="array" ref="AF26">+HLOOKUP($A$1,+[53]İcmal!$B$19:$AG$49,ROW(A24)+1,FALSE)</f>
        <v>0</v>
      </c>
      <c r="AG26" s="15" cm="1">
        <f t="array" ref="AG26">+HLOOKUP($A$1,+[54]İcmal!$B$19:$AG$49,ROW(A24)+1,FALSE)</f>
        <v>0</v>
      </c>
      <c r="AH26" s="15" cm="1">
        <f t="array" ref="AH26">+HLOOKUP($A$1,+[55]İcmal!$B$19:$AG$49,ROW(A24)+1,FALSE)</f>
        <v>0</v>
      </c>
      <c r="AI26" s="15" cm="1">
        <f t="array" ref="AI26">+HLOOKUP($A$1,+[56]İcmal!$B$19:$AG$49,ROW(A24)+1,FALSE)</f>
        <v>0</v>
      </c>
      <c r="AJ26" s="15" cm="1">
        <f t="array" ref="AJ26">+HLOOKUP($A$1,+[57]İcmal!$B$19:$AG$49,ROW(A24)+1,FALSE)</f>
        <v>0</v>
      </c>
      <c r="AK26" s="15" cm="1">
        <f t="array" ref="AK26">+HLOOKUP($A$1,+[58]İcmal!$B$19:$AG$49,ROW(B24)+1,FALSE)</f>
        <v>0</v>
      </c>
      <c r="AL26" s="15">
        <f>+'[59]İcmal B1 101'!AI44</f>
        <v>0</v>
      </c>
      <c r="AM26" s="15">
        <f>+'[60]İcmal B1 102'!AI44</f>
        <v>0</v>
      </c>
      <c r="AN26" s="15">
        <f>+'[61]İcmal B1 103'!AH44</f>
        <v>0</v>
      </c>
      <c r="AO26" s="15">
        <f>+'[62]İcmal  P1 101'!AI44</f>
        <v>0</v>
      </c>
      <c r="AP26" s="15">
        <f>+'[63]İcmal P1 102'!AI44</f>
        <v>0</v>
      </c>
      <c r="AQ26" s="15"/>
      <c r="AR26" s="15"/>
      <c r="AS26" s="13"/>
    </row>
    <row r="27" spans="1:45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+HLOOKUP($A$1,+[31]İcmal!$B$19:$AG$49,ROW(A25)+1,FALSE)</f>
        <v>0</v>
      </c>
      <c r="K27" s="15" cm="1">
        <f t="array" ref="K27">+HLOOKUP($A$1,+[32]İcmal!$B$19:$AG$49,ROW(B25)+1,FALSE)</f>
        <v>0</v>
      </c>
      <c r="L27" s="15" cm="1">
        <f t="array" ref="L27">+HLOOKUP($A$1,+[33]İcmal!$B$19:$AG$49,ROW(C25)+1,FALSE)</f>
        <v>0</v>
      </c>
      <c r="M27" s="15" cm="1">
        <f t="array" ref="M27">+HLOOKUP($A$1,+[34]İcmal!$B$19:$AG$49,ROW(D25)+1,FALSE)</f>
        <v>0</v>
      </c>
      <c r="N27" s="15" cm="1">
        <f t="array" ref="N27">+HLOOKUP($A$1,+[35]İcmal!$B$19:$AG$49,ROW(A25)+1,FALSE)</f>
        <v>0</v>
      </c>
      <c r="O27" s="15" cm="1">
        <f t="array" ref="O27">+HLOOKUP($A$1,+[36]İcmal!$B$19:$AG$49,ROW(B25)+1,FALSE)</f>
        <v>0</v>
      </c>
      <c r="P27" s="15" cm="1">
        <f t="array" ref="P27">+HLOOKUP($A$1,+[37]İcmal!$B$19:$AG$49,ROW(C25)+1,FALSE)</f>
        <v>0</v>
      </c>
      <c r="Q27" s="15" cm="1">
        <f t="array" ref="Q27">+HLOOKUP($A$1,+[38]İcmal!$B$19:$AG$49,ROW(D25)+1,FALSE)</f>
        <v>0</v>
      </c>
      <c r="R27" s="15" cm="1">
        <f t="array" ref="R27">+HLOOKUP($A$1,+[39]İcmal!$B$19:$AG$49,ROW(A25)+1,FALSE)</f>
        <v>0</v>
      </c>
      <c r="S27" s="15" cm="1">
        <f t="array" ref="S27">+HLOOKUP($A$1,+[40]İcmal!$B$19:$AG$49,ROW(B25)+1,FALSE)</f>
        <v>0</v>
      </c>
      <c r="T27" s="15" cm="1">
        <f t="array" ref="T27">+HLOOKUP($A$1,+[41]İcmal!$B$19:$AG$49,ROW(C25)+1,FALSE)</f>
        <v>0</v>
      </c>
      <c r="U27" s="15" cm="1">
        <f t="array" ref="U27">+HLOOKUP($A$1,+[42]İcmal!$B$19:$AG$49,ROW(D25)+1,FALSE)</f>
        <v>0</v>
      </c>
      <c r="V27" s="15" cm="1">
        <f t="array" ref="V27">+HLOOKUP($A$1,+[43]İcmal!$B$19:$AG$49,ROW(A25)+1,FALSE)</f>
        <v>0</v>
      </c>
      <c r="W27" s="15" cm="1">
        <f t="array" ref="W27">+HLOOKUP($A$1,+[44]İcmal!$B$19:$AG$49,ROW(B25)+1,FALSE)</f>
        <v>0</v>
      </c>
      <c r="X27" s="15" cm="1">
        <f t="array" ref="X27">+HLOOKUP($A$1,+[45]İcmal!$B$19:$AG$49,ROW(C25)+1,FALSE)</f>
        <v>0</v>
      </c>
      <c r="Y27" s="15" cm="1">
        <f t="array" ref="Y27">+HLOOKUP($A$1,+[46]İcmal!$B$19:$AG$49,ROW(D25)+1,FALSE)</f>
        <v>0</v>
      </c>
      <c r="Z27" s="15" cm="1">
        <f t="array" ref="Z27">+HLOOKUP($A$1,+[47]İcmal!$B$19:$AG$49,ROW(A25)+1,FALSE)</f>
        <v>0</v>
      </c>
      <c r="AA27" s="15" cm="1">
        <f t="array" ref="AA27">+HLOOKUP($A$1,+[48]İcmal!$B$19:$AG$49,ROW(B25)+1,FALSE)</f>
        <v>0</v>
      </c>
      <c r="AB27" s="15" cm="1">
        <f t="array" ref="AB27">+HLOOKUP($A$1,+[49]İcmal!$B$19:$AG$49,ROW(A25)+1,FALSE)</f>
        <v>0</v>
      </c>
      <c r="AC27" s="15" cm="1">
        <f t="array" ref="AC27">+HLOOKUP($A$1,+[50]İcmal!$B$19:$AG$49,ROW(A25)+1,FALSE)</f>
        <v>0</v>
      </c>
      <c r="AD27" s="15" cm="1">
        <f t="array" ref="AD27">+HLOOKUP($A$1,+[51]İcmal!$B$19:$AG$49,ROW(A25)+1,FALSE)</f>
        <v>0</v>
      </c>
      <c r="AE27" s="15" cm="1">
        <f t="array" ref="AE27">+HLOOKUP($A$1,+[52]İcmal!$B$19:$AG$49,ROW(A25)+1,FALSE)</f>
        <v>0</v>
      </c>
      <c r="AF27" s="50" cm="1">
        <f t="array" ref="AF27">+HLOOKUP($A$1,+[53]İcmal!$B$19:$AG$49,ROW(A25)+1,FALSE)</f>
        <v>0</v>
      </c>
      <c r="AG27" s="15" cm="1">
        <f t="array" ref="AG27">+HLOOKUP($A$1,+[54]İcmal!$B$19:$AG$49,ROW(A25)+1,FALSE)</f>
        <v>0</v>
      </c>
      <c r="AH27" s="15" cm="1">
        <f t="array" ref="AH27">+HLOOKUP($A$1,+[55]İcmal!$B$19:$AG$49,ROW(A25)+1,FALSE)</f>
        <v>0</v>
      </c>
      <c r="AI27" s="15" cm="1">
        <f t="array" ref="AI27">+HLOOKUP($A$1,+[56]İcmal!$B$19:$AG$49,ROW(A25)+1,FALSE)</f>
        <v>0</v>
      </c>
      <c r="AJ27" s="15" cm="1">
        <f t="array" ref="AJ27">+HLOOKUP($A$1,+[57]İcmal!$B$19:$AG$49,ROW(A25)+1,FALSE)</f>
        <v>0</v>
      </c>
      <c r="AK27" s="15" cm="1">
        <f t="array" ref="AK27">+HLOOKUP($A$1,+[58]İcmal!$B$19:$AG$49,ROW(B25)+1,FALSE)</f>
        <v>0</v>
      </c>
      <c r="AL27" s="15">
        <f>+'[59]İcmal B1 101'!AI45</f>
        <v>0</v>
      </c>
      <c r="AM27" s="15">
        <f>+'[60]İcmal B1 102'!AI45</f>
        <v>0</v>
      </c>
      <c r="AN27" s="15">
        <f>+'[61]İcmal B1 103'!AH45</f>
        <v>0</v>
      </c>
      <c r="AO27" s="15">
        <f>+'[62]İcmal  P1 101'!AI45</f>
        <v>0</v>
      </c>
      <c r="AP27" s="15">
        <f>+'[63]İcmal P1 102'!AI45</f>
        <v>0</v>
      </c>
      <c r="AQ27" s="15"/>
      <c r="AR27" s="15"/>
      <c r="AS27" s="13"/>
    </row>
    <row r="28" spans="1:45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0</v>
      </c>
      <c r="I28" s="9">
        <f t="shared" si="2"/>
        <v>0</v>
      </c>
      <c r="J28" s="15" cm="1">
        <f t="array" ref="J28">+HLOOKUP($A$1,+[31]İcmal!$B$19:$AG$49,ROW(A26)+1,FALSE)</f>
        <v>0</v>
      </c>
      <c r="K28" s="15" cm="1">
        <f t="array" ref="K28">+HLOOKUP($A$1,+[32]İcmal!$B$19:$AG$49,ROW(B26)+1,FALSE)</f>
        <v>0</v>
      </c>
      <c r="L28" s="15" cm="1">
        <f t="array" ref="L28">+HLOOKUP($A$1,+[33]İcmal!$B$19:$AG$49,ROW(C26)+1,FALSE)</f>
        <v>0</v>
      </c>
      <c r="M28" s="15" cm="1">
        <f t="array" ref="M28">+HLOOKUP($A$1,+[34]İcmal!$B$19:$AG$49,ROW(D26)+1,FALSE)</f>
        <v>0</v>
      </c>
      <c r="N28" s="15" cm="1">
        <f t="array" ref="N28">+HLOOKUP($A$1,+[35]İcmal!$B$19:$AG$49,ROW(A26)+1,FALSE)</f>
        <v>0</v>
      </c>
      <c r="O28" s="15" cm="1">
        <f t="array" ref="O28">+HLOOKUP($A$1,+[36]İcmal!$B$19:$AG$49,ROW(B26)+1,FALSE)</f>
        <v>0</v>
      </c>
      <c r="P28" s="15" cm="1">
        <f t="array" ref="P28">+HLOOKUP($A$1,+[37]İcmal!$B$19:$AG$49,ROW(C26)+1,FALSE)</f>
        <v>0</v>
      </c>
      <c r="Q28" s="15" cm="1">
        <f t="array" ref="Q28">+HLOOKUP($A$1,+[38]İcmal!$B$19:$AG$49,ROW(D26)+1,FALSE)</f>
        <v>0</v>
      </c>
      <c r="R28" s="15" cm="1">
        <f t="array" ref="R28">+HLOOKUP($A$1,+[39]İcmal!$B$19:$AG$49,ROW(A26)+1,FALSE)</f>
        <v>0</v>
      </c>
      <c r="S28" s="15" cm="1">
        <f t="array" ref="S28">+HLOOKUP($A$1,+[40]İcmal!$B$19:$AG$49,ROW(B26)+1,FALSE)</f>
        <v>0</v>
      </c>
      <c r="T28" s="15" cm="1">
        <f t="array" ref="T28">+HLOOKUP($A$1,+[41]İcmal!$B$19:$AG$49,ROW(C26)+1,FALSE)</f>
        <v>0</v>
      </c>
      <c r="U28" s="15" cm="1">
        <f t="array" ref="U28">+HLOOKUP($A$1,+[42]İcmal!$B$19:$AG$49,ROW(D26)+1,FALSE)</f>
        <v>0</v>
      </c>
      <c r="V28" s="15" cm="1">
        <f t="array" ref="V28">+HLOOKUP($A$1,+[43]İcmal!$B$19:$AG$49,ROW(A26)+1,FALSE)</f>
        <v>0</v>
      </c>
      <c r="W28" s="15" cm="1">
        <f t="array" ref="W28">+HLOOKUP($A$1,+[44]İcmal!$B$19:$AG$49,ROW(B26)+1,FALSE)</f>
        <v>0</v>
      </c>
      <c r="X28" s="15" cm="1">
        <f t="array" ref="X28">+HLOOKUP($A$1,+[45]İcmal!$B$19:$AG$49,ROW(C26)+1,FALSE)</f>
        <v>0</v>
      </c>
      <c r="Y28" s="15" cm="1">
        <f t="array" ref="Y28">+HLOOKUP($A$1,+[46]İcmal!$B$19:$AG$49,ROW(D26)+1,FALSE)</f>
        <v>0</v>
      </c>
      <c r="Z28" s="15" cm="1">
        <f t="array" ref="Z28">+HLOOKUP($A$1,+[47]İcmal!$B$19:$AG$49,ROW(A26)+1,FALSE)</f>
        <v>0</v>
      </c>
      <c r="AA28" s="15" cm="1">
        <f t="array" ref="AA28">+HLOOKUP($A$1,+[48]İcmal!$B$19:$AG$49,ROW(B26)+1,FALSE)</f>
        <v>0</v>
      </c>
      <c r="AB28" s="15" cm="1">
        <f t="array" ref="AB28">+HLOOKUP($A$1,+[49]İcmal!$B$19:$AG$49,ROW(A26)+1,FALSE)</f>
        <v>0</v>
      </c>
      <c r="AC28" s="15" cm="1">
        <f t="array" ref="AC28">+HLOOKUP($A$1,+[50]İcmal!$B$19:$AG$49,ROW(A26)+1,FALSE)</f>
        <v>0</v>
      </c>
      <c r="AD28" s="15" cm="1">
        <f t="array" ref="AD28">+HLOOKUP($A$1,+[51]İcmal!$B$19:$AG$49,ROW(A26)+1,FALSE)</f>
        <v>0</v>
      </c>
      <c r="AE28" s="15" cm="1">
        <f t="array" ref="AE28">+HLOOKUP($A$1,+[52]İcmal!$B$19:$AG$49,ROW(A26)+1,FALSE)</f>
        <v>0</v>
      </c>
      <c r="AF28" s="50" cm="1">
        <f t="array" ref="AF28">+HLOOKUP($A$1,+[53]İcmal!$B$19:$AG$49,ROW(A26)+1,FALSE)</f>
        <v>0</v>
      </c>
      <c r="AG28" s="15" cm="1">
        <f t="array" ref="AG28">+HLOOKUP($A$1,+[54]İcmal!$B$19:$AG$49,ROW(A26)+1,FALSE)</f>
        <v>0</v>
      </c>
      <c r="AH28" s="15" cm="1">
        <f t="array" ref="AH28">+HLOOKUP($A$1,+[55]İcmal!$B$19:$AG$49,ROW(A26)+1,FALSE)</f>
        <v>0</v>
      </c>
      <c r="AI28" s="15" cm="1">
        <f t="array" ref="AI28">+HLOOKUP($A$1,+[56]İcmal!$B$19:$AG$49,ROW(A26)+1,FALSE)</f>
        <v>0</v>
      </c>
      <c r="AJ28" s="15" cm="1">
        <f t="array" ref="AJ28">+HLOOKUP($A$1,+[57]İcmal!$B$19:$AG$49,ROW(A26)+1,FALSE)</f>
        <v>0</v>
      </c>
      <c r="AK28" s="15" cm="1">
        <f t="array" ref="AK28">+HLOOKUP($A$1,+[58]İcmal!$B$19:$AG$49,ROW(B26)+1,FALSE)</f>
        <v>0</v>
      </c>
      <c r="AL28" s="15">
        <f>+'[59]İcmal B1 101'!AI46</f>
        <v>0</v>
      </c>
      <c r="AM28" s="15">
        <f>+'[60]İcmal B1 102'!AI46</f>
        <v>0</v>
      </c>
      <c r="AN28" s="15">
        <f>+'[61]İcmal B1 103'!AH46</f>
        <v>0</v>
      </c>
      <c r="AO28" s="15">
        <f>+'[62]İcmal  P1 101'!AI46</f>
        <v>0</v>
      </c>
      <c r="AP28" s="15">
        <f>+'[63]İcmal P1 102'!AI46</f>
        <v>0</v>
      </c>
      <c r="AQ28" s="15"/>
      <c r="AR28" s="15"/>
      <c r="AS28" s="13"/>
    </row>
    <row r="29" spans="1:45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162.72299999999996</v>
      </c>
      <c r="I29" s="9">
        <f t="shared" si="2"/>
        <v>15051877.499999996</v>
      </c>
      <c r="J29" s="15" cm="1">
        <f t="array" ref="J29">+HLOOKUP($A$1,+[31]İcmal!$B$19:$AG$49,ROW(A27)+1,FALSE)</f>
        <v>0</v>
      </c>
      <c r="K29" s="15" cm="1">
        <f t="array" ref="K29">+HLOOKUP($A$1,+[32]İcmal!$B$19:$AG$49,ROW(B27)+1,FALSE)</f>
        <v>0</v>
      </c>
      <c r="L29" s="15" cm="1">
        <f t="array" ref="L29">+HLOOKUP($A$1,+[33]İcmal!$B$19:$AG$49,ROW(C27)+1,FALSE)</f>
        <v>0</v>
      </c>
      <c r="M29" s="15" cm="1">
        <f t="array" ref="M29">+HLOOKUP($A$1,+[34]İcmal!$B$19:$AG$49,ROW(D27)+1,FALSE)</f>
        <v>0</v>
      </c>
      <c r="N29" s="15" cm="1">
        <f t="array" ref="N29">+HLOOKUP($A$1,+[35]İcmal!$B$19:$AG$49,ROW(A27)+1,FALSE)</f>
        <v>0</v>
      </c>
      <c r="O29" s="15" cm="1">
        <f t="array" ref="O29">+HLOOKUP($A$1,+[36]İcmal!$B$19:$AG$49,ROW(B27)+1,FALSE)</f>
        <v>0</v>
      </c>
      <c r="P29" s="15" cm="1">
        <f t="array" ref="P29">+HLOOKUP($A$1,+[37]İcmal!$B$19:$AG$49,ROW(C27)+1,FALSE)</f>
        <v>0</v>
      </c>
      <c r="Q29" s="15" cm="1">
        <f t="array" ref="Q29">+HLOOKUP($A$1,+[38]İcmal!$B$19:$AG$49,ROW(D27)+1,FALSE)</f>
        <v>0</v>
      </c>
      <c r="R29" s="15" cm="1">
        <f t="array" ref="R29">+HLOOKUP($A$1,+[39]İcmal!$B$19:$AG$49,ROW(A27)+1,FALSE)</f>
        <v>0</v>
      </c>
      <c r="S29" s="15" cm="1">
        <f t="array" ref="S29">+HLOOKUP($A$1,+[40]İcmal!$B$19:$AG$49,ROW(B27)+1,FALSE)</f>
        <v>0</v>
      </c>
      <c r="T29" s="15" cm="1">
        <f t="array" ref="T29">+HLOOKUP($A$1,+[41]İcmal!$B$19:$AG$49,ROW(C27)+1,FALSE)</f>
        <v>0</v>
      </c>
      <c r="U29" s="15" cm="1">
        <f t="array" ref="U29">+HLOOKUP($A$1,+[42]İcmal!$B$19:$AG$49,ROW(D27)+1,FALSE)</f>
        <v>0</v>
      </c>
      <c r="V29" s="15" cm="1">
        <f t="array" ref="V29">+HLOOKUP($A$1,+[43]İcmal!$B$19:$AG$49,ROW(A27)+1,FALSE)</f>
        <v>0</v>
      </c>
      <c r="W29" s="15" cm="1">
        <f t="array" ref="W29">+HLOOKUP($A$1,+[44]İcmal!$B$19:$AG$49,ROW(B27)+1,FALSE)</f>
        <v>0</v>
      </c>
      <c r="X29" s="15" cm="1">
        <f t="array" ref="X29">+HLOOKUP($A$1,+[45]İcmal!$B$19:$AG$49,ROW(C27)+1,FALSE)</f>
        <v>0</v>
      </c>
      <c r="Y29" s="15" cm="1">
        <f t="array" ref="Y29">+HLOOKUP($A$1,+[46]İcmal!$B$19:$AG$49,ROW(D27)+1,FALSE)</f>
        <v>0</v>
      </c>
      <c r="Z29" s="15" cm="1">
        <f t="array" ref="Z29">+HLOOKUP($A$1,+[47]İcmal!$B$19:$AG$49,ROW(A27)+1,FALSE)</f>
        <v>0</v>
      </c>
      <c r="AA29" s="15" cm="1">
        <f t="array" ref="AA29">+HLOOKUP($A$1,+[48]İcmal!$B$19:$AG$49,ROW(B27)+1,FALSE)</f>
        <v>0</v>
      </c>
      <c r="AB29" s="15" cm="1">
        <f t="array" ref="AB29">+HLOOKUP($A$1,+[49]İcmal!$B$19:$AG$49,ROW(A27)+1,FALSE)</f>
        <v>0</v>
      </c>
      <c r="AC29" s="15" cm="1">
        <f t="array" ref="AC29">+HLOOKUP($A$1,+[50]İcmal!$B$19:$AG$49,ROW(A27)+1,FALSE)</f>
        <v>0</v>
      </c>
      <c r="AD29" s="15" cm="1">
        <f t="array" ref="AD29">+HLOOKUP($A$1,+[51]İcmal!$B$19:$AG$49,ROW(A27)+1,FALSE)</f>
        <v>0</v>
      </c>
      <c r="AE29" s="15" cm="1">
        <f t="array" ref="AE29">+HLOOKUP($A$1,+[52]İcmal!$B$19:$AG$49,ROW(A27)+1,FALSE)</f>
        <v>0</v>
      </c>
      <c r="AF29" s="50" cm="1">
        <f t="array" ref="AF29">+HLOOKUP($A$1,+[53]İcmal!$B$19:$AG$49,ROW(A27)+1,FALSE)</f>
        <v>0</v>
      </c>
      <c r="AG29" s="15" cm="1">
        <f t="array" ref="AG29">+HLOOKUP($A$1,+[54]İcmal!$B$19:$AG$49,ROW(A27)+1,FALSE)</f>
        <v>0</v>
      </c>
      <c r="AH29" s="15" cm="1">
        <f t="array" ref="AH29">+HLOOKUP($A$1,+[55]İcmal!$B$19:$AG$49,ROW(A27)+1,FALSE)</f>
        <v>0</v>
      </c>
      <c r="AI29" s="15" cm="1">
        <f t="array" ref="AI29">+HLOOKUP($A$1,+[56]İcmal!$B$19:$AG$49,ROW(A27)+1,FALSE)</f>
        <v>0</v>
      </c>
      <c r="AJ29" s="15" cm="1">
        <f t="array" ref="AJ29">+HLOOKUP($A$1,+[57]İcmal!$B$19:$AG$49,ROW(A27)+1,FALSE)</f>
        <v>0</v>
      </c>
      <c r="AK29" s="15" cm="1">
        <f t="array" ref="AK29">+HLOOKUP($A$1,+[58]İcmal!$B$19:$AG$49,ROW(B27)+1,FALSE)</f>
        <v>0</v>
      </c>
      <c r="AL29" s="15">
        <f>+'[59]İcmal B1 101'!AI47</f>
        <v>0</v>
      </c>
      <c r="AM29" s="15">
        <f>+'[60]İcmal B1 102'!AI47</f>
        <v>0</v>
      </c>
      <c r="AN29" s="15">
        <f>+'[61]İcmal B1 103'!AH47</f>
        <v>0.81799999999999995</v>
      </c>
      <c r="AO29" s="15">
        <f>+'[62]İcmal  P1 101'!AI47</f>
        <v>49.980999999999995</v>
      </c>
      <c r="AP29" s="15">
        <f>+'[63]İcmal P1 102'!AI47</f>
        <v>111.92399999999998</v>
      </c>
      <c r="AQ29" s="15"/>
      <c r="AR29" s="15"/>
      <c r="AS29" s="13"/>
    </row>
    <row r="30" spans="1:45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0</v>
      </c>
      <c r="I30" s="9">
        <f t="shared" si="2"/>
        <v>0</v>
      </c>
      <c r="J30" s="15" cm="1">
        <f t="array" ref="J30">+HLOOKUP($A$1,+[31]İcmal!$B$19:$AG$49,ROW(A28)+1,FALSE)</f>
        <v>0</v>
      </c>
      <c r="K30" s="15" cm="1">
        <f t="array" ref="K30">+HLOOKUP($A$1,+[32]İcmal!$B$19:$AG$49,ROW(B28)+1,FALSE)</f>
        <v>0</v>
      </c>
      <c r="L30" s="15" cm="1">
        <f t="array" ref="L30">+HLOOKUP($A$1,+[33]İcmal!$B$19:$AG$49,ROW(C28)+1,FALSE)</f>
        <v>0</v>
      </c>
      <c r="M30" s="15" cm="1">
        <f t="array" ref="M30">+HLOOKUP($A$1,+[34]İcmal!$B$19:$AG$49,ROW(D28)+1,FALSE)</f>
        <v>0</v>
      </c>
      <c r="N30" s="15" cm="1">
        <f t="array" ref="N30">+HLOOKUP($A$1,+[35]İcmal!$B$19:$AG$49,ROW(A28)+1,FALSE)</f>
        <v>0</v>
      </c>
      <c r="O30" s="15" cm="1">
        <f t="array" ref="O30">+HLOOKUP($A$1,+[36]İcmal!$B$19:$AG$49,ROW(B28)+1,FALSE)</f>
        <v>0</v>
      </c>
      <c r="P30" s="15" cm="1">
        <f t="array" ref="P30">+HLOOKUP($A$1,+[37]İcmal!$B$19:$AG$49,ROW(C28)+1,FALSE)</f>
        <v>0</v>
      </c>
      <c r="Q30" s="15" cm="1">
        <f t="array" ref="Q30">+HLOOKUP($A$1,+[38]İcmal!$B$19:$AG$49,ROW(D28)+1,FALSE)</f>
        <v>0</v>
      </c>
      <c r="R30" s="15" cm="1">
        <f t="array" ref="R30">+HLOOKUP($A$1,+[39]İcmal!$B$19:$AG$49,ROW(A28)+1,FALSE)</f>
        <v>0</v>
      </c>
      <c r="S30" s="15" cm="1">
        <f t="array" ref="S30">+HLOOKUP($A$1,+[40]İcmal!$B$19:$AG$49,ROW(B28)+1,FALSE)</f>
        <v>0</v>
      </c>
      <c r="T30" s="15" cm="1">
        <f t="array" ref="T30">+HLOOKUP($A$1,+[41]İcmal!$B$19:$AG$49,ROW(C28)+1,FALSE)</f>
        <v>0</v>
      </c>
      <c r="U30" s="15" cm="1">
        <f t="array" ref="U30">+HLOOKUP($A$1,+[42]İcmal!$B$19:$AG$49,ROW(D28)+1,FALSE)</f>
        <v>0</v>
      </c>
      <c r="V30" s="15" cm="1">
        <f t="array" ref="V30">+HLOOKUP($A$1,+[43]İcmal!$B$19:$AG$49,ROW(A28)+1,FALSE)</f>
        <v>0</v>
      </c>
      <c r="W30" s="15" cm="1">
        <f t="array" ref="W30">+HLOOKUP($A$1,+[44]İcmal!$B$19:$AG$49,ROW(B28)+1,FALSE)</f>
        <v>0</v>
      </c>
      <c r="X30" s="15" cm="1">
        <f t="array" ref="X30">+HLOOKUP($A$1,+[45]İcmal!$B$19:$AG$49,ROW(C28)+1,FALSE)</f>
        <v>0</v>
      </c>
      <c r="Y30" s="15" cm="1">
        <f t="array" ref="Y30">+HLOOKUP($A$1,+[46]İcmal!$B$19:$AG$49,ROW(D28)+1,FALSE)</f>
        <v>0</v>
      </c>
      <c r="Z30" s="15" cm="1">
        <f t="array" ref="Z30">+HLOOKUP($A$1,+[47]İcmal!$B$19:$AG$49,ROW(A28)+1,FALSE)</f>
        <v>0</v>
      </c>
      <c r="AA30" s="15" cm="1">
        <f t="array" ref="AA30">+HLOOKUP($A$1,+[48]İcmal!$B$19:$AG$49,ROW(B28)+1,FALSE)</f>
        <v>0</v>
      </c>
      <c r="AB30" s="15" cm="1">
        <f t="array" ref="AB30">+HLOOKUP($A$1,+[49]İcmal!$B$19:$AG$49,ROW(A28)+1,FALSE)</f>
        <v>0</v>
      </c>
      <c r="AC30" s="15" cm="1">
        <f t="array" ref="AC30">+HLOOKUP($A$1,+[50]İcmal!$B$19:$AG$49,ROW(A28)+1,FALSE)</f>
        <v>0</v>
      </c>
      <c r="AD30" s="15" cm="1">
        <f t="array" ref="AD30">+HLOOKUP($A$1,+[51]İcmal!$B$19:$AG$49,ROW(A28)+1,FALSE)</f>
        <v>0</v>
      </c>
      <c r="AE30" s="15" cm="1">
        <f t="array" ref="AE30">+HLOOKUP($A$1,+[52]İcmal!$B$19:$AG$49,ROW(A28)+1,FALSE)</f>
        <v>0</v>
      </c>
      <c r="AF30" s="50" cm="1">
        <f t="array" ref="AF30">+HLOOKUP($A$1,+[53]İcmal!$B$19:$AG$49,ROW(A28)+1,FALSE)</f>
        <v>0</v>
      </c>
      <c r="AG30" s="15" cm="1">
        <f t="array" ref="AG30">+HLOOKUP($A$1,+[54]İcmal!$B$19:$AG$49,ROW(A28)+1,FALSE)</f>
        <v>0</v>
      </c>
      <c r="AH30" s="15" cm="1">
        <f t="array" ref="AH30">+HLOOKUP($A$1,+[55]İcmal!$B$19:$AG$49,ROW(A28)+1,FALSE)</f>
        <v>0</v>
      </c>
      <c r="AI30" s="15" cm="1">
        <f t="array" ref="AI30">+HLOOKUP($A$1,+[56]İcmal!$B$19:$AG$49,ROW(A28)+1,FALSE)</f>
        <v>0</v>
      </c>
      <c r="AJ30" s="15" cm="1">
        <f t="array" ref="AJ30">+HLOOKUP($A$1,+[57]İcmal!$B$19:$AG$49,ROW(A28)+1,FALSE)</f>
        <v>0</v>
      </c>
      <c r="AK30" s="15" cm="1">
        <f t="array" ref="AK30">+HLOOKUP($A$1,+[58]İcmal!$B$19:$AG$49,ROW(B28)+1,FALSE)</f>
        <v>0</v>
      </c>
      <c r="AL30" s="15">
        <f>+'[59]İcmal B1 101'!AI48</f>
        <v>0</v>
      </c>
      <c r="AM30" s="15">
        <f>+'[60]İcmal B1 102'!AI48</f>
        <v>0</v>
      </c>
      <c r="AN30" s="15">
        <f>+'[61]İcmal B1 103'!AH48</f>
        <v>0</v>
      </c>
      <c r="AO30" s="15">
        <f>+'[62]İcmal  P1 101'!AI48</f>
        <v>0</v>
      </c>
      <c r="AP30" s="15">
        <f>+'[63]İcmal P1 102'!AI48</f>
        <v>0</v>
      </c>
      <c r="AQ30" s="15"/>
      <c r="AR30" s="15"/>
      <c r="AS30" s="13"/>
    </row>
    <row r="31" spans="1:45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+HLOOKUP($A$1,+[31]İcmal!$B$19:$AG$49,ROW(A29)+1,FALSE)</f>
        <v>0</v>
      </c>
      <c r="K31" s="15" cm="1">
        <f t="array" ref="K31">+HLOOKUP($A$1,+[32]İcmal!$B$19:$AG$49,ROW(B29)+1,FALSE)</f>
        <v>0</v>
      </c>
      <c r="L31" s="15" cm="1">
        <f t="array" ref="L31">+HLOOKUP($A$1,+[33]İcmal!$B$19:$AG$49,ROW(C29)+1,FALSE)</f>
        <v>0</v>
      </c>
      <c r="M31" s="15" cm="1">
        <f t="array" ref="M31">+HLOOKUP($A$1,+[34]İcmal!$B$19:$AG$49,ROW(D29)+1,FALSE)</f>
        <v>0</v>
      </c>
      <c r="N31" s="15" cm="1">
        <f t="array" ref="N31">+HLOOKUP($A$1,+[35]İcmal!$B$19:$AG$49,ROW(A29)+1,FALSE)</f>
        <v>0</v>
      </c>
      <c r="O31" s="15" cm="1">
        <f t="array" ref="O31">+HLOOKUP($A$1,+[36]İcmal!$B$19:$AG$49,ROW(B29)+1,FALSE)</f>
        <v>0</v>
      </c>
      <c r="P31" s="15" cm="1">
        <f t="array" ref="P31">+HLOOKUP($A$1,+[37]İcmal!$B$19:$AG$49,ROW(C29)+1,FALSE)</f>
        <v>0</v>
      </c>
      <c r="Q31" s="15" cm="1">
        <f t="array" ref="Q31">+HLOOKUP($A$1,+[38]İcmal!$B$19:$AG$49,ROW(D29)+1,FALSE)</f>
        <v>0</v>
      </c>
      <c r="R31" s="15" cm="1">
        <f t="array" ref="R31">+HLOOKUP($A$1,+[39]İcmal!$B$19:$AG$49,ROW(A29)+1,FALSE)</f>
        <v>0</v>
      </c>
      <c r="S31" s="15" cm="1">
        <f t="array" ref="S31">+HLOOKUP($A$1,+[40]İcmal!$B$19:$AG$49,ROW(B29)+1,FALSE)</f>
        <v>0</v>
      </c>
      <c r="T31" s="15" cm="1">
        <f t="array" ref="T31">+HLOOKUP($A$1,+[41]İcmal!$B$19:$AG$49,ROW(C29)+1,FALSE)</f>
        <v>0</v>
      </c>
      <c r="U31" s="15" cm="1">
        <f t="array" ref="U31">+HLOOKUP($A$1,+[42]İcmal!$B$19:$AG$49,ROW(D29)+1,FALSE)</f>
        <v>0</v>
      </c>
      <c r="V31" s="15" cm="1">
        <f t="array" ref="V31">+HLOOKUP($A$1,+[43]İcmal!$B$19:$AG$49,ROW(A29)+1,FALSE)</f>
        <v>0</v>
      </c>
      <c r="W31" s="15" cm="1">
        <f t="array" ref="W31">+HLOOKUP($A$1,+[44]İcmal!$B$19:$AG$49,ROW(B29)+1,FALSE)</f>
        <v>0</v>
      </c>
      <c r="X31" s="15" cm="1">
        <f t="array" ref="X31">+HLOOKUP($A$1,+[45]İcmal!$B$19:$AG$49,ROW(C29)+1,FALSE)</f>
        <v>0</v>
      </c>
      <c r="Y31" s="15" cm="1">
        <f t="array" ref="Y31">+HLOOKUP($A$1,+[46]İcmal!$B$19:$AG$49,ROW(D29)+1,FALSE)</f>
        <v>0</v>
      </c>
      <c r="Z31" s="15" cm="1">
        <f t="array" ref="Z31">+HLOOKUP($A$1,+[47]İcmal!$B$19:$AG$49,ROW(A29)+1,FALSE)</f>
        <v>0</v>
      </c>
      <c r="AA31" s="15" cm="1">
        <f t="array" ref="AA31">+HLOOKUP($A$1,+[48]İcmal!$B$19:$AG$49,ROW(B29)+1,FALSE)</f>
        <v>0</v>
      </c>
      <c r="AB31" s="15" cm="1">
        <f t="array" ref="AB31">+HLOOKUP($A$1,+[49]İcmal!$B$19:$AG$49,ROW(A29)+1,FALSE)</f>
        <v>0</v>
      </c>
      <c r="AC31" s="15" cm="1">
        <f t="array" ref="AC31">+HLOOKUP($A$1,+[50]İcmal!$B$19:$AG$49,ROW(A29)+1,FALSE)</f>
        <v>0</v>
      </c>
      <c r="AD31" s="15" cm="1">
        <f t="array" ref="AD31">+HLOOKUP($A$1,+[51]İcmal!$B$19:$AG$49,ROW(A29)+1,FALSE)</f>
        <v>0</v>
      </c>
      <c r="AE31" s="15" cm="1">
        <f t="array" ref="AE31">+HLOOKUP($A$1,+[52]İcmal!$B$19:$AG$49,ROW(A29)+1,FALSE)</f>
        <v>0</v>
      </c>
      <c r="AF31" s="50" cm="1">
        <f t="array" ref="AF31">+HLOOKUP($A$1,+[53]İcmal!$B$19:$AG$49,ROW(A29)+1,FALSE)</f>
        <v>0</v>
      </c>
      <c r="AG31" s="15" cm="1">
        <f t="array" ref="AG31">+HLOOKUP($A$1,+[54]İcmal!$B$19:$AG$49,ROW(A29)+1,FALSE)</f>
        <v>0</v>
      </c>
      <c r="AH31" s="15" cm="1">
        <f t="array" ref="AH31">+HLOOKUP($A$1,+[55]İcmal!$B$19:$AG$49,ROW(A29)+1,FALSE)</f>
        <v>0</v>
      </c>
      <c r="AI31" s="15" cm="1">
        <f t="array" ref="AI31">+HLOOKUP($A$1,+[56]İcmal!$B$19:$AG$49,ROW(A29)+1,FALSE)</f>
        <v>0</v>
      </c>
      <c r="AJ31" s="15" cm="1">
        <f t="array" ref="AJ31">+HLOOKUP($A$1,+[57]İcmal!$B$19:$AG$49,ROW(A29)+1,FALSE)</f>
        <v>0</v>
      </c>
      <c r="AK31" s="15" cm="1">
        <f t="array" ref="AK31">+HLOOKUP($A$1,+[58]İcmal!$B$19:$AG$49,ROW(B29)+1,FALSE)</f>
        <v>0</v>
      </c>
      <c r="AL31" s="15">
        <f>+'[59]İcmal B1 101'!AI49</f>
        <v>0</v>
      </c>
      <c r="AM31" s="15">
        <f>+'[60]İcmal B1 102'!AI49</f>
        <v>0</v>
      </c>
      <c r="AN31" s="15">
        <f>+'[61]İcmal B1 103'!AH49</f>
        <v>0</v>
      </c>
      <c r="AO31" s="15">
        <f>+'[62]İcmal  P1 101'!AI49</f>
        <v>0</v>
      </c>
      <c r="AP31" s="15">
        <f>+'[63]İcmal P1 102'!AI49</f>
        <v>0</v>
      </c>
      <c r="AQ31" s="15"/>
      <c r="AR31" s="15"/>
      <c r="AS31" s="13"/>
    </row>
    <row r="32" spans="1:45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+HLOOKUP($A$1,+[31]İcmal!$B$19:$AG$49,ROW(A30)+1,FALSE)</f>
        <v>0</v>
      </c>
      <c r="K32" s="15" cm="1">
        <f t="array" ref="K32">+HLOOKUP($A$1,+[32]İcmal!$B$19:$AG$49,ROW(B30)+1,FALSE)</f>
        <v>0</v>
      </c>
      <c r="L32" s="15" cm="1">
        <f t="array" ref="L32">+HLOOKUP($A$1,+[33]İcmal!$B$19:$AG$49,ROW(C30)+1,FALSE)</f>
        <v>0</v>
      </c>
      <c r="M32" s="15" cm="1">
        <f t="array" ref="M32">+HLOOKUP($A$1,+[34]İcmal!$B$19:$AG$49,ROW(D30)+1,FALSE)</f>
        <v>0</v>
      </c>
      <c r="N32" s="15" cm="1">
        <f t="array" ref="N32">+HLOOKUP($A$1,+[35]İcmal!$B$19:$AG$49,ROW(A30)+1,FALSE)</f>
        <v>0</v>
      </c>
      <c r="O32" s="15" cm="1">
        <f t="array" ref="O32">+HLOOKUP($A$1,+[36]İcmal!$B$19:$AG$49,ROW(B30)+1,FALSE)</f>
        <v>0</v>
      </c>
      <c r="P32" s="15" cm="1">
        <f t="array" ref="P32">+HLOOKUP($A$1,+[37]İcmal!$B$19:$AG$49,ROW(C30)+1,FALSE)</f>
        <v>0</v>
      </c>
      <c r="Q32" s="15" cm="1">
        <f t="array" ref="Q32">+HLOOKUP($A$1,+[38]İcmal!$B$19:$AG$49,ROW(D30)+1,FALSE)</f>
        <v>0</v>
      </c>
      <c r="R32" s="15" cm="1">
        <f t="array" ref="R32">+HLOOKUP($A$1,+[39]İcmal!$B$19:$AG$49,ROW(A30)+1,FALSE)</f>
        <v>0</v>
      </c>
      <c r="S32" s="15" cm="1">
        <f t="array" ref="S32">+HLOOKUP($A$1,+[40]İcmal!$B$19:$AG$49,ROW(B30)+1,FALSE)</f>
        <v>0</v>
      </c>
      <c r="T32" s="15" cm="1">
        <f t="array" ref="T32">+HLOOKUP($A$1,+[41]İcmal!$B$19:$AG$49,ROW(C30)+1,FALSE)</f>
        <v>0</v>
      </c>
      <c r="U32" s="15" cm="1">
        <f t="array" ref="U32">+HLOOKUP($A$1,+[42]İcmal!$B$19:$AG$49,ROW(D30)+1,FALSE)</f>
        <v>0</v>
      </c>
      <c r="V32" s="15" cm="1">
        <f t="array" ref="V32">+HLOOKUP($A$1,+[43]İcmal!$B$19:$AG$49,ROW(A30)+1,FALSE)</f>
        <v>0</v>
      </c>
      <c r="W32" s="15" cm="1">
        <f t="array" ref="W32">+HLOOKUP($A$1,+[44]İcmal!$B$19:$AG$49,ROW(B30)+1,FALSE)</f>
        <v>0</v>
      </c>
      <c r="X32" s="15" cm="1">
        <f t="array" ref="X32">+HLOOKUP($A$1,+[45]İcmal!$B$19:$AG$49,ROW(C30)+1,FALSE)</f>
        <v>0</v>
      </c>
      <c r="Y32" s="15" cm="1">
        <f t="array" ref="Y32">+HLOOKUP($A$1,+[46]İcmal!$B$19:$AG$49,ROW(D30)+1,FALSE)</f>
        <v>0</v>
      </c>
      <c r="Z32" s="15" cm="1">
        <f t="array" ref="Z32">+HLOOKUP($A$1,+[47]İcmal!$B$19:$AG$49,ROW(A30)+1,FALSE)</f>
        <v>0</v>
      </c>
      <c r="AA32" s="15" cm="1">
        <f t="array" ref="AA32">+HLOOKUP($A$1,+[48]İcmal!$B$19:$AG$49,ROW(B30)+1,FALSE)</f>
        <v>0</v>
      </c>
      <c r="AB32" s="15" cm="1">
        <f t="array" ref="AB32">+HLOOKUP($A$1,+[49]İcmal!$B$19:$AG$49,ROW(A30)+1,FALSE)</f>
        <v>0</v>
      </c>
      <c r="AC32" s="15" cm="1">
        <f t="array" ref="AC32">+HLOOKUP($A$1,+[50]İcmal!$B$19:$AG$49,ROW(A30)+1,FALSE)</f>
        <v>0</v>
      </c>
      <c r="AD32" s="15" cm="1">
        <f t="array" ref="AD32">+HLOOKUP($A$1,+[51]İcmal!$B$19:$AG$49,ROW(A30)+1,FALSE)</f>
        <v>0</v>
      </c>
      <c r="AE32" s="15" cm="1">
        <f t="array" ref="AE32">+HLOOKUP($A$1,+[52]İcmal!$B$19:$AG$49,ROW(A30)+1,FALSE)</f>
        <v>0</v>
      </c>
      <c r="AF32" s="50" cm="1">
        <f t="array" ref="AF32">+HLOOKUP($A$1,+[53]İcmal!$B$19:$AG$49,ROW(A30)+1,FALSE)</f>
        <v>0</v>
      </c>
      <c r="AG32" s="15" cm="1">
        <f t="array" ref="AG32">+HLOOKUP($A$1,+[54]İcmal!$B$19:$AG$49,ROW(A30)+1,FALSE)</f>
        <v>0</v>
      </c>
      <c r="AH32" s="15" cm="1">
        <f t="array" ref="AH32">+HLOOKUP($A$1,+[55]İcmal!$B$19:$AG$49,ROW(A30)+1,FALSE)</f>
        <v>0</v>
      </c>
      <c r="AI32" s="15" cm="1">
        <f t="array" ref="AI32">+HLOOKUP($A$1,+[56]İcmal!$B$19:$AG$49,ROW(A30)+1,FALSE)</f>
        <v>0</v>
      </c>
      <c r="AJ32" s="15" cm="1">
        <f t="array" ref="AJ32">+HLOOKUP($A$1,+[57]İcmal!$B$19:$AG$49,ROW(A30)+1,FALSE)</f>
        <v>0</v>
      </c>
      <c r="AK32" s="15" cm="1">
        <f t="array" ref="AK32">+HLOOKUP($A$1,+[58]İcmal!$B$19:$AG$49,ROW(B30)+1,FALSE)</f>
        <v>0</v>
      </c>
      <c r="AL32" s="15">
        <f>+'[59]İcmal B1 101'!AI50</f>
        <v>0</v>
      </c>
      <c r="AM32" s="15">
        <f>+'[60]İcmal B1 102'!AI50</f>
        <v>0</v>
      </c>
      <c r="AN32" s="15">
        <f>+'[61]İcmal B1 103'!AH50</f>
        <v>0</v>
      </c>
      <c r="AO32" s="15">
        <f>+'[62]İcmal  P1 101'!AI50</f>
        <v>0</v>
      </c>
      <c r="AP32" s="15">
        <f>+'[63]İcmal P1 102'!AI50</f>
        <v>0</v>
      </c>
      <c r="AQ32" s="15"/>
      <c r="AR32" s="15"/>
      <c r="AS32" s="14"/>
    </row>
    <row r="33" spans="8:44" x14ac:dyDescent="0.3">
      <c r="I33" s="16">
        <f>SUM(I3:I32)</f>
        <v>27449666.638250001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>
        <f t="shared" ref="AR33" si="3">+SUMPRODUCT(AR3:AR32,$F$3:$F$32)</f>
        <v>0</v>
      </c>
    </row>
    <row r="34" spans="8:44" x14ac:dyDescent="0.3">
      <c r="H34" s="52"/>
    </row>
    <row r="35" spans="8:44" x14ac:dyDescent="0.3">
      <c r="I35" s="16"/>
    </row>
    <row r="36" spans="8:44" x14ac:dyDescent="0.3">
      <c r="I36" s="16"/>
      <c r="K36" s="52"/>
    </row>
    <row r="37" spans="8:44" x14ac:dyDescent="0.3">
      <c r="J37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606B-125E-4F71-BE46-314541CD6B1E}">
  <sheetPr>
    <tabColor rgb="FFFF0000"/>
  </sheetPr>
  <dimension ref="A1:BB40"/>
  <sheetViews>
    <sheetView zoomScale="70" zoomScaleNormal="70" workbookViewId="0">
      <selection activeCell="H41" sqref="H41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83" bestFit="1" customWidth="1"/>
    <col min="4" max="4" width="5.77734375" hidden="1" customWidth="1"/>
    <col min="5" max="5" width="10" hidden="1" customWidth="1"/>
    <col min="6" max="6" width="11.33203125" hidden="1" customWidth="1"/>
    <col min="7" max="7" width="16.5546875" hidden="1" customWidth="1"/>
    <col min="8" max="9" width="16.5546875" customWidth="1"/>
    <col min="10" max="17" width="19.33203125" bestFit="1" customWidth="1"/>
    <col min="18" max="25" width="19.21875" bestFit="1" customWidth="1"/>
    <col min="26" max="26" width="46.77734375" bestFit="1" customWidth="1"/>
    <col min="27" max="27" width="48.88671875" bestFit="1" customWidth="1"/>
    <col min="28" max="28" width="57.109375" bestFit="1" customWidth="1"/>
    <col min="29" max="29" width="56.77734375" bestFit="1" customWidth="1"/>
    <col min="30" max="30" width="57.44140625" bestFit="1" customWidth="1"/>
    <col min="31" max="31" width="57" customWidth="1"/>
    <col min="32" max="32" width="57.109375" bestFit="1" customWidth="1"/>
    <col min="33" max="33" width="46.33203125" bestFit="1" customWidth="1"/>
    <col min="34" max="37" width="46.77734375" bestFit="1" customWidth="1"/>
    <col min="38" max="45" width="59.109375" customWidth="1"/>
    <col min="46" max="52" width="19.88671875" customWidth="1"/>
    <col min="53" max="53" width="19.5546875" bestFit="1" customWidth="1"/>
    <col min="54" max="54" width="2.21875" customWidth="1"/>
  </cols>
  <sheetData>
    <row r="1" spans="1:54" ht="15" thickBot="1" x14ac:dyDescent="0.35">
      <c r="A1" s="17" t="s">
        <v>150</v>
      </c>
    </row>
    <row r="2" spans="1:54" ht="27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73</v>
      </c>
      <c r="I2" s="3" t="s">
        <v>74</v>
      </c>
      <c r="J2" s="3" t="s">
        <v>117</v>
      </c>
      <c r="K2" s="3" t="s">
        <v>113</v>
      </c>
      <c r="L2" s="3" t="s">
        <v>129</v>
      </c>
      <c r="M2" s="3" t="s">
        <v>130</v>
      </c>
      <c r="N2" s="3" t="s">
        <v>114</v>
      </c>
      <c r="O2" s="3" t="s">
        <v>121</v>
      </c>
      <c r="P2" s="3" t="s">
        <v>134</v>
      </c>
      <c r="Q2" s="3" t="s">
        <v>135</v>
      </c>
      <c r="R2" s="3" t="s">
        <v>122</v>
      </c>
      <c r="S2" s="3" t="s">
        <v>120</v>
      </c>
      <c r="T2" s="3" t="s">
        <v>119</v>
      </c>
      <c r="U2" s="3" t="s">
        <v>118</v>
      </c>
      <c r="V2" s="3" t="s">
        <v>115</v>
      </c>
      <c r="W2" s="3" t="s">
        <v>116</v>
      </c>
      <c r="X2" s="3" t="s">
        <v>127</v>
      </c>
      <c r="Y2" s="3" t="s">
        <v>128</v>
      </c>
      <c r="Z2" s="54" t="s">
        <v>139</v>
      </c>
      <c r="AA2" s="3" t="s">
        <v>140</v>
      </c>
      <c r="AB2" s="3" t="s">
        <v>141</v>
      </c>
      <c r="AC2" s="3" t="s">
        <v>123</v>
      </c>
      <c r="AD2" s="3" t="s">
        <v>124</v>
      </c>
      <c r="AE2" s="3" t="s">
        <v>142</v>
      </c>
      <c r="AF2" s="3" t="s">
        <v>126</v>
      </c>
      <c r="AG2" s="3" t="s">
        <v>143</v>
      </c>
      <c r="AH2" s="3" t="s">
        <v>144</v>
      </c>
      <c r="AI2" s="3" t="s">
        <v>138</v>
      </c>
      <c r="AJ2" s="3" t="s">
        <v>125</v>
      </c>
      <c r="AK2" s="3" t="s">
        <v>133</v>
      </c>
      <c r="AL2" s="11"/>
      <c r="AM2" s="11"/>
      <c r="AN2" s="11"/>
      <c r="AO2" s="11"/>
      <c r="AP2" s="11"/>
      <c r="AQ2" s="11"/>
      <c r="AR2" s="11"/>
      <c r="AS2" s="11"/>
      <c r="AT2" s="3"/>
      <c r="AU2" s="3"/>
      <c r="AV2" s="3"/>
      <c r="AW2" s="3"/>
      <c r="AX2" s="3"/>
      <c r="AY2" s="3"/>
      <c r="AZ2" s="3"/>
      <c r="BA2" s="3"/>
      <c r="BB2" s="12"/>
    </row>
    <row r="3" spans="1:54" x14ac:dyDescent="0.3">
      <c r="A3" s="4">
        <v>49</v>
      </c>
      <c r="B3" s="5" t="s">
        <v>7</v>
      </c>
      <c r="C3" s="4" t="s">
        <v>8</v>
      </c>
      <c r="D3" s="6" t="s">
        <v>9</v>
      </c>
      <c r="E3" s="7">
        <v>186392.65</v>
      </c>
      <c r="F3" s="8">
        <v>5075</v>
      </c>
      <c r="G3" s="9">
        <f t="shared" ref="G3:G32" si="0">+E3*F3</f>
        <v>945942698.75</v>
      </c>
      <c r="H3" s="15">
        <f t="shared" ref="H3:H32" si="1">SUM(J3:BB3)</f>
        <v>1909.8839999999998</v>
      </c>
      <c r="I3" s="9">
        <f>+F3*H3</f>
        <v>9692661.2999999989</v>
      </c>
      <c r="J3" s="15" cm="1">
        <f t="array" ref="J3">+HLOOKUP($A$1,+[2]İcmal!$B$19:$AG$49,ROW(A1)+1,FALSE)</f>
        <v>0</v>
      </c>
      <c r="K3" s="15" cm="1">
        <f t="array" ref="K3">+HLOOKUP($A$1,+[3]İcmal!$B$19:$AG$49,ROW(B1)+1,FALSE)</f>
        <v>0</v>
      </c>
      <c r="L3" s="15" cm="1">
        <f t="array" ref="L3">+HLOOKUP($A$1,+[4]İcmal!$B$19:$AG$49,ROW(C1)+1,FALSE)</f>
        <v>191.3610000000001</v>
      </c>
      <c r="M3" s="15" cm="1">
        <f t="array" ref="M3">+HLOOKUP($A$1,+[5]İcmal!$B$19:$AG$49,ROW(D1)+1,FALSE)</f>
        <v>157.74400000000003</v>
      </c>
      <c r="N3" s="15" cm="1">
        <f t="array" ref="N3">+HLOOKUP($A$1,+[6]İcmal!$B$19:$AG$49,ROW(E1)+1,FALSE)</f>
        <v>0</v>
      </c>
      <c r="O3" s="15" cm="1">
        <f t="array" ref="O3">+HLOOKUP($A$1,+[7]İcmal!$B$19:$AG$49,ROW(F1)+1,FALSE)</f>
        <v>0</v>
      </c>
      <c r="P3" s="15" cm="1">
        <f t="array" ref="P3">+HLOOKUP($A$1,+[8]İcmal!$B$19:$AG$49,ROW(G1)+1,FALSE)</f>
        <v>538.72500000000002</v>
      </c>
      <c r="Q3" s="15" cm="1">
        <f t="array" ref="Q3">+HLOOKUP($A$1,+[9]İcmal!$B$19:$AG$49,ROW(H1)+1,FALSE)</f>
        <v>471.11600000000004</v>
      </c>
      <c r="R3" s="15" cm="1">
        <f t="array" ref="R3">+HLOOKUP($A$1,+[10]İcmal!$B$19:$AG$49,ROW(I1)+1,FALSE)</f>
        <v>0</v>
      </c>
      <c r="S3" s="15" cm="1">
        <f t="array" ref="S3">+HLOOKUP($A$1,+[11]İcmal!$B$19:$AG$49,ROW(J1)+1,FALSE)</f>
        <v>0</v>
      </c>
      <c r="T3" s="15" cm="1">
        <f t="array" ref="T3">+HLOOKUP($A$1,+[12]İcmal!$B$19:$AG$49,ROW(K1)+1,FALSE)</f>
        <v>95.164000000000101</v>
      </c>
      <c r="U3" s="15" cm="1">
        <f t="array" ref="U3">+HLOOKUP($A$1,+[13]İcmal!$B$19:$AG$49,ROW(L1)+1,FALSE)</f>
        <v>105.63099999999997</v>
      </c>
      <c r="V3" s="15" cm="1">
        <f t="array" ref="V3">+HLOOKUP($A$1,+[14]İcmal!$B$19:$AG$49,ROW(M1)+1,FALSE)</f>
        <v>0</v>
      </c>
      <c r="W3" s="15" cm="1">
        <f t="array" ref="W3">+HLOOKUP($A$1,+[15]İcmal!$B$19:$AG$49,ROW(N1)+1,FALSE)</f>
        <v>0</v>
      </c>
      <c r="X3" s="15" cm="1">
        <f t="array" ref="X3">+HLOOKUP($A$1,+[16]İcmal!$B$19:$AG$49,ROW(O1)+1,FALSE)</f>
        <v>191.92999999999995</v>
      </c>
      <c r="Y3" s="15" cm="1">
        <f t="array" ref="Y3">+HLOOKUP($A$1,+[17]İcmal!$B$19:$AG$49,ROW(P1)+1,FALSE)</f>
        <v>158.21299999999997</v>
      </c>
      <c r="Z3" s="15" cm="1">
        <f t="array" ref="Z3">+HLOOKUP($A$1,+[18]İcmal!$B$19:$AG$49,ROW(Q1)+1,FALSE)</f>
        <v>0</v>
      </c>
      <c r="AA3" s="15" cm="1">
        <f t="array" ref="AA3">+HLOOKUP($A$1,+[19]İcmal!$B$19:$AG$49,ROW(R1)+1,FALSE)</f>
        <v>0</v>
      </c>
      <c r="AB3" s="15" cm="1">
        <f t="array" ref="AB3">+HLOOKUP($A$1,+[20]İcmal!$B$19:$AG$49,ROW(S1)+1,FALSE)</f>
        <v>0</v>
      </c>
      <c r="AC3" s="15" cm="1">
        <f t="array" ref="AC3">+HLOOKUP($A$1,+[21]İcmal!$B$19:$AG$49,ROW(T1)+1,FALSE)</f>
        <v>0</v>
      </c>
      <c r="AD3" s="15" cm="1">
        <f t="array" ref="AD3">+HLOOKUP($A$1,+[22]İcmal!$B$19:$AG$49,ROW(U1)+1,FALSE)</f>
        <v>0</v>
      </c>
      <c r="AE3" s="15" cm="1">
        <f t="array" ref="AE3">+HLOOKUP($A$1,+[23]İcmal!$B$19:$AG$49,ROW(V1)+1,FALSE)</f>
        <v>0</v>
      </c>
      <c r="AF3" s="15" cm="1">
        <f t="array" ref="AF3">+HLOOKUP($A$1,+[24]İcmal!$B$19:$AG$49,ROW(W1)+1,FALSE)</f>
        <v>0</v>
      </c>
      <c r="AG3" s="15" cm="1">
        <f t="array" ref="AG3">+HLOOKUP($A$1,+[25]İcmal!$B$19:$AG$49,ROW(X1)+1,FALSE)</f>
        <v>0</v>
      </c>
      <c r="AH3" s="15" cm="1">
        <f t="array" ref="AH3">+HLOOKUP($A$1,+[26]İcmal!$B$19:$AG$49,ROW(Y1)+1,FALSE)</f>
        <v>0</v>
      </c>
      <c r="AI3" s="15" cm="1">
        <f t="array" ref="AI3">+HLOOKUP($A$1,+[27]İcmal!$B$19:$AG$49,ROW(Z1)+1,FALSE)</f>
        <v>0</v>
      </c>
      <c r="AJ3" s="15" cm="1">
        <f t="array" ref="AJ3">+HLOOKUP($A$1,+[28]İcmal!$B$19:$AG$49,ROW(AA1)+1,FALSE)</f>
        <v>0</v>
      </c>
      <c r="AK3" s="15" cm="1">
        <f t="array" ref="AK3">+HLOOKUP($A$1,+[29]İcmal!$B$19:$AG$49,ROW(AB1)+1,FALSE)</f>
        <v>0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3"/>
    </row>
    <row r="4" spans="1:54" x14ac:dyDescent="0.3">
      <c r="A4" s="4">
        <v>50</v>
      </c>
      <c r="B4" s="4" t="s">
        <v>10</v>
      </c>
      <c r="C4" s="4" t="s">
        <v>11</v>
      </c>
      <c r="D4" s="6" t="s">
        <v>9</v>
      </c>
      <c r="E4" s="4">
        <v>910</v>
      </c>
      <c r="F4" s="8">
        <v>600</v>
      </c>
      <c r="G4" s="9">
        <f t="shared" si="0"/>
        <v>546000</v>
      </c>
      <c r="H4" s="15">
        <f t="shared" si="1"/>
        <v>0</v>
      </c>
      <c r="I4" s="9">
        <f t="shared" ref="I4:I32" si="2">+F4*H4</f>
        <v>0</v>
      </c>
      <c r="J4" s="15" cm="1">
        <f t="array" ref="J4">+HLOOKUP($A$1,+[2]İcmal!$B$19:$AG$49,ROW(A2)+1,FALSE)</f>
        <v>0</v>
      </c>
      <c r="K4" s="15" cm="1">
        <f t="array" ref="K4">+HLOOKUP($A$1,+[3]İcmal!$B$19:$AG$49,ROW(B2)+1,FALSE)</f>
        <v>0</v>
      </c>
      <c r="L4" s="15" cm="1">
        <f t="array" ref="L4">+HLOOKUP($A$1,+[4]İcmal!$B$19:$AG$49,ROW(C2)+1,FALSE)</f>
        <v>0</v>
      </c>
      <c r="M4" s="15" cm="1">
        <f t="array" ref="M4">+HLOOKUP($A$1,+[5]İcmal!$B$19:$AG$49,ROW(D2)+1,FALSE)</f>
        <v>0</v>
      </c>
      <c r="N4" s="15" cm="1">
        <f t="array" ref="N4">+HLOOKUP($A$1,+[6]İcmal!$B$19:$AG$49,ROW(E2)+1,FALSE)</f>
        <v>0</v>
      </c>
      <c r="O4" s="15" cm="1">
        <f t="array" ref="O4">+HLOOKUP($A$1,+[7]İcmal!$B$19:$AG$49,ROW(F2)+1,FALSE)</f>
        <v>0</v>
      </c>
      <c r="P4" s="15" cm="1">
        <f t="array" ref="P4">+HLOOKUP($A$1,+[8]İcmal!$B$19:$AG$49,ROW(G2)+1,FALSE)</f>
        <v>0</v>
      </c>
      <c r="Q4" s="15" cm="1">
        <f t="array" ref="Q4">+HLOOKUP($A$1,+[9]İcmal!$B$19:$AG$49,ROW(H2)+1,FALSE)</f>
        <v>0</v>
      </c>
      <c r="R4" s="15" cm="1">
        <f t="array" ref="R4">+HLOOKUP($A$1,+[10]İcmal!$B$19:$AG$49,ROW(I2)+1,FALSE)</f>
        <v>0</v>
      </c>
      <c r="S4" s="15" cm="1">
        <f t="array" ref="S4">+HLOOKUP($A$1,+[11]İcmal!$B$19:$AG$49,ROW(J2)+1,FALSE)</f>
        <v>0</v>
      </c>
      <c r="T4" s="15" cm="1">
        <f t="array" ref="T4">+HLOOKUP($A$1,+[12]İcmal!$B$19:$AG$49,ROW(K2)+1,FALSE)</f>
        <v>0</v>
      </c>
      <c r="U4" s="15" cm="1">
        <f t="array" ref="U4">+HLOOKUP($A$1,+[13]İcmal!$B$19:$AG$49,ROW(L2)+1,FALSE)</f>
        <v>0</v>
      </c>
      <c r="V4" s="15" cm="1">
        <f t="array" ref="V4">+HLOOKUP($A$1,+[14]İcmal!$B$19:$AG$49,ROW(M2)+1,FALSE)</f>
        <v>0</v>
      </c>
      <c r="W4" s="15" cm="1">
        <f t="array" ref="W4">+HLOOKUP($A$1,+[15]İcmal!$B$19:$AG$49,ROW(N2)+1,FALSE)</f>
        <v>0</v>
      </c>
      <c r="X4" s="15" cm="1">
        <f t="array" ref="X4">+HLOOKUP($A$1,+[16]İcmal!$B$19:$AG$49,ROW(O2)+1,FALSE)</f>
        <v>0</v>
      </c>
      <c r="Y4" s="15" cm="1">
        <f t="array" ref="Y4">+HLOOKUP($A$1,+[17]İcmal!$B$19:$AG$49,ROW(P2)+1,FALSE)</f>
        <v>0</v>
      </c>
      <c r="Z4" s="15" cm="1">
        <f t="array" ref="Z4">+HLOOKUP($A$1,+[18]İcmal!$B$19:$AG$49,ROW(Q2)+1,FALSE)</f>
        <v>0</v>
      </c>
      <c r="AA4" s="15" cm="1">
        <f t="array" ref="AA4">+HLOOKUP($A$1,+[19]İcmal!$B$19:$AG$49,ROW(R2)+1,FALSE)</f>
        <v>0</v>
      </c>
      <c r="AB4" s="15" cm="1">
        <f t="array" ref="AB4">+HLOOKUP($A$1,+[20]İcmal!$B$19:$AG$49,ROW(S2)+1,FALSE)</f>
        <v>0</v>
      </c>
      <c r="AC4" s="15" cm="1">
        <f t="array" ref="AC4">+HLOOKUP($A$1,+[21]İcmal!$B$19:$AG$49,ROW(T2)+1,FALSE)</f>
        <v>0</v>
      </c>
      <c r="AD4" s="15" cm="1">
        <f t="array" ref="AD4">+HLOOKUP($A$1,+[22]İcmal!$B$19:$AG$49,ROW(U2)+1,FALSE)</f>
        <v>0</v>
      </c>
      <c r="AE4" s="15" cm="1">
        <f t="array" ref="AE4">+HLOOKUP($A$1,+[23]İcmal!$B$19:$AG$49,ROW(V2)+1,FALSE)</f>
        <v>0</v>
      </c>
      <c r="AF4" s="15" cm="1">
        <f t="array" ref="AF4">+HLOOKUP($A$1,+[24]İcmal!$B$19:$AG$49,ROW(W2)+1,FALSE)</f>
        <v>0</v>
      </c>
      <c r="AG4" s="15" cm="1">
        <f t="array" ref="AG4">+HLOOKUP($A$1,+[25]İcmal!$B$19:$AG$49,ROW(X2)+1,FALSE)</f>
        <v>0</v>
      </c>
      <c r="AH4" s="15" cm="1">
        <f t="array" ref="AH4">+HLOOKUP($A$1,+[26]İcmal!$B$19:$AG$49,ROW(Y2)+1,FALSE)</f>
        <v>0</v>
      </c>
      <c r="AI4" s="15" cm="1">
        <f t="array" ref="AI4">+HLOOKUP($A$1,+[27]İcmal!$B$19:$AG$49,ROW(Z2)+1,FALSE)</f>
        <v>0</v>
      </c>
      <c r="AJ4" s="15" cm="1">
        <f t="array" ref="AJ4">+HLOOKUP($A$1,+[28]İcmal!$B$19:$AG$49,ROW(AA2)+1,FALSE)</f>
        <v>0</v>
      </c>
      <c r="AK4" s="15" cm="1">
        <f t="array" ref="AK4">+HLOOKUP($A$1,+[29]İcmal!$B$19:$AG$49,ROW(AB2)+1,FALSE)</f>
        <v>0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3"/>
    </row>
    <row r="5" spans="1:54" x14ac:dyDescent="0.3">
      <c r="A5" s="4">
        <v>51</v>
      </c>
      <c r="B5" s="4" t="s">
        <v>12</v>
      </c>
      <c r="C5" s="4" t="s">
        <v>13</v>
      </c>
      <c r="D5" s="6" t="s">
        <v>9</v>
      </c>
      <c r="E5" s="10">
        <v>1785</v>
      </c>
      <c r="F5" s="8">
        <v>1500</v>
      </c>
      <c r="G5" s="9">
        <f t="shared" si="0"/>
        <v>2677500</v>
      </c>
      <c r="H5" s="15">
        <f t="shared" si="1"/>
        <v>0</v>
      </c>
      <c r="I5" s="9">
        <f t="shared" si="2"/>
        <v>0</v>
      </c>
      <c r="J5" s="15" cm="1">
        <f t="array" ref="J5">+HLOOKUP($A$1,+[2]İcmal!$B$19:$AG$49,ROW(A3)+1,FALSE)</f>
        <v>0</v>
      </c>
      <c r="K5" s="15" cm="1">
        <f t="array" ref="K5">+HLOOKUP($A$1,+[3]İcmal!$B$19:$AG$49,ROW(B3)+1,FALSE)</f>
        <v>0</v>
      </c>
      <c r="L5" s="15" cm="1">
        <f t="array" ref="L5">+HLOOKUP($A$1,+[4]İcmal!$B$19:$AG$49,ROW(C3)+1,FALSE)</f>
        <v>0</v>
      </c>
      <c r="M5" s="15" cm="1">
        <f t="array" ref="M5">+HLOOKUP($A$1,+[5]İcmal!$B$19:$AG$49,ROW(D3)+1,FALSE)</f>
        <v>0</v>
      </c>
      <c r="N5" s="15" cm="1">
        <f t="array" ref="N5">+HLOOKUP($A$1,+[6]İcmal!$B$19:$AG$49,ROW(E3)+1,FALSE)</f>
        <v>0</v>
      </c>
      <c r="O5" s="15" cm="1">
        <f t="array" ref="O5">+HLOOKUP($A$1,+[7]İcmal!$B$19:$AG$49,ROW(F3)+1,FALSE)</f>
        <v>0</v>
      </c>
      <c r="P5" s="15" cm="1">
        <f t="array" ref="P5">+HLOOKUP($A$1,+[8]İcmal!$B$19:$AG$49,ROW(G3)+1,FALSE)</f>
        <v>0</v>
      </c>
      <c r="Q5" s="15" cm="1">
        <f t="array" ref="Q5">+HLOOKUP($A$1,+[9]İcmal!$B$19:$AG$49,ROW(H3)+1,FALSE)</f>
        <v>0</v>
      </c>
      <c r="R5" s="15" cm="1">
        <f t="array" ref="R5">+HLOOKUP($A$1,+[10]İcmal!$B$19:$AG$49,ROW(I3)+1,FALSE)</f>
        <v>0</v>
      </c>
      <c r="S5" s="15" cm="1">
        <f t="array" ref="S5">+HLOOKUP($A$1,+[11]İcmal!$B$19:$AG$49,ROW(J3)+1,FALSE)</f>
        <v>0</v>
      </c>
      <c r="T5" s="15" cm="1">
        <f t="array" ref="T5">+HLOOKUP($A$1,+[12]İcmal!$B$19:$AG$49,ROW(K3)+1,FALSE)</f>
        <v>0</v>
      </c>
      <c r="U5" s="15" cm="1">
        <f t="array" ref="U5">+HLOOKUP($A$1,+[13]İcmal!$B$19:$AG$49,ROW(L3)+1,FALSE)</f>
        <v>0</v>
      </c>
      <c r="V5" s="15" cm="1">
        <f t="array" ref="V5">+HLOOKUP($A$1,+[14]İcmal!$B$19:$AG$49,ROW(M3)+1,FALSE)</f>
        <v>0</v>
      </c>
      <c r="W5" s="15" cm="1">
        <f t="array" ref="W5">+HLOOKUP($A$1,+[15]İcmal!$B$19:$AG$49,ROW(N3)+1,FALSE)</f>
        <v>0</v>
      </c>
      <c r="X5" s="15" cm="1">
        <f t="array" ref="X5">+HLOOKUP($A$1,+[16]İcmal!$B$19:$AG$49,ROW(O3)+1,FALSE)</f>
        <v>0</v>
      </c>
      <c r="Y5" s="15" cm="1">
        <f t="array" ref="Y5">+HLOOKUP($A$1,+[17]İcmal!$B$19:$AG$49,ROW(P3)+1,FALSE)</f>
        <v>0</v>
      </c>
      <c r="Z5" s="15" cm="1">
        <f t="array" ref="Z5">+HLOOKUP($A$1,+[18]İcmal!$B$19:$AG$49,ROW(Q3)+1,FALSE)</f>
        <v>0</v>
      </c>
      <c r="AA5" s="15" cm="1">
        <f t="array" ref="AA5">+HLOOKUP($A$1,+[19]İcmal!$B$19:$AG$49,ROW(R3)+1,FALSE)</f>
        <v>0</v>
      </c>
      <c r="AB5" s="15" cm="1">
        <f t="array" ref="AB5">+HLOOKUP($A$1,+[20]İcmal!$B$19:$AG$49,ROW(S3)+1,FALSE)</f>
        <v>0</v>
      </c>
      <c r="AC5" s="15" cm="1">
        <f t="array" ref="AC5">+HLOOKUP($A$1,+[21]İcmal!$B$19:$AG$49,ROW(T3)+1,FALSE)</f>
        <v>0</v>
      </c>
      <c r="AD5" s="15" cm="1">
        <f t="array" ref="AD5">+HLOOKUP($A$1,+[22]İcmal!$B$19:$AG$49,ROW(U3)+1,FALSE)</f>
        <v>0</v>
      </c>
      <c r="AE5" s="15" cm="1">
        <f t="array" ref="AE5">+HLOOKUP($A$1,+[23]İcmal!$B$19:$AG$49,ROW(V3)+1,FALSE)</f>
        <v>0</v>
      </c>
      <c r="AF5" s="15" cm="1">
        <f t="array" ref="AF5">+HLOOKUP($A$1,+[24]İcmal!$B$19:$AG$49,ROW(W3)+1,FALSE)</f>
        <v>0</v>
      </c>
      <c r="AG5" s="15" cm="1">
        <f t="array" ref="AG5">+HLOOKUP($A$1,+[25]İcmal!$B$19:$AG$49,ROW(X3)+1,FALSE)</f>
        <v>0</v>
      </c>
      <c r="AH5" s="15" cm="1">
        <f t="array" ref="AH5">+HLOOKUP($A$1,+[26]İcmal!$B$19:$AG$49,ROW(Y3)+1,FALSE)</f>
        <v>0</v>
      </c>
      <c r="AI5" s="15" cm="1">
        <f t="array" ref="AI5">+HLOOKUP($A$1,+[27]İcmal!$B$19:$AG$49,ROW(Z3)+1,FALSE)</f>
        <v>0</v>
      </c>
      <c r="AJ5" s="15" cm="1">
        <f t="array" ref="AJ5">+HLOOKUP($A$1,+[28]İcmal!$B$19:$AG$49,ROW(AA3)+1,FALSE)</f>
        <v>0</v>
      </c>
      <c r="AK5" s="15" cm="1">
        <f t="array" ref="AK5">+HLOOKUP($A$1,+[29]İcmal!$B$19:$AG$49,ROW(AB3)+1,FALSE)</f>
        <v>0</v>
      </c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3"/>
    </row>
    <row r="6" spans="1:54" x14ac:dyDescent="0.3">
      <c r="A6" s="4">
        <v>52</v>
      </c>
      <c r="B6" s="5" t="s">
        <v>14</v>
      </c>
      <c r="C6" s="4" t="s">
        <v>15</v>
      </c>
      <c r="D6" s="6" t="s">
        <v>9</v>
      </c>
      <c r="E6" s="7">
        <v>38798.589999999997</v>
      </c>
      <c r="F6" s="8">
        <v>15334</v>
      </c>
      <c r="G6" s="9">
        <f t="shared" si="0"/>
        <v>594937579.05999994</v>
      </c>
      <c r="H6" s="15">
        <f t="shared" si="1"/>
        <v>298.29100000000005</v>
      </c>
      <c r="I6" s="9">
        <f t="shared" si="2"/>
        <v>4573994.1940000011</v>
      </c>
      <c r="J6" s="15" cm="1">
        <f t="array" ref="J6">+HLOOKUP($A$1,+[2]İcmal!$B$19:$AG$49,ROW(A4)+1,FALSE)</f>
        <v>0</v>
      </c>
      <c r="K6" s="15" cm="1">
        <f t="array" ref="K6">+HLOOKUP($A$1,+[3]İcmal!$B$19:$AG$49,ROW(B4)+1,FALSE)</f>
        <v>0</v>
      </c>
      <c r="L6" s="15" cm="1">
        <f t="array" ref="L6">+HLOOKUP($A$1,+[4]İcmal!$B$19:$AG$49,ROW(C4)+1,FALSE)</f>
        <v>27.064999999999998</v>
      </c>
      <c r="M6" s="15" cm="1">
        <f t="array" ref="M6">+HLOOKUP($A$1,+[5]İcmal!$B$19:$AG$49,ROW(D4)+1,FALSE)</f>
        <v>27.077000000000027</v>
      </c>
      <c r="N6" s="15" cm="1">
        <f t="array" ref="N6">+HLOOKUP($A$1,+[6]İcmal!$B$19:$AG$49,ROW(E4)+1,FALSE)</f>
        <v>0</v>
      </c>
      <c r="O6" s="15" cm="1">
        <f t="array" ref="O6">+HLOOKUP($A$1,+[7]İcmal!$B$19:$AG$49,ROW(F4)+1,FALSE)</f>
        <v>0</v>
      </c>
      <c r="P6" s="15" cm="1">
        <f t="array" ref="P6">+HLOOKUP($A$1,+[8]İcmal!$B$19:$AG$49,ROW(G4)+1,FALSE)</f>
        <v>76.672000000000011</v>
      </c>
      <c r="Q6" s="15" cm="1">
        <f t="array" ref="Q6">+HLOOKUP($A$1,+[9]İcmal!$B$19:$AG$49,ROW(H4)+1,FALSE)</f>
        <v>81.343000000000004</v>
      </c>
      <c r="R6" s="15" cm="1">
        <f t="array" ref="R6">+HLOOKUP($A$1,+[10]İcmal!$B$19:$AG$49,ROW(I4)+1,FALSE)</f>
        <v>0</v>
      </c>
      <c r="S6" s="15" cm="1">
        <f t="array" ref="S6">+HLOOKUP($A$1,+[11]İcmal!$B$19:$AG$49,ROW(J4)+1,FALSE)</f>
        <v>0</v>
      </c>
      <c r="T6" s="15" cm="1">
        <f t="array" ref="T6">+HLOOKUP($A$1,+[12]İcmal!$B$19:$AG$49,ROW(K4)+1,FALSE)</f>
        <v>13.593999999999994</v>
      </c>
      <c r="U6" s="15" cm="1">
        <f t="array" ref="U6">+HLOOKUP($A$1,+[13]İcmal!$B$19:$AG$49,ROW(L4)+1,FALSE)</f>
        <v>18.236000000000018</v>
      </c>
      <c r="V6" s="15" cm="1">
        <f t="array" ref="V6">+HLOOKUP($A$1,+[14]İcmal!$B$19:$AG$49,ROW(M4)+1,FALSE)</f>
        <v>0</v>
      </c>
      <c r="W6" s="15" cm="1">
        <f t="array" ref="W6">+HLOOKUP($A$1,+[15]İcmal!$B$19:$AG$49,ROW(N4)+1,FALSE)</f>
        <v>0</v>
      </c>
      <c r="X6" s="15" cm="1">
        <f t="array" ref="X6">+HLOOKUP($A$1,+[16]İcmal!$B$19:$AG$49,ROW(O4)+1,FALSE)</f>
        <v>27.145999999999987</v>
      </c>
      <c r="Y6" s="15" cm="1">
        <f t="array" ref="Y6">+HLOOKUP($A$1,+[17]İcmal!$B$19:$AG$49,ROW(P4)+1,FALSE)</f>
        <v>27.158000000000015</v>
      </c>
      <c r="Z6" s="15" cm="1">
        <f t="array" ref="Z6">+HLOOKUP($A$1,+[18]İcmal!$B$19:$AG$49,ROW(Q4)+1,FALSE)</f>
        <v>0</v>
      </c>
      <c r="AA6" s="15" cm="1">
        <f t="array" ref="AA6">+HLOOKUP($A$1,+[19]İcmal!$B$19:$AG$49,ROW(R4)+1,FALSE)</f>
        <v>0</v>
      </c>
      <c r="AB6" s="15" cm="1">
        <f t="array" ref="AB6">+HLOOKUP($A$1,+[20]İcmal!$B$19:$AG$49,ROW(S4)+1,FALSE)</f>
        <v>0</v>
      </c>
      <c r="AC6" s="15" cm="1">
        <f t="array" ref="AC6">+HLOOKUP($A$1,+[21]İcmal!$B$19:$AG$49,ROW(T4)+1,FALSE)</f>
        <v>0</v>
      </c>
      <c r="AD6" s="15" cm="1">
        <f t="array" ref="AD6">+HLOOKUP($A$1,+[22]İcmal!$B$19:$AG$49,ROW(U4)+1,FALSE)</f>
        <v>0</v>
      </c>
      <c r="AE6" s="15" cm="1">
        <f t="array" ref="AE6">+HLOOKUP($A$1,+[23]İcmal!$B$19:$AG$49,ROW(V4)+1,FALSE)</f>
        <v>0</v>
      </c>
      <c r="AF6" s="15" cm="1">
        <f t="array" ref="AF6">+HLOOKUP($A$1,+[24]İcmal!$B$19:$AG$49,ROW(W4)+1,FALSE)</f>
        <v>0</v>
      </c>
      <c r="AG6" s="15" cm="1">
        <f t="array" ref="AG6">+HLOOKUP($A$1,+[25]İcmal!$B$19:$AG$49,ROW(X4)+1,FALSE)</f>
        <v>0</v>
      </c>
      <c r="AH6" s="15" cm="1">
        <f t="array" ref="AH6">+HLOOKUP($A$1,+[26]İcmal!$B$19:$AG$49,ROW(Y4)+1,FALSE)</f>
        <v>0</v>
      </c>
      <c r="AI6" s="15" cm="1">
        <f t="array" ref="AI6">+HLOOKUP($A$1,+[27]İcmal!$B$19:$AG$49,ROW(Z4)+1,FALSE)</f>
        <v>0</v>
      </c>
      <c r="AJ6" s="15" cm="1">
        <f t="array" ref="AJ6">+HLOOKUP($A$1,+[28]İcmal!$B$19:$AG$49,ROW(AA4)+1,FALSE)</f>
        <v>0</v>
      </c>
      <c r="AK6" s="15" cm="1">
        <f t="array" ref="AK6">+HLOOKUP($A$1,+[29]İcmal!$B$19:$AG$49,ROW(AB4)+1,FALSE)</f>
        <v>0</v>
      </c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3"/>
    </row>
    <row r="7" spans="1:54" x14ac:dyDescent="0.3">
      <c r="A7" s="4">
        <v>53</v>
      </c>
      <c r="B7" s="4" t="s">
        <v>16</v>
      </c>
      <c r="C7" s="4" t="s">
        <v>17</v>
      </c>
      <c r="D7" s="6" t="s">
        <v>18</v>
      </c>
      <c r="E7" s="7">
        <v>19569.89</v>
      </c>
      <c r="F7" s="8">
        <v>248</v>
      </c>
      <c r="G7" s="9">
        <f t="shared" si="0"/>
        <v>4853332.72</v>
      </c>
      <c r="H7" s="15">
        <f t="shared" si="1"/>
        <v>0</v>
      </c>
      <c r="I7" s="9">
        <f t="shared" si="2"/>
        <v>0</v>
      </c>
      <c r="J7" s="15" cm="1">
        <f t="array" ref="J7">+HLOOKUP($A$1,+[2]İcmal!$B$19:$AG$49,ROW(A5)+1,FALSE)</f>
        <v>0</v>
      </c>
      <c r="K7" s="15" cm="1">
        <f t="array" ref="K7">+HLOOKUP($A$1,+[3]İcmal!$B$19:$AG$49,ROW(B5)+1,FALSE)</f>
        <v>0</v>
      </c>
      <c r="L7" s="15" cm="1">
        <f t="array" ref="L7">+HLOOKUP($A$1,+[4]İcmal!$B$19:$AG$49,ROW(C5)+1,FALSE)</f>
        <v>0</v>
      </c>
      <c r="M7" s="15" cm="1">
        <f t="array" ref="M7">+HLOOKUP($A$1,+[5]İcmal!$B$19:$AG$49,ROW(D5)+1,FALSE)</f>
        <v>0</v>
      </c>
      <c r="N7" s="15" cm="1">
        <f t="array" ref="N7">+HLOOKUP($A$1,+[6]İcmal!$B$19:$AG$49,ROW(E5)+1,FALSE)</f>
        <v>0</v>
      </c>
      <c r="O7" s="15" cm="1">
        <f t="array" ref="O7">+HLOOKUP($A$1,+[7]İcmal!$B$19:$AG$49,ROW(F5)+1,FALSE)</f>
        <v>0</v>
      </c>
      <c r="P7" s="15" cm="1">
        <f t="array" ref="P7">+HLOOKUP($A$1,+[8]İcmal!$B$19:$AG$49,ROW(G5)+1,FALSE)</f>
        <v>0</v>
      </c>
      <c r="Q7" s="15" cm="1">
        <f t="array" ref="Q7">+HLOOKUP($A$1,+[9]İcmal!$B$19:$AG$49,ROW(H5)+1,FALSE)</f>
        <v>0</v>
      </c>
      <c r="R7" s="15" cm="1">
        <f t="array" ref="R7">+HLOOKUP($A$1,+[10]İcmal!$B$19:$AG$49,ROW(I5)+1,FALSE)</f>
        <v>0</v>
      </c>
      <c r="S7" s="15" cm="1">
        <f t="array" ref="S7">+HLOOKUP($A$1,+[11]İcmal!$B$19:$AG$49,ROW(J5)+1,FALSE)</f>
        <v>0</v>
      </c>
      <c r="T7" s="15" cm="1">
        <f t="array" ref="T7">+HLOOKUP($A$1,+[12]İcmal!$B$19:$AG$49,ROW(K5)+1,FALSE)</f>
        <v>0</v>
      </c>
      <c r="U7" s="15" cm="1">
        <f t="array" ref="U7">+HLOOKUP($A$1,+[13]İcmal!$B$19:$AG$49,ROW(L5)+1,FALSE)</f>
        <v>0</v>
      </c>
      <c r="V7" s="15" cm="1">
        <f t="array" ref="V7">+HLOOKUP($A$1,+[14]İcmal!$B$19:$AG$49,ROW(M5)+1,FALSE)</f>
        <v>0</v>
      </c>
      <c r="W7" s="15" cm="1">
        <f t="array" ref="W7">+HLOOKUP($A$1,+[15]İcmal!$B$19:$AG$49,ROW(N5)+1,FALSE)</f>
        <v>0</v>
      </c>
      <c r="X7" s="15" cm="1">
        <f t="array" ref="X7">+HLOOKUP($A$1,+[16]İcmal!$B$19:$AG$49,ROW(O5)+1,FALSE)</f>
        <v>0</v>
      </c>
      <c r="Y7" s="15" cm="1">
        <f t="array" ref="Y7">+HLOOKUP($A$1,+[17]İcmal!$B$19:$AG$49,ROW(P5)+1,FALSE)</f>
        <v>0</v>
      </c>
      <c r="Z7" s="15" cm="1">
        <f t="array" ref="Z7">+HLOOKUP($A$1,+[18]İcmal!$B$19:$AG$49,ROW(Q5)+1,FALSE)</f>
        <v>0</v>
      </c>
      <c r="AA7" s="15" cm="1">
        <f t="array" ref="AA7">+HLOOKUP($A$1,+[19]İcmal!$B$19:$AG$49,ROW(R5)+1,FALSE)</f>
        <v>0</v>
      </c>
      <c r="AB7" s="15" cm="1">
        <f t="array" ref="AB7">+HLOOKUP($A$1,+[20]İcmal!$B$19:$AG$49,ROW(S5)+1,FALSE)</f>
        <v>0</v>
      </c>
      <c r="AC7" s="15" cm="1">
        <f t="array" ref="AC7">+HLOOKUP($A$1,+[21]İcmal!$B$19:$AG$49,ROW(T5)+1,FALSE)</f>
        <v>0</v>
      </c>
      <c r="AD7" s="15" cm="1">
        <f t="array" ref="AD7">+HLOOKUP($A$1,+[22]İcmal!$B$19:$AG$49,ROW(U5)+1,FALSE)</f>
        <v>0</v>
      </c>
      <c r="AE7" s="15" cm="1">
        <f t="array" ref="AE7">+HLOOKUP($A$1,+[23]İcmal!$B$19:$AG$49,ROW(V5)+1,FALSE)</f>
        <v>0</v>
      </c>
      <c r="AF7" s="15" cm="1">
        <f t="array" ref="AF7">+HLOOKUP($A$1,+[24]İcmal!$B$19:$AG$49,ROW(W5)+1,FALSE)</f>
        <v>0</v>
      </c>
      <c r="AG7" s="15" cm="1">
        <f t="array" ref="AG7">+HLOOKUP($A$1,+[25]İcmal!$B$19:$AG$49,ROW(X5)+1,FALSE)</f>
        <v>0</v>
      </c>
      <c r="AH7" s="15" cm="1">
        <f t="array" ref="AH7">+HLOOKUP($A$1,+[26]İcmal!$B$19:$AG$49,ROW(Y5)+1,FALSE)</f>
        <v>0</v>
      </c>
      <c r="AI7" s="15" cm="1">
        <f t="array" ref="AI7">+HLOOKUP($A$1,+[27]İcmal!$B$19:$AG$49,ROW(Z5)+1,FALSE)</f>
        <v>0</v>
      </c>
      <c r="AJ7" s="15" cm="1">
        <f t="array" ref="AJ7">+HLOOKUP($A$1,+[28]İcmal!$B$19:$AG$49,ROW(AA5)+1,FALSE)</f>
        <v>0</v>
      </c>
      <c r="AK7" s="15" cm="1">
        <f t="array" ref="AK7">+HLOOKUP($A$1,+[29]İcmal!$B$19:$AG$49,ROW(AB5)+1,FALSE)</f>
        <v>0</v>
      </c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3"/>
    </row>
    <row r="8" spans="1:54" x14ac:dyDescent="0.3">
      <c r="A8" s="4">
        <v>54</v>
      </c>
      <c r="B8" s="4" t="s">
        <v>19</v>
      </c>
      <c r="C8" s="4" t="s">
        <v>20</v>
      </c>
      <c r="D8" s="6" t="s">
        <v>18</v>
      </c>
      <c r="E8" s="7">
        <v>10655.78</v>
      </c>
      <c r="F8" s="8">
        <v>371</v>
      </c>
      <c r="G8" s="9">
        <f t="shared" si="0"/>
        <v>3953294.3800000004</v>
      </c>
      <c r="H8" s="15">
        <f t="shared" si="1"/>
        <v>0</v>
      </c>
      <c r="I8" s="9">
        <f t="shared" si="2"/>
        <v>0</v>
      </c>
      <c r="J8" s="15" cm="1">
        <f t="array" ref="J8">+HLOOKUP($A$1,+[2]İcmal!$B$19:$AG$49,ROW(A6)+1,FALSE)</f>
        <v>0</v>
      </c>
      <c r="K8" s="15" cm="1">
        <f t="array" ref="K8">+HLOOKUP($A$1,+[3]İcmal!$B$19:$AG$49,ROW(B6)+1,FALSE)</f>
        <v>0</v>
      </c>
      <c r="L8" s="15" cm="1">
        <f t="array" ref="L8">+HLOOKUP($A$1,+[4]İcmal!$B$19:$AG$49,ROW(C6)+1,FALSE)</f>
        <v>0</v>
      </c>
      <c r="M8" s="15" cm="1">
        <f t="array" ref="M8">+HLOOKUP($A$1,+[5]İcmal!$B$19:$AG$49,ROW(D6)+1,FALSE)</f>
        <v>0</v>
      </c>
      <c r="N8" s="15" cm="1">
        <f t="array" ref="N8">+HLOOKUP($A$1,+[6]İcmal!$B$19:$AG$49,ROW(E6)+1,FALSE)</f>
        <v>0</v>
      </c>
      <c r="O8" s="15" cm="1">
        <f t="array" ref="O8">+HLOOKUP($A$1,+[7]İcmal!$B$19:$AG$49,ROW(F6)+1,FALSE)</f>
        <v>0</v>
      </c>
      <c r="P8" s="15" cm="1">
        <f t="array" ref="P8">+HLOOKUP($A$1,+[8]İcmal!$B$19:$AG$49,ROW(G6)+1,FALSE)</f>
        <v>0</v>
      </c>
      <c r="Q8" s="15" cm="1">
        <f t="array" ref="Q8">+HLOOKUP($A$1,+[9]İcmal!$B$19:$AG$49,ROW(H6)+1,FALSE)</f>
        <v>0</v>
      </c>
      <c r="R8" s="15" cm="1">
        <f t="array" ref="R8">+HLOOKUP($A$1,+[10]İcmal!$B$19:$AG$49,ROW(I6)+1,FALSE)</f>
        <v>0</v>
      </c>
      <c r="S8" s="15" cm="1">
        <f t="array" ref="S8">+HLOOKUP($A$1,+[11]İcmal!$B$19:$AG$49,ROW(J6)+1,FALSE)</f>
        <v>0</v>
      </c>
      <c r="T8" s="15" cm="1">
        <f t="array" ref="T8">+HLOOKUP($A$1,+[12]İcmal!$B$19:$AG$49,ROW(K6)+1,FALSE)</f>
        <v>0</v>
      </c>
      <c r="U8" s="15" cm="1">
        <f t="array" ref="U8">+HLOOKUP($A$1,+[13]İcmal!$B$19:$AG$49,ROW(L6)+1,FALSE)</f>
        <v>0</v>
      </c>
      <c r="V8" s="15" cm="1">
        <f t="array" ref="V8">+HLOOKUP($A$1,+[14]İcmal!$B$19:$AG$49,ROW(M6)+1,FALSE)</f>
        <v>0</v>
      </c>
      <c r="W8" s="15" cm="1">
        <f t="array" ref="W8">+HLOOKUP($A$1,+[15]İcmal!$B$19:$AG$49,ROW(N6)+1,FALSE)</f>
        <v>0</v>
      </c>
      <c r="X8" s="15" cm="1">
        <f t="array" ref="X8">+HLOOKUP($A$1,+[16]İcmal!$B$19:$AG$49,ROW(O6)+1,FALSE)</f>
        <v>0</v>
      </c>
      <c r="Y8" s="15" cm="1">
        <f t="array" ref="Y8">+HLOOKUP($A$1,+[17]İcmal!$B$19:$AG$49,ROW(P6)+1,FALSE)</f>
        <v>0</v>
      </c>
      <c r="Z8" s="15" cm="1">
        <f t="array" ref="Z8">+HLOOKUP($A$1,+[18]İcmal!$B$19:$AG$49,ROW(Q6)+1,FALSE)</f>
        <v>0</v>
      </c>
      <c r="AA8" s="15" cm="1">
        <f t="array" ref="AA8">+HLOOKUP($A$1,+[19]İcmal!$B$19:$AG$49,ROW(R6)+1,FALSE)</f>
        <v>0</v>
      </c>
      <c r="AB8" s="15" cm="1">
        <f t="array" ref="AB8">+HLOOKUP($A$1,+[20]İcmal!$B$19:$AG$49,ROW(S6)+1,FALSE)</f>
        <v>0</v>
      </c>
      <c r="AC8" s="15" cm="1">
        <f t="array" ref="AC8">+HLOOKUP($A$1,+[21]İcmal!$B$19:$AG$49,ROW(T6)+1,FALSE)</f>
        <v>0</v>
      </c>
      <c r="AD8" s="15" cm="1">
        <f t="array" ref="AD8">+HLOOKUP($A$1,+[22]İcmal!$B$19:$AG$49,ROW(U6)+1,FALSE)</f>
        <v>0</v>
      </c>
      <c r="AE8" s="15" cm="1">
        <f t="array" ref="AE8">+HLOOKUP($A$1,+[23]İcmal!$B$19:$AG$49,ROW(V6)+1,FALSE)</f>
        <v>0</v>
      </c>
      <c r="AF8" s="15" cm="1">
        <f t="array" ref="AF8">+HLOOKUP($A$1,+[24]İcmal!$B$19:$AG$49,ROW(W6)+1,FALSE)</f>
        <v>0</v>
      </c>
      <c r="AG8" s="15" cm="1">
        <f t="array" ref="AG8">+HLOOKUP($A$1,+[25]İcmal!$B$19:$AG$49,ROW(X6)+1,FALSE)</f>
        <v>0</v>
      </c>
      <c r="AH8" s="15" cm="1">
        <f t="array" ref="AH8">+HLOOKUP($A$1,+[26]İcmal!$B$19:$AG$49,ROW(Y6)+1,FALSE)</f>
        <v>0</v>
      </c>
      <c r="AI8" s="15" cm="1">
        <f t="array" ref="AI8">+HLOOKUP($A$1,+[27]İcmal!$B$19:$AG$49,ROW(Z6)+1,FALSE)</f>
        <v>0</v>
      </c>
      <c r="AJ8" s="15" cm="1">
        <f t="array" ref="AJ8">+HLOOKUP($A$1,+[28]İcmal!$B$19:$AG$49,ROW(AA6)+1,FALSE)</f>
        <v>0</v>
      </c>
      <c r="AK8" s="15" cm="1">
        <f t="array" ref="AK8">+HLOOKUP($A$1,+[29]İcmal!$B$19:$AG$49,ROW(AB6)+1,FALSE)</f>
        <v>0</v>
      </c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3"/>
    </row>
    <row r="9" spans="1:54" x14ac:dyDescent="0.3">
      <c r="A9" s="4">
        <v>55</v>
      </c>
      <c r="B9" s="4" t="s">
        <v>21</v>
      </c>
      <c r="C9" s="4" t="s">
        <v>22</v>
      </c>
      <c r="D9" s="6" t="s">
        <v>23</v>
      </c>
      <c r="E9" s="4">
        <v>800</v>
      </c>
      <c r="F9" s="8">
        <v>2250</v>
      </c>
      <c r="G9" s="9">
        <f t="shared" si="0"/>
        <v>1800000</v>
      </c>
      <c r="H9" s="15">
        <f t="shared" si="1"/>
        <v>0</v>
      </c>
      <c r="I9" s="9">
        <f t="shared" si="2"/>
        <v>0</v>
      </c>
      <c r="J9" s="15" cm="1">
        <f t="array" ref="J9">+HLOOKUP($A$1,+[2]İcmal!$B$19:$AG$49,ROW(A7)+1,FALSE)</f>
        <v>0</v>
      </c>
      <c r="K9" s="15" cm="1">
        <f t="array" ref="K9">+HLOOKUP($A$1,+[3]İcmal!$B$19:$AG$49,ROW(B7)+1,FALSE)</f>
        <v>0</v>
      </c>
      <c r="L9" s="15" cm="1">
        <f t="array" ref="L9">+HLOOKUP($A$1,+[4]İcmal!$B$19:$AG$49,ROW(C7)+1,FALSE)</f>
        <v>0</v>
      </c>
      <c r="M9" s="15" cm="1">
        <f t="array" ref="M9">+HLOOKUP($A$1,+[5]İcmal!$B$19:$AG$49,ROW(D7)+1,FALSE)</f>
        <v>0</v>
      </c>
      <c r="N9" s="15" cm="1">
        <f t="array" ref="N9">+HLOOKUP($A$1,+[6]İcmal!$B$19:$AG$49,ROW(E7)+1,FALSE)</f>
        <v>0</v>
      </c>
      <c r="O9" s="15" cm="1">
        <f t="array" ref="O9">+HLOOKUP($A$1,+[7]İcmal!$B$19:$AG$49,ROW(F7)+1,FALSE)</f>
        <v>0</v>
      </c>
      <c r="P9" s="15" cm="1">
        <f t="array" ref="P9">+HLOOKUP($A$1,+[8]İcmal!$B$19:$AG$49,ROW(G7)+1,FALSE)</f>
        <v>0</v>
      </c>
      <c r="Q9" s="15" cm="1">
        <f t="array" ref="Q9">+HLOOKUP($A$1,+[9]İcmal!$B$19:$AG$49,ROW(H7)+1,FALSE)</f>
        <v>0</v>
      </c>
      <c r="R9" s="15" cm="1">
        <f t="array" ref="R9">+HLOOKUP($A$1,+[10]İcmal!$B$19:$AG$49,ROW(I7)+1,FALSE)</f>
        <v>0</v>
      </c>
      <c r="S9" s="15" cm="1">
        <f t="array" ref="S9">+HLOOKUP($A$1,+[11]İcmal!$B$19:$AG$49,ROW(J7)+1,FALSE)</f>
        <v>0</v>
      </c>
      <c r="T9" s="15" cm="1">
        <f t="array" ref="T9">+HLOOKUP($A$1,+[12]İcmal!$B$19:$AG$49,ROW(K7)+1,FALSE)</f>
        <v>0</v>
      </c>
      <c r="U9" s="15" cm="1">
        <f t="array" ref="U9">+HLOOKUP($A$1,+[13]İcmal!$B$19:$AG$49,ROW(L7)+1,FALSE)</f>
        <v>0</v>
      </c>
      <c r="V9" s="15" cm="1">
        <f t="array" ref="V9">+HLOOKUP($A$1,+[14]İcmal!$B$19:$AG$49,ROW(M7)+1,FALSE)</f>
        <v>0</v>
      </c>
      <c r="W9" s="15" cm="1">
        <f t="array" ref="W9">+HLOOKUP($A$1,+[15]İcmal!$B$19:$AG$49,ROW(N7)+1,FALSE)</f>
        <v>0</v>
      </c>
      <c r="X9" s="15" cm="1">
        <f t="array" ref="X9">+HLOOKUP($A$1,+[16]İcmal!$B$19:$AG$49,ROW(O7)+1,FALSE)</f>
        <v>0</v>
      </c>
      <c r="Y9" s="15" cm="1">
        <f t="array" ref="Y9">+HLOOKUP($A$1,+[17]İcmal!$B$19:$AG$49,ROW(P7)+1,FALSE)</f>
        <v>0</v>
      </c>
      <c r="Z9" s="15" cm="1">
        <f t="array" ref="Z9">+HLOOKUP($A$1,+[18]İcmal!$B$19:$AG$49,ROW(Q7)+1,FALSE)</f>
        <v>0</v>
      </c>
      <c r="AA9" s="15" cm="1">
        <f t="array" ref="AA9">+HLOOKUP($A$1,+[19]İcmal!$B$19:$AG$49,ROW(R7)+1,FALSE)</f>
        <v>0</v>
      </c>
      <c r="AB9" s="15" cm="1">
        <f t="array" ref="AB9">+HLOOKUP($A$1,+[20]İcmal!$B$19:$AG$49,ROW(S7)+1,FALSE)</f>
        <v>0</v>
      </c>
      <c r="AC9" s="15" cm="1">
        <f t="array" ref="AC9">+HLOOKUP($A$1,+[21]İcmal!$B$19:$AG$49,ROW(T7)+1,FALSE)</f>
        <v>0</v>
      </c>
      <c r="AD9" s="15" cm="1">
        <f t="array" ref="AD9">+HLOOKUP($A$1,+[22]İcmal!$B$19:$AG$49,ROW(U7)+1,FALSE)</f>
        <v>0</v>
      </c>
      <c r="AE9" s="15" cm="1">
        <f t="array" ref="AE9">+HLOOKUP($A$1,+[23]İcmal!$B$19:$AG$49,ROW(V7)+1,FALSE)</f>
        <v>0</v>
      </c>
      <c r="AF9" s="15" cm="1">
        <f t="array" ref="AF9">+HLOOKUP($A$1,+[24]İcmal!$B$19:$AG$49,ROW(W7)+1,FALSE)</f>
        <v>0</v>
      </c>
      <c r="AG9" s="15" cm="1">
        <f t="array" ref="AG9">+HLOOKUP($A$1,+[25]İcmal!$B$19:$AG$49,ROW(X7)+1,FALSE)</f>
        <v>0</v>
      </c>
      <c r="AH9" s="15" cm="1">
        <f t="array" ref="AH9">+HLOOKUP($A$1,+[26]İcmal!$B$19:$AG$49,ROW(Y7)+1,FALSE)</f>
        <v>0</v>
      </c>
      <c r="AI9" s="15" cm="1">
        <f t="array" ref="AI9">+HLOOKUP($A$1,+[27]İcmal!$B$19:$AG$49,ROW(Z7)+1,FALSE)</f>
        <v>0</v>
      </c>
      <c r="AJ9" s="15" cm="1">
        <f t="array" ref="AJ9">+HLOOKUP($A$1,+[28]İcmal!$B$19:$AG$49,ROW(AA7)+1,FALSE)</f>
        <v>0</v>
      </c>
      <c r="AK9" s="15" cm="1">
        <f t="array" ref="AK9">+HLOOKUP($A$1,+[29]İcmal!$B$19:$AG$49,ROW(AB7)+1,FALSE)</f>
        <v>0</v>
      </c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3"/>
    </row>
    <row r="10" spans="1:54" x14ac:dyDescent="0.3">
      <c r="A10" s="4">
        <v>56</v>
      </c>
      <c r="B10" s="4" t="s">
        <v>24</v>
      </c>
      <c r="C10" s="4" t="s">
        <v>25</v>
      </c>
      <c r="D10" s="6" t="s">
        <v>23</v>
      </c>
      <c r="E10" s="7">
        <v>2466.42</v>
      </c>
      <c r="F10" s="8">
        <v>8000</v>
      </c>
      <c r="G10" s="9">
        <f t="shared" si="0"/>
        <v>19731360</v>
      </c>
      <c r="H10" s="15">
        <f t="shared" si="1"/>
        <v>0</v>
      </c>
      <c r="I10" s="9">
        <f t="shared" si="2"/>
        <v>0</v>
      </c>
      <c r="J10" s="15" cm="1">
        <f t="array" ref="J10">+HLOOKUP($A$1,+[2]İcmal!$B$19:$AG$49,ROW(A8)+1,FALSE)</f>
        <v>0</v>
      </c>
      <c r="K10" s="15" cm="1">
        <f t="array" ref="K10">+HLOOKUP($A$1,+[3]İcmal!$B$19:$AG$49,ROW(B8)+1,FALSE)</f>
        <v>0</v>
      </c>
      <c r="L10" s="15" cm="1">
        <f t="array" ref="L10">+HLOOKUP($A$1,+[4]İcmal!$B$19:$AG$49,ROW(C8)+1,FALSE)</f>
        <v>0</v>
      </c>
      <c r="M10" s="15" cm="1">
        <f t="array" ref="M10">+HLOOKUP($A$1,+[5]İcmal!$B$19:$AG$49,ROW(D8)+1,FALSE)</f>
        <v>0</v>
      </c>
      <c r="N10" s="15" cm="1">
        <f t="array" ref="N10">+HLOOKUP($A$1,+[6]İcmal!$B$19:$AG$49,ROW(E8)+1,FALSE)</f>
        <v>0</v>
      </c>
      <c r="O10" s="15" cm="1">
        <f t="array" ref="O10">+HLOOKUP($A$1,+[7]İcmal!$B$19:$AG$49,ROW(F8)+1,FALSE)</f>
        <v>0</v>
      </c>
      <c r="P10" s="15" cm="1">
        <f t="array" ref="P10">+HLOOKUP($A$1,+[8]İcmal!$B$19:$AG$49,ROW(G8)+1,FALSE)</f>
        <v>0</v>
      </c>
      <c r="Q10" s="15" cm="1">
        <f t="array" ref="Q10">+HLOOKUP($A$1,+[9]İcmal!$B$19:$AG$49,ROW(H8)+1,FALSE)</f>
        <v>0</v>
      </c>
      <c r="R10" s="15" cm="1">
        <f t="array" ref="R10">+HLOOKUP($A$1,+[10]İcmal!$B$19:$AG$49,ROW(I8)+1,FALSE)</f>
        <v>0</v>
      </c>
      <c r="S10" s="15" cm="1">
        <f t="array" ref="S10">+HLOOKUP($A$1,+[11]İcmal!$B$19:$AG$49,ROW(J8)+1,FALSE)</f>
        <v>0</v>
      </c>
      <c r="T10" s="15" cm="1">
        <f t="array" ref="T10">+HLOOKUP($A$1,+[12]İcmal!$B$19:$AG$49,ROW(K8)+1,FALSE)</f>
        <v>0</v>
      </c>
      <c r="U10" s="15" cm="1">
        <f t="array" ref="U10">+HLOOKUP($A$1,+[13]İcmal!$B$19:$AG$49,ROW(L8)+1,FALSE)</f>
        <v>0</v>
      </c>
      <c r="V10" s="15" cm="1">
        <f t="array" ref="V10">+HLOOKUP($A$1,+[14]İcmal!$B$19:$AG$49,ROW(M8)+1,FALSE)</f>
        <v>0</v>
      </c>
      <c r="W10" s="15" cm="1">
        <f t="array" ref="W10">+HLOOKUP($A$1,+[15]İcmal!$B$19:$AG$49,ROW(N8)+1,FALSE)</f>
        <v>0</v>
      </c>
      <c r="X10" s="15" cm="1">
        <f t="array" ref="X10">+HLOOKUP($A$1,+[16]İcmal!$B$19:$AG$49,ROW(O8)+1,FALSE)</f>
        <v>0</v>
      </c>
      <c r="Y10" s="15" cm="1">
        <f t="array" ref="Y10">+HLOOKUP($A$1,+[17]İcmal!$B$19:$AG$49,ROW(P8)+1,FALSE)</f>
        <v>0</v>
      </c>
      <c r="Z10" s="15" cm="1">
        <f t="array" ref="Z10">+HLOOKUP($A$1,+[18]İcmal!$B$19:$AG$49,ROW(Q8)+1,FALSE)</f>
        <v>0</v>
      </c>
      <c r="AA10" s="15" cm="1">
        <f t="array" ref="AA10">+HLOOKUP($A$1,+[19]İcmal!$B$19:$AG$49,ROW(R8)+1,FALSE)</f>
        <v>0</v>
      </c>
      <c r="AB10" s="15" cm="1">
        <f t="array" ref="AB10">+HLOOKUP($A$1,+[20]İcmal!$B$19:$AG$49,ROW(S8)+1,FALSE)</f>
        <v>0</v>
      </c>
      <c r="AC10" s="15" cm="1">
        <f t="array" ref="AC10">+HLOOKUP($A$1,+[21]İcmal!$B$19:$AG$49,ROW(T8)+1,FALSE)</f>
        <v>0</v>
      </c>
      <c r="AD10" s="15" cm="1">
        <f t="array" ref="AD10">+HLOOKUP($A$1,+[22]İcmal!$B$19:$AG$49,ROW(U8)+1,FALSE)</f>
        <v>0</v>
      </c>
      <c r="AE10" s="15" cm="1">
        <f t="array" ref="AE10">+HLOOKUP($A$1,+[23]İcmal!$B$19:$AG$49,ROW(V8)+1,FALSE)</f>
        <v>0</v>
      </c>
      <c r="AF10" s="15" cm="1">
        <f t="array" ref="AF10">+HLOOKUP($A$1,+[24]İcmal!$B$19:$AG$49,ROW(W8)+1,FALSE)</f>
        <v>0</v>
      </c>
      <c r="AG10" s="15" cm="1">
        <f t="array" ref="AG10">+HLOOKUP($A$1,+[25]İcmal!$B$19:$AG$49,ROW(X8)+1,FALSE)</f>
        <v>0</v>
      </c>
      <c r="AH10" s="15" cm="1">
        <f t="array" ref="AH10">+HLOOKUP($A$1,+[26]İcmal!$B$19:$AG$49,ROW(Y8)+1,FALSE)</f>
        <v>0</v>
      </c>
      <c r="AI10" s="15" cm="1">
        <f t="array" ref="AI10">+HLOOKUP($A$1,+[27]İcmal!$B$19:$AG$49,ROW(Z8)+1,FALSE)</f>
        <v>0</v>
      </c>
      <c r="AJ10" s="15" cm="1">
        <f t="array" ref="AJ10">+HLOOKUP($A$1,+[28]İcmal!$B$19:$AG$49,ROW(AA8)+1,FALSE)</f>
        <v>0</v>
      </c>
      <c r="AK10" s="15" cm="1">
        <f t="array" ref="AK10">+HLOOKUP($A$1,+[29]İcmal!$B$19:$AG$49,ROW(AB8)+1,FALSE)</f>
        <v>0</v>
      </c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3"/>
    </row>
    <row r="11" spans="1:54" hidden="1" x14ac:dyDescent="0.3">
      <c r="A11" s="4">
        <v>57</v>
      </c>
      <c r="B11" s="4" t="s">
        <v>26</v>
      </c>
      <c r="C11" s="4" t="s">
        <v>27</v>
      </c>
      <c r="D11" s="6" t="s">
        <v>23</v>
      </c>
      <c r="E11" s="7">
        <v>2401.3000000000002</v>
      </c>
      <c r="F11" s="8">
        <v>8288</v>
      </c>
      <c r="G11" s="9">
        <f t="shared" si="0"/>
        <v>19901974.400000002</v>
      </c>
      <c r="H11" s="15">
        <f t="shared" si="1"/>
        <v>0</v>
      </c>
      <c r="I11" s="9">
        <f t="shared" si="2"/>
        <v>0</v>
      </c>
      <c r="J11" s="15" cm="1">
        <f t="array" ref="J11">+HLOOKUP($A$1,+[2]İcmal!$B$19:$AG$49,ROW(A9)+1,FALSE)</f>
        <v>0</v>
      </c>
      <c r="K11" s="15" cm="1">
        <f t="array" ref="K11">+HLOOKUP($A$1,+[3]İcmal!$B$19:$AG$49,ROW(B9)+1,FALSE)</f>
        <v>0</v>
      </c>
      <c r="L11" s="15" cm="1">
        <f t="array" ref="L11">+HLOOKUP($A$1,+[4]İcmal!$B$19:$AG$49,ROW(C9)+1,FALSE)</f>
        <v>0</v>
      </c>
      <c r="M11" s="15" cm="1">
        <f t="array" ref="M11">+HLOOKUP($A$1,+[5]İcmal!$B$19:$AG$49,ROW(D9)+1,FALSE)</f>
        <v>0</v>
      </c>
      <c r="N11" s="15" cm="1">
        <f t="array" ref="N11">+HLOOKUP($A$1,+[6]İcmal!$B$19:$AG$49,ROW(E9)+1,FALSE)</f>
        <v>0</v>
      </c>
      <c r="O11" s="15" cm="1">
        <f t="array" ref="O11">+HLOOKUP($A$1,+[7]İcmal!$B$19:$AG$49,ROW(F9)+1,FALSE)</f>
        <v>0</v>
      </c>
      <c r="P11" s="15" cm="1">
        <f t="array" ref="P11">+HLOOKUP($A$1,+[8]İcmal!$B$19:$AG$49,ROW(G9)+1,FALSE)</f>
        <v>0</v>
      </c>
      <c r="Q11" s="15" cm="1">
        <f t="array" ref="Q11">+HLOOKUP($A$1,+[9]İcmal!$B$19:$AG$49,ROW(H9)+1,FALSE)</f>
        <v>0</v>
      </c>
      <c r="R11" s="15" cm="1">
        <f t="array" ref="R11">+HLOOKUP($A$1,+[10]İcmal!$B$19:$AG$49,ROW(I9)+1,FALSE)</f>
        <v>0</v>
      </c>
      <c r="S11" s="15" cm="1">
        <f t="array" ref="S11">+HLOOKUP($A$1,+[11]İcmal!$B$19:$AG$49,ROW(J9)+1,FALSE)</f>
        <v>0</v>
      </c>
      <c r="T11" s="15" cm="1">
        <f t="array" ref="T11">+HLOOKUP($A$1,+[12]İcmal!$B$19:$AG$49,ROW(K9)+1,FALSE)</f>
        <v>0</v>
      </c>
      <c r="U11" s="15" cm="1">
        <f t="array" ref="U11">+HLOOKUP($A$1,+[13]İcmal!$B$19:$AG$49,ROW(L9)+1,FALSE)</f>
        <v>0</v>
      </c>
      <c r="V11" s="15" cm="1">
        <f t="array" ref="V11">+HLOOKUP($A$1,+[14]İcmal!$B$19:$AG$49,ROW(M9)+1,FALSE)</f>
        <v>0</v>
      </c>
      <c r="W11" s="15" cm="1">
        <f t="array" ref="W11">+HLOOKUP($A$1,+[15]İcmal!$B$19:$AG$49,ROW(N9)+1,FALSE)</f>
        <v>0</v>
      </c>
      <c r="X11" s="15" cm="1">
        <f t="array" ref="X11">+HLOOKUP($A$1,+[16]İcmal!$B$19:$AG$49,ROW(O9)+1,FALSE)</f>
        <v>0</v>
      </c>
      <c r="Y11" s="15" cm="1">
        <f t="array" ref="Y11">+HLOOKUP($A$1,+[17]İcmal!$B$19:$AG$49,ROW(P9)+1,FALSE)</f>
        <v>0</v>
      </c>
      <c r="Z11" s="15" cm="1">
        <f t="array" ref="Z11">+HLOOKUP($A$1,+[18]İcmal!$B$19:$AG$49,ROW(Q9)+1,FALSE)</f>
        <v>0</v>
      </c>
      <c r="AA11" s="15" cm="1">
        <f t="array" ref="AA11">+HLOOKUP($A$1,+[19]İcmal!$B$19:$AG$49,ROW(R9)+1,FALSE)</f>
        <v>0</v>
      </c>
      <c r="AB11" s="15" cm="1">
        <f t="array" ref="AB11">+HLOOKUP($A$1,+[20]İcmal!$B$19:$AG$49,ROW(S9)+1,FALSE)</f>
        <v>0</v>
      </c>
      <c r="AC11" s="15" cm="1">
        <f t="array" ref="AC11">+HLOOKUP($A$1,+[21]İcmal!$B$19:$AG$49,ROW(T9)+1,FALSE)</f>
        <v>0</v>
      </c>
      <c r="AD11" s="15" cm="1">
        <f t="array" ref="AD11">+HLOOKUP($A$1,+[22]İcmal!$B$19:$AG$49,ROW(U9)+1,FALSE)</f>
        <v>0</v>
      </c>
      <c r="AE11" s="15" cm="1">
        <f t="array" ref="AE11">+HLOOKUP($A$1,+[23]İcmal!$B$19:$AG$49,ROW(V9)+1,FALSE)</f>
        <v>0</v>
      </c>
      <c r="AF11" s="15" cm="1">
        <f t="array" ref="AF11">+HLOOKUP($A$1,+[24]İcmal!$B$19:$AG$49,ROW(W9)+1,FALSE)</f>
        <v>0</v>
      </c>
      <c r="AG11" s="15" cm="1">
        <f t="array" ref="AG11">+HLOOKUP($A$1,+[25]İcmal!$B$19:$AG$49,ROW(X9)+1,FALSE)</f>
        <v>0</v>
      </c>
      <c r="AH11" s="15" cm="1">
        <f t="array" ref="AH11">+HLOOKUP($A$1,+[26]İcmal!$B$19:$AG$49,ROW(Y9)+1,FALSE)</f>
        <v>0</v>
      </c>
      <c r="AI11" s="15" cm="1">
        <f t="array" ref="AI11">+HLOOKUP($A$1,+[27]İcmal!$B$19:$AG$49,ROW(Z9)+1,FALSE)</f>
        <v>0</v>
      </c>
      <c r="AJ11" s="15" cm="1">
        <f t="array" ref="AJ11">+HLOOKUP($A$1,+[28]İcmal!$B$19:$AG$49,ROW(AA9)+1,FALSE)</f>
        <v>0</v>
      </c>
      <c r="AK11" s="15" cm="1">
        <f t="array" ref="AK11">+HLOOKUP($A$1,+[29]İcmal!$B$19:$AG$49,ROW(AB9)+1,FALSE)</f>
        <v>0</v>
      </c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3"/>
    </row>
    <row r="12" spans="1:54" x14ac:dyDescent="0.3">
      <c r="A12" s="4">
        <v>58</v>
      </c>
      <c r="B12" s="4" t="s">
        <v>28</v>
      </c>
      <c r="C12" s="4" t="s">
        <v>29</v>
      </c>
      <c r="D12" s="6" t="s">
        <v>23</v>
      </c>
      <c r="E12" s="10">
        <v>2970</v>
      </c>
      <c r="F12" s="8">
        <v>12000</v>
      </c>
      <c r="G12" s="9">
        <f t="shared" si="0"/>
        <v>35640000</v>
      </c>
      <c r="H12" s="15">
        <f t="shared" si="1"/>
        <v>0</v>
      </c>
      <c r="I12" s="9">
        <f t="shared" si="2"/>
        <v>0</v>
      </c>
      <c r="J12" s="15" cm="1">
        <f t="array" ref="J12">+HLOOKUP($A$1,+[2]İcmal!$B$19:$AG$49,ROW(A10)+1,FALSE)</f>
        <v>0</v>
      </c>
      <c r="K12" s="15" cm="1">
        <f t="array" ref="K12">+HLOOKUP($A$1,+[3]İcmal!$B$19:$AG$49,ROW(B10)+1,FALSE)</f>
        <v>0</v>
      </c>
      <c r="L12" s="15" cm="1">
        <f t="array" ref="L12">+HLOOKUP($A$1,+[4]İcmal!$B$19:$AG$49,ROW(C10)+1,FALSE)</f>
        <v>0</v>
      </c>
      <c r="M12" s="15" cm="1">
        <f t="array" ref="M12">+HLOOKUP($A$1,+[5]İcmal!$B$19:$AG$49,ROW(D10)+1,FALSE)</f>
        <v>0</v>
      </c>
      <c r="N12" s="15" cm="1">
        <f t="array" ref="N12">+HLOOKUP($A$1,+[6]İcmal!$B$19:$AG$49,ROW(E10)+1,FALSE)</f>
        <v>0</v>
      </c>
      <c r="O12" s="15" cm="1">
        <f t="array" ref="O12">+HLOOKUP($A$1,+[7]İcmal!$B$19:$AG$49,ROW(F10)+1,FALSE)</f>
        <v>0</v>
      </c>
      <c r="P12" s="15" cm="1">
        <f t="array" ref="P12">+HLOOKUP($A$1,+[8]İcmal!$B$19:$AG$49,ROW(G10)+1,FALSE)</f>
        <v>0</v>
      </c>
      <c r="Q12" s="15" cm="1">
        <f t="array" ref="Q12">+HLOOKUP($A$1,+[9]İcmal!$B$19:$AG$49,ROW(H10)+1,FALSE)</f>
        <v>0</v>
      </c>
      <c r="R12" s="15" cm="1">
        <f t="array" ref="R12">+HLOOKUP($A$1,+[10]İcmal!$B$19:$AG$49,ROW(I10)+1,FALSE)</f>
        <v>0</v>
      </c>
      <c r="S12" s="15" cm="1">
        <f t="array" ref="S12">+HLOOKUP($A$1,+[11]İcmal!$B$19:$AG$49,ROW(J10)+1,FALSE)</f>
        <v>0</v>
      </c>
      <c r="T12" s="15" cm="1">
        <f t="array" ref="T12">+HLOOKUP($A$1,+[12]İcmal!$B$19:$AG$49,ROW(K10)+1,FALSE)</f>
        <v>0</v>
      </c>
      <c r="U12" s="15" cm="1">
        <f t="array" ref="U12">+HLOOKUP($A$1,+[13]İcmal!$B$19:$AG$49,ROW(L10)+1,FALSE)</f>
        <v>0</v>
      </c>
      <c r="V12" s="15" cm="1">
        <f t="array" ref="V12">+HLOOKUP($A$1,+[14]İcmal!$B$19:$AG$49,ROW(M10)+1,FALSE)</f>
        <v>0</v>
      </c>
      <c r="W12" s="15" cm="1">
        <f t="array" ref="W12">+HLOOKUP($A$1,+[15]İcmal!$B$19:$AG$49,ROW(N10)+1,FALSE)</f>
        <v>0</v>
      </c>
      <c r="X12" s="15" cm="1">
        <f t="array" ref="X12">+HLOOKUP($A$1,+[16]İcmal!$B$19:$AG$49,ROW(O10)+1,FALSE)</f>
        <v>0</v>
      </c>
      <c r="Y12" s="15" cm="1">
        <f t="array" ref="Y12">+HLOOKUP($A$1,+[17]İcmal!$B$19:$AG$49,ROW(P10)+1,FALSE)</f>
        <v>0</v>
      </c>
      <c r="Z12" s="15" cm="1">
        <f t="array" ref="Z12">+HLOOKUP($A$1,+[18]İcmal!$B$19:$AG$49,ROW(Q10)+1,FALSE)</f>
        <v>0</v>
      </c>
      <c r="AA12" s="15" cm="1">
        <f t="array" ref="AA12">+HLOOKUP($A$1,+[19]İcmal!$B$19:$AG$49,ROW(R10)+1,FALSE)</f>
        <v>0</v>
      </c>
      <c r="AB12" s="15" cm="1">
        <f t="array" ref="AB12">+HLOOKUP($A$1,+[20]İcmal!$B$19:$AG$49,ROW(S10)+1,FALSE)</f>
        <v>0</v>
      </c>
      <c r="AC12" s="15" cm="1">
        <f t="array" ref="AC12">+HLOOKUP($A$1,+[21]İcmal!$B$19:$AG$49,ROW(T10)+1,FALSE)</f>
        <v>0</v>
      </c>
      <c r="AD12" s="15" cm="1">
        <f t="array" ref="AD12">+HLOOKUP($A$1,+[22]İcmal!$B$19:$AG$49,ROW(U10)+1,FALSE)</f>
        <v>0</v>
      </c>
      <c r="AE12" s="15" cm="1">
        <f t="array" ref="AE12">+HLOOKUP($A$1,+[23]İcmal!$B$19:$AG$49,ROW(V10)+1,FALSE)</f>
        <v>0</v>
      </c>
      <c r="AF12" s="15" cm="1">
        <f t="array" ref="AF12">+HLOOKUP($A$1,+[24]İcmal!$B$19:$AG$49,ROW(W10)+1,FALSE)</f>
        <v>0</v>
      </c>
      <c r="AG12" s="15" cm="1">
        <f t="array" ref="AG12">+HLOOKUP($A$1,+[25]İcmal!$B$19:$AG$49,ROW(X10)+1,FALSE)</f>
        <v>0</v>
      </c>
      <c r="AH12" s="15" cm="1">
        <f t="array" ref="AH12">+HLOOKUP($A$1,+[26]İcmal!$B$19:$AG$49,ROW(Y10)+1,FALSE)</f>
        <v>0</v>
      </c>
      <c r="AI12" s="15" cm="1">
        <f t="array" ref="AI12">+HLOOKUP($A$1,+[27]İcmal!$B$19:$AG$49,ROW(Z10)+1,FALSE)</f>
        <v>0</v>
      </c>
      <c r="AJ12" s="15" cm="1">
        <f t="array" ref="AJ12">+HLOOKUP($A$1,+[28]İcmal!$B$19:$AG$49,ROW(AA10)+1,FALSE)</f>
        <v>0</v>
      </c>
      <c r="AK12" s="15" cm="1">
        <f t="array" ref="AK12">+HLOOKUP($A$1,+[29]İcmal!$B$19:$AG$49,ROW(AB10)+1,FALSE)</f>
        <v>0</v>
      </c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3"/>
    </row>
    <row r="13" spans="1:54" x14ac:dyDescent="0.3">
      <c r="A13" s="4">
        <v>59</v>
      </c>
      <c r="B13" s="4" t="s">
        <v>30</v>
      </c>
      <c r="C13" s="4" t="s">
        <v>31</v>
      </c>
      <c r="D13" s="6" t="s">
        <v>23</v>
      </c>
      <c r="E13" s="7">
        <v>7008.23</v>
      </c>
      <c r="F13" s="8">
        <v>28000</v>
      </c>
      <c r="G13" s="9">
        <f t="shared" si="0"/>
        <v>196230440</v>
      </c>
      <c r="H13" s="15">
        <f t="shared" si="1"/>
        <v>480</v>
      </c>
      <c r="I13" s="9">
        <f t="shared" si="2"/>
        <v>13440000</v>
      </c>
      <c r="J13" s="15" cm="1">
        <f t="array" ref="J13">+HLOOKUP($A$1,+[2]İcmal!$B$19:$AG$49,ROW(A11)+1,FALSE)</f>
        <v>0</v>
      </c>
      <c r="K13" s="15" cm="1">
        <f t="array" ref="K13">+HLOOKUP($A$1,+[3]İcmal!$B$19:$AG$49,ROW(B11)+1,FALSE)</f>
        <v>0</v>
      </c>
      <c r="L13" s="15" cm="1">
        <f t="array" ref="L13">+HLOOKUP($A$1,+[4]İcmal!$B$19:$AG$49,ROW(C11)+1,FALSE)</f>
        <v>0</v>
      </c>
      <c r="M13" s="15" cm="1">
        <f t="array" ref="M13">+HLOOKUP($A$1,+[5]İcmal!$B$19:$AG$49,ROW(D11)+1,FALSE)</f>
        <v>0</v>
      </c>
      <c r="N13" s="15" cm="1">
        <f t="array" ref="N13">+HLOOKUP($A$1,+[6]İcmal!$B$19:$AG$49,ROW(E11)+1,FALSE)</f>
        <v>0</v>
      </c>
      <c r="O13" s="15" cm="1">
        <f t="array" ref="O13">+HLOOKUP($A$1,+[7]İcmal!$B$19:$AG$49,ROW(F11)+1,FALSE)</f>
        <v>0</v>
      </c>
      <c r="P13" s="15" cm="1">
        <f t="array" ref="P13">+HLOOKUP($A$1,+[8]İcmal!$B$19:$AG$49,ROW(G11)+1,FALSE)</f>
        <v>135</v>
      </c>
      <c r="Q13" s="15" cm="1">
        <f t="array" ref="Q13">+HLOOKUP($A$1,+[9]İcmal!$B$19:$AG$49,ROW(H11)+1,FALSE)</f>
        <v>108</v>
      </c>
      <c r="R13" s="15" cm="1">
        <f t="array" ref="R13">+HLOOKUP($A$1,+[10]İcmal!$B$19:$AG$49,ROW(I11)+1,FALSE)</f>
        <v>0</v>
      </c>
      <c r="S13" s="15" cm="1">
        <f t="array" ref="S13">+HLOOKUP($A$1,+[11]İcmal!$B$19:$AG$49,ROW(J11)+1,FALSE)</f>
        <v>0</v>
      </c>
      <c r="T13" s="15" cm="1">
        <f t="array" ref="T13">+HLOOKUP($A$1,+[12]İcmal!$B$19:$AG$49,ROW(K11)+1,FALSE)</f>
        <v>99</v>
      </c>
      <c r="U13" s="15" cm="1">
        <f t="array" ref="U13">+HLOOKUP($A$1,+[13]İcmal!$B$19:$AG$49,ROW(L11)+1,FALSE)</f>
        <v>96</v>
      </c>
      <c r="V13" s="15" cm="1">
        <f t="array" ref="V13">+HLOOKUP($A$1,+[14]İcmal!$B$19:$AG$49,ROW(M11)+1,FALSE)</f>
        <v>0</v>
      </c>
      <c r="W13" s="15" cm="1">
        <f t="array" ref="W13">+HLOOKUP($A$1,+[15]İcmal!$B$19:$AG$49,ROW(N11)+1,FALSE)</f>
        <v>0</v>
      </c>
      <c r="X13" s="15" cm="1">
        <f t="array" ref="X13">+HLOOKUP($A$1,+[16]İcmal!$B$19:$AG$49,ROW(O11)+1,FALSE)</f>
        <v>0</v>
      </c>
      <c r="Y13" s="15" cm="1">
        <f t="array" ref="Y13">+HLOOKUP($A$1,+[17]İcmal!$B$19:$AG$49,ROW(P11)+1,FALSE)</f>
        <v>0</v>
      </c>
      <c r="Z13" s="15" cm="1">
        <f t="array" ref="Z13">+HLOOKUP($A$1,+[18]İcmal!$B$19:$AG$49,ROW(Q11)+1,FALSE)</f>
        <v>0</v>
      </c>
      <c r="AA13" s="15" cm="1">
        <f t="array" ref="AA13">+HLOOKUP($A$1,+[19]İcmal!$B$19:$AG$49,ROW(R11)+1,FALSE)</f>
        <v>0</v>
      </c>
      <c r="AB13" s="15" cm="1">
        <f t="array" ref="AB13">+HLOOKUP($A$1,+[20]İcmal!$B$19:$AG$49,ROW(S11)+1,FALSE)</f>
        <v>0</v>
      </c>
      <c r="AC13" s="15" cm="1">
        <f t="array" ref="AC13">+HLOOKUP($A$1,+[21]İcmal!$B$19:$AG$49,ROW(T11)+1,FALSE)</f>
        <v>0</v>
      </c>
      <c r="AD13" s="15" cm="1">
        <f t="array" ref="AD13">+HLOOKUP($A$1,+[22]İcmal!$B$19:$AG$49,ROW(U11)+1,FALSE)</f>
        <v>0</v>
      </c>
      <c r="AE13" s="15" cm="1">
        <f t="array" ref="AE13">+HLOOKUP($A$1,+[23]İcmal!$B$19:$AG$49,ROW(V11)+1,FALSE)</f>
        <v>20</v>
      </c>
      <c r="AF13" s="15" cm="1">
        <f t="array" ref="AF13">+HLOOKUP($A$1,+[24]İcmal!$B$19:$AG$49,ROW(W11)+1,FALSE)</f>
        <v>0</v>
      </c>
      <c r="AG13" s="15" cm="1">
        <f t="array" ref="AG13">+HLOOKUP($A$1,+[25]İcmal!$B$19:$AG$49,ROW(X11)+1,FALSE)</f>
        <v>0</v>
      </c>
      <c r="AH13" s="15" cm="1">
        <f t="array" ref="AH13">+HLOOKUP($A$1,+[26]İcmal!$B$19:$AG$49,ROW(Y11)+1,FALSE)</f>
        <v>0</v>
      </c>
      <c r="AI13" s="15" cm="1">
        <f t="array" ref="AI13">+HLOOKUP($A$1,+[27]İcmal!$B$19:$AG$49,ROW(Z11)+1,FALSE)</f>
        <v>0</v>
      </c>
      <c r="AJ13" s="15" cm="1">
        <f t="array" ref="AJ13">+HLOOKUP($A$1,+[28]İcmal!$B$19:$AG$49,ROW(AA11)+1,FALSE)</f>
        <v>0</v>
      </c>
      <c r="AK13" s="15" cm="1">
        <f t="array" ref="AK13">+HLOOKUP($A$1,+[29]İcmal!$B$19:$AG$49,ROW(AB11)+1,FALSE)</f>
        <v>22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3"/>
    </row>
    <row r="14" spans="1:54" x14ac:dyDescent="0.3">
      <c r="A14" s="4">
        <v>60</v>
      </c>
      <c r="B14" s="4" t="s">
        <v>32</v>
      </c>
      <c r="C14" s="4" t="s">
        <v>33</v>
      </c>
      <c r="D14" s="6" t="s">
        <v>18</v>
      </c>
      <c r="E14" s="7">
        <v>156606.89000000001</v>
      </c>
      <c r="F14" s="8">
        <v>375</v>
      </c>
      <c r="G14" s="9">
        <f t="shared" si="0"/>
        <v>58727583.750000007</v>
      </c>
      <c r="H14" s="15">
        <f t="shared" si="1"/>
        <v>0</v>
      </c>
      <c r="I14" s="9">
        <f t="shared" si="2"/>
        <v>0</v>
      </c>
      <c r="J14" s="15" cm="1">
        <f t="array" ref="J14">+HLOOKUP($A$1,+[2]İcmal!$B$19:$AG$49,ROW(A12)+1,FALSE)</f>
        <v>0</v>
      </c>
      <c r="K14" s="15" cm="1">
        <f t="array" ref="K14">+HLOOKUP($A$1,+[3]İcmal!$B$19:$AG$49,ROW(B12)+1,FALSE)</f>
        <v>0</v>
      </c>
      <c r="L14" s="15" cm="1">
        <f t="array" ref="L14">+HLOOKUP($A$1,+[4]İcmal!$B$19:$AG$49,ROW(C12)+1,FALSE)</f>
        <v>0</v>
      </c>
      <c r="M14" s="15" cm="1">
        <f t="array" ref="M14">+HLOOKUP($A$1,+[5]İcmal!$B$19:$AG$49,ROW(D12)+1,FALSE)</f>
        <v>0</v>
      </c>
      <c r="N14" s="15" cm="1">
        <f t="array" ref="N14">+HLOOKUP($A$1,+[6]İcmal!$B$19:$AG$49,ROW(E12)+1,FALSE)</f>
        <v>0</v>
      </c>
      <c r="O14" s="15" cm="1">
        <f t="array" ref="O14">+HLOOKUP($A$1,+[7]İcmal!$B$19:$AG$49,ROW(F12)+1,FALSE)</f>
        <v>0</v>
      </c>
      <c r="P14" s="15" cm="1">
        <f t="array" ref="P14">+HLOOKUP($A$1,+[8]İcmal!$B$19:$AG$49,ROW(G12)+1,FALSE)</f>
        <v>0</v>
      </c>
      <c r="Q14" s="15" cm="1">
        <f t="array" ref="Q14">+HLOOKUP($A$1,+[9]İcmal!$B$19:$AG$49,ROW(H12)+1,FALSE)</f>
        <v>0</v>
      </c>
      <c r="R14" s="15" cm="1">
        <f t="array" ref="R14">+HLOOKUP($A$1,+[10]İcmal!$B$19:$AG$49,ROW(I12)+1,FALSE)</f>
        <v>0</v>
      </c>
      <c r="S14" s="15" cm="1">
        <f t="array" ref="S14">+HLOOKUP($A$1,+[11]İcmal!$B$19:$AG$49,ROW(J12)+1,FALSE)</f>
        <v>0</v>
      </c>
      <c r="T14" s="15" cm="1">
        <f t="array" ref="T14">+HLOOKUP($A$1,+[12]İcmal!$B$19:$AG$49,ROW(K12)+1,FALSE)</f>
        <v>0</v>
      </c>
      <c r="U14" s="15" cm="1">
        <f t="array" ref="U14">+HLOOKUP($A$1,+[13]İcmal!$B$19:$AG$49,ROW(L12)+1,FALSE)</f>
        <v>0</v>
      </c>
      <c r="V14" s="15" cm="1">
        <f t="array" ref="V14">+HLOOKUP($A$1,+[14]İcmal!$B$19:$AG$49,ROW(M12)+1,FALSE)</f>
        <v>0</v>
      </c>
      <c r="W14" s="15" cm="1">
        <f t="array" ref="W14">+HLOOKUP($A$1,+[15]İcmal!$B$19:$AG$49,ROW(N12)+1,FALSE)</f>
        <v>0</v>
      </c>
      <c r="X14" s="15" cm="1">
        <f t="array" ref="X14">+HLOOKUP($A$1,+[16]İcmal!$B$19:$AG$49,ROW(O12)+1,FALSE)</f>
        <v>0</v>
      </c>
      <c r="Y14" s="15" cm="1">
        <f t="array" ref="Y14">+HLOOKUP($A$1,+[17]İcmal!$B$19:$AG$49,ROW(P12)+1,FALSE)</f>
        <v>0</v>
      </c>
      <c r="Z14" s="15" cm="1">
        <f t="array" ref="Z14">+HLOOKUP($A$1,+[18]İcmal!$B$19:$AG$49,ROW(Q12)+1,FALSE)</f>
        <v>0</v>
      </c>
      <c r="AA14" s="15" cm="1">
        <f t="array" ref="AA14">+HLOOKUP($A$1,+[19]İcmal!$B$19:$AG$49,ROW(R12)+1,FALSE)</f>
        <v>0</v>
      </c>
      <c r="AB14" s="15" cm="1">
        <f t="array" ref="AB14">+HLOOKUP($A$1,+[20]İcmal!$B$19:$AG$49,ROW(S12)+1,FALSE)</f>
        <v>0</v>
      </c>
      <c r="AC14" s="15" cm="1">
        <f t="array" ref="AC14">+HLOOKUP($A$1,+[21]İcmal!$B$19:$AG$49,ROW(T12)+1,FALSE)</f>
        <v>0</v>
      </c>
      <c r="AD14" s="15" cm="1">
        <f t="array" ref="AD14">+HLOOKUP($A$1,+[22]İcmal!$B$19:$AG$49,ROW(U12)+1,FALSE)</f>
        <v>0</v>
      </c>
      <c r="AE14" s="15" cm="1">
        <f t="array" ref="AE14">+HLOOKUP($A$1,+[23]İcmal!$B$19:$AG$49,ROW(V12)+1,FALSE)</f>
        <v>0</v>
      </c>
      <c r="AF14" s="15" cm="1">
        <f t="array" ref="AF14">+HLOOKUP($A$1,+[24]İcmal!$B$19:$AG$49,ROW(W12)+1,FALSE)</f>
        <v>0</v>
      </c>
      <c r="AG14" s="15" cm="1">
        <f t="array" ref="AG14">+HLOOKUP($A$1,+[25]İcmal!$B$19:$AG$49,ROW(X12)+1,FALSE)</f>
        <v>0</v>
      </c>
      <c r="AH14" s="15" cm="1">
        <f t="array" ref="AH14">+HLOOKUP($A$1,+[26]İcmal!$B$19:$AG$49,ROW(Y12)+1,FALSE)</f>
        <v>0</v>
      </c>
      <c r="AI14" s="15" cm="1">
        <f t="array" ref="AI14">+HLOOKUP($A$1,+[27]İcmal!$B$19:$AG$49,ROW(Z12)+1,FALSE)</f>
        <v>0</v>
      </c>
      <c r="AJ14" s="15" cm="1">
        <f t="array" ref="AJ14">+HLOOKUP($A$1,+[28]İcmal!$B$19:$AG$49,ROW(AA12)+1,FALSE)</f>
        <v>0</v>
      </c>
      <c r="AK14" s="15" cm="1">
        <f t="array" ref="AK14">+HLOOKUP($A$1,+[29]İcmal!$B$19:$AG$49,ROW(AB12)+1,FALSE)</f>
        <v>0</v>
      </c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3"/>
    </row>
    <row r="15" spans="1:54" x14ac:dyDescent="0.3">
      <c r="A15" s="4">
        <v>61</v>
      </c>
      <c r="B15" s="4" t="s">
        <v>34</v>
      </c>
      <c r="C15" s="4" t="s">
        <v>35</v>
      </c>
      <c r="D15" s="6" t="s">
        <v>18</v>
      </c>
      <c r="E15" s="10">
        <v>145635</v>
      </c>
      <c r="F15" s="8">
        <v>388</v>
      </c>
      <c r="G15" s="9">
        <f t="shared" si="0"/>
        <v>56506380</v>
      </c>
      <c r="H15" s="15">
        <f t="shared" si="1"/>
        <v>0</v>
      </c>
      <c r="I15" s="9">
        <f t="shared" si="2"/>
        <v>0</v>
      </c>
      <c r="J15" s="15" cm="1">
        <f t="array" ref="J15">+HLOOKUP($A$1,+[2]İcmal!$B$19:$AG$49,ROW(A13)+1,FALSE)</f>
        <v>0</v>
      </c>
      <c r="K15" s="15" cm="1">
        <f t="array" ref="K15">+HLOOKUP($A$1,+[3]İcmal!$B$19:$AG$49,ROW(B13)+1,FALSE)</f>
        <v>0</v>
      </c>
      <c r="L15" s="15" cm="1">
        <f t="array" ref="L15">+HLOOKUP($A$1,+[4]İcmal!$B$19:$AG$49,ROW(C13)+1,FALSE)</f>
        <v>0</v>
      </c>
      <c r="M15" s="15" cm="1">
        <f t="array" ref="M15">+HLOOKUP($A$1,+[5]İcmal!$B$19:$AG$49,ROW(D13)+1,FALSE)</f>
        <v>0</v>
      </c>
      <c r="N15" s="15" cm="1">
        <f t="array" ref="N15">+HLOOKUP($A$1,+[6]İcmal!$B$19:$AG$49,ROW(E13)+1,FALSE)</f>
        <v>0</v>
      </c>
      <c r="O15" s="15" cm="1">
        <f t="array" ref="O15">+HLOOKUP($A$1,+[7]İcmal!$B$19:$AG$49,ROW(F13)+1,FALSE)</f>
        <v>0</v>
      </c>
      <c r="P15" s="15" cm="1">
        <f t="array" ref="P15">+HLOOKUP($A$1,+[8]İcmal!$B$19:$AG$49,ROW(G13)+1,FALSE)</f>
        <v>0</v>
      </c>
      <c r="Q15" s="15" cm="1">
        <f t="array" ref="Q15">+HLOOKUP($A$1,+[9]İcmal!$B$19:$AG$49,ROW(H13)+1,FALSE)</f>
        <v>0</v>
      </c>
      <c r="R15" s="15" cm="1">
        <f t="array" ref="R15">+HLOOKUP($A$1,+[10]İcmal!$B$19:$AG$49,ROW(I13)+1,FALSE)</f>
        <v>0</v>
      </c>
      <c r="S15" s="15" cm="1">
        <f t="array" ref="S15">+HLOOKUP($A$1,+[11]İcmal!$B$19:$AG$49,ROW(J13)+1,FALSE)</f>
        <v>0</v>
      </c>
      <c r="T15" s="15" cm="1">
        <f t="array" ref="T15">+HLOOKUP($A$1,+[12]İcmal!$B$19:$AG$49,ROW(K13)+1,FALSE)</f>
        <v>0</v>
      </c>
      <c r="U15" s="15" cm="1">
        <f t="array" ref="U15">+HLOOKUP($A$1,+[13]İcmal!$B$19:$AG$49,ROW(L13)+1,FALSE)</f>
        <v>0</v>
      </c>
      <c r="V15" s="15" cm="1">
        <f t="array" ref="V15">+HLOOKUP($A$1,+[14]İcmal!$B$19:$AG$49,ROW(M13)+1,FALSE)</f>
        <v>0</v>
      </c>
      <c r="W15" s="15" cm="1">
        <f t="array" ref="W15">+HLOOKUP($A$1,+[15]İcmal!$B$19:$AG$49,ROW(N13)+1,FALSE)</f>
        <v>0</v>
      </c>
      <c r="X15" s="15" cm="1">
        <f t="array" ref="X15">+HLOOKUP($A$1,+[16]İcmal!$B$19:$AG$49,ROW(O13)+1,FALSE)</f>
        <v>0</v>
      </c>
      <c r="Y15" s="15" cm="1">
        <f t="array" ref="Y15">+HLOOKUP($A$1,+[17]İcmal!$B$19:$AG$49,ROW(P13)+1,FALSE)</f>
        <v>0</v>
      </c>
      <c r="Z15" s="15" cm="1">
        <f t="array" ref="Z15">+HLOOKUP($A$1,+[18]İcmal!$B$19:$AG$49,ROW(Q13)+1,FALSE)</f>
        <v>0</v>
      </c>
      <c r="AA15" s="15" cm="1">
        <f t="array" ref="AA15">+HLOOKUP($A$1,+[19]İcmal!$B$19:$AG$49,ROW(R13)+1,FALSE)</f>
        <v>0</v>
      </c>
      <c r="AB15" s="15" cm="1">
        <f t="array" ref="AB15">+HLOOKUP($A$1,+[20]İcmal!$B$19:$AG$49,ROW(S13)+1,FALSE)</f>
        <v>0</v>
      </c>
      <c r="AC15" s="15" cm="1">
        <f t="array" ref="AC15">+HLOOKUP($A$1,+[21]İcmal!$B$19:$AG$49,ROW(T13)+1,FALSE)</f>
        <v>0</v>
      </c>
      <c r="AD15" s="15" cm="1">
        <f t="array" ref="AD15">+HLOOKUP($A$1,+[22]İcmal!$B$19:$AG$49,ROW(U13)+1,FALSE)</f>
        <v>0</v>
      </c>
      <c r="AE15" s="15" cm="1">
        <f t="array" ref="AE15">+HLOOKUP($A$1,+[23]İcmal!$B$19:$AG$49,ROW(V13)+1,FALSE)</f>
        <v>0</v>
      </c>
      <c r="AF15" s="15" cm="1">
        <f t="array" ref="AF15">+HLOOKUP($A$1,+[24]İcmal!$B$19:$AG$49,ROW(W13)+1,FALSE)</f>
        <v>0</v>
      </c>
      <c r="AG15" s="15" cm="1">
        <f t="array" ref="AG15">+HLOOKUP($A$1,+[25]İcmal!$B$19:$AG$49,ROW(X13)+1,FALSE)</f>
        <v>0</v>
      </c>
      <c r="AH15" s="15" cm="1">
        <f t="array" ref="AH15">+HLOOKUP($A$1,+[26]İcmal!$B$19:$AG$49,ROW(Y13)+1,FALSE)</f>
        <v>0</v>
      </c>
      <c r="AI15" s="15" cm="1">
        <f t="array" ref="AI15">+HLOOKUP($A$1,+[27]İcmal!$B$19:$AG$49,ROW(Z13)+1,FALSE)</f>
        <v>0</v>
      </c>
      <c r="AJ15" s="15" cm="1">
        <f t="array" ref="AJ15">+HLOOKUP($A$1,+[28]İcmal!$B$19:$AG$49,ROW(AA13)+1,FALSE)</f>
        <v>0</v>
      </c>
      <c r="AK15" s="15" cm="1">
        <f t="array" ref="AK15">+HLOOKUP($A$1,+[29]İcmal!$B$19:$AG$49,ROW(AB13)+1,FALSE)</f>
        <v>0</v>
      </c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3"/>
    </row>
    <row r="16" spans="1:54" x14ac:dyDescent="0.3">
      <c r="A16" s="4">
        <v>62</v>
      </c>
      <c r="B16" s="5" t="s">
        <v>36</v>
      </c>
      <c r="C16" s="4" t="s">
        <v>37</v>
      </c>
      <c r="D16" s="6" t="s">
        <v>38</v>
      </c>
      <c r="E16" s="10">
        <v>8410</v>
      </c>
      <c r="F16" s="8">
        <v>102000</v>
      </c>
      <c r="G16" s="9">
        <f t="shared" si="0"/>
        <v>857820000</v>
      </c>
      <c r="H16" s="15">
        <f t="shared" si="1"/>
        <v>68.646000000000001</v>
      </c>
      <c r="I16" s="9">
        <f t="shared" si="2"/>
        <v>7001892</v>
      </c>
      <c r="J16" s="15" cm="1">
        <f t="array" ref="J16">+HLOOKUP($A$1,+[2]İcmal!$B$19:$AG$49,ROW(A14)+1,FALSE)</f>
        <v>0</v>
      </c>
      <c r="K16" s="15" cm="1">
        <f t="array" ref="K16">+HLOOKUP($A$1,+[3]İcmal!$B$19:$AG$49,ROW(B14)+1,FALSE)</f>
        <v>0</v>
      </c>
      <c r="L16" s="15" cm="1">
        <f t="array" ref="L16">+HLOOKUP($A$1,+[4]İcmal!$B$19:$AG$49,ROW(C14)+1,FALSE)</f>
        <v>2.7430000000000021</v>
      </c>
      <c r="M16" s="15" cm="1">
        <f t="array" ref="M16">+HLOOKUP($A$1,+[5]İcmal!$B$19:$AG$49,ROW(D14)+1,FALSE)</f>
        <v>2.7520000000000024</v>
      </c>
      <c r="N16" s="15" cm="1">
        <f t="array" ref="N16">+HLOOKUP($A$1,+[6]İcmal!$B$19:$AG$49,ROW(E14)+1,FALSE)</f>
        <v>0</v>
      </c>
      <c r="O16" s="15" cm="1">
        <f t="array" ref="O16">+HLOOKUP($A$1,+[7]İcmal!$B$19:$AG$49,ROW(F14)+1,FALSE)</f>
        <v>0</v>
      </c>
      <c r="P16" s="15" cm="1">
        <f t="array" ref="P16">+HLOOKUP($A$1,+[8]İcmal!$B$19:$AG$49,ROW(G14)+1,FALSE)</f>
        <v>23.291</v>
      </c>
      <c r="Q16" s="15" cm="1">
        <f t="array" ref="Q16">+HLOOKUP($A$1,+[9]İcmal!$B$19:$AG$49,ROW(H14)+1,FALSE)</f>
        <v>24.768000000000004</v>
      </c>
      <c r="R16" s="15" cm="1">
        <f t="array" ref="R16">+HLOOKUP($A$1,+[10]İcmal!$B$19:$AG$49,ROW(I14)+1,FALSE)</f>
        <v>0</v>
      </c>
      <c r="S16" s="15" cm="1">
        <f t="array" ref="S16">+HLOOKUP($A$1,+[11]İcmal!$B$19:$AG$49,ROW(J14)+1,FALSE)</f>
        <v>0</v>
      </c>
      <c r="T16" s="15" cm="1">
        <f t="array" ref="T16">+HLOOKUP($A$1,+[12]İcmal!$B$19:$AG$49,ROW(K14)+1,FALSE)</f>
        <v>4.0919999999999987</v>
      </c>
      <c r="U16" s="15" cm="1">
        <f t="array" ref="U16">+HLOOKUP($A$1,+[13]İcmal!$B$19:$AG$49,ROW(L14)+1,FALSE)</f>
        <v>5.5050000000000026</v>
      </c>
      <c r="V16" s="15" cm="1">
        <f t="array" ref="V16">+HLOOKUP($A$1,+[14]İcmal!$B$19:$AG$49,ROW(M14)+1,FALSE)</f>
        <v>0</v>
      </c>
      <c r="W16" s="15" cm="1">
        <f t="array" ref="W16">+HLOOKUP($A$1,+[15]İcmal!$B$19:$AG$49,ROW(N14)+1,FALSE)</f>
        <v>0</v>
      </c>
      <c r="X16" s="15" cm="1">
        <f t="array" ref="X16">+HLOOKUP($A$1,+[16]İcmal!$B$19:$AG$49,ROW(O14)+1,FALSE)</f>
        <v>2.7430000000000021</v>
      </c>
      <c r="Y16" s="15" cm="1">
        <f t="array" ref="Y16">+HLOOKUP($A$1,+[17]İcmal!$B$19:$AG$49,ROW(P14)+1,FALSE)</f>
        <v>2.7519999999999953</v>
      </c>
      <c r="Z16" s="15" cm="1">
        <f t="array" ref="Z16">+HLOOKUP($A$1,+[18]İcmal!$B$19:$AG$49,ROW(Q14)+1,FALSE)</f>
        <v>0</v>
      </c>
      <c r="AA16" s="15" cm="1">
        <f t="array" ref="AA16">+HLOOKUP($A$1,+[19]İcmal!$B$19:$AG$49,ROW(R14)+1,FALSE)</f>
        <v>0</v>
      </c>
      <c r="AB16" s="15" cm="1">
        <f t="array" ref="AB16">+HLOOKUP($A$1,+[20]İcmal!$B$19:$AG$49,ROW(S14)+1,FALSE)</f>
        <v>0</v>
      </c>
      <c r="AC16" s="15" cm="1">
        <f t="array" ref="AC16">+HLOOKUP($A$1,+[21]İcmal!$B$19:$AG$49,ROW(T14)+1,FALSE)</f>
        <v>0</v>
      </c>
      <c r="AD16" s="15" cm="1">
        <f t="array" ref="AD16">+HLOOKUP($A$1,+[22]İcmal!$B$19:$AG$49,ROW(U14)+1,FALSE)</f>
        <v>0</v>
      </c>
      <c r="AE16" s="15" cm="1">
        <f t="array" ref="AE16">+HLOOKUP($A$1,+[23]İcmal!$B$19:$AG$49,ROW(V14)+1,FALSE)</f>
        <v>0</v>
      </c>
      <c r="AF16" s="15" cm="1">
        <f t="array" ref="AF16">+HLOOKUP($A$1,+[24]İcmal!$B$19:$AG$49,ROW(W14)+1,FALSE)</f>
        <v>0</v>
      </c>
      <c r="AG16" s="15" cm="1">
        <f t="array" ref="AG16">+HLOOKUP($A$1,+[25]İcmal!$B$19:$AG$49,ROW(X14)+1,FALSE)</f>
        <v>0</v>
      </c>
      <c r="AH16" s="15" cm="1">
        <f t="array" ref="AH16">+HLOOKUP($A$1,+[26]İcmal!$B$19:$AG$49,ROW(Y14)+1,FALSE)</f>
        <v>0</v>
      </c>
      <c r="AI16" s="15" cm="1">
        <f t="array" ref="AI16">+HLOOKUP($A$1,+[27]İcmal!$B$19:$AG$49,ROW(Z14)+1,FALSE)</f>
        <v>0</v>
      </c>
      <c r="AJ16" s="15" cm="1">
        <f t="array" ref="AJ16">+HLOOKUP($A$1,+[28]İcmal!$B$19:$AG$49,ROW(AA14)+1,FALSE)</f>
        <v>0</v>
      </c>
      <c r="AK16" s="15" cm="1">
        <f t="array" ref="AK16">+HLOOKUP($A$1,+[29]İcmal!$B$19:$AG$49,ROW(AB14)+1,FALSE)</f>
        <v>0</v>
      </c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3"/>
    </row>
    <row r="17" spans="1:54" x14ac:dyDescent="0.3">
      <c r="A17" s="4">
        <v>63</v>
      </c>
      <c r="B17" s="5" t="s">
        <v>39</v>
      </c>
      <c r="C17" s="4" t="s">
        <v>40</v>
      </c>
      <c r="D17" s="6" t="s">
        <v>18</v>
      </c>
      <c r="E17" s="7">
        <v>360205.7</v>
      </c>
      <c r="F17" s="8">
        <v>3400</v>
      </c>
      <c r="G17" s="9">
        <f t="shared" si="0"/>
        <v>1224699380</v>
      </c>
      <c r="H17" s="15">
        <f t="shared" si="1"/>
        <v>0</v>
      </c>
      <c r="I17" s="9">
        <f t="shared" si="2"/>
        <v>0</v>
      </c>
      <c r="J17" s="15" cm="1">
        <f t="array" ref="J17">+HLOOKUP($A$1,+[2]İcmal!$B$19:$AG$49,ROW(A15)+1,FALSE)</f>
        <v>0</v>
      </c>
      <c r="K17" s="15" cm="1">
        <f t="array" ref="K17">+HLOOKUP($A$1,+[3]İcmal!$B$19:$AG$49,ROW(B15)+1,FALSE)</f>
        <v>0</v>
      </c>
      <c r="L17" s="15" cm="1">
        <f t="array" ref="L17">+HLOOKUP($A$1,+[4]İcmal!$B$19:$AG$49,ROW(C15)+1,FALSE)</f>
        <v>0</v>
      </c>
      <c r="M17" s="15" cm="1">
        <f t="array" ref="M17">+HLOOKUP($A$1,+[5]İcmal!$B$19:$AG$49,ROW(D15)+1,FALSE)</f>
        <v>0</v>
      </c>
      <c r="N17" s="15" cm="1">
        <f t="array" ref="N17">+HLOOKUP($A$1,+[6]İcmal!$B$19:$AG$49,ROW(E15)+1,FALSE)</f>
        <v>0</v>
      </c>
      <c r="O17" s="15" cm="1">
        <f t="array" ref="O17">+HLOOKUP($A$1,+[7]İcmal!$B$19:$AG$49,ROW(F15)+1,FALSE)</f>
        <v>0</v>
      </c>
      <c r="P17" s="15" cm="1">
        <f t="array" ref="P17">+HLOOKUP($A$1,+[8]İcmal!$B$19:$AG$49,ROW(G15)+1,FALSE)</f>
        <v>0</v>
      </c>
      <c r="Q17" s="15" cm="1">
        <f t="array" ref="Q17">+HLOOKUP($A$1,+[9]İcmal!$B$19:$AG$49,ROW(H15)+1,FALSE)</f>
        <v>0</v>
      </c>
      <c r="R17" s="15" cm="1">
        <f t="array" ref="R17">+HLOOKUP($A$1,+[10]İcmal!$B$19:$AG$49,ROW(I15)+1,FALSE)</f>
        <v>0</v>
      </c>
      <c r="S17" s="15" cm="1">
        <f t="array" ref="S17">+HLOOKUP($A$1,+[11]İcmal!$B$19:$AG$49,ROW(J15)+1,FALSE)</f>
        <v>0</v>
      </c>
      <c r="T17" s="15" cm="1">
        <f t="array" ref="T17">+HLOOKUP($A$1,+[12]İcmal!$B$19:$AG$49,ROW(K15)+1,FALSE)</f>
        <v>0</v>
      </c>
      <c r="U17" s="15" cm="1">
        <f t="array" ref="U17">+HLOOKUP($A$1,+[13]İcmal!$B$19:$AG$49,ROW(L15)+1,FALSE)</f>
        <v>0</v>
      </c>
      <c r="V17" s="15" cm="1">
        <f t="array" ref="V17">+HLOOKUP($A$1,+[14]İcmal!$B$19:$AG$49,ROW(M15)+1,FALSE)</f>
        <v>0</v>
      </c>
      <c r="W17" s="15" cm="1">
        <f t="array" ref="W17">+HLOOKUP($A$1,+[15]İcmal!$B$19:$AG$49,ROW(N15)+1,FALSE)</f>
        <v>0</v>
      </c>
      <c r="X17" s="15" cm="1">
        <f t="array" ref="X17">+HLOOKUP($A$1,+[16]İcmal!$B$19:$AG$49,ROW(O15)+1,FALSE)</f>
        <v>0</v>
      </c>
      <c r="Y17" s="15" cm="1">
        <f t="array" ref="Y17">+HLOOKUP($A$1,+[17]İcmal!$B$19:$AG$49,ROW(P15)+1,FALSE)</f>
        <v>0</v>
      </c>
      <c r="Z17" s="15" cm="1">
        <f t="array" ref="Z17">+HLOOKUP($A$1,+[18]İcmal!$B$19:$AG$49,ROW(Q15)+1,FALSE)</f>
        <v>0</v>
      </c>
      <c r="AA17" s="15" cm="1">
        <f t="array" ref="AA17">+HLOOKUP($A$1,+[19]İcmal!$B$19:$AG$49,ROW(R15)+1,FALSE)</f>
        <v>0</v>
      </c>
      <c r="AB17" s="15" cm="1">
        <f t="array" ref="AB17">+HLOOKUP($A$1,+[20]İcmal!$B$19:$AG$49,ROW(S15)+1,FALSE)</f>
        <v>0</v>
      </c>
      <c r="AC17" s="15" cm="1">
        <f t="array" ref="AC17">+HLOOKUP($A$1,+[21]İcmal!$B$19:$AG$49,ROW(T15)+1,FALSE)</f>
        <v>0</v>
      </c>
      <c r="AD17" s="15" cm="1">
        <f t="array" ref="AD17">+HLOOKUP($A$1,+[22]İcmal!$B$19:$AG$49,ROW(U15)+1,FALSE)</f>
        <v>0</v>
      </c>
      <c r="AE17" s="15" cm="1">
        <f t="array" ref="AE17">+HLOOKUP($A$1,+[23]İcmal!$B$19:$AG$49,ROW(V15)+1,FALSE)</f>
        <v>0</v>
      </c>
      <c r="AF17" s="15" cm="1">
        <f t="array" ref="AF17">+HLOOKUP($A$1,+[24]İcmal!$B$19:$AG$49,ROW(W15)+1,FALSE)</f>
        <v>0</v>
      </c>
      <c r="AG17" s="15" cm="1">
        <f t="array" ref="AG17">+HLOOKUP($A$1,+[25]İcmal!$B$19:$AG$49,ROW(X15)+1,FALSE)</f>
        <v>0</v>
      </c>
      <c r="AH17" s="15" cm="1">
        <f t="array" ref="AH17">+HLOOKUP($A$1,+[26]İcmal!$B$19:$AG$49,ROW(Y15)+1,FALSE)</f>
        <v>0</v>
      </c>
      <c r="AI17" s="15" cm="1">
        <f t="array" ref="AI17">+HLOOKUP($A$1,+[27]İcmal!$B$19:$AG$49,ROW(Z15)+1,FALSE)</f>
        <v>0</v>
      </c>
      <c r="AJ17" s="15" cm="1">
        <f t="array" ref="AJ17">+HLOOKUP($A$1,+[28]İcmal!$B$19:$AG$49,ROW(AA15)+1,FALSE)</f>
        <v>0</v>
      </c>
      <c r="AK17" s="15" cm="1">
        <f t="array" ref="AK17">+HLOOKUP($A$1,+[29]İcmal!$B$19:$AG$49,ROW(AB15)+1,FALSE)</f>
        <v>0</v>
      </c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3"/>
    </row>
    <row r="18" spans="1:54" x14ac:dyDescent="0.3">
      <c r="A18" s="4">
        <v>64</v>
      </c>
      <c r="B18" s="4" t="s">
        <v>41</v>
      </c>
      <c r="C18" s="4" t="s">
        <v>42</v>
      </c>
      <c r="D18" s="6" t="s">
        <v>43</v>
      </c>
      <c r="E18" s="7">
        <v>78502.509999999995</v>
      </c>
      <c r="F18" s="8">
        <v>510</v>
      </c>
      <c r="G18" s="9">
        <f t="shared" si="0"/>
        <v>40036280.099999994</v>
      </c>
      <c r="H18" s="15">
        <f t="shared" si="1"/>
        <v>0</v>
      </c>
      <c r="I18" s="9">
        <f t="shared" si="2"/>
        <v>0</v>
      </c>
      <c r="J18" s="15" cm="1">
        <f t="array" ref="J18">+HLOOKUP($A$1,+[2]İcmal!$B$19:$AG$49,ROW(A16)+1,FALSE)</f>
        <v>0</v>
      </c>
      <c r="K18" s="15" cm="1">
        <f t="array" ref="K18">+HLOOKUP($A$1,+[3]İcmal!$B$19:$AG$49,ROW(B16)+1,FALSE)</f>
        <v>0</v>
      </c>
      <c r="L18" s="15" cm="1">
        <f t="array" ref="L18">+HLOOKUP($A$1,+[4]İcmal!$B$19:$AG$49,ROW(C16)+1,FALSE)</f>
        <v>0</v>
      </c>
      <c r="M18" s="15" cm="1">
        <f t="array" ref="M18">+HLOOKUP($A$1,+[5]İcmal!$B$19:$AG$49,ROW(D16)+1,FALSE)</f>
        <v>0</v>
      </c>
      <c r="N18" s="15" cm="1">
        <f t="array" ref="N18">+HLOOKUP($A$1,+[6]İcmal!$B$19:$AG$49,ROW(E16)+1,FALSE)</f>
        <v>0</v>
      </c>
      <c r="O18" s="15" cm="1">
        <f t="array" ref="O18">+HLOOKUP($A$1,+[7]İcmal!$B$19:$AG$49,ROW(F16)+1,FALSE)</f>
        <v>0</v>
      </c>
      <c r="P18" s="15" cm="1">
        <f t="array" ref="P18">+HLOOKUP($A$1,+[8]İcmal!$B$19:$AG$49,ROW(G16)+1,FALSE)</f>
        <v>0</v>
      </c>
      <c r="Q18" s="15" cm="1">
        <f t="array" ref="Q18">+HLOOKUP($A$1,+[9]İcmal!$B$19:$AG$49,ROW(H16)+1,FALSE)</f>
        <v>0</v>
      </c>
      <c r="R18" s="15" cm="1">
        <f t="array" ref="R18">+HLOOKUP($A$1,+[10]İcmal!$B$19:$AG$49,ROW(I16)+1,FALSE)</f>
        <v>0</v>
      </c>
      <c r="S18" s="15" cm="1">
        <f t="array" ref="S18">+HLOOKUP($A$1,+[11]İcmal!$B$19:$AG$49,ROW(J16)+1,FALSE)</f>
        <v>0</v>
      </c>
      <c r="T18" s="15" cm="1">
        <f t="array" ref="T18">+HLOOKUP($A$1,+[12]İcmal!$B$19:$AG$49,ROW(K16)+1,FALSE)</f>
        <v>0</v>
      </c>
      <c r="U18" s="15" cm="1">
        <f t="array" ref="U18">+HLOOKUP($A$1,+[13]İcmal!$B$19:$AG$49,ROW(L16)+1,FALSE)</f>
        <v>0</v>
      </c>
      <c r="V18" s="15" cm="1">
        <f t="array" ref="V18">+HLOOKUP($A$1,+[14]İcmal!$B$19:$AG$49,ROW(M16)+1,FALSE)</f>
        <v>0</v>
      </c>
      <c r="W18" s="15" cm="1">
        <f t="array" ref="W18">+HLOOKUP($A$1,+[15]İcmal!$B$19:$AG$49,ROW(N16)+1,FALSE)</f>
        <v>0</v>
      </c>
      <c r="X18" s="15" cm="1">
        <f t="array" ref="X18">+HLOOKUP($A$1,+[16]İcmal!$B$19:$AG$49,ROW(O16)+1,FALSE)</f>
        <v>0</v>
      </c>
      <c r="Y18" s="15" cm="1">
        <f t="array" ref="Y18">+HLOOKUP($A$1,+[17]İcmal!$B$19:$AG$49,ROW(P16)+1,FALSE)</f>
        <v>0</v>
      </c>
      <c r="Z18" s="15" cm="1">
        <f t="array" ref="Z18">+HLOOKUP($A$1,+[18]İcmal!$B$19:$AG$49,ROW(Q16)+1,FALSE)</f>
        <v>0</v>
      </c>
      <c r="AA18" s="15" cm="1">
        <f t="array" ref="AA18">+HLOOKUP($A$1,+[19]İcmal!$B$19:$AG$49,ROW(R16)+1,FALSE)</f>
        <v>0</v>
      </c>
      <c r="AB18" s="15" cm="1">
        <f t="array" ref="AB18">+HLOOKUP($A$1,+[20]İcmal!$B$19:$AG$49,ROW(S16)+1,FALSE)</f>
        <v>0</v>
      </c>
      <c r="AC18" s="15" cm="1">
        <f t="array" ref="AC18">+HLOOKUP($A$1,+[21]İcmal!$B$19:$AG$49,ROW(T16)+1,FALSE)</f>
        <v>0</v>
      </c>
      <c r="AD18" s="15" cm="1">
        <f t="array" ref="AD18">+HLOOKUP($A$1,+[22]İcmal!$B$19:$AG$49,ROW(U16)+1,FALSE)</f>
        <v>0</v>
      </c>
      <c r="AE18" s="15" cm="1">
        <f t="array" ref="AE18">+HLOOKUP($A$1,+[23]İcmal!$B$19:$AG$49,ROW(V16)+1,FALSE)</f>
        <v>0</v>
      </c>
      <c r="AF18" s="15" cm="1">
        <f t="array" ref="AF18">+HLOOKUP($A$1,+[24]İcmal!$B$19:$AG$49,ROW(W16)+1,FALSE)</f>
        <v>0</v>
      </c>
      <c r="AG18" s="15" cm="1">
        <f t="array" ref="AG18">+HLOOKUP($A$1,+[25]İcmal!$B$19:$AG$49,ROW(X16)+1,FALSE)</f>
        <v>0</v>
      </c>
      <c r="AH18" s="15" cm="1">
        <f t="array" ref="AH18">+HLOOKUP($A$1,+[26]İcmal!$B$19:$AG$49,ROW(Y16)+1,FALSE)</f>
        <v>0</v>
      </c>
      <c r="AI18" s="15" cm="1">
        <f t="array" ref="AI18">+HLOOKUP($A$1,+[27]İcmal!$B$19:$AG$49,ROW(Z16)+1,FALSE)</f>
        <v>0</v>
      </c>
      <c r="AJ18" s="15" cm="1">
        <f t="array" ref="AJ18">+HLOOKUP($A$1,+[28]İcmal!$B$19:$AG$49,ROW(AA16)+1,FALSE)</f>
        <v>0</v>
      </c>
      <c r="AK18" s="15" cm="1">
        <f t="array" ref="AK18">+HLOOKUP($A$1,+[29]İcmal!$B$19:$AG$49,ROW(AB16)+1,FALSE)</f>
        <v>0</v>
      </c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3"/>
    </row>
    <row r="19" spans="1:54" x14ac:dyDescent="0.3">
      <c r="A19" s="4">
        <v>65</v>
      </c>
      <c r="B19" s="4" t="s">
        <v>44</v>
      </c>
      <c r="C19" s="4" t="s">
        <v>45</v>
      </c>
      <c r="D19" s="6" t="s">
        <v>43</v>
      </c>
      <c r="E19" s="7">
        <v>67207.820000000007</v>
      </c>
      <c r="F19" s="8">
        <v>1200</v>
      </c>
      <c r="G19" s="9">
        <f t="shared" si="0"/>
        <v>80649384.000000015</v>
      </c>
      <c r="H19" s="15">
        <f t="shared" si="1"/>
        <v>0</v>
      </c>
      <c r="I19" s="9">
        <f t="shared" si="2"/>
        <v>0</v>
      </c>
      <c r="J19" s="15" cm="1">
        <f t="array" ref="J19">+HLOOKUP($A$1,+[2]İcmal!$B$19:$AG$49,ROW(A17)+1,FALSE)</f>
        <v>0</v>
      </c>
      <c r="K19" s="15" cm="1">
        <f t="array" ref="K19">+HLOOKUP($A$1,+[3]İcmal!$B$19:$AG$49,ROW(B17)+1,FALSE)</f>
        <v>0</v>
      </c>
      <c r="L19" s="15" cm="1">
        <f t="array" ref="L19">+HLOOKUP($A$1,+[4]İcmal!$B$19:$AG$49,ROW(C17)+1,FALSE)</f>
        <v>0</v>
      </c>
      <c r="M19" s="15" cm="1">
        <f t="array" ref="M19">+HLOOKUP($A$1,+[5]İcmal!$B$19:$AG$49,ROW(D17)+1,FALSE)</f>
        <v>0</v>
      </c>
      <c r="N19" s="15" cm="1">
        <f t="array" ref="N19">+HLOOKUP($A$1,+[6]İcmal!$B$19:$AG$49,ROW(E17)+1,FALSE)</f>
        <v>0</v>
      </c>
      <c r="O19" s="15" cm="1">
        <f t="array" ref="O19">+HLOOKUP($A$1,+[7]İcmal!$B$19:$AG$49,ROW(F17)+1,FALSE)</f>
        <v>0</v>
      </c>
      <c r="P19" s="15" cm="1">
        <f t="array" ref="P19">+HLOOKUP($A$1,+[8]İcmal!$B$19:$AG$49,ROW(G17)+1,FALSE)</f>
        <v>0</v>
      </c>
      <c r="Q19" s="15" cm="1">
        <f t="array" ref="Q19">+HLOOKUP($A$1,+[9]İcmal!$B$19:$AG$49,ROW(H17)+1,FALSE)</f>
        <v>0</v>
      </c>
      <c r="R19" s="15" cm="1">
        <f t="array" ref="R19">+HLOOKUP($A$1,+[10]İcmal!$B$19:$AG$49,ROW(I17)+1,FALSE)</f>
        <v>0</v>
      </c>
      <c r="S19" s="15" cm="1">
        <f t="array" ref="S19">+HLOOKUP($A$1,+[11]İcmal!$B$19:$AG$49,ROW(J17)+1,FALSE)</f>
        <v>0</v>
      </c>
      <c r="T19" s="15" cm="1">
        <f t="array" ref="T19">+HLOOKUP($A$1,+[12]İcmal!$B$19:$AG$49,ROW(K17)+1,FALSE)</f>
        <v>0</v>
      </c>
      <c r="U19" s="15" cm="1">
        <f t="array" ref="U19">+HLOOKUP($A$1,+[13]İcmal!$B$19:$AG$49,ROW(L17)+1,FALSE)</f>
        <v>0</v>
      </c>
      <c r="V19" s="15" cm="1">
        <f t="array" ref="V19">+HLOOKUP($A$1,+[14]İcmal!$B$19:$AG$49,ROW(M17)+1,FALSE)</f>
        <v>0</v>
      </c>
      <c r="W19" s="15" cm="1">
        <f t="array" ref="W19">+HLOOKUP($A$1,+[15]İcmal!$B$19:$AG$49,ROW(N17)+1,FALSE)</f>
        <v>0</v>
      </c>
      <c r="X19" s="15" cm="1">
        <f t="array" ref="X19">+HLOOKUP($A$1,+[16]İcmal!$B$19:$AG$49,ROW(O17)+1,FALSE)</f>
        <v>0</v>
      </c>
      <c r="Y19" s="15" cm="1">
        <f t="array" ref="Y19">+HLOOKUP($A$1,+[17]İcmal!$B$19:$AG$49,ROW(P17)+1,FALSE)</f>
        <v>0</v>
      </c>
      <c r="Z19" s="15" cm="1">
        <f t="array" ref="Z19">+HLOOKUP($A$1,+[18]İcmal!$B$19:$AG$49,ROW(Q17)+1,FALSE)</f>
        <v>0</v>
      </c>
      <c r="AA19" s="15" cm="1">
        <f t="array" ref="AA19">+HLOOKUP($A$1,+[19]İcmal!$B$19:$AG$49,ROW(R17)+1,FALSE)</f>
        <v>0</v>
      </c>
      <c r="AB19" s="15" cm="1">
        <f t="array" ref="AB19">+HLOOKUP($A$1,+[20]İcmal!$B$19:$AG$49,ROW(S17)+1,FALSE)</f>
        <v>0</v>
      </c>
      <c r="AC19" s="15" cm="1">
        <f t="array" ref="AC19">+HLOOKUP($A$1,+[21]İcmal!$B$19:$AG$49,ROW(T17)+1,FALSE)</f>
        <v>0</v>
      </c>
      <c r="AD19" s="15" cm="1">
        <f t="array" ref="AD19">+HLOOKUP($A$1,+[22]İcmal!$B$19:$AG$49,ROW(U17)+1,FALSE)</f>
        <v>0</v>
      </c>
      <c r="AE19" s="15" cm="1">
        <f t="array" ref="AE19">+HLOOKUP($A$1,+[23]İcmal!$B$19:$AG$49,ROW(V17)+1,FALSE)</f>
        <v>0</v>
      </c>
      <c r="AF19" s="15" cm="1">
        <f t="array" ref="AF19">+HLOOKUP($A$1,+[24]İcmal!$B$19:$AG$49,ROW(W17)+1,FALSE)</f>
        <v>0</v>
      </c>
      <c r="AG19" s="15" cm="1">
        <f t="array" ref="AG19">+HLOOKUP($A$1,+[25]İcmal!$B$19:$AG$49,ROW(X17)+1,FALSE)</f>
        <v>0</v>
      </c>
      <c r="AH19" s="15" cm="1">
        <f t="array" ref="AH19">+HLOOKUP($A$1,+[26]İcmal!$B$19:$AG$49,ROW(Y17)+1,FALSE)</f>
        <v>0</v>
      </c>
      <c r="AI19" s="15" cm="1">
        <f t="array" ref="AI19">+HLOOKUP($A$1,+[27]İcmal!$B$19:$AG$49,ROW(Z17)+1,FALSE)</f>
        <v>0</v>
      </c>
      <c r="AJ19" s="15" cm="1">
        <f t="array" ref="AJ19">+HLOOKUP($A$1,+[28]İcmal!$B$19:$AG$49,ROW(AA17)+1,FALSE)</f>
        <v>0</v>
      </c>
      <c r="AK19" s="15" cm="1">
        <f t="array" ref="AK19">+HLOOKUP($A$1,+[29]İcmal!$B$19:$AG$49,ROW(AB17)+1,FALSE)</f>
        <v>0</v>
      </c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3"/>
    </row>
    <row r="20" spans="1:54" x14ac:dyDescent="0.3">
      <c r="A20" s="4">
        <v>66</v>
      </c>
      <c r="B20" s="5" t="s">
        <v>46</v>
      </c>
      <c r="C20" s="4" t="s">
        <v>47</v>
      </c>
      <c r="D20" s="6" t="s">
        <v>18</v>
      </c>
      <c r="E20" s="7">
        <v>11190.19</v>
      </c>
      <c r="F20" s="8">
        <v>2160</v>
      </c>
      <c r="G20" s="9">
        <f t="shared" si="0"/>
        <v>24170810.400000002</v>
      </c>
      <c r="H20" s="15">
        <f t="shared" si="1"/>
        <v>0</v>
      </c>
      <c r="I20" s="9">
        <f t="shared" si="2"/>
        <v>0</v>
      </c>
      <c r="J20" s="15" cm="1">
        <f t="array" ref="J20">+HLOOKUP($A$1,+[2]İcmal!$B$19:$AG$49,ROW(A18)+1,FALSE)</f>
        <v>0</v>
      </c>
      <c r="K20" s="15" cm="1">
        <f t="array" ref="K20">+HLOOKUP($A$1,+[3]İcmal!$B$19:$AG$49,ROW(B18)+1,FALSE)</f>
        <v>0</v>
      </c>
      <c r="L20" s="15" cm="1">
        <f t="array" ref="L20">+HLOOKUP($A$1,+[4]İcmal!$B$19:$AG$49,ROW(C18)+1,FALSE)</f>
        <v>0</v>
      </c>
      <c r="M20" s="15" cm="1">
        <f t="array" ref="M20">+HLOOKUP($A$1,+[5]İcmal!$B$19:$AG$49,ROW(D18)+1,FALSE)</f>
        <v>0</v>
      </c>
      <c r="N20" s="15" cm="1">
        <f t="array" ref="N20">+HLOOKUP($A$1,+[6]İcmal!$B$19:$AG$49,ROW(E18)+1,FALSE)</f>
        <v>0</v>
      </c>
      <c r="O20" s="15" cm="1">
        <f t="array" ref="O20">+HLOOKUP($A$1,+[7]İcmal!$B$19:$AG$49,ROW(F18)+1,FALSE)</f>
        <v>0</v>
      </c>
      <c r="P20" s="15" cm="1">
        <f t="array" ref="P20">+HLOOKUP($A$1,+[8]İcmal!$B$19:$AG$49,ROW(G18)+1,FALSE)</f>
        <v>0</v>
      </c>
      <c r="Q20" s="15" cm="1">
        <f t="array" ref="Q20">+HLOOKUP($A$1,+[9]İcmal!$B$19:$AG$49,ROW(H18)+1,FALSE)</f>
        <v>0</v>
      </c>
      <c r="R20" s="15" cm="1">
        <f t="array" ref="R20">+HLOOKUP($A$1,+[10]İcmal!$B$19:$AG$49,ROW(I18)+1,FALSE)</f>
        <v>0</v>
      </c>
      <c r="S20" s="15" cm="1">
        <f t="array" ref="S20">+HLOOKUP($A$1,+[11]İcmal!$B$19:$AG$49,ROW(J18)+1,FALSE)</f>
        <v>0</v>
      </c>
      <c r="T20" s="15" cm="1">
        <f t="array" ref="T20">+HLOOKUP($A$1,+[12]İcmal!$B$19:$AG$49,ROW(K18)+1,FALSE)</f>
        <v>0</v>
      </c>
      <c r="U20" s="15" cm="1">
        <f t="array" ref="U20">+HLOOKUP($A$1,+[13]İcmal!$B$19:$AG$49,ROW(L18)+1,FALSE)</f>
        <v>0</v>
      </c>
      <c r="V20" s="15" cm="1">
        <f t="array" ref="V20">+HLOOKUP($A$1,+[14]İcmal!$B$19:$AG$49,ROW(M18)+1,FALSE)</f>
        <v>0</v>
      </c>
      <c r="W20" s="15" cm="1">
        <f t="array" ref="W20">+HLOOKUP($A$1,+[15]İcmal!$B$19:$AG$49,ROW(N18)+1,FALSE)</f>
        <v>0</v>
      </c>
      <c r="X20" s="15" cm="1">
        <f t="array" ref="X20">+HLOOKUP($A$1,+[16]İcmal!$B$19:$AG$49,ROW(O18)+1,FALSE)</f>
        <v>0</v>
      </c>
      <c r="Y20" s="15" cm="1">
        <f t="array" ref="Y20">+HLOOKUP($A$1,+[17]İcmal!$B$19:$AG$49,ROW(P18)+1,FALSE)</f>
        <v>0</v>
      </c>
      <c r="Z20" s="15" cm="1">
        <f t="array" ref="Z20">+HLOOKUP($A$1,+[18]İcmal!$B$19:$AG$49,ROW(Q18)+1,FALSE)</f>
        <v>0</v>
      </c>
      <c r="AA20" s="15" cm="1">
        <f t="array" ref="AA20">+HLOOKUP($A$1,+[19]İcmal!$B$19:$AG$49,ROW(R18)+1,FALSE)</f>
        <v>0</v>
      </c>
      <c r="AB20" s="15" cm="1">
        <f t="array" ref="AB20">+HLOOKUP($A$1,+[20]İcmal!$B$19:$AG$49,ROW(S18)+1,FALSE)</f>
        <v>0</v>
      </c>
      <c r="AC20" s="15" cm="1">
        <f t="array" ref="AC20">+HLOOKUP($A$1,+[21]İcmal!$B$19:$AG$49,ROW(T18)+1,FALSE)</f>
        <v>0</v>
      </c>
      <c r="AD20" s="15" cm="1">
        <f t="array" ref="AD20">+HLOOKUP($A$1,+[22]İcmal!$B$19:$AG$49,ROW(U18)+1,FALSE)</f>
        <v>0</v>
      </c>
      <c r="AE20" s="15" cm="1">
        <f t="array" ref="AE20">+HLOOKUP($A$1,+[23]İcmal!$B$19:$AG$49,ROW(V18)+1,FALSE)</f>
        <v>0</v>
      </c>
      <c r="AF20" s="15" cm="1">
        <f t="array" ref="AF20">+HLOOKUP($A$1,+[24]İcmal!$B$19:$AG$49,ROW(W18)+1,FALSE)</f>
        <v>0</v>
      </c>
      <c r="AG20" s="15" cm="1">
        <f t="array" ref="AG20">+HLOOKUP($A$1,+[25]İcmal!$B$19:$AG$49,ROW(X18)+1,FALSE)</f>
        <v>0</v>
      </c>
      <c r="AH20" s="15" cm="1">
        <f t="array" ref="AH20">+HLOOKUP($A$1,+[26]İcmal!$B$19:$AG$49,ROW(Y18)+1,FALSE)</f>
        <v>0</v>
      </c>
      <c r="AI20" s="15" cm="1">
        <f t="array" ref="AI20">+HLOOKUP($A$1,+[27]İcmal!$B$19:$AG$49,ROW(Z18)+1,FALSE)</f>
        <v>0</v>
      </c>
      <c r="AJ20" s="15" cm="1">
        <f t="array" ref="AJ20">+HLOOKUP($A$1,+[28]İcmal!$B$19:$AG$49,ROW(AA18)+1,FALSE)</f>
        <v>0</v>
      </c>
      <c r="AK20" s="15" cm="1">
        <f t="array" ref="AK20">+HLOOKUP($A$1,+[29]İcmal!$B$19:$AG$49,ROW(AB18)+1,FALSE)</f>
        <v>0</v>
      </c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3"/>
    </row>
    <row r="21" spans="1:54" x14ac:dyDescent="0.3">
      <c r="A21" s="4">
        <v>67</v>
      </c>
      <c r="B21" s="4" t="s">
        <v>48</v>
      </c>
      <c r="C21" s="4" t="s">
        <v>49</v>
      </c>
      <c r="D21" s="6" t="s">
        <v>43</v>
      </c>
      <c r="E21" s="7">
        <v>24185.25</v>
      </c>
      <c r="F21" s="8">
        <v>4150</v>
      </c>
      <c r="G21" s="9">
        <f t="shared" si="0"/>
        <v>100368787.5</v>
      </c>
      <c r="H21" s="15">
        <f t="shared" si="1"/>
        <v>0</v>
      </c>
      <c r="I21" s="9">
        <f t="shared" si="2"/>
        <v>0</v>
      </c>
      <c r="J21" s="15" cm="1">
        <f t="array" ref="J21">+HLOOKUP($A$1,+[2]İcmal!$B$19:$AG$49,ROW(A19)+1,FALSE)</f>
        <v>0</v>
      </c>
      <c r="K21" s="15" cm="1">
        <f t="array" ref="K21">+HLOOKUP($A$1,+[3]İcmal!$B$19:$AG$49,ROW(B19)+1,FALSE)</f>
        <v>0</v>
      </c>
      <c r="L21" s="15" cm="1">
        <f t="array" ref="L21">+HLOOKUP($A$1,+[4]İcmal!$B$19:$AG$49,ROW(C19)+1,FALSE)</f>
        <v>0</v>
      </c>
      <c r="M21" s="15" cm="1">
        <f t="array" ref="M21">+HLOOKUP($A$1,+[5]İcmal!$B$19:$AG$49,ROW(D19)+1,FALSE)</f>
        <v>0</v>
      </c>
      <c r="N21" s="15" cm="1">
        <f t="array" ref="N21">+HLOOKUP($A$1,+[6]İcmal!$B$19:$AG$49,ROW(E19)+1,FALSE)</f>
        <v>0</v>
      </c>
      <c r="O21" s="15" cm="1">
        <f t="array" ref="O21">+HLOOKUP($A$1,+[7]İcmal!$B$19:$AG$49,ROW(F19)+1,FALSE)</f>
        <v>0</v>
      </c>
      <c r="P21" s="15" cm="1">
        <f t="array" ref="P21">+HLOOKUP($A$1,+[8]İcmal!$B$19:$AG$49,ROW(G19)+1,FALSE)</f>
        <v>0</v>
      </c>
      <c r="Q21" s="15" cm="1">
        <f t="array" ref="Q21">+HLOOKUP($A$1,+[9]İcmal!$B$19:$AG$49,ROW(H19)+1,FALSE)</f>
        <v>0</v>
      </c>
      <c r="R21" s="15" cm="1">
        <f t="array" ref="R21">+HLOOKUP($A$1,+[10]İcmal!$B$19:$AG$49,ROW(I19)+1,FALSE)</f>
        <v>0</v>
      </c>
      <c r="S21" s="15" cm="1">
        <f t="array" ref="S21">+HLOOKUP($A$1,+[11]İcmal!$B$19:$AG$49,ROW(J19)+1,FALSE)</f>
        <v>0</v>
      </c>
      <c r="T21" s="15" cm="1">
        <f t="array" ref="T21">+HLOOKUP($A$1,+[12]İcmal!$B$19:$AG$49,ROW(K19)+1,FALSE)</f>
        <v>0</v>
      </c>
      <c r="U21" s="15" cm="1">
        <f t="array" ref="U21">+HLOOKUP($A$1,+[13]İcmal!$B$19:$AG$49,ROW(L19)+1,FALSE)</f>
        <v>0</v>
      </c>
      <c r="V21" s="15" cm="1">
        <f t="array" ref="V21">+HLOOKUP($A$1,+[14]İcmal!$B$19:$AG$49,ROW(M19)+1,FALSE)</f>
        <v>0</v>
      </c>
      <c r="W21" s="15" cm="1">
        <f t="array" ref="W21">+HLOOKUP($A$1,+[15]İcmal!$B$19:$AG$49,ROW(N19)+1,FALSE)</f>
        <v>0</v>
      </c>
      <c r="X21" s="15" cm="1">
        <f t="array" ref="X21">+HLOOKUP($A$1,+[16]İcmal!$B$19:$AG$49,ROW(O19)+1,FALSE)</f>
        <v>0</v>
      </c>
      <c r="Y21" s="15" cm="1">
        <f t="array" ref="Y21">+HLOOKUP($A$1,+[17]İcmal!$B$19:$AG$49,ROW(P19)+1,FALSE)</f>
        <v>0</v>
      </c>
      <c r="Z21" s="15" cm="1">
        <f t="array" ref="Z21">+HLOOKUP($A$1,+[18]İcmal!$B$19:$AG$49,ROW(Q19)+1,FALSE)</f>
        <v>0</v>
      </c>
      <c r="AA21" s="15" cm="1">
        <f t="array" ref="AA21">+HLOOKUP($A$1,+[19]İcmal!$B$19:$AG$49,ROW(R19)+1,FALSE)</f>
        <v>0</v>
      </c>
      <c r="AB21" s="15" cm="1">
        <f t="array" ref="AB21">+HLOOKUP($A$1,+[20]İcmal!$B$19:$AG$49,ROW(S19)+1,FALSE)</f>
        <v>0</v>
      </c>
      <c r="AC21" s="15" cm="1">
        <f t="array" ref="AC21">+HLOOKUP($A$1,+[21]İcmal!$B$19:$AG$49,ROW(T19)+1,FALSE)</f>
        <v>0</v>
      </c>
      <c r="AD21" s="15" cm="1">
        <f t="array" ref="AD21">+HLOOKUP($A$1,+[22]İcmal!$B$19:$AG$49,ROW(U19)+1,FALSE)</f>
        <v>0</v>
      </c>
      <c r="AE21" s="15" cm="1">
        <f t="array" ref="AE21">+HLOOKUP($A$1,+[23]İcmal!$B$19:$AG$49,ROW(V19)+1,FALSE)</f>
        <v>0</v>
      </c>
      <c r="AF21" s="15" cm="1">
        <f t="array" ref="AF21">+HLOOKUP($A$1,+[24]İcmal!$B$19:$AG$49,ROW(W19)+1,FALSE)</f>
        <v>0</v>
      </c>
      <c r="AG21" s="15" cm="1">
        <f t="array" ref="AG21">+HLOOKUP($A$1,+[25]İcmal!$B$19:$AG$49,ROW(X19)+1,FALSE)</f>
        <v>0</v>
      </c>
      <c r="AH21" s="15" cm="1">
        <f t="array" ref="AH21">+HLOOKUP($A$1,+[26]İcmal!$B$19:$AG$49,ROW(Y19)+1,FALSE)</f>
        <v>0</v>
      </c>
      <c r="AI21" s="15" cm="1">
        <f t="array" ref="AI21">+HLOOKUP($A$1,+[27]İcmal!$B$19:$AG$49,ROW(Z19)+1,FALSE)</f>
        <v>0</v>
      </c>
      <c r="AJ21" s="15" cm="1">
        <f t="array" ref="AJ21">+HLOOKUP($A$1,+[28]İcmal!$B$19:$AG$49,ROW(AA19)+1,FALSE)</f>
        <v>0</v>
      </c>
      <c r="AK21" s="15" cm="1">
        <f t="array" ref="AK21">+HLOOKUP($A$1,+[29]İcmal!$B$19:$AG$49,ROW(AB19)+1,FALSE)</f>
        <v>0</v>
      </c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3"/>
    </row>
    <row r="22" spans="1:54" x14ac:dyDescent="0.3">
      <c r="A22" s="4">
        <v>68</v>
      </c>
      <c r="B22" s="4" t="s">
        <v>50</v>
      </c>
      <c r="C22" s="4" t="s">
        <v>51</v>
      </c>
      <c r="D22" s="6" t="s">
        <v>43</v>
      </c>
      <c r="E22" s="7">
        <v>59207.42</v>
      </c>
      <c r="F22" s="8">
        <v>1500</v>
      </c>
      <c r="G22" s="9">
        <f t="shared" si="0"/>
        <v>88811130</v>
      </c>
      <c r="H22" s="15">
        <f t="shared" si="1"/>
        <v>0</v>
      </c>
      <c r="I22" s="9">
        <f t="shared" si="2"/>
        <v>0</v>
      </c>
      <c r="J22" s="15" cm="1">
        <f t="array" ref="J22">+HLOOKUP($A$1,+[2]İcmal!$B$19:$AG$49,ROW(A20)+1,FALSE)</f>
        <v>0</v>
      </c>
      <c r="K22" s="15" cm="1">
        <f t="array" ref="K22">+HLOOKUP($A$1,+[3]İcmal!$B$19:$AG$49,ROW(B20)+1,FALSE)</f>
        <v>0</v>
      </c>
      <c r="L22" s="15" cm="1">
        <f t="array" ref="L22">+HLOOKUP($A$1,+[4]İcmal!$B$19:$AG$49,ROW(C20)+1,FALSE)</f>
        <v>0</v>
      </c>
      <c r="M22" s="15" cm="1">
        <f t="array" ref="M22">+HLOOKUP($A$1,+[5]İcmal!$B$19:$AG$49,ROW(D20)+1,FALSE)</f>
        <v>0</v>
      </c>
      <c r="N22" s="15" cm="1">
        <f t="array" ref="N22">+HLOOKUP($A$1,+[6]İcmal!$B$19:$AG$49,ROW(E20)+1,FALSE)</f>
        <v>0</v>
      </c>
      <c r="O22" s="15" cm="1">
        <f t="array" ref="O22">+HLOOKUP($A$1,+[7]İcmal!$B$19:$AG$49,ROW(F20)+1,FALSE)</f>
        <v>0</v>
      </c>
      <c r="P22" s="15" cm="1">
        <f t="array" ref="P22">+HLOOKUP($A$1,+[8]İcmal!$B$19:$AG$49,ROW(G20)+1,FALSE)</f>
        <v>0</v>
      </c>
      <c r="Q22" s="15" cm="1">
        <f t="array" ref="Q22">+HLOOKUP($A$1,+[9]İcmal!$B$19:$AG$49,ROW(H20)+1,FALSE)</f>
        <v>0</v>
      </c>
      <c r="R22" s="15" cm="1">
        <f t="array" ref="R22">+HLOOKUP($A$1,+[10]İcmal!$B$19:$AG$49,ROW(I20)+1,FALSE)</f>
        <v>0</v>
      </c>
      <c r="S22" s="15" cm="1">
        <f t="array" ref="S22">+HLOOKUP($A$1,+[11]İcmal!$B$19:$AG$49,ROW(J20)+1,FALSE)</f>
        <v>0</v>
      </c>
      <c r="T22" s="15" cm="1">
        <f t="array" ref="T22">+HLOOKUP($A$1,+[12]İcmal!$B$19:$AG$49,ROW(K20)+1,FALSE)</f>
        <v>0</v>
      </c>
      <c r="U22" s="15" cm="1">
        <f t="array" ref="U22">+HLOOKUP($A$1,+[13]İcmal!$B$19:$AG$49,ROW(L20)+1,FALSE)</f>
        <v>0</v>
      </c>
      <c r="V22" s="15" cm="1">
        <f t="array" ref="V22">+HLOOKUP($A$1,+[14]İcmal!$B$19:$AG$49,ROW(M20)+1,FALSE)</f>
        <v>0</v>
      </c>
      <c r="W22" s="15" cm="1">
        <f t="array" ref="W22">+HLOOKUP($A$1,+[15]İcmal!$B$19:$AG$49,ROW(N20)+1,FALSE)</f>
        <v>0</v>
      </c>
      <c r="X22" s="15" cm="1">
        <f t="array" ref="X22">+HLOOKUP($A$1,+[16]İcmal!$B$19:$AG$49,ROW(O20)+1,FALSE)</f>
        <v>0</v>
      </c>
      <c r="Y22" s="15" cm="1">
        <f t="array" ref="Y22">+HLOOKUP($A$1,+[17]İcmal!$B$19:$AG$49,ROW(P20)+1,FALSE)</f>
        <v>0</v>
      </c>
      <c r="Z22" s="15" cm="1">
        <f t="array" ref="Z22">+HLOOKUP($A$1,+[18]İcmal!$B$19:$AG$49,ROW(Q20)+1,FALSE)</f>
        <v>0</v>
      </c>
      <c r="AA22" s="15" cm="1">
        <f t="array" ref="AA22">+HLOOKUP($A$1,+[19]İcmal!$B$19:$AG$49,ROW(R20)+1,FALSE)</f>
        <v>0</v>
      </c>
      <c r="AB22" s="15" cm="1">
        <f t="array" ref="AB22">+HLOOKUP($A$1,+[20]İcmal!$B$19:$AG$49,ROW(S20)+1,FALSE)</f>
        <v>0</v>
      </c>
      <c r="AC22" s="15" cm="1">
        <f t="array" ref="AC22">+HLOOKUP($A$1,+[21]İcmal!$B$19:$AG$49,ROW(T20)+1,FALSE)</f>
        <v>0</v>
      </c>
      <c r="AD22" s="15" cm="1">
        <f t="array" ref="AD22">+HLOOKUP($A$1,+[22]İcmal!$B$19:$AG$49,ROW(U20)+1,FALSE)</f>
        <v>0</v>
      </c>
      <c r="AE22" s="15" cm="1">
        <f t="array" ref="AE22">+HLOOKUP($A$1,+[23]İcmal!$B$19:$AG$49,ROW(V20)+1,FALSE)</f>
        <v>0</v>
      </c>
      <c r="AF22" s="15" cm="1">
        <f t="array" ref="AF22">+HLOOKUP($A$1,+[24]İcmal!$B$19:$AG$49,ROW(W20)+1,FALSE)</f>
        <v>0</v>
      </c>
      <c r="AG22" s="15" cm="1">
        <f t="array" ref="AG22">+HLOOKUP($A$1,+[25]İcmal!$B$19:$AG$49,ROW(X20)+1,FALSE)</f>
        <v>0</v>
      </c>
      <c r="AH22" s="15" cm="1">
        <f t="array" ref="AH22">+HLOOKUP($A$1,+[26]İcmal!$B$19:$AG$49,ROW(Y20)+1,FALSE)</f>
        <v>0</v>
      </c>
      <c r="AI22" s="15" cm="1">
        <f t="array" ref="AI22">+HLOOKUP($A$1,+[27]İcmal!$B$19:$AG$49,ROW(Z20)+1,FALSE)</f>
        <v>0</v>
      </c>
      <c r="AJ22" s="15" cm="1">
        <f t="array" ref="AJ22">+HLOOKUP($A$1,+[28]İcmal!$B$19:$AG$49,ROW(AA20)+1,FALSE)</f>
        <v>0</v>
      </c>
      <c r="AK22" s="15" cm="1">
        <f t="array" ref="AK22">+HLOOKUP($A$1,+[29]İcmal!$B$19:$AG$49,ROW(AB20)+1,FALSE)</f>
        <v>0</v>
      </c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3"/>
    </row>
    <row r="23" spans="1:54" x14ac:dyDescent="0.3">
      <c r="A23" s="4">
        <v>69</v>
      </c>
      <c r="B23" s="4" t="s">
        <v>52</v>
      </c>
      <c r="C23" s="4" t="s">
        <v>53</v>
      </c>
      <c r="D23" s="6" t="s">
        <v>43</v>
      </c>
      <c r="E23" s="7">
        <v>36357.33</v>
      </c>
      <c r="F23" s="8">
        <v>500</v>
      </c>
      <c r="G23" s="9">
        <f t="shared" si="0"/>
        <v>18178665</v>
      </c>
      <c r="H23" s="15">
        <f t="shared" si="1"/>
        <v>0</v>
      </c>
      <c r="I23" s="9">
        <f t="shared" si="2"/>
        <v>0</v>
      </c>
      <c r="J23" s="15" cm="1">
        <f t="array" ref="J23">+HLOOKUP($A$1,+[2]İcmal!$B$19:$AG$49,ROW(A21)+1,FALSE)</f>
        <v>0</v>
      </c>
      <c r="K23" s="15" cm="1">
        <f t="array" ref="K23">+HLOOKUP($A$1,+[3]İcmal!$B$19:$AG$49,ROW(B21)+1,FALSE)</f>
        <v>0</v>
      </c>
      <c r="L23" s="15" cm="1">
        <f t="array" ref="L23">+HLOOKUP($A$1,+[4]İcmal!$B$19:$AG$49,ROW(C21)+1,FALSE)</f>
        <v>0</v>
      </c>
      <c r="M23" s="15" cm="1">
        <f t="array" ref="M23">+HLOOKUP($A$1,+[5]İcmal!$B$19:$AG$49,ROW(D21)+1,FALSE)</f>
        <v>0</v>
      </c>
      <c r="N23" s="15" cm="1">
        <f t="array" ref="N23">+HLOOKUP($A$1,+[6]İcmal!$B$19:$AG$49,ROW(E21)+1,FALSE)</f>
        <v>0</v>
      </c>
      <c r="O23" s="15" cm="1">
        <f t="array" ref="O23">+HLOOKUP($A$1,+[7]İcmal!$B$19:$AG$49,ROW(F21)+1,FALSE)</f>
        <v>0</v>
      </c>
      <c r="P23" s="15" cm="1">
        <f t="array" ref="P23">+HLOOKUP($A$1,+[8]İcmal!$B$19:$AG$49,ROW(G21)+1,FALSE)</f>
        <v>0</v>
      </c>
      <c r="Q23" s="15" cm="1">
        <f t="array" ref="Q23">+HLOOKUP($A$1,+[9]İcmal!$B$19:$AG$49,ROW(H21)+1,FALSE)</f>
        <v>0</v>
      </c>
      <c r="R23" s="15" cm="1">
        <f t="array" ref="R23">+HLOOKUP($A$1,+[10]İcmal!$B$19:$AG$49,ROW(I21)+1,FALSE)</f>
        <v>0</v>
      </c>
      <c r="S23" s="15" cm="1">
        <f t="array" ref="S23">+HLOOKUP($A$1,+[11]İcmal!$B$19:$AG$49,ROW(J21)+1,FALSE)</f>
        <v>0</v>
      </c>
      <c r="T23" s="15" cm="1">
        <f t="array" ref="T23">+HLOOKUP($A$1,+[12]İcmal!$B$19:$AG$49,ROW(K21)+1,FALSE)</f>
        <v>0</v>
      </c>
      <c r="U23" s="15" cm="1">
        <f t="array" ref="U23">+HLOOKUP($A$1,+[13]İcmal!$B$19:$AG$49,ROW(L21)+1,FALSE)</f>
        <v>0</v>
      </c>
      <c r="V23" s="15" cm="1">
        <f t="array" ref="V23">+HLOOKUP($A$1,+[14]İcmal!$B$19:$AG$49,ROW(M21)+1,FALSE)</f>
        <v>0</v>
      </c>
      <c r="W23" s="15" cm="1">
        <f t="array" ref="W23">+HLOOKUP($A$1,+[15]İcmal!$B$19:$AG$49,ROW(N21)+1,FALSE)</f>
        <v>0</v>
      </c>
      <c r="X23" s="15" cm="1">
        <f t="array" ref="X23">+HLOOKUP($A$1,+[16]İcmal!$B$19:$AG$49,ROW(O21)+1,FALSE)</f>
        <v>0</v>
      </c>
      <c r="Y23" s="15" cm="1">
        <f t="array" ref="Y23">+HLOOKUP($A$1,+[17]İcmal!$B$19:$AG$49,ROW(P21)+1,FALSE)</f>
        <v>0</v>
      </c>
      <c r="Z23" s="15" cm="1">
        <f t="array" ref="Z23">+HLOOKUP($A$1,+[18]İcmal!$B$19:$AG$49,ROW(Q21)+1,FALSE)</f>
        <v>0</v>
      </c>
      <c r="AA23" s="15" cm="1">
        <f t="array" ref="AA23">+HLOOKUP($A$1,+[19]İcmal!$B$19:$AG$49,ROW(R21)+1,FALSE)</f>
        <v>0</v>
      </c>
      <c r="AB23" s="15" cm="1">
        <f t="array" ref="AB23">+HLOOKUP($A$1,+[20]İcmal!$B$19:$AG$49,ROW(S21)+1,FALSE)</f>
        <v>0</v>
      </c>
      <c r="AC23" s="15" cm="1">
        <f t="array" ref="AC23">+HLOOKUP($A$1,+[21]İcmal!$B$19:$AG$49,ROW(T21)+1,FALSE)</f>
        <v>0</v>
      </c>
      <c r="AD23" s="15" cm="1">
        <f t="array" ref="AD23">+HLOOKUP($A$1,+[22]İcmal!$B$19:$AG$49,ROW(U21)+1,FALSE)</f>
        <v>0</v>
      </c>
      <c r="AE23" s="15" cm="1">
        <f t="array" ref="AE23">+HLOOKUP($A$1,+[23]İcmal!$B$19:$AG$49,ROW(V21)+1,FALSE)</f>
        <v>0</v>
      </c>
      <c r="AF23" s="15" cm="1">
        <f t="array" ref="AF23">+HLOOKUP($A$1,+[24]İcmal!$B$19:$AG$49,ROW(W21)+1,FALSE)</f>
        <v>0</v>
      </c>
      <c r="AG23" s="15" cm="1">
        <f t="array" ref="AG23">+HLOOKUP($A$1,+[25]İcmal!$B$19:$AG$49,ROW(X21)+1,FALSE)</f>
        <v>0</v>
      </c>
      <c r="AH23" s="15" cm="1">
        <f t="array" ref="AH23">+HLOOKUP($A$1,+[26]İcmal!$B$19:$AG$49,ROW(Y21)+1,FALSE)</f>
        <v>0</v>
      </c>
      <c r="AI23" s="15" cm="1">
        <f t="array" ref="AI23">+HLOOKUP($A$1,+[27]İcmal!$B$19:$AG$49,ROW(Z21)+1,FALSE)</f>
        <v>0</v>
      </c>
      <c r="AJ23" s="15" cm="1">
        <f t="array" ref="AJ23">+HLOOKUP($A$1,+[28]İcmal!$B$19:$AG$49,ROW(AA21)+1,FALSE)</f>
        <v>0</v>
      </c>
      <c r="AK23" s="15" cm="1">
        <f t="array" ref="AK23">+HLOOKUP($A$1,+[29]İcmal!$B$19:$AG$49,ROW(AB21)+1,FALSE)</f>
        <v>0</v>
      </c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3"/>
    </row>
    <row r="24" spans="1:54" x14ac:dyDescent="0.3">
      <c r="A24" s="4">
        <v>70</v>
      </c>
      <c r="B24" s="4" t="s">
        <v>54</v>
      </c>
      <c r="C24" s="4" t="s">
        <v>55</v>
      </c>
      <c r="D24" s="6" t="s">
        <v>9</v>
      </c>
      <c r="E24" s="7">
        <v>3898.42</v>
      </c>
      <c r="F24" s="8">
        <v>6030</v>
      </c>
      <c r="G24" s="9">
        <f t="shared" si="0"/>
        <v>23507472.600000001</v>
      </c>
      <c r="H24" s="15">
        <f t="shared" si="1"/>
        <v>0</v>
      </c>
      <c r="I24" s="9">
        <f t="shared" si="2"/>
        <v>0</v>
      </c>
      <c r="J24" s="15" cm="1">
        <f t="array" ref="J24">+HLOOKUP($A$1,+[2]İcmal!$B$19:$AG$49,ROW(A22)+1,FALSE)</f>
        <v>0</v>
      </c>
      <c r="K24" s="15" cm="1">
        <f t="array" ref="K24">+HLOOKUP($A$1,+[3]İcmal!$B$19:$AG$49,ROW(B22)+1,FALSE)</f>
        <v>0</v>
      </c>
      <c r="L24" s="15" cm="1">
        <f t="array" ref="L24">+HLOOKUP($A$1,+[4]İcmal!$B$19:$AG$49,ROW(C22)+1,FALSE)</f>
        <v>0</v>
      </c>
      <c r="M24" s="15" cm="1">
        <f t="array" ref="M24">+HLOOKUP($A$1,+[5]İcmal!$B$19:$AG$49,ROW(D22)+1,FALSE)</f>
        <v>0</v>
      </c>
      <c r="N24" s="15" cm="1">
        <f t="array" ref="N24">+HLOOKUP($A$1,+[6]İcmal!$B$19:$AG$49,ROW(E22)+1,FALSE)</f>
        <v>0</v>
      </c>
      <c r="O24" s="15" cm="1">
        <f t="array" ref="O24">+HLOOKUP($A$1,+[7]İcmal!$B$19:$AG$49,ROW(F22)+1,FALSE)</f>
        <v>0</v>
      </c>
      <c r="P24" s="15" cm="1">
        <f t="array" ref="P24">+HLOOKUP($A$1,+[8]İcmal!$B$19:$AG$49,ROW(G22)+1,FALSE)</f>
        <v>0</v>
      </c>
      <c r="Q24" s="15" cm="1">
        <f t="array" ref="Q24">+HLOOKUP($A$1,+[9]İcmal!$B$19:$AG$49,ROW(H22)+1,FALSE)</f>
        <v>0</v>
      </c>
      <c r="R24" s="15" cm="1">
        <f t="array" ref="R24">+HLOOKUP($A$1,+[10]İcmal!$B$19:$AG$49,ROW(I22)+1,FALSE)</f>
        <v>0</v>
      </c>
      <c r="S24" s="15" cm="1">
        <f t="array" ref="S24">+HLOOKUP($A$1,+[11]İcmal!$B$19:$AG$49,ROW(J22)+1,FALSE)</f>
        <v>0</v>
      </c>
      <c r="T24" s="15" cm="1">
        <f t="array" ref="T24">+HLOOKUP($A$1,+[12]İcmal!$B$19:$AG$49,ROW(K22)+1,FALSE)</f>
        <v>0</v>
      </c>
      <c r="U24" s="15" cm="1">
        <f t="array" ref="U24">+HLOOKUP($A$1,+[13]İcmal!$B$19:$AG$49,ROW(L22)+1,FALSE)</f>
        <v>0</v>
      </c>
      <c r="V24" s="15" cm="1">
        <f t="array" ref="V24">+HLOOKUP($A$1,+[14]İcmal!$B$19:$AG$49,ROW(M22)+1,FALSE)</f>
        <v>0</v>
      </c>
      <c r="W24" s="15" cm="1">
        <f t="array" ref="W24">+HLOOKUP($A$1,+[15]İcmal!$B$19:$AG$49,ROW(N22)+1,FALSE)</f>
        <v>0</v>
      </c>
      <c r="X24" s="15" cm="1">
        <f t="array" ref="X24">+HLOOKUP($A$1,+[16]İcmal!$B$19:$AG$49,ROW(O22)+1,FALSE)</f>
        <v>0</v>
      </c>
      <c r="Y24" s="15" cm="1">
        <f t="array" ref="Y24">+HLOOKUP($A$1,+[17]İcmal!$B$19:$AG$49,ROW(P22)+1,FALSE)</f>
        <v>0</v>
      </c>
      <c r="Z24" s="15" cm="1">
        <f t="array" ref="Z24">+HLOOKUP($A$1,+[18]İcmal!$B$19:$AG$49,ROW(Q22)+1,FALSE)</f>
        <v>0</v>
      </c>
      <c r="AA24" s="15" cm="1">
        <f t="array" ref="AA24">+HLOOKUP($A$1,+[19]İcmal!$B$19:$AG$49,ROW(R22)+1,FALSE)</f>
        <v>0</v>
      </c>
      <c r="AB24" s="15" cm="1">
        <f t="array" ref="AB24">+HLOOKUP($A$1,+[20]İcmal!$B$19:$AG$49,ROW(S22)+1,FALSE)</f>
        <v>0</v>
      </c>
      <c r="AC24" s="15" cm="1">
        <f t="array" ref="AC24">+HLOOKUP($A$1,+[21]İcmal!$B$19:$AG$49,ROW(T22)+1,FALSE)</f>
        <v>0</v>
      </c>
      <c r="AD24" s="15" cm="1">
        <f t="array" ref="AD24">+HLOOKUP($A$1,+[22]İcmal!$B$19:$AG$49,ROW(U22)+1,FALSE)</f>
        <v>0</v>
      </c>
      <c r="AE24" s="15" cm="1">
        <f t="array" ref="AE24">+HLOOKUP($A$1,+[23]İcmal!$B$19:$AG$49,ROW(V22)+1,FALSE)</f>
        <v>0</v>
      </c>
      <c r="AF24" s="15" cm="1">
        <f t="array" ref="AF24">+HLOOKUP($A$1,+[24]İcmal!$B$19:$AG$49,ROW(W22)+1,FALSE)</f>
        <v>0</v>
      </c>
      <c r="AG24" s="15" cm="1">
        <f t="array" ref="AG24">+HLOOKUP($A$1,+[25]İcmal!$B$19:$AG$49,ROW(X22)+1,FALSE)</f>
        <v>0</v>
      </c>
      <c r="AH24" s="15" cm="1">
        <f t="array" ref="AH24">+HLOOKUP($A$1,+[26]İcmal!$B$19:$AG$49,ROW(Y22)+1,FALSE)</f>
        <v>0</v>
      </c>
      <c r="AI24" s="15" cm="1">
        <f t="array" ref="AI24">+HLOOKUP($A$1,+[27]İcmal!$B$19:$AG$49,ROW(Z22)+1,FALSE)</f>
        <v>0</v>
      </c>
      <c r="AJ24" s="15" cm="1">
        <f t="array" ref="AJ24">+HLOOKUP($A$1,+[28]İcmal!$B$19:$AG$49,ROW(AA22)+1,FALSE)</f>
        <v>0</v>
      </c>
      <c r="AK24" s="15" cm="1">
        <f t="array" ref="AK24">+HLOOKUP($A$1,+[29]İcmal!$B$19:$AG$49,ROW(AB22)+1,FALSE)</f>
        <v>0</v>
      </c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3"/>
    </row>
    <row r="25" spans="1:54" x14ac:dyDescent="0.3">
      <c r="A25" s="4">
        <v>71</v>
      </c>
      <c r="B25" s="4" t="s">
        <v>56</v>
      </c>
      <c r="C25" s="4" t="s">
        <v>57</v>
      </c>
      <c r="D25" s="6" t="s">
        <v>9</v>
      </c>
      <c r="E25" s="7">
        <v>14995.14</v>
      </c>
      <c r="F25" s="8">
        <v>10355</v>
      </c>
      <c r="G25" s="9">
        <f t="shared" si="0"/>
        <v>155274674.69999999</v>
      </c>
      <c r="H25" s="15">
        <f t="shared" si="1"/>
        <v>0</v>
      </c>
      <c r="I25" s="9">
        <f t="shared" si="2"/>
        <v>0</v>
      </c>
      <c r="J25" s="15" cm="1">
        <f t="array" ref="J25">+HLOOKUP($A$1,+[2]İcmal!$B$19:$AG$49,ROW(A23)+1,FALSE)</f>
        <v>0</v>
      </c>
      <c r="K25" s="15" cm="1">
        <f t="array" ref="K25">+HLOOKUP($A$1,+[3]İcmal!$B$19:$AG$49,ROW(B23)+1,FALSE)</f>
        <v>0</v>
      </c>
      <c r="L25" s="15" cm="1">
        <f t="array" ref="L25">+HLOOKUP($A$1,+[4]İcmal!$B$19:$AG$49,ROW(C23)+1,FALSE)</f>
        <v>0</v>
      </c>
      <c r="M25" s="15" cm="1">
        <f t="array" ref="M25">+HLOOKUP($A$1,+[5]İcmal!$B$19:$AG$49,ROW(D23)+1,FALSE)</f>
        <v>0</v>
      </c>
      <c r="N25" s="15" cm="1">
        <f t="array" ref="N25">+HLOOKUP($A$1,+[6]İcmal!$B$19:$AG$49,ROW(E23)+1,FALSE)</f>
        <v>0</v>
      </c>
      <c r="O25" s="15" cm="1">
        <f t="array" ref="O25">+HLOOKUP($A$1,+[7]İcmal!$B$19:$AG$49,ROW(F23)+1,FALSE)</f>
        <v>0</v>
      </c>
      <c r="P25" s="15" cm="1">
        <f t="array" ref="P25">+HLOOKUP($A$1,+[8]İcmal!$B$19:$AG$49,ROW(G23)+1,FALSE)</f>
        <v>0</v>
      </c>
      <c r="Q25" s="15" cm="1">
        <f t="array" ref="Q25">+HLOOKUP($A$1,+[9]İcmal!$B$19:$AG$49,ROW(H23)+1,FALSE)</f>
        <v>0</v>
      </c>
      <c r="R25" s="15" cm="1">
        <f t="array" ref="R25">+HLOOKUP($A$1,+[10]İcmal!$B$19:$AG$49,ROW(I23)+1,FALSE)</f>
        <v>0</v>
      </c>
      <c r="S25" s="15" cm="1">
        <f t="array" ref="S25">+HLOOKUP($A$1,+[11]İcmal!$B$19:$AG$49,ROW(J23)+1,FALSE)</f>
        <v>0</v>
      </c>
      <c r="T25" s="15" cm="1">
        <f t="array" ref="T25">+HLOOKUP($A$1,+[12]İcmal!$B$19:$AG$49,ROW(K23)+1,FALSE)</f>
        <v>0</v>
      </c>
      <c r="U25" s="15" cm="1">
        <f t="array" ref="U25">+HLOOKUP($A$1,+[13]İcmal!$B$19:$AG$49,ROW(L23)+1,FALSE)</f>
        <v>0</v>
      </c>
      <c r="V25" s="15" cm="1">
        <f t="array" ref="V25">+HLOOKUP($A$1,+[14]İcmal!$B$19:$AG$49,ROW(M23)+1,FALSE)</f>
        <v>0</v>
      </c>
      <c r="W25" s="15" cm="1">
        <f t="array" ref="W25">+HLOOKUP($A$1,+[15]İcmal!$B$19:$AG$49,ROW(N23)+1,FALSE)</f>
        <v>0</v>
      </c>
      <c r="X25" s="15" cm="1">
        <f t="array" ref="X25">+HLOOKUP($A$1,+[16]İcmal!$B$19:$AG$49,ROW(O23)+1,FALSE)</f>
        <v>0</v>
      </c>
      <c r="Y25" s="15" cm="1">
        <f t="array" ref="Y25">+HLOOKUP($A$1,+[17]İcmal!$B$19:$AG$49,ROW(P23)+1,FALSE)</f>
        <v>0</v>
      </c>
      <c r="Z25" s="15" cm="1">
        <f t="array" ref="Z25">+HLOOKUP($A$1,+[18]İcmal!$B$19:$AG$49,ROW(Q23)+1,FALSE)</f>
        <v>0</v>
      </c>
      <c r="AA25" s="15" cm="1">
        <f t="array" ref="AA25">+HLOOKUP($A$1,+[19]İcmal!$B$19:$AG$49,ROW(R23)+1,FALSE)</f>
        <v>0</v>
      </c>
      <c r="AB25" s="15" cm="1">
        <f t="array" ref="AB25">+HLOOKUP($A$1,+[20]İcmal!$B$19:$AG$49,ROW(S23)+1,FALSE)</f>
        <v>0</v>
      </c>
      <c r="AC25" s="15" cm="1">
        <f t="array" ref="AC25">+HLOOKUP($A$1,+[21]İcmal!$B$19:$AG$49,ROW(T23)+1,FALSE)</f>
        <v>0</v>
      </c>
      <c r="AD25" s="15" cm="1">
        <f t="array" ref="AD25">+HLOOKUP($A$1,+[22]İcmal!$B$19:$AG$49,ROW(U23)+1,FALSE)</f>
        <v>0</v>
      </c>
      <c r="AE25" s="15" cm="1">
        <f t="array" ref="AE25">+HLOOKUP($A$1,+[23]İcmal!$B$19:$AG$49,ROW(V23)+1,FALSE)</f>
        <v>0</v>
      </c>
      <c r="AF25" s="15" cm="1">
        <f t="array" ref="AF25">+HLOOKUP($A$1,+[24]İcmal!$B$19:$AG$49,ROW(W23)+1,FALSE)</f>
        <v>0</v>
      </c>
      <c r="AG25" s="15" cm="1">
        <f t="array" ref="AG25">+HLOOKUP($A$1,+[25]İcmal!$B$19:$AG$49,ROW(X23)+1,FALSE)</f>
        <v>0</v>
      </c>
      <c r="AH25" s="15" cm="1">
        <f t="array" ref="AH25">+HLOOKUP($A$1,+[26]İcmal!$B$19:$AG$49,ROW(Y23)+1,FALSE)</f>
        <v>0</v>
      </c>
      <c r="AI25" s="15" cm="1">
        <f t="array" ref="AI25">+HLOOKUP($A$1,+[27]İcmal!$B$19:$AG$49,ROW(Z23)+1,FALSE)</f>
        <v>0</v>
      </c>
      <c r="AJ25" s="15" cm="1">
        <f t="array" ref="AJ25">+HLOOKUP($A$1,+[28]İcmal!$B$19:$AG$49,ROW(AA23)+1,FALSE)</f>
        <v>0</v>
      </c>
      <c r="AK25" s="15" cm="1">
        <f t="array" ref="AK25">+HLOOKUP($A$1,+[29]İcmal!$B$19:$AG$49,ROW(AB23)+1,FALSE)</f>
        <v>0</v>
      </c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3"/>
    </row>
    <row r="26" spans="1:54" x14ac:dyDescent="0.3">
      <c r="A26" s="4">
        <v>72</v>
      </c>
      <c r="B26" s="4" t="s">
        <v>58</v>
      </c>
      <c r="C26" s="4" t="s">
        <v>59</v>
      </c>
      <c r="D26" s="6" t="s">
        <v>9</v>
      </c>
      <c r="E26" s="7">
        <v>29458.35</v>
      </c>
      <c r="F26" s="8">
        <v>10355</v>
      </c>
      <c r="G26" s="9">
        <f t="shared" si="0"/>
        <v>305041214.25</v>
      </c>
      <c r="H26" s="15">
        <f t="shared" si="1"/>
        <v>0</v>
      </c>
      <c r="I26" s="9">
        <f t="shared" si="2"/>
        <v>0</v>
      </c>
      <c r="J26" s="15" cm="1">
        <f t="array" ref="J26">+HLOOKUP($A$1,+[2]İcmal!$B$19:$AG$49,ROW(A24)+1,FALSE)</f>
        <v>0</v>
      </c>
      <c r="K26" s="15" cm="1">
        <f t="array" ref="K26">+HLOOKUP($A$1,+[3]İcmal!$B$19:$AG$49,ROW(B24)+1,FALSE)</f>
        <v>0</v>
      </c>
      <c r="L26" s="15" cm="1">
        <f t="array" ref="L26">+HLOOKUP($A$1,+[4]İcmal!$B$19:$AG$49,ROW(C24)+1,FALSE)</f>
        <v>0</v>
      </c>
      <c r="M26" s="15" cm="1">
        <f t="array" ref="M26">+HLOOKUP($A$1,+[5]İcmal!$B$19:$AG$49,ROW(D24)+1,FALSE)</f>
        <v>0</v>
      </c>
      <c r="N26" s="15" cm="1">
        <f t="array" ref="N26">+HLOOKUP($A$1,+[6]İcmal!$B$19:$AG$49,ROW(E24)+1,FALSE)</f>
        <v>0</v>
      </c>
      <c r="O26" s="15" cm="1">
        <f t="array" ref="O26">+HLOOKUP($A$1,+[7]İcmal!$B$19:$AG$49,ROW(F24)+1,FALSE)</f>
        <v>0</v>
      </c>
      <c r="P26" s="15" cm="1">
        <f t="array" ref="P26">+HLOOKUP($A$1,+[8]İcmal!$B$19:$AG$49,ROW(G24)+1,FALSE)</f>
        <v>0</v>
      </c>
      <c r="Q26" s="15" cm="1">
        <f t="array" ref="Q26">+HLOOKUP($A$1,+[9]İcmal!$B$19:$AG$49,ROW(H24)+1,FALSE)</f>
        <v>0</v>
      </c>
      <c r="R26" s="15" cm="1">
        <f t="array" ref="R26">+HLOOKUP($A$1,+[10]İcmal!$B$19:$AG$49,ROW(I24)+1,FALSE)</f>
        <v>0</v>
      </c>
      <c r="S26" s="15" cm="1">
        <f t="array" ref="S26">+HLOOKUP($A$1,+[11]İcmal!$B$19:$AG$49,ROW(J24)+1,FALSE)</f>
        <v>0</v>
      </c>
      <c r="T26" s="15" cm="1">
        <f t="array" ref="T26">+HLOOKUP($A$1,+[12]İcmal!$B$19:$AG$49,ROW(K24)+1,FALSE)</f>
        <v>0</v>
      </c>
      <c r="U26" s="15" cm="1">
        <f t="array" ref="U26">+HLOOKUP($A$1,+[13]İcmal!$B$19:$AG$49,ROW(L24)+1,FALSE)</f>
        <v>0</v>
      </c>
      <c r="V26" s="15" cm="1">
        <f t="array" ref="V26">+HLOOKUP($A$1,+[14]İcmal!$B$19:$AG$49,ROW(M24)+1,FALSE)</f>
        <v>0</v>
      </c>
      <c r="W26" s="15" cm="1">
        <f t="array" ref="W26">+HLOOKUP($A$1,+[15]İcmal!$B$19:$AG$49,ROW(N24)+1,FALSE)</f>
        <v>0</v>
      </c>
      <c r="X26" s="15" cm="1">
        <f t="array" ref="X26">+HLOOKUP($A$1,+[16]İcmal!$B$19:$AG$49,ROW(O24)+1,FALSE)</f>
        <v>0</v>
      </c>
      <c r="Y26" s="15" cm="1">
        <f t="array" ref="Y26">+HLOOKUP($A$1,+[17]İcmal!$B$19:$AG$49,ROW(P24)+1,FALSE)</f>
        <v>0</v>
      </c>
      <c r="Z26" s="15" cm="1">
        <f t="array" ref="Z26">+HLOOKUP($A$1,+[18]İcmal!$B$19:$AG$49,ROW(Q24)+1,FALSE)</f>
        <v>0</v>
      </c>
      <c r="AA26" s="15" cm="1">
        <f t="array" ref="AA26">+HLOOKUP($A$1,+[19]İcmal!$B$19:$AG$49,ROW(R24)+1,FALSE)</f>
        <v>0</v>
      </c>
      <c r="AB26" s="15" cm="1">
        <f t="array" ref="AB26">+HLOOKUP($A$1,+[20]İcmal!$B$19:$AG$49,ROW(S24)+1,FALSE)</f>
        <v>0</v>
      </c>
      <c r="AC26" s="15" cm="1">
        <f t="array" ref="AC26">+HLOOKUP($A$1,+[21]İcmal!$B$19:$AG$49,ROW(T24)+1,FALSE)</f>
        <v>0</v>
      </c>
      <c r="AD26" s="15" cm="1">
        <f t="array" ref="AD26">+HLOOKUP($A$1,+[22]İcmal!$B$19:$AG$49,ROW(U24)+1,FALSE)</f>
        <v>0</v>
      </c>
      <c r="AE26" s="15" cm="1">
        <f t="array" ref="AE26">+HLOOKUP($A$1,+[23]İcmal!$B$19:$AG$49,ROW(V24)+1,FALSE)</f>
        <v>0</v>
      </c>
      <c r="AF26" s="15" cm="1">
        <f t="array" ref="AF26">+HLOOKUP($A$1,+[24]İcmal!$B$19:$AG$49,ROW(W24)+1,FALSE)</f>
        <v>0</v>
      </c>
      <c r="AG26" s="15" cm="1">
        <f t="array" ref="AG26">+HLOOKUP($A$1,+[25]İcmal!$B$19:$AG$49,ROW(X24)+1,FALSE)</f>
        <v>0</v>
      </c>
      <c r="AH26" s="15" cm="1">
        <f t="array" ref="AH26">+HLOOKUP($A$1,+[26]İcmal!$B$19:$AG$49,ROW(Y24)+1,FALSE)</f>
        <v>0</v>
      </c>
      <c r="AI26" s="15" cm="1">
        <f t="array" ref="AI26">+HLOOKUP($A$1,+[27]İcmal!$B$19:$AG$49,ROW(Z24)+1,FALSE)</f>
        <v>0</v>
      </c>
      <c r="AJ26" s="15" cm="1">
        <f t="array" ref="AJ26">+HLOOKUP($A$1,+[28]İcmal!$B$19:$AG$49,ROW(AA24)+1,FALSE)</f>
        <v>0</v>
      </c>
      <c r="AK26" s="15" cm="1">
        <f t="array" ref="AK26">+HLOOKUP($A$1,+[29]İcmal!$B$19:$AG$49,ROW(AB24)+1,FALSE)</f>
        <v>0</v>
      </c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3"/>
    </row>
    <row r="27" spans="1:54" x14ac:dyDescent="0.3">
      <c r="A27" s="4">
        <v>73</v>
      </c>
      <c r="B27" s="4" t="s">
        <v>60</v>
      </c>
      <c r="C27" s="4" t="s">
        <v>61</v>
      </c>
      <c r="D27" s="6" t="s">
        <v>9</v>
      </c>
      <c r="E27" s="7">
        <v>3917.38</v>
      </c>
      <c r="F27" s="8">
        <v>10355</v>
      </c>
      <c r="G27" s="9">
        <f t="shared" si="0"/>
        <v>40564469.899999999</v>
      </c>
      <c r="H27" s="15">
        <f t="shared" si="1"/>
        <v>0</v>
      </c>
      <c r="I27" s="9">
        <f t="shared" si="2"/>
        <v>0</v>
      </c>
      <c r="J27" s="15" cm="1">
        <f t="array" ref="J27">+HLOOKUP($A$1,+[2]İcmal!$B$19:$AG$49,ROW(A25)+1,FALSE)</f>
        <v>0</v>
      </c>
      <c r="K27" s="15" cm="1">
        <f t="array" ref="K27">+HLOOKUP($A$1,+[3]İcmal!$B$19:$AG$49,ROW(B25)+1,FALSE)</f>
        <v>0</v>
      </c>
      <c r="L27" s="15" cm="1">
        <f t="array" ref="L27">+HLOOKUP($A$1,+[4]İcmal!$B$19:$AG$49,ROW(C25)+1,FALSE)</f>
        <v>0</v>
      </c>
      <c r="M27" s="15" cm="1">
        <f t="array" ref="M27">+HLOOKUP($A$1,+[5]İcmal!$B$19:$AG$49,ROW(D25)+1,FALSE)</f>
        <v>0</v>
      </c>
      <c r="N27" s="15" cm="1">
        <f t="array" ref="N27">+HLOOKUP($A$1,+[6]İcmal!$B$19:$AG$49,ROW(E25)+1,FALSE)</f>
        <v>0</v>
      </c>
      <c r="O27" s="15" cm="1">
        <f t="array" ref="O27">+HLOOKUP($A$1,+[7]İcmal!$B$19:$AG$49,ROW(F25)+1,FALSE)</f>
        <v>0</v>
      </c>
      <c r="P27" s="15" cm="1">
        <f t="array" ref="P27">+HLOOKUP($A$1,+[8]İcmal!$B$19:$AG$49,ROW(G25)+1,FALSE)</f>
        <v>0</v>
      </c>
      <c r="Q27" s="15" cm="1">
        <f t="array" ref="Q27">+HLOOKUP($A$1,+[9]İcmal!$B$19:$AG$49,ROW(H25)+1,FALSE)</f>
        <v>0</v>
      </c>
      <c r="R27" s="15" cm="1">
        <f t="array" ref="R27">+HLOOKUP($A$1,+[10]İcmal!$B$19:$AG$49,ROW(I25)+1,FALSE)</f>
        <v>0</v>
      </c>
      <c r="S27" s="15" cm="1">
        <f t="array" ref="S27">+HLOOKUP($A$1,+[11]İcmal!$B$19:$AG$49,ROW(J25)+1,FALSE)</f>
        <v>0</v>
      </c>
      <c r="T27" s="15" cm="1">
        <f t="array" ref="T27">+HLOOKUP($A$1,+[12]İcmal!$B$19:$AG$49,ROW(K25)+1,FALSE)</f>
        <v>0</v>
      </c>
      <c r="U27" s="15" cm="1">
        <f t="array" ref="U27">+HLOOKUP($A$1,+[13]İcmal!$B$19:$AG$49,ROW(L25)+1,FALSE)</f>
        <v>0</v>
      </c>
      <c r="V27" s="15" cm="1">
        <f t="array" ref="V27">+HLOOKUP($A$1,+[14]İcmal!$B$19:$AG$49,ROW(M25)+1,FALSE)</f>
        <v>0</v>
      </c>
      <c r="W27" s="15" cm="1">
        <f t="array" ref="W27">+HLOOKUP($A$1,+[15]İcmal!$B$19:$AG$49,ROW(N25)+1,FALSE)</f>
        <v>0</v>
      </c>
      <c r="X27" s="15" cm="1">
        <f t="array" ref="X27">+HLOOKUP($A$1,+[16]İcmal!$B$19:$AG$49,ROW(O25)+1,FALSE)</f>
        <v>0</v>
      </c>
      <c r="Y27" s="15" cm="1">
        <f t="array" ref="Y27">+HLOOKUP($A$1,+[17]İcmal!$B$19:$AG$49,ROW(P25)+1,FALSE)</f>
        <v>0</v>
      </c>
      <c r="Z27" s="15" cm="1">
        <f t="array" ref="Z27">+HLOOKUP($A$1,+[18]İcmal!$B$19:$AG$49,ROW(Q25)+1,FALSE)</f>
        <v>0</v>
      </c>
      <c r="AA27" s="15" cm="1">
        <f t="array" ref="AA27">+HLOOKUP($A$1,+[19]İcmal!$B$19:$AG$49,ROW(R25)+1,FALSE)</f>
        <v>0</v>
      </c>
      <c r="AB27" s="15" cm="1">
        <f t="array" ref="AB27">+HLOOKUP($A$1,+[20]İcmal!$B$19:$AG$49,ROW(S25)+1,FALSE)</f>
        <v>0</v>
      </c>
      <c r="AC27" s="15" cm="1">
        <f t="array" ref="AC27">+HLOOKUP($A$1,+[21]İcmal!$B$19:$AG$49,ROW(T25)+1,FALSE)</f>
        <v>0</v>
      </c>
      <c r="AD27" s="15" cm="1">
        <f t="array" ref="AD27">+HLOOKUP($A$1,+[22]İcmal!$B$19:$AG$49,ROW(U25)+1,FALSE)</f>
        <v>0</v>
      </c>
      <c r="AE27" s="15" cm="1">
        <f t="array" ref="AE27">+HLOOKUP($A$1,+[23]İcmal!$B$19:$AG$49,ROW(V25)+1,FALSE)</f>
        <v>0</v>
      </c>
      <c r="AF27" s="15" cm="1">
        <f t="array" ref="AF27">+HLOOKUP($A$1,+[24]İcmal!$B$19:$AG$49,ROW(W25)+1,FALSE)</f>
        <v>0</v>
      </c>
      <c r="AG27" s="15" cm="1">
        <f t="array" ref="AG27">+HLOOKUP($A$1,+[25]İcmal!$B$19:$AG$49,ROW(X25)+1,FALSE)</f>
        <v>0</v>
      </c>
      <c r="AH27" s="15" cm="1">
        <f t="array" ref="AH27">+HLOOKUP($A$1,+[26]İcmal!$B$19:$AG$49,ROW(Y25)+1,FALSE)</f>
        <v>0</v>
      </c>
      <c r="AI27" s="15" cm="1">
        <f t="array" ref="AI27">+HLOOKUP($A$1,+[27]İcmal!$B$19:$AG$49,ROW(Z25)+1,FALSE)</f>
        <v>0</v>
      </c>
      <c r="AJ27" s="15" cm="1">
        <f t="array" ref="AJ27">+HLOOKUP($A$1,+[28]İcmal!$B$19:$AG$49,ROW(AA25)+1,FALSE)</f>
        <v>0</v>
      </c>
      <c r="AK27" s="15" cm="1">
        <f t="array" ref="AK27">+HLOOKUP($A$1,+[29]İcmal!$B$19:$AG$49,ROW(AB25)+1,FALSE)</f>
        <v>0</v>
      </c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3"/>
    </row>
    <row r="28" spans="1:54" x14ac:dyDescent="0.3">
      <c r="A28" s="4">
        <v>74</v>
      </c>
      <c r="B28" s="4" t="s">
        <v>62</v>
      </c>
      <c r="C28" s="4" t="s">
        <v>63</v>
      </c>
      <c r="D28" s="6" t="s">
        <v>38</v>
      </c>
      <c r="E28" s="4">
        <v>62.29</v>
      </c>
      <c r="F28" s="8">
        <v>46250</v>
      </c>
      <c r="G28" s="9">
        <f t="shared" si="0"/>
        <v>2880912.5</v>
      </c>
      <c r="H28" s="15">
        <f t="shared" si="1"/>
        <v>7.4200000000000008</v>
      </c>
      <c r="I28" s="9">
        <f t="shared" si="2"/>
        <v>343175.00000000006</v>
      </c>
      <c r="J28" s="15" cm="1">
        <f t="array" ref="J28">+HLOOKUP($A$1,+[2]İcmal!$B$19:$AG$49,ROW(A26)+1,FALSE)</f>
        <v>0</v>
      </c>
      <c r="K28" s="15" cm="1">
        <f t="array" ref="K28">+HLOOKUP($A$1,+[3]İcmal!$B$19:$AG$49,ROW(B26)+1,FALSE)</f>
        <v>0</v>
      </c>
      <c r="L28" s="15" cm="1">
        <f t="array" ref="L28">+HLOOKUP($A$1,+[4]İcmal!$B$19:$AG$49,ROW(C26)+1,FALSE)</f>
        <v>1.5659999999999994</v>
      </c>
      <c r="M28" s="15" cm="1">
        <f t="array" ref="M28">+HLOOKUP($A$1,+[5]İcmal!$B$19:$AG$49,ROW(D26)+1,FALSE)</f>
        <v>3.400000000000003E-2</v>
      </c>
      <c r="N28" s="15" cm="1">
        <f t="array" ref="N28">+HLOOKUP($A$1,+[6]İcmal!$B$19:$AG$49,ROW(E26)+1,FALSE)</f>
        <v>0</v>
      </c>
      <c r="O28" s="15" cm="1">
        <f t="array" ref="O28">+HLOOKUP($A$1,+[7]İcmal!$B$19:$AG$49,ROW(F26)+1,FALSE)</f>
        <v>0</v>
      </c>
      <c r="P28" s="15" cm="1">
        <f t="array" ref="P28">+HLOOKUP($A$1,+[8]İcmal!$B$19:$AG$49,ROW(G26)+1,FALSE)</f>
        <v>2.472</v>
      </c>
      <c r="Q28" s="15" cm="1">
        <f t="array" ref="Q28">+HLOOKUP($A$1,+[9]İcmal!$B$19:$AG$49,ROW(H26)+1,FALSE)</f>
        <v>0.36499999999999999</v>
      </c>
      <c r="R28" s="15" cm="1">
        <f t="array" ref="R28">+HLOOKUP($A$1,+[10]İcmal!$B$19:$AG$49,ROW(I26)+1,FALSE)</f>
        <v>0</v>
      </c>
      <c r="S28" s="15" cm="1">
        <f t="array" ref="S28">+HLOOKUP($A$1,+[11]İcmal!$B$19:$AG$49,ROW(J26)+1,FALSE)</f>
        <v>0</v>
      </c>
      <c r="T28" s="15" cm="1">
        <f t="array" ref="T28">+HLOOKUP($A$1,+[12]İcmal!$B$19:$AG$49,ROW(K26)+1,FALSE)</f>
        <v>1.4670000000000001</v>
      </c>
      <c r="U28" s="15" cm="1">
        <f t="array" ref="U28">+HLOOKUP($A$1,+[13]İcmal!$B$19:$AG$49,ROW(L26)+1,FALSE)</f>
        <v>7.6000000000000068E-2</v>
      </c>
      <c r="V28" s="15" cm="1">
        <f t="array" ref="V28">+HLOOKUP($A$1,+[14]İcmal!$B$19:$AG$49,ROW(M26)+1,FALSE)</f>
        <v>0</v>
      </c>
      <c r="W28" s="15" cm="1">
        <f t="array" ref="W28">+HLOOKUP($A$1,+[15]İcmal!$B$19:$AG$49,ROW(N26)+1,FALSE)</f>
        <v>0</v>
      </c>
      <c r="X28" s="15" cm="1">
        <f t="array" ref="X28">+HLOOKUP($A$1,+[16]İcmal!$B$19:$AG$49,ROW(O26)+1,FALSE)</f>
        <v>1.4060000000000004</v>
      </c>
      <c r="Y28" s="15" cm="1">
        <f t="array" ref="Y28">+HLOOKUP($A$1,+[17]İcmal!$B$19:$AG$49,ROW(P26)+1,FALSE)</f>
        <v>3.4000000000000141E-2</v>
      </c>
      <c r="Z28" s="15" cm="1">
        <f t="array" ref="Z28">+HLOOKUP($A$1,+[18]İcmal!$B$19:$AG$49,ROW(Q26)+1,FALSE)</f>
        <v>0</v>
      </c>
      <c r="AA28" s="15" cm="1">
        <f t="array" ref="AA28">+HLOOKUP($A$1,+[19]İcmal!$B$19:$AG$49,ROW(R26)+1,FALSE)</f>
        <v>0</v>
      </c>
      <c r="AB28" s="15" cm="1">
        <f t="array" ref="AB28">+HLOOKUP($A$1,+[20]İcmal!$B$19:$AG$49,ROW(S26)+1,FALSE)</f>
        <v>0</v>
      </c>
      <c r="AC28" s="15" cm="1">
        <f t="array" ref="AC28">+HLOOKUP($A$1,+[21]İcmal!$B$19:$AG$49,ROW(T26)+1,FALSE)</f>
        <v>0</v>
      </c>
      <c r="AD28" s="15" cm="1">
        <f t="array" ref="AD28">+HLOOKUP($A$1,+[22]İcmal!$B$19:$AG$49,ROW(U26)+1,FALSE)</f>
        <v>0</v>
      </c>
      <c r="AE28" s="15" cm="1">
        <f t="array" ref="AE28">+HLOOKUP($A$1,+[23]İcmal!$B$19:$AG$49,ROW(V26)+1,FALSE)</f>
        <v>0</v>
      </c>
      <c r="AF28" s="15" cm="1">
        <f t="array" ref="AF28">+HLOOKUP($A$1,+[24]İcmal!$B$19:$AG$49,ROW(W26)+1,FALSE)</f>
        <v>0</v>
      </c>
      <c r="AG28" s="15" cm="1">
        <f t="array" ref="AG28">+HLOOKUP($A$1,+[25]İcmal!$B$19:$AG$49,ROW(X26)+1,FALSE)</f>
        <v>0</v>
      </c>
      <c r="AH28" s="15" cm="1">
        <f t="array" ref="AH28">+HLOOKUP($A$1,+[26]İcmal!$B$19:$AG$49,ROW(Y26)+1,FALSE)</f>
        <v>0</v>
      </c>
      <c r="AI28" s="15" cm="1">
        <f t="array" ref="AI28">+HLOOKUP($A$1,+[27]İcmal!$B$19:$AG$49,ROW(Z26)+1,FALSE)</f>
        <v>0</v>
      </c>
      <c r="AJ28" s="15" cm="1">
        <f t="array" ref="AJ28">+HLOOKUP($A$1,+[28]İcmal!$B$19:$AG$49,ROW(AA26)+1,FALSE)</f>
        <v>0</v>
      </c>
      <c r="AK28" s="15" cm="1">
        <f t="array" ref="AK28">+HLOOKUP($A$1,+[29]İcmal!$B$19:$AG$49,ROW(AB26)+1,FALSE)</f>
        <v>0</v>
      </c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3"/>
    </row>
    <row r="29" spans="1:54" x14ac:dyDescent="0.3">
      <c r="A29" s="4">
        <v>75</v>
      </c>
      <c r="B29" s="4" t="s">
        <v>64</v>
      </c>
      <c r="C29" s="4" t="s">
        <v>65</v>
      </c>
      <c r="D29" s="6" t="s">
        <v>38</v>
      </c>
      <c r="E29" s="7">
        <v>4367.51</v>
      </c>
      <c r="F29" s="8">
        <v>92500</v>
      </c>
      <c r="G29" s="9">
        <f t="shared" si="0"/>
        <v>403994675</v>
      </c>
      <c r="H29" s="15">
        <f t="shared" si="1"/>
        <v>0</v>
      </c>
      <c r="I29" s="9">
        <f t="shared" si="2"/>
        <v>0</v>
      </c>
      <c r="J29" s="15" cm="1">
        <f t="array" ref="J29">+HLOOKUP($A$1,+[2]İcmal!$B$19:$AG$49,ROW(A27)+1,FALSE)</f>
        <v>0</v>
      </c>
      <c r="K29" s="15" cm="1">
        <f t="array" ref="K29">+HLOOKUP($A$1,+[3]İcmal!$B$19:$AG$49,ROW(B27)+1,FALSE)</f>
        <v>0</v>
      </c>
      <c r="L29" s="15" cm="1">
        <f t="array" ref="L29">+HLOOKUP($A$1,+[4]İcmal!$B$19:$AG$49,ROW(C27)+1,FALSE)</f>
        <v>0</v>
      </c>
      <c r="M29" s="15" cm="1">
        <f t="array" ref="M29">+HLOOKUP($A$1,+[5]İcmal!$B$19:$AG$49,ROW(D27)+1,FALSE)</f>
        <v>0</v>
      </c>
      <c r="N29" s="15" cm="1">
        <f t="array" ref="N29">+HLOOKUP($A$1,+[6]İcmal!$B$19:$AG$49,ROW(E27)+1,FALSE)</f>
        <v>0</v>
      </c>
      <c r="O29" s="15" cm="1">
        <f t="array" ref="O29">+HLOOKUP($A$1,+[7]İcmal!$B$19:$AG$49,ROW(F27)+1,FALSE)</f>
        <v>0</v>
      </c>
      <c r="P29" s="15" cm="1">
        <f t="array" ref="P29">+HLOOKUP($A$1,+[8]İcmal!$B$19:$AG$49,ROW(G27)+1,FALSE)</f>
        <v>0</v>
      </c>
      <c r="Q29" s="15" cm="1">
        <f t="array" ref="Q29">+HLOOKUP($A$1,+[9]İcmal!$B$19:$AG$49,ROW(H27)+1,FALSE)</f>
        <v>0</v>
      </c>
      <c r="R29" s="15" cm="1">
        <f t="array" ref="R29">+HLOOKUP($A$1,+[10]İcmal!$B$19:$AG$49,ROW(I27)+1,FALSE)</f>
        <v>0</v>
      </c>
      <c r="S29" s="15" cm="1">
        <f t="array" ref="S29">+HLOOKUP($A$1,+[11]İcmal!$B$19:$AG$49,ROW(J27)+1,FALSE)</f>
        <v>0</v>
      </c>
      <c r="T29" s="15" cm="1">
        <f t="array" ref="T29">+HLOOKUP($A$1,+[12]İcmal!$B$19:$AG$49,ROW(K27)+1,FALSE)</f>
        <v>0</v>
      </c>
      <c r="U29" s="15" cm="1">
        <f t="array" ref="U29">+HLOOKUP($A$1,+[13]İcmal!$B$19:$AG$49,ROW(L27)+1,FALSE)</f>
        <v>0</v>
      </c>
      <c r="V29" s="15" cm="1">
        <f t="array" ref="V29">+HLOOKUP($A$1,+[14]İcmal!$B$19:$AG$49,ROW(M27)+1,FALSE)</f>
        <v>0</v>
      </c>
      <c r="W29" s="15" cm="1">
        <f t="array" ref="W29">+HLOOKUP($A$1,+[15]İcmal!$B$19:$AG$49,ROW(N27)+1,FALSE)</f>
        <v>0</v>
      </c>
      <c r="X29" s="15" cm="1">
        <f t="array" ref="X29">+HLOOKUP($A$1,+[16]İcmal!$B$19:$AG$49,ROW(O27)+1,FALSE)</f>
        <v>0</v>
      </c>
      <c r="Y29" s="15" cm="1">
        <f t="array" ref="Y29">+HLOOKUP($A$1,+[17]İcmal!$B$19:$AG$49,ROW(P27)+1,FALSE)</f>
        <v>0</v>
      </c>
      <c r="Z29" s="15" cm="1">
        <f t="array" ref="Z29">+HLOOKUP($A$1,+[18]İcmal!$B$19:$AG$49,ROW(Q27)+1,FALSE)</f>
        <v>0</v>
      </c>
      <c r="AA29" s="15" cm="1">
        <f t="array" ref="AA29">+HLOOKUP($A$1,+[19]İcmal!$B$19:$AG$49,ROW(R27)+1,FALSE)</f>
        <v>0</v>
      </c>
      <c r="AB29" s="15" cm="1">
        <f t="array" ref="AB29">+HLOOKUP($A$1,+[20]İcmal!$B$19:$AG$49,ROW(S27)+1,FALSE)</f>
        <v>0</v>
      </c>
      <c r="AC29" s="15" cm="1">
        <f t="array" ref="AC29">+HLOOKUP($A$1,+[21]İcmal!$B$19:$AG$49,ROW(T27)+1,FALSE)</f>
        <v>0</v>
      </c>
      <c r="AD29" s="15" cm="1">
        <f t="array" ref="AD29">+HLOOKUP($A$1,+[22]İcmal!$B$19:$AG$49,ROW(U27)+1,FALSE)</f>
        <v>0</v>
      </c>
      <c r="AE29" s="15" cm="1">
        <f t="array" ref="AE29">+HLOOKUP($A$1,+[23]İcmal!$B$19:$AG$49,ROW(V27)+1,FALSE)</f>
        <v>0</v>
      </c>
      <c r="AF29" s="15" cm="1">
        <f t="array" ref="AF29">+HLOOKUP($A$1,+[24]İcmal!$B$19:$AG$49,ROW(W27)+1,FALSE)</f>
        <v>0</v>
      </c>
      <c r="AG29" s="15" cm="1">
        <f t="array" ref="AG29">+HLOOKUP($A$1,+[25]İcmal!$B$19:$AG$49,ROW(X27)+1,FALSE)</f>
        <v>0</v>
      </c>
      <c r="AH29" s="15" cm="1">
        <f t="array" ref="AH29">+HLOOKUP($A$1,+[26]İcmal!$B$19:$AG$49,ROW(Y27)+1,FALSE)</f>
        <v>0</v>
      </c>
      <c r="AI29" s="15" cm="1">
        <f t="array" ref="AI29">+HLOOKUP($A$1,+[27]İcmal!$B$19:$AG$49,ROW(Z27)+1,FALSE)</f>
        <v>0</v>
      </c>
      <c r="AJ29" s="15" cm="1">
        <f t="array" ref="AJ29">+HLOOKUP($A$1,+[28]İcmal!$B$19:$AG$49,ROW(AA27)+1,FALSE)</f>
        <v>0</v>
      </c>
      <c r="AK29" s="15" cm="1">
        <f t="array" ref="AK29">+HLOOKUP($A$1,+[29]İcmal!$B$19:$AG$49,ROW(AB27)+1,FALSE)</f>
        <v>0</v>
      </c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3"/>
    </row>
    <row r="30" spans="1:54" x14ac:dyDescent="0.3">
      <c r="A30" s="4">
        <v>76</v>
      </c>
      <c r="B30" s="4" t="s">
        <v>66</v>
      </c>
      <c r="C30" s="4" t="s">
        <v>67</v>
      </c>
      <c r="D30" s="6" t="s">
        <v>38</v>
      </c>
      <c r="E30" s="7">
        <v>2581.33</v>
      </c>
      <c r="F30" s="8">
        <v>97333</v>
      </c>
      <c r="G30" s="9">
        <f t="shared" si="0"/>
        <v>251248592.88999999</v>
      </c>
      <c r="H30" s="15">
        <f t="shared" si="1"/>
        <v>22.183</v>
      </c>
      <c r="I30" s="9">
        <f t="shared" si="2"/>
        <v>2159137.9389999998</v>
      </c>
      <c r="J30" s="15" cm="1">
        <f t="array" ref="J30">+HLOOKUP($A$1,+[2]İcmal!$B$19:$AG$49,ROW(A28)+1,FALSE)</f>
        <v>0</v>
      </c>
      <c r="K30" s="15" cm="1">
        <f t="array" ref="K30">+HLOOKUP($A$1,+[3]İcmal!$B$19:$AG$49,ROW(B28)+1,FALSE)</f>
        <v>0</v>
      </c>
      <c r="L30" s="15" cm="1">
        <f t="array" ref="L30">+HLOOKUP($A$1,+[4]İcmal!$B$19:$AG$49,ROW(C28)+1,FALSE)</f>
        <v>1.9459999999999997</v>
      </c>
      <c r="M30" s="15" cm="1">
        <f t="array" ref="M30">+HLOOKUP($A$1,+[5]İcmal!$B$19:$AG$49,ROW(D28)+1,FALSE)</f>
        <v>1.9469999999999992</v>
      </c>
      <c r="N30" s="15" cm="1">
        <f t="array" ref="N30">+HLOOKUP($A$1,+[6]İcmal!$B$19:$AG$49,ROW(E28)+1,FALSE)</f>
        <v>0</v>
      </c>
      <c r="O30" s="15" cm="1">
        <f t="array" ref="O30">+HLOOKUP($A$1,+[7]İcmal!$B$19:$AG$49,ROW(F28)+1,FALSE)</f>
        <v>0</v>
      </c>
      <c r="P30" s="15" cm="1">
        <f t="array" ref="P30">+HLOOKUP($A$1,+[8]İcmal!$B$19:$AG$49,ROW(G28)+1,FALSE)</f>
        <v>5.8090000000000011</v>
      </c>
      <c r="Q30" s="15" cm="1">
        <f t="array" ref="Q30">+HLOOKUP($A$1,+[9]İcmal!$B$19:$AG$49,ROW(H28)+1,FALSE)</f>
        <v>6.1589999999999989</v>
      </c>
      <c r="R30" s="15" cm="1">
        <f t="array" ref="R30">+HLOOKUP($A$1,+[10]İcmal!$B$19:$AG$49,ROW(I28)+1,FALSE)</f>
        <v>0</v>
      </c>
      <c r="S30" s="15" cm="1">
        <f t="array" ref="S30">+HLOOKUP($A$1,+[11]İcmal!$B$19:$AG$49,ROW(J28)+1,FALSE)</f>
        <v>0</v>
      </c>
      <c r="T30" s="15" cm="1">
        <f t="array" ref="T30">+HLOOKUP($A$1,+[12]İcmal!$B$19:$AG$49,ROW(K28)+1,FALSE)</f>
        <v>1.0349999999999984</v>
      </c>
      <c r="U30" s="15" cm="1">
        <f t="array" ref="U30">+HLOOKUP($A$1,+[13]İcmal!$B$19:$AG$49,ROW(L28)+1,FALSE)</f>
        <v>1.3810000000000002</v>
      </c>
      <c r="V30" s="15" cm="1">
        <f t="array" ref="V30">+HLOOKUP($A$1,+[14]İcmal!$B$19:$AG$49,ROW(M28)+1,FALSE)</f>
        <v>0</v>
      </c>
      <c r="W30" s="15" cm="1">
        <f t="array" ref="W30">+HLOOKUP($A$1,+[15]İcmal!$B$19:$AG$49,ROW(N28)+1,FALSE)</f>
        <v>0</v>
      </c>
      <c r="X30" s="15" cm="1">
        <f t="array" ref="X30">+HLOOKUP($A$1,+[16]İcmal!$B$19:$AG$49,ROW(O28)+1,FALSE)</f>
        <v>1.952</v>
      </c>
      <c r="Y30" s="15" cm="1">
        <f t="array" ref="Y30">+HLOOKUP($A$1,+[17]İcmal!$B$19:$AG$49,ROW(P28)+1,FALSE)</f>
        <v>1.9539999999999988</v>
      </c>
      <c r="Z30" s="15" cm="1">
        <f t="array" ref="Z30">+HLOOKUP($A$1,+[18]İcmal!$B$19:$AG$49,ROW(Q28)+1,FALSE)</f>
        <v>0</v>
      </c>
      <c r="AA30" s="15" cm="1">
        <f t="array" ref="AA30">+HLOOKUP($A$1,+[19]İcmal!$B$19:$AG$49,ROW(R28)+1,FALSE)</f>
        <v>0</v>
      </c>
      <c r="AB30" s="15" cm="1">
        <f t="array" ref="AB30">+HLOOKUP($A$1,+[20]İcmal!$B$19:$AG$49,ROW(S28)+1,FALSE)</f>
        <v>0</v>
      </c>
      <c r="AC30" s="15" cm="1">
        <f t="array" ref="AC30">+HLOOKUP($A$1,+[21]İcmal!$B$19:$AG$49,ROW(T28)+1,FALSE)</f>
        <v>0</v>
      </c>
      <c r="AD30" s="15" cm="1">
        <f t="array" ref="AD30">+HLOOKUP($A$1,+[22]İcmal!$B$19:$AG$49,ROW(U28)+1,FALSE)</f>
        <v>0</v>
      </c>
      <c r="AE30" s="15" cm="1">
        <f t="array" ref="AE30">+HLOOKUP($A$1,+[23]İcmal!$B$19:$AG$49,ROW(V28)+1,FALSE)</f>
        <v>0</v>
      </c>
      <c r="AF30" s="15" cm="1">
        <f t="array" ref="AF30">+HLOOKUP($A$1,+[24]İcmal!$B$19:$AG$49,ROW(W28)+1,FALSE)</f>
        <v>0</v>
      </c>
      <c r="AG30" s="15" cm="1">
        <f t="array" ref="AG30">+HLOOKUP($A$1,+[25]İcmal!$B$19:$AG$49,ROW(X28)+1,FALSE)</f>
        <v>0</v>
      </c>
      <c r="AH30" s="15" cm="1">
        <f t="array" ref="AH30">+HLOOKUP($A$1,+[26]İcmal!$B$19:$AG$49,ROW(Y28)+1,FALSE)</f>
        <v>0</v>
      </c>
      <c r="AI30" s="15" cm="1">
        <f t="array" ref="AI30">+HLOOKUP($A$1,+[27]İcmal!$B$19:$AG$49,ROW(Z28)+1,FALSE)</f>
        <v>0</v>
      </c>
      <c r="AJ30" s="15" cm="1">
        <f t="array" ref="AJ30">+HLOOKUP($A$1,+[28]İcmal!$B$19:$AG$49,ROW(AA28)+1,FALSE)</f>
        <v>0</v>
      </c>
      <c r="AK30" s="15" cm="1">
        <f t="array" ref="AK30">+HLOOKUP($A$1,+[29]İcmal!$B$19:$AG$49,ROW(AB28)+1,FALSE)</f>
        <v>0</v>
      </c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3"/>
    </row>
    <row r="31" spans="1:54" x14ac:dyDescent="0.3">
      <c r="A31" s="4">
        <v>77</v>
      </c>
      <c r="B31" s="4" t="s">
        <v>68</v>
      </c>
      <c r="C31" s="4" t="s">
        <v>69</v>
      </c>
      <c r="D31" s="6" t="s">
        <v>70</v>
      </c>
      <c r="E31" s="10">
        <v>3500</v>
      </c>
      <c r="F31" s="8">
        <v>150</v>
      </c>
      <c r="G31" s="9">
        <f t="shared" si="0"/>
        <v>525000</v>
      </c>
      <c r="H31" s="15">
        <f t="shared" si="1"/>
        <v>0</v>
      </c>
      <c r="I31" s="9">
        <f t="shared" si="2"/>
        <v>0</v>
      </c>
      <c r="J31" s="15" cm="1">
        <f t="array" ref="J31">+HLOOKUP($A$1,+[2]İcmal!$B$19:$AG$49,ROW(A29)+1,FALSE)</f>
        <v>0</v>
      </c>
      <c r="K31" s="15" cm="1">
        <f t="array" ref="K31">+HLOOKUP($A$1,+[3]İcmal!$B$19:$AG$49,ROW(B29)+1,FALSE)</f>
        <v>0</v>
      </c>
      <c r="L31" s="15" cm="1">
        <f t="array" ref="L31">+HLOOKUP($A$1,+[4]İcmal!$B$19:$AG$49,ROW(C29)+1,FALSE)</f>
        <v>0</v>
      </c>
      <c r="M31" s="15" cm="1">
        <f t="array" ref="M31">+HLOOKUP($A$1,+[5]İcmal!$B$19:$AG$49,ROW(D29)+1,FALSE)</f>
        <v>0</v>
      </c>
      <c r="N31" s="15" cm="1">
        <f t="array" ref="N31">+HLOOKUP($A$1,+[6]İcmal!$B$19:$AG$49,ROW(E29)+1,FALSE)</f>
        <v>0</v>
      </c>
      <c r="O31" s="15" cm="1">
        <f t="array" ref="O31">+HLOOKUP($A$1,+[7]İcmal!$B$19:$AG$49,ROW(F29)+1,FALSE)</f>
        <v>0</v>
      </c>
      <c r="P31" s="15" cm="1">
        <f t="array" ref="P31">+HLOOKUP($A$1,+[8]İcmal!$B$19:$AG$49,ROW(G29)+1,FALSE)</f>
        <v>0</v>
      </c>
      <c r="Q31" s="15" cm="1">
        <f t="array" ref="Q31">+HLOOKUP($A$1,+[9]İcmal!$B$19:$AG$49,ROW(H29)+1,FALSE)</f>
        <v>0</v>
      </c>
      <c r="R31" s="15" cm="1">
        <f t="array" ref="R31">+HLOOKUP($A$1,+[10]İcmal!$B$19:$AG$49,ROW(I29)+1,FALSE)</f>
        <v>0</v>
      </c>
      <c r="S31" s="15" cm="1">
        <f t="array" ref="S31">+HLOOKUP($A$1,+[11]İcmal!$B$19:$AG$49,ROW(J29)+1,FALSE)</f>
        <v>0</v>
      </c>
      <c r="T31" s="15" cm="1">
        <f t="array" ref="T31">+HLOOKUP($A$1,+[12]İcmal!$B$19:$AG$49,ROW(K29)+1,FALSE)</f>
        <v>0</v>
      </c>
      <c r="U31" s="15" cm="1">
        <f t="array" ref="U31">+HLOOKUP($A$1,+[13]İcmal!$B$19:$AG$49,ROW(L29)+1,FALSE)</f>
        <v>0</v>
      </c>
      <c r="V31" s="15" cm="1">
        <f t="array" ref="V31">+HLOOKUP($A$1,+[14]İcmal!$B$19:$AG$49,ROW(M29)+1,FALSE)</f>
        <v>0</v>
      </c>
      <c r="W31" s="15" cm="1">
        <f t="array" ref="W31">+HLOOKUP($A$1,+[15]İcmal!$B$19:$AG$49,ROW(N29)+1,FALSE)</f>
        <v>0</v>
      </c>
      <c r="X31" s="15" cm="1">
        <f t="array" ref="X31">+HLOOKUP($A$1,+[16]İcmal!$B$19:$AG$49,ROW(O29)+1,FALSE)</f>
        <v>0</v>
      </c>
      <c r="Y31" s="15" cm="1">
        <f t="array" ref="Y31">+HLOOKUP($A$1,+[17]İcmal!$B$19:$AG$49,ROW(P29)+1,FALSE)</f>
        <v>0</v>
      </c>
      <c r="Z31" s="15" cm="1">
        <f t="array" ref="Z31">+HLOOKUP($A$1,+[18]İcmal!$B$19:$AG$49,ROW(Q29)+1,FALSE)</f>
        <v>0</v>
      </c>
      <c r="AA31" s="15" cm="1">
        <f t="array" ref="AA31">+HLOOKUP($A$1,+[19]İcmal!$B$19:$AG$49,ROW(R29)+1,FALSE)</f>
        <v>0</v>
      </c>
      <c r="AB31" s="15" cm="1">
        <f t="array" ref="AB31">+HLOOKUP($A$1,+[20]İcmal!$B$19:$AG$49,ROW(S29)+1,FALSE)</f>
        <v>0</v>
      </c>
      <c r="AC31" s="15" cm="1">
        <f t="array" ref="AC31">+HLOOKUP($A$1,+[21]İcmal!$B$19:$AG$49,ROW(T29)+1,FALSE)</f>
        <v>0</v>
      </c>
      <c r="AD31" s="15" cm="1">
        <f t="array" ref="AD31">+HLOOKUP($A$1,+[22]İcmal!$B$19:$AG$49,ROW(U29)+1,FALSE)</f>
        <v>0</v>
      </c>
      <c r="AE31" s="15" cm="1">
        <f t="array" ref="AE31">+HLOOKUP($A$1,+[23]İcmal!$B$19:$AG$49,ROW(V29)+1,FALSE)</f>
        <v>0</v>
      </c>
      <c r="AF31" s="15" cm="1">
        <f t="array" ref="AF31">+HLOOKUP($A$1,+[24]İcmal!$B$19:$AG$49,ROW(W29)+1,FALSE)</f>
        <v>0</v>
      </c>
      <c r="AG31" s="15" cm="1">
        <f t="array" ref="AG31">+HLOOKUP($A$1,+[25]İcmal!$B$19:$AG$49,ROW(X29)+1,FALSE)</f>
        <v>0</v>
      </c>
      <c r="AH31" s="15" cm="1">
        <f t="array" ref="AH31">+HLOOKUP($A$1,+[26]İcmal!$B$19:$AG$49,ROW(Y29)+1,FALSE)</f>
        <v>0</v>
      </c>
      <c r="AI31" s="15" cm="1">
        <f t="array" ref="AI31">+HLOOKUP($A$1,+[27]İcmal!$B$19:$AG$49,ROW(Z29)+1,FALSE)</f>
        <v>0</v>
      </c>
      <c r="AJ31" s="15" cm="1">
        <f t="array" ref="AJ31">+HLOOKUP($A$1,+[28]İcmal!$B$19:$AG$49,ROW(AA29)+1,FALSE)</f>
        <v>0</v>
      </c>
      <c r="AK31" s="15" cm="1">
        <f t="array" ref="AK31">+HLOOKUP($A$1,+[29]İcmal!$B$19:$AG$49,ROW(AB29)+1,FALSE)</f>
        <v>0</v>
      </c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3"/>
    </row>
    <row r="32" spans="1:54" ht="15" thickBot="1" x14ac:dyDescent="0.35">
      <c r="A32" s="4">
        <v>78</v>
      </c>
      <c r="B32" s="4" t="s">
        <v>71</v>
      </c>
      <c r="C32" s="4" t="s">
        <v>72</v>
      </c>
      <c r="D32" s="6" t="s">
        <v>70</v>
      </c>
      <c r="E32" s="10">
        <v>4500</v>
      </c>
      <c r="F32" s="8">
        <v>180</v>
      </c>
      <c r="G32" s="9">
        <f t="shared" si="0"/>
        <v>810000</v>
      </c>
      <c r="H32" s="15">
        <f t="shared" si="1"/>
        <v>0</v>
      </c>
      <c r="I32" s="9">
        <f t="shared" si="2"/>
        <v>0</v>
      </c>
      <c r="J32" s="15" cm="1">
        <f t="array" ref="J32">+HLOOKUP($A$1,+[2]İcmal!$B$19:$AG$49,ROW(A30)+1,FALSE)</f>
        <v>0</v>
      </c>
      <c r="K32" s="15" cm="1">
        <f t="array" ref="K32">+HLOOKUP($A$1,+[3]İcmal!$B$19:$AG$49,ROW(B30)+1,FALSE)</f>
        <v>0</v>
      </c>
      <c r="L32" s="15" cm="1">
        <f t="array" ref="L32">+HLOOKUP($A$1,+[4]İcmal!$B$19:$AG$49,ROW(C30)+1,FALSE)</f>
        <v>0</v>
      </c>
      <c r="M32" s="15" cm="1">
        <f t="array" ref="M32">+HLOOKUP($A$1,+[5]İcmal!$B$19:$AG$49,ROW(D30)+1,FALSE)</f>
        <v>0</v>
      </c>
      <c r="N32" s="15" cm="1">
        <f t="array" ref="N32">+HLOOKUP($A$1,+[6]İcmal!$B$19:$AG$49,ROW(E30)+1,FALSE)</f>
        <v>0</v>
      </c>
      <c r="O32" s="15" cm="1">
        <f t="array" ref="O32">+HLOOKUP($A$1,+[7]İcmal!$B$19:$AG$49,ROW(F30)+1,FALSE)</f>
        <v>0</v>
      </c>
      <c r="P32" s="15" cm="1">
        <f t="array" ref="P32">+HLOOKUP($A$1,+[8]İcmal!$B$19:$AG$49,ROW(G30)+1,FALSE)</f>
        <v>0</v>
      </c>
      <c r="Q32" s="15" cm="1">
        <f t="array" ref="Q32">+HLOOKUP($A$1,+[9]İcmal!$B$19:$AG$49,ROW(H30)+1,FALSE)</f>
        <v>0</v>
      </c>
      <c r="R32" s="15" cm="1">
        <f t="array" ref="R32">+HLOOKUP($A$1,+[10]İcmal!$B$19:$AG$49,ROW(I30)+1,FALSE)</f>
        <v>0</v>
      </c>
      <c r="S32" s="15" cm="1">
        <f t="array" ref="S32">+HLOOKUP($A$1,+[11]İcmal!$B$19:$AG$49,ROW(J30)+1,FALSE)</f>
        <v>0</v>
      </c>
      <c r="T32" s="15" cm="1">
        <f t="array" ref="T32">+HLOOKUP($A$1,+[12]İcmal!$B$19:$AG$49,ROW(K30)+1,FALSE)</f>
        <v>0</v>
      </c>
      <c r="U32" s="15" cm="1">
        <f t="array" ref="U32">+HLOOKUP($A$1,+[13]İcmal!$B$19:$AG$49,ROW(L30)+1,FALSE)</f>
        <v>0</v>
      </c>
      <c r="V32" s="15" cm="1">
        <f t="array" ref="V32">+HLOOKUP($A$1,+[14]İcmal!$B$19:$AG$49,ROW(M30)+1,FALSE)</f>
        <v>0</v>
      </c>
      <c r="W32" s="15" cm="1">
        <f t="array" ref="W32">+HLOOKUP($A$1,+[15]İcmal!$B$19:$AG$49,ROW(N30)+1,FALSE)</f>
        <v>0</v>
      </c>
      <c r="X32" s="15" cm="1">
        <f t="array" ref="X32">+HLOOKUP($A$1,+[16]İcmal!$B$19:$AG$49,ROW(O30)+1,FALSE)</f>
        <v>0</v>
      </c>
      <c r="Y32" s="15" cm="1">
        <f t="array" ref="Y32">+HLOOKUP($A$1,+[17]İcmal!$B$19:$AG$49,ROW(P30)+1,FALSE)</f>
        <v>0</v>
      </c>
      <c r="Z32" s="15" cm="1">
        <f t="array" ref="Z32">+HLOOKUP($A$1,+[18]İcmal!$B$19:$AG$49,ROW(Q30)+1,FALSE)</f>
        <v>0</v>
      </c>
      <c r="AA32" s="15" cm="1">
        <f t="array" ref="AA32">+HLOOKUP($A$1,+[19]İcmal!$B$19:$AG$49,ROW(R30)+1,FALSE)</f>
        <v>0</v>
      </c>
      <c r="AB32" s="15" cm="1">
        <f t="array" ref="AB32">+HLOOKUP($A$1,+[20]İcmal!$B$19:$AG$49,ROW(S30)+1,FALSE)</f>
        <v>0</v>
      </c>
      <c r="AC32" s="15" cm="1">
        <f t="array" ref="AC32">+HLOOKUP($A$1,+[21]İcmal!$B$19:$AG$49,ROW(T30)+1,FALSE)</f>
        <v>0</v>
      </c>
      <c r="AD32" s="15" cm="1">
        <f t="array" ref="AD32">+HLOOKUP($A$1,+[22]İcmal!$B$19:$AG$49,ROW(U30)+1,FALSE)</f>
        <v>0</v>
      </c>
      <c r="AE32" s="15" cm="1">
        <f t="array" ref="AE32">+HLOOKUP($A$1,+[23]İcmal!$B$19:$AG$49,ROW(V30)+1,FALSE)</f>
        <v>0</v>
      </c>
      <c r="AF32" s="15" cm="1">
        <f t="array" ref="AF32">+HLOOKUP($A$1,+[24]İcmal!$B$19:$AG$49,ROW(W30)+1,FALSE)</f>
        <v>0</v>
      </c>
      <c r="AG32" s="15" cm="1">
        <f t="array" ref="AG32">+HLOOKUP($A$1,+[25]İcmal!$B$19:$AG$49,ROW(X30)+1,FALSE)</f>
        <v>0</v>
      </c>
      <c r="AH32" s="15" cm="1">
        <f t="array" ref="AH32">+HLOOKUP($A$1,+[26]İcmal!$B$19:$AG$49,ROW(Y30)+1,FALSE)</f>
        <v>0</v>
      </c>
      <c r="AI32" s="15" cm="1">
        <f t="array" ref="AI32">+HLOOKUP($A$1,+[27]İcmal!$B$19:$AG$49,ROW(Z30)+1,FALSE)</f>
        <v>0</v>
      </c>
      <c r="AJ32" s="15" cm="1">
        <f t="array" ref="AJ32">+HLOOKUP($A$1,+[28]İcmal!$B$19:$AG$49,ROW(AA30)+1,FALSE)</f>
        <v>0</v>
      </c>
      <c r="AK32" s="15" cm="1">
        <f t="array" ref="AK32">+HLOOKUP($A$1,+[29]İcmal!$B$19:$AG$49,ROW(AB30)+1,FALSE)</f>
        <v>0</v>
      </c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4"/>
    </row>
    <row r="33" spans="7:53" x14ac:dyDescent="0.3">
      <c r="I33" s="16">
        <f>SUM(I3:I32)</f>
        <v>37210860.433000006</v>
      </c>
      <c r="J33" s="16">
        <f t="shared" ref="J33:BA33" si="3">+SUMPRODUCT(J3:J32,$F$3:$F$32)</f>
        <v>0</v>
      </c>
      <c r="K33" s="16">
        <f t="shared" si="3"/>
        <v>0</v>
      </c>
      <c r="L33" s="16">
        <f t="shared" si="3"/>
        <v>1927795.3030000008</v>
      </c>
      <c r="M33" s="16">
        <f t="shared" si="3"/>
        <v>1687533.3690000009</v>
      </c>
      <c r="N33" s="16">
        <f t="shared" si="3"/>
        <v>0</v>
      </c>
      <c r="O33" s="16">
        <f t="shared" si="3"/>
        <v>0</v>
      </c>
      <c r="P33" s="16">
        <f t="shared" si="3"/>
        <v>10745137.219999999</v>
      </c>
      <c r="Q33" s="16">
        <f t="shared" si="3"/>
        <v>9804918.4590000007</v>
      </c>
      <c r="R33" s="16">
        <f t="shared" si="3"/>
        <v>0</v>
      </c>
      <c r="S33" s="16">
        <f t="shared" si="3"/>
        <v>0</v>
      </c>
      <c r="T33" s="16">
        <f t="shared" si="3"/>
        <v>4049380.1010000003</v>
      </c>
      <c r="U33" s="16">
        <f t="shared" si="3"/>
        <v>4203150.0219999999</v>
      </c>
      <c r="V33" s="16">
        <f t="shared" si="3"/>
        <v>0</v>
      </c>
      <c r="W33" s="16">
        <f t="shared" si="3"/>
        <v>0</v>
      </c>
      <c r="X33" s="16">
        <f t="shared" si="3"/>
        <v>1925109.0299999998</v>
      </c>
      <c r="Y33" s="16">
        <f t="shared" si="3"/>
        <v>1691836.9289999993</v>
      </c>
      <c r="Z33" s="16">
        <f t="shared" si="3"/>
        <v>0</v>
      </c>
      <c r="AA33" s="16">
        <f t="shared" si="3"/>
        <v>0</v>
      </c>
      <c r="AB33" s="16">
        <f t="shared" si="3"/>
        <v>0</v>
      </c>
      <c r="AC33" s="16">
        <f t="shared" si="3"/>
        <v>0</v>
      </c>
      <c r="AD33" s="16">
        <f t="shared" si="3"/>
        <v>0</v>
      </c>
      <c r="AE33" s="16">
        <f t="shared" si="3"/>
        <v>560000</v>
      </c>
      <c r="AF33" s="16">
        <f t="shared" si="3"/>
        <v>0</v>
      </c>
      <c r="AG33" s="16">
        <f t="shared" si="3"/>
        <v>0</v>
      </c>
      <c r="AH33" s="16">
        <f t="shared" si="3"/>
        <v>0</v>
      </c>
      <c r="AI33" s="16">
        <f t="shared" si="3"/>
        <v>0</v>
      </c>
      <c r="AJ33" s="16">
        <f t="shared" si="3"/>
        <v>0</v>
      </c>
      <c r="AK33" s="16">
        <f t="shared" si="3"/>
        <v>616000</v>
      </c>
      <c r="AL33" s="16"/>
      <c r="AM33" s="16"/>
      <c r="AN33" s="16"/>
      <c r="AO33" s="16"/>
      <c r="AP33" s="16"/>
      <c r="AQ33" s="16"/>
      <c r="AR33" s="16"/>
      <c r="AS33" s="16"/>
      <c r="AT33" s="16">
        <f t="shared" si="3"/>
        <v>0</v>
      </c>
      <c r="AU33" s="16">
        <f t="shared" si="3"/>
        <v>0</v>
      </c>
      <c r="AV33" s="16"/>
      <c r="AW33" s="16"/>
      <c r="AX33" s="16"/>
      <c r="AY33" s="16"/>
      <c r="AZ33" s="16"/>
      <c r="BA33" s="16">
        <f t="shared" si="3"/>
        <v>0</v>
      </c>
    </row>
    <row r="34" spans="7:53" x14ac:dyDescent="0.3">
      <c r="H34" s="52"/>
    </row>
    <row r="35" spans="7:53" x14ac:dyDescent="0.3">
      <c r="G35" s="16"/>
      <c r="H35" s="16"/>
      <c r="I35" s="16"/>
    </row>
    <row r="36" spans="7:53" x14ac:dyDescent="0.3">
      <c r="I36" s="16"/>
      <c r="K36" s="49"/>
      <c r="N36" s="49"/>
      <c r="O36" s="49"/>
      <c r="P36" s="49"/>
      <c r="Q36" s="49"/>
    </row>
    <row r="37" spans="7:53" x14ac:dyDescent="0.3"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7:53" x14ac:dyDescent="0.3">
      <c r="I38" s="16"/>
    </row>
    <row r="39" spans="7:53" x14ac:dyDescent="0.3">
      <c r="I39" s="16"/>
    </row>
    <row r="40" spans="7:53" x14ac:dyDescent="0.3">
      <c r="I40" s="16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23</vt:i4>
      </vt:variant>
      <vt:variant>
        <vt:lpstr>Adlandırılmış Aralıklar</vt:lpstr>
      </vt:variant>
      <vt:variant>
        <vt:i4>1</vt:i4>
      </vt:variant>
    </vt:vector>
  </HeadingPairs>
  <TitlesOfParts>
    <vt:vector size="24" baseType="lpstr">
      <vt:lpstr>Barbaros 1225</vt:lpstr>
      <vt:lpstr>Barbaros 1125</vt:lpstr>
      <vt:lpstr>Barbaros 1025</vt:lpstr>
      <vt:lpstr>Barbaros 0925</vt:lpstr>
      <vt:lpstr>Barbaros 0825</vt:lpstr>
      <vt:lpstr>Barbaros 0725</vt:lpstr>
      <vt:lpstr>Barbaros 0625</vt:lpstr>
      <vt:lpstr>Kapak</vt:lpstr>
      <vt:lpstr>ÖZET</vt:lpstr>
      <vt:lpstr>Malazgirt 0625</vt:lpstr>
      <vt:lpstr>Malazgirt 0725</vt:lpstr>
      <vt:lpstr>Malazgirt 0825</vt:lpstr>
      <vt:lpstr>Malazgirt 0925</vt:lpstr>
      <vt:lpstr>Malazgirt 1025</vt:lpstr>
      <vt:lpstr>Malazgirt 1125</vt:lpstr>
      <vt:lpstr>Malazgirt 1225</vt:lpstr>
      <vt:lpstr>Barbaros 0126</vt:lpstr>
      <vt:lpstr>Malazgirt 0126</vt:lpstr>
      <vt:lpstr>Barbaros 0226</vt:lpstr>
      <vt:lpstr>Malazgirt 0226</vt:lpstr>
      <vt:lpstr>Barbaros 0326</vt:lpstr>
      <vt:lpstr>Malazgirt 0326</vt:lpstr>
      <vt:lpstr>Barbaros 0426</vt:lpstr>
      <vt:lpstr>ÖZET!Yazdırma_Alanı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2026-06-05T06:33:33Z</cp:lastPrinted>
  <dcterms:created xsi:type="dcterms:W3CDTF">2015-06-05T18:19:34Z</dcterms:created>
  <dcterms:modified xsi:type="dcterms:W3CDTF">2026-08-26T14:24:31Z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2025-11-06T11:27:15Z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903e6c40-12ae-4e58-b383-e694f8a34093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